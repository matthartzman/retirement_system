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0" fontId="4" fillId="12" borderId="1" applyAlignment="1" pivotButton="0" quotePrefix="0" xfId="0">
      <alignment horizontal="left" vertical="center"/>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0" fillId="0" borderId="0" applyAlignment="1" pivotButton="0" quotePrefix="0" xfId="0">
      <alignment vertical="top" wrapText="1"/>
    </xf>
    <xf numFmtId="0" fontId="2" fillId="7" borderId="1" applyAlignment="1" pivotButton="0" quotePrefix="0" xfId="0">
      <alignment horizontal="center" vertical="center" wrapText="1"/>
    </xf>
    <xf numFmtId="168" fontId="4" fillId="11" borderId="1" applyAlignment="1" pivotButton="0" quotePrefix="0" xfId="0">
      <alignment horizontal="right" vertical="top" wrapText="1"/>
    </xf>
    <xf numFmtId="0" fontId="4" fillId="0" borderId="1" applyAlignment="1" pivotButton="0" quotePrefix="0" xfId="0">
      <alignment horizontal="center" vertical="center"/>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Wife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Wife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Husband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Husband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BC6C25"/>
              </a:solidFill>
              <a:ln xmlns:a="http://schemas.openxmlformats.org/drawingml/2006/main">
                <a:prstDash val="solid"/>
              </a:ln>
            </spPr>
          </dPt>
          <dPt>
            <idx val="6"/>
            <spPr>
              <a:solidFill xmlns:a="http://schemas.openxmlformats.org/drawingml/2006/main">
                <a:srgbClr val="DDA15E"/>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1329502.60797</v>
                </pt>
                <pt idx="1">
                  <v>897149.1413760001</v>
                </pt>
                <pt idx="2">
                  <v>310315.117414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C6C25"/>
              </a:solidFill>
              <a:ln xmlns:a="http://schemas.openxmlformats.org/drawingml/2006/main">
                <a:prstDash val="solid"/>
              </a:ln>
            </spPr>
          </dPt>
          <dPt>
            <idx val="4"/>
            <spPr>
              <a:solidFill xmlns:a="http://schemas.openxmlformats.org/drawingml/2006/main">
                <a:srgbClr val="023E8A"/>
              </a:solidFill>
              <a:ln xmlns:a="http://schemas.openxmlformats.org/drawingml/2006/main">
                <a:prstDash val="solid"/>
              </a:ln>
            </spPr>
          </dPt>
          <dPt>
            <idx val="5"/>
            <spPr>
              <a:solidFill xmlns:a="http://schemas.openxmlformats.org/drawingml/2006/main">
                <a:srgbClr val="B7E4C7"/>
              </a:solidFill>
              <a:ln xmlns:a="http://schemas.openxmlformats.org/drawingml/2006/main">
                <a:prstDash val="solid"/>
              </a:ln>
            </spPr>
          </dPt>
          <dPt>
            <idx val="6"/>
            <spPr>
              <a:solidFill xmlns:a="http://schemas.openxmlformats.org/drawingml/2006/main">
                <a:srgbClr val="BC6C25"/>
              </a:solidFill>
              <a:ln xmlns:a="http://schemas.openxmlformats.org/drawingml/2006/main">
                <a:prstDash val="solid"/>
              </a:ln>
            </spPr>
          </dPt>
          <dPt>
            <idx val="7"/>
            <spPr>
              <a:solidFill xmlns:a="http://schemas.openxmlformats.org/drawingml/2006/main">
                <a:srgbClr val="DDA15E"/>
              </a:solidFill>
              <a:ln xmlns:a="http://schemas.openxmlformats.org/drawingml/2006/main">
                <a:prstDash val="solid"/>
              </a:ln>
            </spPr>
          </dPt>
          <cat>
            <strRef>
              <f>'_Chart Dashboard Data'!$D$211:$D$218</f>
              <strCache>
                <ptCount val="8"/>
                <pt idx="0">
                  <v>US Large Cap</v>
                </pt>
                <pt idx="1">
                  <v>International</v>
                </pt>
                <pt idx="2">
                  <v>US Small Cap</v>
                </pt>
                <pt idx="3">
                  <v>Cash</v>
                </pt>
                <pt idx="4">
                  <v>Emerging Markets</v>
                </pt>
                <pt idx="5">
                  <v>US Mid Cap</v>
                </pt>
                <pt idx="6">
                  <v>Fixed Income (Non-Liquid)</v>
                </pt>
                <pt idx="7">
                  <v>Real Estate (Non-Liquid)</v>
                </pt>
              </strCache>
            </strRef>
          </cat>
          <val>
            <numRef>
              <f>'_Chart Dashboard Data'!$E$211:$E$218</f>
              <numCache>
                <ptCount val="8"/>
                <pt idx="0">
                  <v>1360803.60797</v>
                </pt>
                <pt idx="1">
                  <v>680402.4413759999</v>
                </pt>
                <pt idx="2">
                  <v>170100.117414</v>
                </pt>
                <pt idx="3">
                  <v>170101.75</v>
                </pt>
                <pt idx="4">
                  <v>170100</v>
                </pt>
                <pt idx="5">
                  <v>170101</v>
                </pt>
                <pt idx="6">
                  <v>1274327.16356137</v>
                </pt>
                <pt idx="7">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2026-06-30</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06/29/2026 09:35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5813821.11399342</v>
      </c>
      <c r="C11" s="3" t="n"/>
      <c r="D11" s="3" t="n"/>
      <c r="E11" s="3" t="n"/>
      <c r="F11" s="4" t="n"/>
    </row>
    <row r="12" ht="30" customHeight="1">
      <c r="A12" s="11" t="inlineStr">
        <is>
          <t>Terminal Net Worth (Yn)</t>
        </is>
      </c>
      <c r="B12" s="14" t="n">
        <v>4267239.328080034</v>
      </c>
      <c r="C12" s="3" t="n"/>
      <c r="D12" s="3" t="n"/>
      <c r="E12" s="3" t="n"/>
      <c r="F12" s="4" t="n"/>
    </row>
    <row r="13" ht="45" customHeight="1">
      <c r="A13" s="11" t="inlineStr">
        <is>
          <t>Lifetime Federal Tax (estimated)</t>
        </is>
      </c>
      <c r="B13" s="14" t="n">
        <v>873087.3914096972</v>
      </c>
      <c r="C13" s="3" t="n"/>
      <c r="D13" s="3" t="n"/>
      <c r="E13" s="3" t="n"/>
      <c r="F13" s="4" t="n"/>
    </row>
    <row r="14" ht="30" customHeight="1">
      <c r="A14" s="11" t="inlineStr">
        <is>
          <t>Plan Success Rate (Monte Carlo)</t>
        </is>
      </c>
      <c r="B14" s="15" t="n">
        <v>0.3125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0.1416443505196105</v>
      </c>
      <c r="C17" s="3" t="n"/>
      <c r="D17" s="3" t="n"/>
      <c r="E17" s="3" t="n"/>
      <c r="F17" s="4" t="n"/>
    </row>
    <row r="18" ht="30" customHeight="1">
      <c r="A18" s="11" t="inlineStr">
        <is>
          <t>MC Success 95% CI High</t>
        </is>
      </c>
      <c r="B18" s="15" t="n">
        <v>0.5559606813326594</v>
      </c>
      <c r="C18" s="3" t="n"/>
      <c r="D18" s="3" t="n"/>
      <c r="E18" s="3" t="n"/>
      <c r="F18" s="4" t="n"/>
    </row>
    <row r="19" ht="45" customHeight="1">
      <c r="A19" s="11" t="inlineStr">
        <is>
          <t>Estimated Tax Saved — Roth Strategy</t>
        </is>
      </c>
      <c r="B19" s="14" t="n">
        <v>267394.3686359639</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2026-06-30</t>
        </is>
      </c>
      <c r="B35" s="3" t="n"/>
      <c r="C35" s="3" t="n"/>
      <c r="D35" s="3" t="n"/>
      <c r="E35" s="3" t="n"/>
      <c r="F35" s="4" t="n"/>
    </row>
    <row r="36" ht="60" customHeight="1">
      <c r="A36" s="19" t="inlineStr">
        <is>
          <t>Workbook pricing source: CACHE — as of 06/29/2026 09:35 AM. Cached quotes were used as of 06/29/2026 09:35 AM; cache TTL is 24.0 hours. Some symbols used offline fallback pricing; see Holdings Detail by Account for ticker-level sources. Ticker-level source counts: cash: 1, fresh_cache_24h_from_fixture_cache: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Husband IRA</t>
        </is>
      </c>
      <c r="K2" s="23" t="inlineStr">
        <is>
          <t>Husband 401k</t>
        </is>
      </c>
      <c r="L2" s="23" t="inlineStr">
        <is>
          <t>Wife IRA</t>
        </is>
      </c>
      <c r="M2" s="24" t="inlineStr">
        <is>
          <t>Σ PreTax</t>
        </is>
      </c>
      <c r="N2" s="23" t="inlineStr">
        <is>
          <t>Husband Roth</t>
        </is>
      </c>
      <c r="O2" s="23" t="inlineStr">
        <is>
          <t>Wife Roth</t>
        </is>
      </c>
      <c r="P2" s="24" t="inlineStr">
        <is>
          <t>Σ Roth</t>
        </is>
      </c>
      <c r="Q2" s="23" t="inlineStr">
        <is>
          <t>Husband Trust</t>
        </is>
      </c>
      <c r="R2" s="23" t="inlineStr">
        <is>
          <t>Wife Trust</t>
        </is>
      </c>
      <c r="S2" s="24" t="inlineStr">
        <is>
          <t>Σ Trust</t>
        </is>
      </c>
      <c r="T2" s="23" t="inlineStr">
        <is>
          <t>Husband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1389960.8138384</v>
      </c>
      <c r="K3" s="27" t="n">
        <v>39242.525</v>
      </c>
      <c r="L3" s="27" t="n">
        <v>482153.19713486</v>
      </c>
      <c r="M3" s="28" t="n">
        <v>1911356.53597326</v>
      </c>
      <c r="N3" s="27" t="n">
        <v>145656.825841</v>
      </c>
      <c r="O3" s="27" t="n">
        <v>216168.19522158</v>
      </c>
      <c r="P3" s="28" t="n">
        <v>361825.0210625801</v>
      </c>
      <c r="Q3" s="27" t="n">
        <v>262825.6330539086</v>
      </c>
      <c r="R3" s="27" t="n">
        <v>340203.36700576</v>
      </c>
      <c r="S3" s="28" t="n">
        <v>603029.0000596687</v>
      </c>
      <c r="T3" s="27" t="n">
        <v>82867.40086620001</v>
      </c>
      <c r="U3" s="27" t="n">
        <v>1059106</v>
      </c>
      <c r="V3" s="27" t="n">
        <v>0</v>
      </c>
      <c r="W3" s="27" t="n">
        <v>0</v>
      </c>
      <c r="X3" s="27" t="n">
        <v>0</v>
      </c>
      <c r="Y3" s="27" t="n">
        <v>414971.34</v>
      </c>
      <c r="Z3" s="27" t="n">
        <v>20000</v>
      </c>
      <c r="AA3" s="28" t="n">
        <v>1494077.34</v>
      </c>
      <c r="AB3" s="28" t="n">
        <v>5813821.11399342</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1473358.453490114</v>
      </c>
      <c r="K4" s="27" t="n">
        <v>41597.07624086244</v>
      </c>
      <c r="L4" s="27" t="n">
        <v>272584.6956410276</v>
      </c>
      <c r="M4" s="28" t="n">
        <v>1787540.225372004</v>
      </c>
      <c r="N4" s="27" t="n">
        <v>154396.23539146</v>
      </c>
      <c r="O4" s="27" t="n">
        <v>467635.9785586763</v>
      </c>
      <c r="P4" s="28" t="n">
        <v>622032.2139501363</v>
      </c>
      <c r="Q4" s="27" t="n">
        <v>116347.5971833243</v>
      </c>
      <c r="R4" s="27" t="n">
        <v>151106.711473213</v>
      </c>
      <c r="S4" s="28" t="n">
        <v>267454.3086565373</v>
      </c>
      <c r="T4" s="27" t="n">
        <v>87839.44491817201</v>
      </c>
      <c r="U4" s="27" t="n">
        <v>1129841.3484</v>
      </c>
      <c r="V4" s="27" t="n">
        <v>0</v>
      </c>
      <c r="W4" s="27" t="n">
        <v>0</v>
      </c>
      <c r="X4" s="27" t="n">
        <v>0</v>
      </c>
      <c r="Y4" s="27" t="n">
        <v>355689.72</v>
      </c>
      <c r="Z4" s="27" t="n">
        <v>20000</v>
      </c>
      <c r="AA4" s="28" t="n">
        <v>1505531.0684</v>
      </c>
      <c r="AB4" s="28" t="n">
        <v>5707920.306290464</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1532204.546369772</v>
      </c>
      <c r="K5" s="27" t="n">
        <v>43258.46787722466</v>
      </c>
      <c r="L5" s="27" t="n">
        <v>60850.2302557236</v>
      </c>
      <c r="M5" s="28" t="n">
        <v>1636313.244502721</v>
      </c>
      <c r="N5" s="27" t="n">
        <v>163660.0095149477</v>
      </c>
      <c r="O5" s="27" t="n">
        <v>722609.915677204</v>
      </c>
      <c r="P5" s="28" t="n">
        <v>886269.9251921517</v>
      </c>
      <c r="Q5" s="27" t="n">
        <v>0</v>
      </c>
      <c r="R5" s="27" t="n">
        <v>0</v>
      </c>
      <c r="S5" s="28" t="n">
        <v>0</v>
      </c>
      <c r="T5" s="27" t="n">
        <v>93109.81161326234</v>
      </c>
      <c r="U5" s="27" t="n">
        <v>1202394.10440316</v>
      </c>
      <c r="V5" s="27" t="n">
        <v>0</v>
      </c>
      <c r="W5" s="27" t="n">
        <v>0</v>
      </c>
      <c r="X5" s="27" t="n">
        <v>0</v>
      </c>
      <c r="Y5" s="27" t="n">
        <v>296408.1</v>
      </c>
      <c r="Z5" s="27" t="n">
        <v>20000</v>
      </c>
      <c r="AA5" s="28" t="n">
        <v>1518802.20440316</v>
      </c>
      <c r="AB5" s="28" t="n">
        <v>5653486.893404526</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1346498.136686685</v>
      </c>
      <c r="K6" s="27" t="n">
        <v>0</v>
      </c>
      <c r="L6" s="27" t="n">
        <v>0</v>
      </c>
      <c r="M6" s="28" t="n">
        <v>1346498.136686685</v>
      </c>
      <c r="N6" s="27" t="n">
        <v>263378.6815116362</v>
      </c>
      <c r="O6" s="27" t="n">
        <v>830467.7546889032</v>
      </c>
      <c r="P6" s="28" t="n">
        <v>1093846.436200539</v>
      </c>
      <c r="Q6" s="27" t="n">
        <v>0</v>
      </c>
      <c r="R6" s="27" t="n">
        <v>0</v>
      </c>
      <c r="S6" s="28" t="n">
        <v>0</v>
      </c>
      <c r="T6" s="27" t="n">
        <v>98696.40031005807</v>
      </c>
      <c r="U6" s="27" t="n">
        <v>1276812.727645883</v>
      </c>
      <c r="V6" s="27" t="n">
        <v>0</v>
      </c>
      <c r="W6" s="27" t="n">
        <v>0</v>
      </c>
      <c r="X6" s="27" t="n">
        <v>0</v>
      </c>
      <c r="Y6" s="27" t="n">
        <v>237126.48</v>
      </c>
      <c r="Z6" s="27" t="n">
        <v>20000</v>
      </c>
      <c r="AA6" s="28" t="n">
        <v>1533939.207645883</v>
      </c>
      <c r="AB6" s="28" t="n">
        <v>5649060.53692585</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1006979.857135939</v>
      </c>
      <c r="K7" s="27" t="n">
        <v>0</v>
      </c>
      <c r="L7" s="27" t="n">
        <v>0</v>
      </c>
      <c r="M7" s="28" t="n">
        <v>1006979.857135939</v>
      </c>
      <c r="N7" s="27" t="n">
        <v>445289.3775443868</v>
      </c>
      <c r="O7" s="27" t="n">
        <v>880295.8199702374</v>
      </c>
      <c r="P7" s="28" t="n">
        <v>1325585.197514624</v>
      </c>
      <c r="Q7" s="27" t="n">
        <v>0</v>
      </c>
      <c r="R7" s="27" t="n">
        <v>0</v>
      </c>
      <c r="S7" s="28" t="n">
        <v>0</v>
      </c>
      <c r="T7" s="27" t="n">
        <v>104618.1843286616</v>
      </c>
      <c r="U7" s="27" t="n">
        <v>1353147.010908089</v>
      </c>
      <c r="V7" s="27" t="n">
        <v>0</v>
      </c>
      <c r="W7" s="27" t="n">
        <v>0</v>
      </c>
      <c r="X7" s="27" t="n">
        <v>0</v>
      </c>
      <c r="Y7" s="27" t="n">
        <v>177844.86</v>
      </c>
      <c r="Z7" s="27" t="n">
        <v>20000</v>
      </c>
      <c r="AA7" s="28" t="n">
        <v>1550991.870908089</v>
      </c>
      <c r="AB7" s="28" t="n">
        <v>5535851.734191818</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784352.7568289442</v>
      </c>
      <c r="K8" s="27" t="n">
        <v>0</v>
      </c>
      <c r="L8" s="27" t="n">
        <v>0</v>
      </c>
      <c r="M8" s="28" t="n">
        <v>784352.7568289442</v>
      </c>
      <c r="N8" s="27" t="n">
        <v>604789.9802921468</v>
      </c>
      <c r="O8" s="27" t="n">
        <v>933113.5691684517</v>
      </c>
      <c r="P8" s="28" t="n">
        <v>1537903.549460599</v>
      </c>
      <c r="Q8" s="27" t="n">
        <v>0</v>
      </c>
      <c r="R8" s="27" t="n">
        <v>0</v>
      </c>
      <c r="S8" s="28" t="n">
        <v>0</v>
      </c>
      <c r="T8" s="27" t="n">
        <v>99805.74784954313</v>
      </c>
      <c r="U8" s="27" t="n">
        <v>1431448.117706675</v>
      </c>
      <c r="V8" s="27" t="n">
        <v>0</v>
      </c>
      <c r="W8" s="27" t="n">
        <v>0</v>
      </c>
      <c r="X8" s="27" t="n">
        <v>0</v>
      </c>
      <c r="Y8" s="27" t="n">
        <v>118563.24</v>
      </c>
      <c r="Z8" s="27" t="n">
        <v>20000</v>
      </c>
      <c r="AA8" s="28" t="n">
        <v>1570011.357706675</v>
      </c>
      <c r="AB8" s="28" t="n">
        <v>5510323.540737786</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454336.990435579</v>
      </c>
      <c r="K9" s="27" t="n">
        <v>0</v>
      </c>
      <c r="L9" s="27" t="n">
        <v>0</v>
      </c>
      <c r="M9" s="28" t="n">
        <v>454336.990435579</v>
      </c>
      <c r="N9" s="27" t="n">
        <v>756520.3785695443</v>
      </c>
      <c r="O9" s="27" t="n">
        <v>989100.3833185588</v>
      </c>
      <c r="P9" s="28" t="n">
        <v>1745620.761888103</v>
      </c>
      <c r="Q9" s="27" t="n">
        <v>0</v>
      </c>
      <c r="R9" s="27" t="n">
        <v>0</v>
      </c>
      <c r="S9" s="28" t="n">
        <v>0</v>
      </c>
      <c r="T9" s="27" t="n">
        <v>94039.19352934731</v>
      </c>
      <c r="U9" s="27" t="n">
        <v>1511768.620968997</v>
      </c>
      <c r="V9" s="27" t="n">
        <v>0</v>
      </c>
      <c r="W9" s="27" t="n">
        <v>0</v>
      </c>
      <c r="X9" s="27" t="n">
        <v>0</v>
      </c>
      <c r="Y9" s="27" t="n">
        <v>59281.62000000005</v>
      </c>
      <c r="Z9" s="27" t="n">
        <v>20000</v>
      </c>
      <c r="AA9" s="28" t="n">
        <v>1591050.240968998</v>
      </c>
      <c r="AB9" s="28" t="n">
        <v>5372761.936969616</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223320.1312955785</v>
      </c>
      <c r="K10" s="27" t="n">
        <v>0</v>
      </c>
      <c r="L10" s="27" t="n">
        <v>0</v>
      </c>
      <c r="M10" s="28" t="n">
        <v>223320.1312955785</v>
      </c>
      <c r="N10" s="27" t="n">
        <v>925108.4544254917</v>
      </c>
      <c r="O10" s="27" t="n">
        <v>1048446.406317672</v>
      </c>
      <c r="P10" s="28" t="n">
        <v>1973554.860743164</v>
      </c>
      <c r="Q10" s="27" t="n">
        <v>0</v>
      </c>
      <c r="R10" s="27" t="n">
        <v>0</v>
      </c>
      <c r="S10" s="28" t="n">
        <v>0</v>
      </c>
      <c r="T10" s="27" t="n">
        <v>87221.35199846963</v>
      </c>
      <c r="U10" s="27" t="n">
        <v>1594162.542817839</v>
      </c>
      <c r="V10" s="27" t="n">
        <v>0</v>
      </c>
      <c r="W10" s="27" t="n">
        <v>0</v>
      </c>
      <c r="X10" s="27" t="n">
        <v>0</v>
      </c>
      <c r="Y10" s="27" t="n">
        <v>0</v>
      </c>
      <c r="Z10" s="27" t="n">
        <v>20000</v>
      </c>
      <c r="AA10" s="28" t="n">
        <v>1614162.542817839</v>
      </c>
      <c r="AB10" s="28" t="n">
        <v>5354220.511739648</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0</v>
      </c>
      <c r="K11" s="27" t="n">
        <v>0</v>
      </c>
      <c r="L11" s="27" t="n">
        <v>0</v>
      </c>
      <c r="M11" s="28" t="n">
        <v>0</v>
      </c>
      <c r="N11" s="27" t="n">
        <v>1103614.646670899</v>
      </c>
      <c r="O11" s="27" t="n">
        <v>1103345.000911301</v>
      </c>
      <c r="P11" s="28" t="n">
        <v>2206959.6475822</v>
      </c>
      <c r="Q11" s="27" t="n">
        <v>0</v>
      </c>
      <c r="R11" s="27" t="n">
        <v>0</v>
      </c>
      <c r="S11" s="28" t="n">
        <v>0</v>
      </c>
      <c r="T11" s="27" t="n">
        <v>0</v>
      </c>
      <c r="U11" s="27" t="n">
        <v>1678685.39550022</v>
      </c>
      <c r="V11" s="27" t="n">
        <v>0</v>
      </c>
      <c r="W11" s="27" t="n">
        <v>0</v>
      </c>
      <c r="X11" s="27" t="n">
        <v>0</v>
      </c>
      <c r="Y11" s="27" t="n">
        <v>0</v>
      </c>
      <c r="Z11" s="27" t="n">
        <v>20000</v>
      </c>
      <c r="AA11" s="28" t="n">
        <v>1698685.39550022</v>
      </c>
      <c r="AB11" s="28" t="n">
        <v>5328522.107275515</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1106681.510836366</v>
      </c>
      <c r="O12" s="27" t="n">
        <v>1106411.115750978</v>
      </c>
      <c r="P12" s="28" t="n">
        <v>2213092.626587344</v>
      </c>
      <c r="Q12" s="27" t="n">
        <v>0</v>
      </c>
      <c r="R12" s="27" t="n">
        <v>0</v>
      </c>
      <c r="S12" s="28" t="n">
        <v>0</v>
      </c>
      <c r="T12" s="27" t="n">
        <v>0</v>
      </c>
      <c r="U12" s="27" t="n">
        <v>1764562.206078832</v>
      </c>
      <c r="V12" s="27" t="n">
        <v>0</v>
      </c>
      <c r="W12" s="27" t="n">
        <v>0</v>
      </c>
      <c r="X12" s="27" t="n">
        <v>0</v>
      </c>
      <c r="Y12" s="27" t="n">
        <v>0</v>
      </c>
      <c r="Z12" s="27" t="n">
        <v>20000</v>
      </c>
      <c r="AA12" s="28" t="n">
        <v>1784562.206078832</v>
      </c>
      <c r="AB12" s="28" t="n">
        <v>5385997.037715526</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1109465.314950364</v>
      </c>
      <c r="O13" s="27" t="n">
        <v>1109194.239699144</v>
      </c>
      <c r="P13" s="28" t="n">
        <v>2218659.554649508</v>
      </c>
      <c r="Q13" s="27" t="n">
        <v>0</v>
      </c>
      <c r="R13" s="27" t="n">
        <v>0</v>
      </c>
      <c r="S13" s="28" t="n">
        <v>0</v>
      </c>
      <c r="T13" s="27" t="n">
        <v>0</v>
      </c>
      <c r="U13" s="27" t="n">
        <v>1817499.072261197</v>
      </c>
      <c r="V13" s="27" t="n">
        <v>0</v>
      </c>
      <c r="W13" s="27" t="n">
        <v>0</v>
      </c>
      <c r="X13" s="27" t="n">
        <v>0</v>
      </c>
      <c r="Y13" s="27" t="n">
        <v>0</v>
      </c>
      <c r="Z13" s="27" t="n">
        <v>20000</v>
      </c>
      <c r="AA13" s="28" t="n">
        <v>1837499.072261197</v>
      </c>
      <c r="AB13" s="28" t="n">
        <v>5405050.207723499</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1109146.538067098</v>
      </c>
      <c r="O14" s="27" t="n">
        <v>1108875.540702515</v>
      </c>
      <c r="P14" s="28" t="n">
        <v>2218022.078769613</v>
      </c>
      <c r="Q14" s="27" t="n">
        <v>0</v>
      </c>
      <c r="R14" s="27" t="n">
        <v>0</v>
      </c>
      <c r="S14" s="28" t="n">
        <v>0</v>
      </c>
      <c r="T14" s="27" t="n">
        <v>0</v>
      </c>
      <c r="U14" s="27" t="n">
        <v>1872024.044429033</v>
      </c>
      <c r="V14" s="27" t="n">
        <v>0</v>
      </c>
      <c r="W14" s="27" t="n">
        <v>0</v>
      </c>
      <c r="X14" s="27" t="n">
        <v>0</v>
      </c>
      <c r="Y14" s="27" t="n">
        <v>0</v>
      </c>
      <c r="Z14" s="27" t="n">
        <v>20000</v>
      </c>
      <c r="AA14" s="28" t="n">
        <v>1892024.044429033</v>
      </c>
      <c r="AB14" s="28" t="n">
        <v>5408770.49012996</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1104282.372510496</v>
      </c>
      <c r="O15" s="27" t="n">
        <v>1104012.56360569</v>
      </c>
      <c r="P15" s="28" t="n">
        <v>2208294.936116187</v>
      </c>
      <c r="Q15" s="27" t="n">
        <v>0</v>
      </c>
      <c r="R15" s="27" t="n">
        <v>0</v>
      </c>
      <c r="S15" s="28" t="n">
        <v>0</v>
      </c>
      <c r="T15" s="27" t="n">
        <v>0</v>
      </c>
      <c r="U15" s="27" t="n">
        <v>1928184.765761904</v>
      </c>
      <c r="V15" s="27" t="n">
        <v>0</v>
      </c>
      <c r="W15" s="27" t="n">
        <v>0</v>
      </c>
      <c r="X15" s="27" t="n">
        <v>0</v>
      </c>
      <c r="Y15" s="27" t="n">
        <v>0</v>
      </c>
      <c r="Z15" s="27" t="n">
        <v>20000</v>
      </c>
      <c r="AA15" s="28" t="n">
        <v>1948184.765761904</v>
      </c>
      <c r="AB15" s="28" t="n">
        <v>5403433.717417354</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1094495.039084102</v>
      </c>
      <c r="O16" s="27" t="n">
        <v>1094227.621514862</v>
      </c>
      <c r="P16" s="28" t="n">
        <v>2188722.660598963</v>
      </c>
      <c r="Q16" s="27" t="n">
        <v>0</v>
      </c>
      <c r="R16" s="27" t="n">
        <v>0</v>
      </c>
      <c r="S16" s="28" t="n">
        <v>0</v>
      </c>
      <c r="T16" s="27" t="n">
        <v>0</v>
      </c>
      <c r="U16" s="27" t="n">
        <v>1986030.308734762</v>
      </c>
      <c r="V16" s="27" t="n">
        <v>0</v>
      </c>
      <c r="W16" s="27" t="n">
        <v>0</v>
      </c>
      <c r="X16" s="27" t="n">
        <v>0</v>
      </c>
      <c r="Y16" s="27" t="n">
        <v>0</v>
      </c>
      <c r="Z16" s="27" t="n">
        <v>20000</v>
      </c>
      <c r="AA16" s="28" t="n">
        <v>2006030.308734762</v>
      </c>
      <c r="AB16" s="28" t="n">
        <v>5388141.349266239</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1079374.761605449</v>
      </c>
      <c r="O17" s="27" t="n">
        <v>1079111.03836803</v>
      </c>
      <c r="P17" s="28" t="n">
        <v>2158485.799973479</v>
      </c>
      <c r="Q17" s="27" t="n">
        <v>0</v>
      </c>
      <c r="R17" s="27" t="n">
        <v>0</v>
      </c>
      <c r="S17" s="28" t="n">
        <v>0</v>
      </c>
      <c r="T17" s="27" t="n">
        <v>0</v>
      </c>
      <c r="U17" s="27" t="n">
        <v>2045611.217996805</v>
      </c>
      <c r="V17" s="27" t="n">
        <v>0</v>
      </c>
      <c r="W17" s="27" t="n">
        <v>0</v>
      </c>
      <c r="X17" s="27" t="n">
        <v>0</v>
      </c>
      <c r="Y17" s="27" t="n">
        <v>0</v>
      </c>
      <c r="Z17" s="27" t="n">
        <v>20000</v>
      </c>
      <c r="AA17" s="28" t="n">
        <v>2065611.217996805</v>
      </c>
      <c r="AB17" s="28" t="n">
        <v>5361897.780351412</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1061364.185644206</v>
      </c>
      <c r="O18" s="27" t="n">
        <v>1061104.862924169</v>
      </c>
      <c r="P18" s="28" t="n">
        <v>2122469.048568375</v>
      </c>
      <c r="Q18" s="27" t="n">
        <v>0</v>
      </c>
      <c r="R18" s="27" t="n">
        <v>0</v>
      </c>
      <c r="S18" s="28" t="n">
        <v>0</v>
      </c>
      <c r="T18" s="27" t="n">
        <v>0</v>
      </c>
      <c r="U18" s="27" t="n">
        <v>2106979.554536709</v>
      </c>
      <c r="V18" s="27" t="n">
        <v>0</v>
      </c>
      <c r="W18" s="27" t="n">
        <v>0</v>
      </c>
      <c r="X18" s="27" t="n">
        <v>0</v>
      </c>
      <c r="Y18" s="27" t="n">
        <v>0</v>
      </c>
      <c r="Z18" s="27" t="n">
        <v>20000</v>
      </c>
      <c r="AA18" s="28" t="n">
        <v>2126979.554536709</v>
      </c>
      <c r="AB18" s="28" t="n">
        <v>5329406.887351632</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1040228.54990747</v>
      </c>
      <c r="O19" s="27" t="n">
        <v>1039974.391249518</v>
      </c>
      <c r="P19" s="28" t="n">
        <v>2080202.941156988</v>
      </c>
      <c r="Q19" s="27" t="n">
        <v>0</v>
      </c>
      <c r="R19" s="27" t="n">
        <v>0</v>
      </c>
      <c r="S19" s="28" t="n">
        <v>0</v>
      </c>
      <c r="T19" s="27" t="n">
        <v>0</v>
      </c>
      <c r="U19" s="27" t="n">
        <v>2170188.94117281</v>
      </c>
      <c r="V19" s="27" t="n">
        <v>0</v>
      </c>
      <c r="W19" s="27" t="n">
        <v>0</v>
      </c>
      <c r="X19" s="27" t="n">
        <v>0</v>
      </c>
      <c r="Y19" s="27" t="n">
        <v>0</v>
      </c>
      <c r="Z19" s="27" t="n">
        <v>20000</v>
      </c>
      <c r="AA19" s="28" t="n">
        <v>2190188.94117281</v>
      </c>
      <c r="AB19" s="28" t="n">
        <v>5290012.994149549</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1015710.975394317</v>
      </c>
      <c r="O20" s="27" t="n">
        <v>1015462.807106302</v>
      </c>
      <c r="P20" s="28" t="n">
        <v>2031173.782500619</v>
      </c>
      <c r="Q20" s="27" t="n">
        <v>0</v>
      </c>
      <c r="R20" s="27" t="n">
        <v>0</v>
      </c>
      <c r="S20" s="28" t="n">
        <v>0</v>
      </c>
      <c r="T20" s="27" t="n">
        <v>0</v>
      </c>
      <c r="U20" s="27" t="n">
        <v>2235294.609407994</v>
      </c>
      <c r="V20" s="27" t="n">
        <v>0</v>
      </c>
      <c r="W20" s="27" t="n">
        <v>0</v>
      </c>
      <c r="X20" s="27" t="n">
        <v>0</v>
      </c>
      <c r="Y20" s="27" t="n">
        <v>0</v>
      </c>
      <c r="Z20" s="27" t="n">
        <v>20000</v>
      </c>
      <c r="AA20" s="28" t="n">
        <v>2255294.609407994</v>
      </c>
      <c r="AB20" s="28" t="n">
        <v>5243010.048009348</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987530.9671056044</v>
      </c>
      <c r="O21" s="27" t="n">
        <v>987289.6840286221</v>
      </c>
      <c r="P21" s="28" t="n">
        <v>1974820.651134226</v>
      </c>
      <c r="Q21" s="27" t="n">
        <v>0</v>
      </c>
      <c r="R21" s="27" t="n">
        <v>0</v>
      </c>
      <c r="S21" s="28" t="n">
        <v>0</v>
      </c>
      <c r="T21" s="27" t="n">
        <v>0</v>
      </c>
      <c r="U21" s="27" t="n">
        <v>2302353.447690234</v>
      </c>
      <c r="V21" s="27" t="n">
        <v>0</v>
      </c>
      <c r="W21" s="27" t="n">
        <v>0</v>
      </c>
      <c r="X21" s="27" t="n">
        <v>0</v>
      </c>
      <c r="Y21" s="27" t="n">
        <v>0</v>
      </c>
      <c r="Z21" s="27" t="n">
        <v>20000</v>
      </c>
      <c r="AA21" s="28" t="n">
        <v>2322353.447690234</v>
      </c>
      <c r="AB21" s="28" t="n">
        <v>5187637.842794328</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955382.802270006</v>
      </c>
      <c r="O22" s="27" t="n">
        <v>955149.3739422816</v>
      </c>
      <c r="P22" s="28" t="n">
        <v>1910532.176212288</v>
      </c>
      <c r="Q22" s="27" t="n">
        <v>0</v>
      </c>
      <c r="R22" s="27" t="n">
        <v>0</v>
      </c>
      <c r="S22" s="28" t="n">
        <v>0</v>
      </c>
      <c r="T22" s="27" t="n">
        <v>0</v>
      </c>
      <c r="U22" s="27" t="n">
        <v>2371424.051120941</v>
      </c>
      <c r="V22" s="27" t="n">
        <v>0</v>
      </c>
      <c r="W22" s="27" t="n">
        <v>0</v>
      </c>
      <c r="X22" s="27" t="n">
        <v>0</v>
      </c>
      <c r="Y22" s="27" t="n">
        <v>0</v>
      </c>
      <c r="Z22" s="27" t="n">
        <v>20000</v>
      </c>
      <c r="AA22" s="28" t="n">
        <v>2391424.051120941</v>
      </c>
      <c r="AB22" s="28" t="n">
        <v>5123077.985428047</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940648.1182546265</v>
      </c>
      <c r="O23" s="27" t="n">
        <v>940418.2900468133</v>
      </c>
      <c r="P23" s="28" t="n">
        <v>1881066.40830144</v>
      </c>
      <c r="Q23" s="27" t="n">
        <v>0</v>
      </c>
      <c r="R23" s="27" t="n">
        <v>0</v>
      </c>
      <c r="S23" s="28" t="n">
        <v>0</v>
      </c>
      <c r="T23" s="27" t="n">
        <v>0</v>
      </c>
      <c r="U23" s="27" t="n">
        <v>2442566.772654569</v>
      </c>
      <c r="V23" s="27" t="n">
        <v>0</v>
      </c>
      <c r="W23" s="27" t="n">
        <v>0</v>
      </c>
      <c r="X23" s="27" t="n">
        <v>0</v>
      </c>
      <c r="Y23" s="27" t="n">
        <v>0</v>
      </c>
      <c r="Z23" s="27" t="n">
        <v>20000</v>
      </c>
      <c r="AA23" s="28" t="n">
        <v>2462566.772654569</v>
      </c>
      <c r="AB23" s="28" t="n">
        <v>5091872.923757648</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918952.5707019357</v>
      </c>
      <c r="O24" s="27" t="n">
        <v>918728.0433592545</v>
      </c>
      <c r="P24" s="28" t="n">
        <v>1837680.61406119</v>
      </c>
      <c r="Q24" s="27" t="n">
        <v>0</v>
      </c>
      <c r="R24" s="27" t="n">
        <v>0</v>
      </c>
      <c r="S24" s="28" t="n">
        <v>0</v>
      </c>
      <c r="T24" s="27" t="n">
        <v>0</v>
      </c>
      <c r="U24" s="27" t="n">
        <v>2515843.775834206</v>
      </c>
      <c r="V24" s="27" t="n">
        <v>0</v>
      </c>
      <c r="W24" s="27" t="n">
        <v>0</v>
      </c>
      <c r="X24" s="27" t="n">
        <v>0</v>
      </c>
      <c r="Y24" s="27" t="n">
        <v>0</v>
      </c>
      <c r="Z24" s="27" t="n">
        <v>20000</v>
      </c>
      <c r="AA24" s="28" t="n">
        <v>2535843.775834206</v>
      </c>
      <c r="AB24" s="28" t="n">
        <v>5045054.862909709</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883933.4282590826</v>
      </c>
      <c r="O25" s="27" t="n">
        <v>883717.4571305591</v>
      </c>
      <c r="P25" s="28" t="n">
        <v>1767650.885389642</v>
      </c>
      <c r="Q25" s="27" t="n">
        <v>0</v>
      </c>
      <c r="R25" s="27" t="n">
        <v>0</v>
      </c>
      <c r="S25" s="28" t="n">
        <v>0</v>
      </c>
      <c r="T25" s="27" t="n">
        <v>0</v>
      </c>
      <c r="U25" s="27" t="n">
        <v>2591319.089109233</v>
      </c>
      <c r="V25" s="27" t="n">
        <v>0</v>
      </c>
      <c r="W25" s="27" t="n">
        <v>0</v>
      </c>
      <c r="X25" s="27" t="n">
        <v>0</v>
      </c>
      <c r="Y25" s="27" t="n">
        <v>0</v>
      </c>
      <c r="Z25" s="27" t="n">
        <v>20000</v>
      </c>
      <c r="AA25" s="28" t="n">
        <v>2611319.089109233</v>
      </c>
      <c r="AB25" s="28" t="n">
        <v>4980263.047921559</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845189.5775656886</v>
      </c>
      <c r="O26" s="27" t="n">
        <v>844983.072707916</v>
      </c>
      <c r="P26" s="28" t="n">
        <v>1690172.650273605</v>
      </c>
      <c r="Q26" s="27" t="n">
        <v>0</v>
      </c>
      <c r="R26" s="27" t="n">
        <v>0</v>
      </c>
      <c r="S26" s="28" t="n">
        <v>0</v>
      </c>
      <c r="T26" s="27" t="n">
        <v>0</v>
      </c>
      <c r="U26" s="27" t="n">
        <v>2669058.66178251</v>
      </c>
      <c r="V26" s="27" t="n">
        <v>0</v>
      </c>
      <c r="W26" s="27" t="n">
        <v>0</v>
      </c>
      <c r="X26" s="27" t="n">
        <v>0</v>
      </c>
      <c r="Y26" s="27" t="n">
        <v>0</v>
      </c>
      <c r="Z26" s="27" t="n">
        <v>20000</v>
      </c>
      <c r="AA26" s="28" t="n">
        <v>2689058.66178251</v>
      </c>
      <c r="AB26" s="28" t="n">
        <v>4931271.64581791</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802363.2917941058</v>
      </c>
      <c r="O27" s="27" t="n">
        <v>802167.2506669409</v>
      </c>
      <c r="P27" s="28" t="n">
        <v>1604530.542461047</v>
      </c>
      <c r="Q27" s="27" t="n">
        <v>0</v>
      </c>
      <c r="R27" s="27" t="n">
        <v>0</v>
      </c>
      <c r="S27" s="28" t="n">
        <v>0</v>
      </c>
      <c r="T27" s="27" t="n">
        <v>0</v>
      </c>
      <c r="U27" s="27" t="n">
        <v>2749130.421635985</v>
      </c>
      <c r="V27" s="27" t="n">
        <v>0</v>
      </c>
      <c r="W27" s="27" t="n">
        <v>0</v>
      </c>
      <c r="X27" s="27" t="n">
        <v>0</v>
      </c>
      <c r="Y27" s="27" t="n">
        <v>0</v>
      </c>
      <c r="Z27" s="27" t="n">
        <v>20000</v>
      </c>
      <c r="AA27" s="28" t="n">
        <v>2769130.421635985</v>
      </c>
      <c r="AB27" s="28" t="n">
        <v>4872404.977946024</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755065.990544509</v>
      </c>
      <c r="O28" s="27" t="n">
        <v>754881.5055495148</v>
      </c>
      <c r="P28" s="28" t="n">
        <v>1509947.496094024</v>
      </c>
      <c r="Q28" s="27" t="n">
        <v>0</v>
      </c>
      <c r="R28" s="27" t="n">
        <v>0</v>
      </c>
      <c r="S28" s="28" t="n">
        <v>0</v>
      </c>
      <c r="T28" s="27" t="n">
        <v>0</v>
      </c>
      <c r="U28" s="27" t="n">
        <v>2831604.334285065</v>
      </c>
      <c r="V28" s="27" t="n">
        <v>0</v>
      </c>
      <c r="W28" s="27" t="n">
        <v>0</v>
      </c>
      <c r="X28" s="27" t="n">
        <v>0</v>
      </c>
      <c r="Y28" s="27" t="n">
        <v>0</v>
      </c>
      <c r="Z28" s="27" t="n">
        <v>20000</v>
      </c>
      <c r="AA28" s="28" t="n">
        <v>2851604.334285065</v>
      </c>
      <c r="AB28" s="28" t="n">
        <v>4802697.407198694</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702889.5871696456</v>
      </c>
      <c r="O29" s="27" t="n">
        <v>702717.8504160448</v>
      </c>
      <c r="P29" s="28" t="n">
        <v>1405607.437585691</v>
      </c>
      <c r="Q29" s="27" t="n">
        <v>0</v>
      </c>
      <c r="R29" s="27" t="n">
        <v>0</v>
      </c>
      <c r="S29" s="28" t="n">
        <v>0</v>
      </c>
      <c r="T29" s="27" t="n">
        <v>0</v>
      </c>
      <c r="U29" s="27" t="n">
        <v>2916552.464313617</v>
      </c>
      <c r="V29" s="27" t="n">
        <v>0</v>
      </c>
      <c r="W29" s="27" t="n">
        <v>0</v>
      </c>
      <c r="X29" s="27" t="n">
        <v>0</v>
      </c>
      <c r="Y29" s="27" t="n">
        <v>0</v>
      </c>
      <c r="Z29" s="27" t="n">
        <v>20000</v>
      </c>
      <c r="AA29" s="28" t="n">
        <v>2936552.464313617</v>
      </c>
      <c r="AB29" s="28" t="n">
        <v>4721133.890725751</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645430.0517064818</v>
      </c>
      <c r="O30" s="27" t="n">
        <v>645272.3540199891</v>
      </c>
      <c r="P30" s="28" t="n">
        <v>1290702.405726471</v>
      </c>
      <c r="Q30" s="27" t="n">
        <v>0</v>
      </c>
      <c r="R30" s="27" t="n">
        <v>0</v>
      </c>
      <c r="S30" s="28" t="n">
        <v>0</v>
      </c>
      <c r="T30" s="27" t="n">
        <v>0</v>
      </c>
      <c r="U30" s="27" t="n">
        <v>3004049.038243025</v>
      </c>
      <c r="V30" s="27" t="n">
        <v>0</v>
      </c>
      <c r="W30" s="27" t="n">
        <v>0</v>
      </c>
      <c r="X30" s="27" t="n">
        <v>0</v>
      </c>
      <c r="Y30" s="27" t="n">
        <v>0</v>
      </c>
      <c r="Z30" s="27" t="n">
        <v>20000</v>
      </c>
      <c r="AA30" s="28" t="n">
        <v>3024049.038243025</v>
      </c>
      <c r="AB30" s="28" t="n">
        <v>4626661.30614522</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1164367.640376489</v>
      </c>
      <c r="P31" s="28" t="n">
        <v>1164367.640376489</v>
      </c>
      <c r="Q31" s="27" t="n">
        <v>0</v>
      </c>
      <c r="R31" s="27" t="n">
        <v>0</v>
      </c>
      <c r="S31" s="28" t="n">
        <v>0</v>
      </c>
      <c r="T31" s="27" t="n">
        <v>0</v>
      </c>
      <c r="U31" s="27" t="n">
        <v>3094170.509390316</v>
      </c>
      <c r="V31" s="27" t="n">
        <v>0</v>
      </c>
      <c r="W31" s="27" t="n">
        <v>0</v>
      </c>
      <c r="X31" s="27" t="n">
        <v>0</v>
      </c>
      <c r="Y31" s="27" t="n">
        <v>0</v>
      </c>
      <c r="Z31" s="27" t="n">
        <v>20000</v>
      </c>
      <c r="AA31" s="28" t="n">
        <v>3114170.509390316</v>
      </c>
      <c r="AB31" s="28" t="n">
        <v>4519256.050424207</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1026602.270999923</v>
      </c>
      <c r="P32" s="28" t="n">
        <v>1026602.270999923</v>
      </c>
      <c r="Q32" s="27" t="n">
        <v>0</v>
      </c>
      <c r="R32" s="27" t="n">
        <v>0</v>
      </c>
      <c r="S32" s="28" t="n">
        <v>0</v>
      </c>
      <c r="T32" s="27" t="n">
        <v>0</v>
      </c>
      <c r="U32" s="27" t="n">
        <v>3186995.624672025</v>
      </c>
      <c r="V32" s="27" t="n">
        <v>0</v>
      </c>
      <c r="W32" s="27" t="n">
        <v>0</v>
      </c>
      <c r="X32" s="27" t="n">
        <v>0</v>
      </c>
      <c r="Y32" s="27" t="n">
        <v>0</v>
      </c>
      <c r="Z32" s="27" t="n">
        <v>20000</v>
      </c>
      <c r="AA32" s="28" t="n">
        <v>3206995.624672025</v>
      </c>
      <c r="AB32" s="28" t="n">
        <v>4397392.436808653</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876965.1902764594</v>
      </c>
      <c r="P33" s="28" t="n">
        <v>876965.1902764594</v>
      </c>
      <c r="Q33" s="27" t="n">
        <v>0</v>
      </c>
      <c r="R33" s="27" t="n">
        <v>0</v>
      </c>
      <c r="S33" s="28" t="n">
        <v>0</v>
      </c>
      <c r="T33" s="27" t="n">
        <v>0</v>
      </c>
      <c r="U33" s="27" t="n">
        <v>3282605.493412186</v>
      </c>
      <c r="V33" s="27" t="n">
        <v>0</v>
      </c>
      <c r="W33" s="27" t="n">
        <v>0</v>
      </c>
      <c r="X33" s="27" t="n">
        <v>0</v>
      </c>
      <c r="Y33" s="27" t="n">
        <v>0</v>
      </c>
      <c r="Z33" s="27" t="n">
        <v>20000</v>
      </c>
      <c r="AA33" s="28" t="n">
        <v>3302605.493412186</v>
      </c>
      <c r="AB33" s="28" t="n">
        <v>4267239.328080034</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1911356.53597326</v>
      </c>
      <c r="C38" s="27" t="n">
        <v>0</v>
      </c>
      <c r="D38" s="27" t="n">
        <v>-1911356.53597326</v>
      </c>
      <c r="E38" s="29" t="n">
        <v>-1</v>
      </c>
    </row>
    <row r="39" ht="15" customHeight="1">
      <c r="A39" s="12" t="inlineStr">
        <is>
          <t>Roth</t>
        </is>
      </c>
      <c r="B39" s="27" t="n">
        <v>361825.0210625801</v>
      </c>
      <c r="C39" s="27" t="n">
        <v>876965.1902764594</v>
      </c>
      <c r="D39" s="27" t="n">
        <v>515140.1692138794</v>
      </c>
      <c r="E39" s="29" t="n">
        <v>1.423727324608605</v>
      </c>
    </row>
    <row r="40" ht="15" customHeight="1">
      <c r="A40" s="12" t="inlineStr">
        <is>
          <t>Trusts</t>
        </is>
      </c>
      <c r="B40" s="27" t="n">
        <v>603029.0000596687</v>
      </c>
      <c r="C40" s="27" t="n">
        <v>0</v>
      </c>
      <c r="D40" s="27" t="n">
        <v>-603029.0000596687</v>
      </c>
      <c r="E40" s="29" t="n">
        <v>-1</v>
      </c>
    </row>
    <row r="41" ht="15" customHeight="1">
      <c r="A41" s="12" t="inlineStr">
        <is>
          <t>HSA</t>
        </is>
      </c>
      <c r="B41" s="27" t="n">
        <v>82867.40086620001</v>
      </c>
      <c r="C41" s="27" t="n">
        <v>0</v>
      </c>
      <c r="D41" s="27" t="n">
        <v>-82867.40086620001</v>
      </c>
      <c r="E41" s="29" t="n">
        <v>-1</v>
      </c>
    </row>
    <row r="42" ht="30" customHeight="1">
      <c r="A42" s="12" t="inlineStr">
        <is>
          <t>Other Assets</t>
        </is>
      </c>
      <c r="B42" s="27" t="n">
        <v>1494077.34</v>
      </c>
      <c r="C42" s="27" t="n">
        <v>3282605.493412186</v>
      </c>
      <c r="D42" s="27" t="n">
        <v>1788528.153412186</v>
      </c>
      <c r="E42" s="29" t="n">
        <v>1.197078695679962</v>
      </c>
    </row>
    <row r="43" ht="45" customHeight="1">
      <c r="A43" s="11" t="inlineStr">
        <is>
          <t>TOTAL</t>
        </is>
      </c>
      <c r="B43" s="30" t="n">
        <v>5813821.11399342</v>
      </c>
      <c r="C43" s="30" t="n">
        <v>4267239.328080034</v>
      </c>
      <c r="D43" s="30" t="n">
        <v>-1546581.785913386</v>
      </c>
      <c r="E43" s="31" t="n">
        <v>-0.2660181239823294</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3" t="inlineStr">
        <is>
          <t>Other Cash Need</t>
        </is>
      </c>
      <c r="AQ2" s="24" t="inlineStr">
        <is>
          <t>Total Cash Need</t>
        </is>
      </c>
      <c r="AR2" s="23" t="inlineStr">
        <is>
          <t>Income Funding</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322202.71581734</v>
      </c>
      <c r="Q3" s="27" t="n">
        <v>244498.3673634684</v>
      </c>
      <c r="R3" s="27" t="n">
        <v>44087.48816723241</v>
      </c>
      <c r="S3" s="27" t="n">
        <v>15725.69043295833</v>
      </c>
      <c r="T3" s="27" t="n">
        <v>0</v>
      </c>
      <c r="U3" s="27" t="n">
        <v>2725.2</v>
      </c>
      <c r="V3" s="27" t="n">
        <v>154158</v>
      </c>
      <c r="W3" s="27" t="n">
        <v>101612</v>
      </c>
      <c r="X3" s="27" t="n">
        <v>36000</v>
      </c>
      <c r="Y3" s="27" t="n">
        <v>18000</v>
      </c>
      <c r="Z3" s="27" t="n">
        <v>11576</v>
      </c>
      <c r="AA3" s="27" t="n">
        <v>25000</v>
      </c>
      <c r="AB3" s="27" t="n">
        <v>2100</v>
      </c>
      <c r="AC3" s="27" t="n">
        <v>8936</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302530.12</v>
      </c>
      <c r="AO3" s="27" t="n">
        <v>71718.37860019074</v>
      </c>
      <c r="AP3" s="27" t="n">
        <v>0</v>
      </c>
      <c r="AQ3" s="28" t="n">
        <v>356248.4986001907</v>
      </c>
      <c r="AR3" s="27" t="n">
        <v>405244.45581734</v>
      </c>
      <c r="AS3" s="27" t="n">
        <v>0</v>
      </c>
      <c r="AT3" s="28" t="n">
        <v>0</v>
      </c>
      <c r="AU3" s="28" t="n">
        <v>-48995.95721714926</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48995.95721714926</v>
      </c>
      <c r="BO3" s="27" t="n">
        <v>5813821.11399342</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224997.8222866051</v>
      </c>
      <c r="P4" s="28" t="n">
        <v>273360</v>
      </c>
      <c r="Q4" s="27" t="n">
        <v>234220.32</v>
      </c>
      <c r="R4" s="27" t="n">
        <v>41328.9144</v>
      </c>
      <c r="S4" s="27" t="n">
        <v>2170.583796813046</v>
      </c>
      <c r="T4" s="27" t="n">
        <v>887.6799999999999</v>
      </c>
      <c r="U4" s="27" t="n">
        <v>2167.2</v>
      </c>
      <c r="V4" s="27" t="n">
        <v>158011.95</v>
      </c>
      <c r="W4" s="27" t="n">
        <v>103252.3</v>
      </c>
      <c r="X4" s="27" t="n">
        <v>36000</v>
      </c>
      <c r="Y4" s="27" t="n">
        <v>18450</v>
      </c>
      <c r="Z4" s="27" t="n">
        <v>11865.4</v>
      </c>
      <c r="AA4" s="27" t="n">
        <v>25625</v>
      </c>
      <c r="AB4" s="27" t="n">
        <v>2152.5</v>
      </c>
      <c r="AC4" s="27" t="n">
        <v>9159.4</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422075.001</v>
      </c>
      <c r="AO4" s="27" t="n">
        <v>50033.63513359291</v>
      </c>
      <c r="AP4" s="27" t="n">
        <v>0</v>
      </c>
      <c r="AQ4" s="28" t="n">
        <v>449291.699196813</v>
      </c>
      <c r="AR4" s="27" t="n">
        <v>107643.7977133949</v>
      </c>
      <c r="AS4" s="27" t="n">
        <v>0</v>
      </c>
      <c r="AT4" s="28" t="n">
        <v>346014.8409415226</v>
      </c>
      <c r="AU4" s="28" t="n">
        <v>-4366.939458104491</v>
      </c>
      <c r="AV4" s="27" t="n">
        <v>150807.9492800262</v>
      </c>
      <c r="AW4" s="27" t="n">
        <v>195206.8811559771</v>
      </c>
      <c r="AX4" s="28" t="n">
        <v>346014.8304360033</v>
      </c>
      <c r="AY4" s="27" t="n">
        <v>0</v>
      </c>
      <c r="AZ4" s="27" t="n">
        <v>0</v>
      </c>
      <c r="BA4" s="27" t="n">
        <v>0</v>
      </c>
      <c r="BB4" s="28" t="n">
        <v>0</v>
      </c>
      <c r="BC4" s="27" t="n">
        <v>0</v>
      </c>
      <c r="BD4" s="27" t="n">
        <v>0.008903516841822961</v>
      </c>
      <c r="BE4" s="27" t="n">
        <v>0</v>
      </c>
      <c r="BF4" s="28" t="n">
        <v>0.008903516841822961</v>
      </c>
      <c r="BG4" s="27" t="n">
        <v>0</v>
      </c>
      <c r="BH4" s="27" t="n">
        <v>0.001602002422403813</v>
      </c>
      <c r="BI4" s="27" t="n">
        <v>224997.8222866051</v>
      </c>
      <c r="BJ4" s="28" t="n">
        <v>224997.8238886076</v>
      </c>
      <c r="BK4" s="27" t="n">
        <v>0</v>
      </c>
      <c r="BL4" s="28" t="n">
        <v>0</v>
      </c>
      <c r="BM4" s="28" t="n">
        <v>346014.8409415226</v>
      </c>
      <c r="BN4" s="27" t="n">
        <v>0</v>
      </c>
      <c r="BO4" s="27" t="n">
        <v>5707920.306290464</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214071.4890613275</v>
      </c>
      <c r="P5" s="28" t="n">
        <v>278827.2000000001</v>
      </c>
      <c r="Q5" s="27" t="n">
        <v>239324.7264000001</v>
      </c>
      <c r="R5" s="27" t="n">
        <v>42256.29268800002</v>
      </c>
      <c r="S5" s="27" t="n">
        <v>1615.297053189755</v>
      </c>
      <c r="T5" s="27" t="n">
        <v>1095.433600000003</v>
      </c>
      <c r="U5" s="27" t="n">
        <v>5450.4</v>
      </c>
      <c r="V5" s="27" t="n">
        <v>161962.24875</v>
      </c>
      <c r="W5" s="27" t="n">
        <v>104933.6075</v>
      </c>
      <c r="X5" s="27" t="n">
        <v>36000</v>
      </c>
      <c r="Y5" s="27" t="n">
        <v>18911.25</v>
      </c>
      <c r="Z5" s="27" t="n">
        <v>12162.035</v>
      </c>
      <c r="AA5" s="27" t="n">
        <v>26265.625</v>
      </c>
      <c r="AB5" s="27" t="n">
        <v>2206.3125</v>
      </c>
      <c r="AC5" s="27" t="n">
        <v>9388.384999999998</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380102.1200775</v>
      </c>
      <c r="AO5" s="27" t="n">
        <v>52931.28664017492</v>
      </c>
      <c r="AP5" s="27" t="n">
        <v>0</v>
      </c>
      <c r="AQ5" s="28" t="n">
        <v>410512.8598186898</v>
      </c>
      <c r="AR5" s="27" t="n">
        <v>124037.3309386725</v>
      </c>
      <c r="AS5" s="27" t="n">
        <v>0</v>
      </c>
      <c r="AT5" s="28" t="n">
        <v>297231.3048703071</v>
      </c>
      <c r="AU5" s="28" t="n">
        <v>-10755.77599028987</v>
      </c>
      <c r="AV5" s="27" t="n">
        <v>116347.5971833243</v>
      </c>
      <c r="AW5" s="27" t="n">
        <v>151106.711473213</v>
      </c>
      <c r="AX5" s="28" t="n">
        <v>267454.3086565373</v>
      </c>
      <c r="AY5" s="27" t="n">
        <v>0</v>
      </c>
      <c r="AZ5" s="27" t="n">
        <v>0</v>
      </c>
      <c r="BA5" s="27" t="n">
        <v>0</v>
      </c>
      <c r="BB5" s="28" t="n">
        <v>0</v>
      </c>
      <c r="BC5" s="27" t="n">
        <v>0</v>
      </c>
      <c r="BD5" s="27" t="n">
        <v>28669.66723380898</v>
      </c>
      <c r="BE5" s="27" t="n">
        <v>0</v>
      </c>
      <c r="BF5" s="28" t="n">
        <v>28669.66723380898</v>
      </c>
      <c r="BG5" s="27" t="n">
        <v>0</v>
      </c>
      <c r="BH5" s="27" t="n">
        <v>1107.328979960899</v>
      </c>
      <c r="BI5" s="27" t="n">
        <v>214071.4890613275</v>
      </c>
      <c r="BJ5" s="28" t="n">
        <v>215178.8180412884</v>
      </c>
      <c r="BK5" s="27" t="n">
        <v>0</v>
      </c>
      <c r="BL5" s="28" t="n">
        <v>0</v>
      </c>
      <c r="BM5" s="28" t="n">
        <v>297231.3048703071</v>
      </c>
      <c r="BN5" s="27" t="n">
        <v>0</v>
      </c>
      <c r="BO5" s="27" t="n">
        <v>5653486.893404526</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145660.6749970365</v>
      </c>
      <c r="P6" s="28" t="n">
        <v>281484.7492599302</v>
      </c>
      <c r="Q6" s="27" t="n">
        <v>242575.1379041694</v>
      </c>
      <c r="R6" s="27" t="n">
        <v>42732.75861604066</v>
      </c>
      <c r="S6" s="27" t="n">
        <v>1610.646421316397</v>
      </c>
      <c r="T6" s="27" t="n">
        <v>0</v>
      </c>
      <c r="U6" s="27" t="n">
        <v>2167.2</v>
      </c>
      <c r="V6" s="27" t="n">
        <v>166011.30496875</v>
      </c>
      <c r="W6" s="27" t="n">
        <v>106656.9476875</v>
      </c>
      <c r="X6" s="27" t="n">
        <v>36000</v>
      </c>
      <c r="Y6" s="27" t="n">
        <v>19384.03124999999</v>
      </c>
      <c r="Z6" s="27" t="n">
        <v>12466.085875</v>
      </c>
      <c r="AA6" s="27" t="n">
        <v>26922.26562499999</v>
      </c>
      <c r="AB6" s="27" t="n">
        <v>2261.470312499999</v>
      </c>
      <c r="AC6" s="27" t="n">
        <v>9623.094624999996</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338380.3096607936</v>
      </c>
      <c r="AO6" s="27" t="n">
        <v>46510.60503735706</v>
      </c>
      <c r="AP6" s="27" t="n">
        <v>0</v>
      </c>
      <c r="AQ6" s="28" t="n">
        <v>365506.8834481508</v>
      </c>
      <c r="AR6" s="27" t="n">
        <v>198024.6890029636</v>
      </c>
      <c r="AS6" s="27" t="n">
        <v>0</v>
      </c>
      <c r="AT6" s="28" t="n">
        <v>220371.3084805095</v>
      </c>
      <c r="AU6" s="28" t="n">
        <v>-52889.11403532227</v>
      </c>
      <c r="AV6" s="27" t="n">
        <v>0</v>
      </c>
      <c r="AW6" s="27" t="n">
        <v>0</v>
      </c>
      <c r="AX6" s="28" t="n">
        <v>0</v>
      </c>
      <c r="AY6" s="27" t="n">
        <v>0</v>
      </c>
      <c r="AZ6" s="27" t="n">
        <v>0</v>
      </c>
      <c r="BA6" s="27" t="n">
        <v>0</v>
      </c>
      <c r="BB6" s="28" t="n">
        <v>0</v>
      </c>
      <c r="BC6" s="27" t="n">
        <v>0</v>
      </c>
      <c r="BD6" s="27" t="n">
        <v>220371.3084805095</v>
      </c>
      <c r="BE6" s="27" t="n">
        <v>84810.44474131287</v>
      </c>
      <c r="BF6" s="28" t="n">
        <v>305181.7532218224</v>
      </c>
      <c r="BG6" s="27" t="n">
        <v>0</v>
      </c>
      <c r="BH6" s="27" t="n">
        <v>0</v>
      </c>
      <c r="BI6" s="27" t="n">
        <v>60850.2302557236</v>
      </c>
      <c r="BJ6" s="28" t="n">
        <v>60850.2302557236</v>
      </c>
      <c r="BK6" s="27" t="n">
        <v>0</v>
      </c>
      <c r="BL6" s="28" t="n">
        <v>0</v>
      </c>
      <c r="BM6" s="28" t="n">
        <v>220371.3084805095</v>
      </c>
      <c r="BN6" s="27" t="n">
        <v>0</v>
      </c>
      <c r="BO6" s="27" t="n">
        <v>5649060.53692585</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156705.6369264646</v>
      </c>
      <c r="P7" s="28" t="n">
        <v>287184.5138177453</v>
      </c>
      <c r="Q7" s="27" t="n">
        <v>250529.0311515053</v>
      </c>
      <c r="R7" s="27" t="n">
        <v>44331.98750578208</v>
      </c>
      <c r="S7" s="27" t="n">
        <v>1375.342072310616</v>
      </c>
      <c r="T7" s="27" t="n">
        <v>0</v>
      </c>
      <c r="U7" s="27" t="n">
        <v>2167.2</v>
      </c>
      <c r="V7" s="27" t="n">
        <v>170161.5875929687</v>
      </c>
      <c r="W7" s="27" t="n">
        <v>108423.3713796875</v>
      </c>
      <c r="X7" s="27" t="n">
        <v>36000</v>
      </c>
      <c r="Y7" s="27" t="n">
        <v>19868.63203124999</v>
      </c>
      <c r="Z7" s="27" t="n">
        <v>12777.73802187499</v>
      </c>
      <c r="AA7" s="27" t="n">
        <v>27595.32226562499</v>
      </c>
      <c r="AB7" s="27" t="n">
        <v>2318.007070312499</v>
      </c>
      <c r="AC7" s="27" t="n">
        <v>9863.671990624996</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346918.6462779377</v>
      </c>
      <c r="AO7" s="27" t="n">
        <v>47874.52957809269</v>
      </c>
      <c r="AP7" s="27" t="n">
        <v>0</v>
      </c>
      <c r="AQ7" s="28" t="n">
        <v>374924.5438247804</v>
      </c>
      <c r="AR7" s="27" t="n">
        <v>192667.8019535354</v>
      </c>
      <c r="AS7" s="27" t="n">
        <v>0</v>
      </c>
      <c r="AT7" s="28" t="n">
        <v>239811.5024621645</v>
      </c>
      <c r="AU7" s="28" t="n">
        <v>-57554.7605909195</v>
      </c>
      <c r="AV7" s="27" t="n">
        <v>0</v>
      </c>
      <c r="AW7" s="27" t="n">
        <v>0</v>
      </c>
      <c r="AX7" s="28" t="n">
        <v>0</v>
      </c>
      <c r="AY7" s="27" t="n">
        <v>0</v>
      </c>
      <c r="AZ7" s="27" t="n">
        <v>0</v>
      </c>
      <c r="BA7" s="27" t="n">
        <v>0</v>
      </c>
      <c r="BB7" s="28" t="n">
        <v>0</v>
      </c>
      <c r="BC7" s="27" t="n">
        <v>0</v>
      </c>
      <c r="BD7" s="27" t="n">
        <v>239811.5024621645</v>
      </c>
      <c r="BE7" s="27" t="n">
        <v>156705.6369264646</v>
      </c>
      <c r="BF7" s="28" t="n">
        <v>396517.1393886291</v>
      </c>
      <c r="BG7" s="27" t="n">
        <v>0</v>
      </c>
      <c r="BH7" s="27" t="n">
        <v>0</v>
      </c>
      <c r="BI7" s="27" t="n">
        <v>0</v>
      </c>
      <c r="BJ7" s="28" t="n">
        <v>0</v>
      </c>
      <c r="BK7" s="27" t="n">
        <v>0</v>
      </c>
      <c r="BL7" s="28" t="n">
        <v>0</v>
      </c>
      <c r="BM7" s="28" t="n">
        <v>239811.5024621645</v>
      </c>
      <c r="BN7" s="27" t="n">
        <v>0</v>
      </c>
      <c r="BO7" s="27" t="n">
        <v>5535851.734191818</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174415.6272827929</v>
      </c>
      <c r="W8" s="27" t="n">
        <v>81948.75034191404</v>
      </c>
      <c r="X8" s="27" t="n">
        <v>36000</v>
      </c>
      <c r="Y8" s="27" t="n">
        <v>20365.34783203124</v>
      </c>
      <c r="Z8" s="27" t="n">
        <v>13097.18147242187</v>
      </c>
      <c r="AA8" s="27" t="n">
        <v>0</v>
      </c>
      <c r="AB8" s="27" t="n">
        <v>2375.957247070311</v>
      </c>
      <c r="AC8" s="27" t="n">
        <v>10110.26379039062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327441.382387226</v>
      </c>
      <c r="AO8" s="27" t="n">
        <v>48542.537579936</v>
      </c>
      <c r="AP8" s="27" t="n">
        <v>0</v>
      </c>
      <c r="AQ8" s="28" t="n">
        <v>355618.5721351309</v>
      </c>
      <c r="AR8" s="27" t="n">
        <v>237421.2676207162</v>
      </c>
      <c r="AS8" s="27" t="n">
        <v>0</v>
      </c>
      <c r="AT8" s="28" t="n">
        <v>152219.0369612194</v>
      </c>
      <c r="AU8" s="28" t="n">
        <v>-34021.73244680479</v>
      </c>
      <c r="AV8" s="27" t="n">
        <v>0</v>
      </c>
      <c r="AW8" s="27" t="n">
        <v>0</v>
      </c>
      <c r="AX8" s="28" t="n">
        <v>0</v>
      </c>
      <c r="AY8" s="27" t="n">
        <v>10461.81843286616</v>
      </c>
      <c r="AZ8" s="27" t="n">
        <v>0</v>
      </c>
      <c r="BA8" s="27" t="n">
        <v>0</v>
      </c>
      <c r="BB8" s="28" t="n">
        <v>0</v>
      </c>
      <c r="BC8" s="27" t="n">
        <v>0</v>
      </c>
      <c r="BD8" s="27" t="n">
        <v>141757.2185283533</v>
      </c>
      <c r="BE8" s="27" t="n">
        <v>125267.2076368838</v>
      </c>
      <c r="BF8" s="28" t="n">
        <v>267024.4261652371</v>
      </c>
      <c r="BG8" s="27" t="n">
        <v>0</v>
      </c>
      <c r="BH8" s="27" t="n">
        <v>0</v>
      </c>
      <c r="BI8" s="27" t="n">
        <v>0</v>
      </c>
      <c r="BJ8" s="28" t="n">
        <v>0</v>
      </c>
      <c r="BK8" s="27" t="n">
        <v>0</v>
      </c>
      <c r="BL8" s="28" t="n">
        <v>0</v>
      </c>
      <c r="BM8" s="28" t="n">
        <v>152219.0369612194</v>
      </c>
      <c r="BN8" s="27" t="n">
        <v>0</v>
      </c>
      <c r="BO8" s="27" t="n">
        <v>5510323.540737786</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178776.0179648627</v>
      </c>
      <c r="W9" s="27" t="n">
        <v>83097.46910046189</v>
      </c>
      <c r="X9" s="27" t="n">
        <v>36000</v>
      </c>
      <c r="Y9" s="27" t="n">
        <v>20874.48152783202</v>
      </c>
      <c r="Z9" s="27" t="n">
        <v>13424.61100923241</v>
      </c>
      <c r="AA9" s="27" t="n">
        <v>0</v>
      </c>
      <c r="AB9" s="27" t="n">
        <v>2435.356178247069</v>
      </c>
      <c r="AC9" s="27" t="n">
        <v>10363.02038515038</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435821.6555575728</v>
      </c>
      <c r="AO9" s="27" t="n">
        <v>49023.42673617806</v>
      </c>
      <c r="AP9" s="27" t="n">
        <v>0</v>
      </c>
      <c r="AQ9" s="28" t="n">
        <v>463970.6007659188</v>
      </c>
      <c r="AR9" s="27" t="n">
        <v>265294.4802262721</v>
      </c>
      <c r="AS9" s="27" t="n">
        <v>0</v>
      </c>
      <c r="AT9" s="28" t="n">
        <v>257913.9920135863</v>
      </c>
      <c r="AU9" s="28" t="n">
        <v>-59237.87147393957</v>
      </c>
      <c r="AV9" s="27" t="n">
        <v>0</v>
      </c>
      <c r="AW9" s="27" t="n">
        <v>0</v>
      </c>
      <c r="AX9" s="28" t="n">
        <v>0</v>
      </c>
      <c r="AY9" s="27" t="n">
        <v>11089.52753883813</v>
      </c>
      <c r="AZ9" s="27" t="n">
        <v>0</v>
      </c>
      <c r="BA9" s="27" t="n">
        <v>0</v>
      </c>
      <c r="BB9" s="28" t="n">
        <v>0</v>
      </c>
      <c r="BC9" s="27" t="n">
        <v>0</v>
      </c>
      <c r="BD9" s="27" t="n">
        <v>246824.4644747482</v>
      </c>
      <c r="BE9" s="27" t="n">
        <v>108908.4900564799</v>
      </c>
      <c r="BF9" s="28" t="n">
        <v>355732.9545312282</v>
      </c>
      <c r="BG9" s="27" t="n">
        <v>0</v>
      </c>
      <c r="BH9" s="27" t="n">
        <v>0</v>
      </c>
      <c r="BI9" s="27" t="n">
        <v>0</v>
      </c>
      <c r="BJ9" s="28" t="n">
        <v>0</v>
      </c>
      <c r="BK9" s="27" t="n">
        <v>0</v>
      </c>
      <c r="BL9" s="28" t="n">
        <v>0</v>
      </c>
      <c r="BM9" s="28" t="n">
        <v>257913.9920135863</v>
      </c>
      <c r="BN9" s="27" t="n">
        <v>0</v>
      </c>
      <c r="BO9" s="27" t="n">
        <v>5372761.936969616</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183245.4184139843</v>
      </c>
      <c r="W10" s="27" t="n">
        <v>84274.90582797343</v>
      </c>
      <c r="X10" s="27" t="n">
        <v>36000</v>
      </c>
      <c r="Y10" s="27" t="n">
        <v>21396.34356602782</v>
      </c>
      <c r="Z10" s="27" t="n">
        <v>13760.22628446323</v>
      </c>
      <c r="AA10" s="27" t="n">
        <v>0</v>
      </c>
      <c r="AB10" s="27" t="n">
        <v>2496.240082703246</v>
      </c>
      <c r="AC10" s="27" t="n">
        <v>10622.09589477914</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344473.9876229217</v>
      </c>
      <c r="AO10" s="27" t="n">
        <v>49851.05900828451</v>
      </c>
      <c r="AP10" s="27" t="n">
        <v>0</v>
      </c>
      <c r="AQ10" s="28" t="n">
        <v>372928.7030651785</v>
      </c>
      <c r="AR10" s="27" t="n">
        <v>264323.8309282422</v>
      </c>
      <c r="AS10" s="27" t="n">
        <v>0</v>
      </c>
      <c r="AT10" s="28" t="n">
        <v>139189.0741198104</v>
      </c>
      <c r="AU10" s="28" t="n">
        <v>-30584.20198287407</v>
      </c>
      <c r="AV10" s="27" t="n">
        <v>0</v>
      </c>
      <c r="AW10" s="27" t="n">
        <v>0</v>
      </c>
      <c r="AX10" s="28" t="n">
        <v>0</v>
      </c>
      <c r="AY10" s="27" t="n">
        <v>11754.89919116841</v>
      </c>
      <c r="AZ10" s="27" t="n">
        <v>0</v>
      </c>
      <c r="BA10" s="27" t="n">
        <v>0</v>
      </c>
      <c r="BB10" s="28" t="n">
        <v>0</v>
      </c>
      <c r="BC10" s="27" t="n">
        <v>0</v>
      </c>
      <c r="BD10" s="27" t="n">
        <v>127434.1749286419</v>
      </c>
      <c r="BE10" s="27" t="n">
        <v>116223.4463601649</v>
      </c>
      <c r="BF10" s="28" t="n">
        <v>243657.6212888068</v>
      </c>
      <c r="BG10" s="27" t="n">
        <v>0</v>
      </c>
      <c r="BH10" s="27" t="n">
        <v>0</v>
      </c>
      <c r="BI10" s="27" t="n">
        <v>0</v>
      </c>
      <c r="BJ10" s="28" t="n">
        <v>0</v>
      </c>
      <c r="BK10" s="27" t="n">
        <v>0</v>
      </c>
      <c r="BL10" s="28" t="n">
        <v>0</v>
      </c>
      <c r="BM10" s="28" t="n">
        <v>139189.0741198104</v>
      </c>
      <c r="BN10" s="27" t="n">
        <v>0</v>
      </c>
      <c r="BO10" s="27" t="n">
        <v>5354220.511739648</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187826.5538743338</v>
      </c>
      <c r="W11" s="27" t="n">
        <v>85481.77847367276</v>
      </c>
      <c r="X11" s="27" t="n">
        <v>36000</v>
      </c>
      <c r="Y11" s="27" t="n">
        <v>21931.25215517851</v>
      </c>
      <c r="Z11" s="27" t="n">
        <v>14104.2319415748</v>
      </c>
      <c r="AA11" s="27" t="n">
        <v>0</v>
      </c>
      <c r="AB11" s="27" t="n">
        <v>2558.646084770826</v>
      </c>
      <c r="AC11" s="27" t="n">
        <v>10887.64829214862</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353408.6500310405</v>
      </c>
      <c r="AO11" s="27" t="n">
        <v>50697.30652970363</v>
      </c>
      <c r="AP11" s="27" t="n">
        <v>0</v>
      </c>
      <c r="AQ11" s="28" t="n">
        <v>382174.7044055656</v>
      </c>
      <c r="AR11" s="27" t="n">
        <v>204049.9918138473</v>
      </c>
      <c r="AS11" s="27" t="n">
        <v>0</v>
      </c>
      <c r="AT11" s="28" t="n">
        <v>202058.9406577784</v>
      </c>
      <c r="AU11" s="28" t="n">
        <v>-23934.22806606014</v>
      </c>
      <c r="AV11" s="27" t="n">
        <v>0</v>
      </c>
      <c r="AW11" s="27" t="n">
        <v>0</v>
      </c>
      <c r="AX11" s="28" t="n">
        <v>0</v>
      </c>
      <c r="AY11" s="27" t="n">
        <v>87221.35199846963</v>
      </c>
      <c r="AZ11" s="27" t="n">
        <v>7556.742360066041</v>
      </c>
      <c r="BA11" s="27" t="n">
        <v>7554.896023992202</v>
      </c>
      <c r="BB11" s="28" t="n">
        <v>15111.63838405824</v>
      </c>
      <c r="BC11" s="27" t="n">
        <v>0</v>
      </c>
      <c r="BD11" s="27" t="n">
        <v>99725.95027525057</v>
      </c>
      <c r="BE11" s="27" t="n">
        <v>123594.1810203279</v>
      </c>
      <c r="BF11" s="28" t="n">
        <v>223320.1312955785</v>
      </c>
      <c r="BG11" s="27" t="n">
        <v>0</v>
      </c>
      <c r="BH11" s="27" t="n">
        <v>0</v>
      </c>
      <c r="BI11" s="27" t="n">
        <v>0</v>
      </c>
      <c r="BJ11" s="28" t="n">
        <v>0</v>
      </c>
      <c r="BK11" s="27" t="n">
        <v>0</v>
      </c>
      <c r="BL11" s="28" t="n">
        <v>0</v>
      </c>
      <c r="BM11" s="28" t="n">
        <v>202058.9406577784</v>
      </c>
      <c r="BN11" s="27" t="n">
        <v>0</v>
      </c>
      <c r="BO11" s="27" t="n">
        <v>5328522.107275515</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0</v>
      </c>
      <c r="P12" s="28" t="n">
        <v>191780.9034798605</v>
      </c>
      <c r="Q12" s="27" t="n">
        <v>151310.2887360346</v>
      </c>
      <c r="R12" s="27" t="n">
        <v>20888.65228174093</v>
      </c>
      <c r="S12" s="27" t="n">
        <v>475.0310965926355</v>
      </c>
      <c r="T12" s="27" t="n">
        <v>0</v>
      </c>
      <c r="U12" s="27" t="n">
        <v>2167.2</v>
      </c>
      <c r="V12" s="27" t="n">
        <v>192522.2177211922</v>
      </c>
      <c r="W12" s="27" t="n">
        <v>50718.82293551458</v>
      </c>
      <c r="X12" s="27" t="n">
        <v>0</v>
      </c>
      <c r="Y12" s="27" t="n">
        <v>22479.53345905797</v>
      </c>
      <c r="Z12" s="27" t="n">
        <v>14456.83774011417</v>
      </c>
      <c r="AA12" s="27" t="n">
        <v>0</v>
      </c>
      <c r="AB12" s="27" t="n">
        <v>2622.612236890097</v>
      </c>
      <c r="AC12" s="27" t="n">
        <v>11159.83949945234</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326636.3622346853</v>
      </c>
      <c r="AO12" s="27" t="n">
        <v>23530.88337833357</v>
      </c>
      <c r="AP12" s="27" t="n">
        <v>0</v>
      </c>
      <c r="AQ12" s="28" t="n">
        <v>327687.712153961</v>
      </c>
      <c r="AR12" s="27" t="n">
        <v>208551.2972013312</v>
      </c>
      <c r="AS12" s="27" t="n">
        <v>0</v>
      </c>
      <c r="AT12" s="28" t="n">
        <v>119136.4149526297</v>
      </c>
      <c r="AU12" s="28" t="n">
        <v>0</v>
      </c>
      <c r="AV12" s="27" t="n">
        <v>0</v>
      </c>
      <c r="AW12" s="27" t="n">
        <v>0</v>
      </c>
      <c r="AX12" s="28" t="n">
        <v>0</v>
      </c>
      <c r="AY12" s="27" t="n">
        <v>0</v>
      </c>
      <c r="AZ12" s="27" t="n">
        <v>59575.48550451552</v>
      </c>
      <c r="BA12" s="27" t="n">
        <v>59560.92944811419</v>
      </c>
      <c r="BB12" s="28" t="n">
        <v>119136.4149526297</v>
      </c>
      <c r="BC12" s="27" t="n">
        <v>0</v>
      </c>
      <c r="BD12" s="27" t="n">
        <v>0</v>
      </c>
      <c r="BE12" s="27" t="n">
        <v>0</v>
      </c>
      <c r="BF12" s="28" t="n">
        <v>0</v>
      </c>
      <c r="BG12" s="27" t="n">
        <v>0</v>
      </c>
      <c r="BH12" s="27" t="n">
        <v>0</v>
      </c>
      <c r="BI12" s="27" t="n">
        <v>0</v>
      </c>
      <c r="BJ12" s="28" t="n">
        <v>0</v>
      </c>
      <c r="BK12" s="27" t="n">
        <v>0</v>
      </c>
      <c r="BL12" s="28" t="n">
        <v>0</v>
      </c>
      <c r="BM12" s="28" t="n">
        <v>119136.4149526297</v>
      </c>
      <c r="BN12" s="27" t="n">
        <v>0</v>
      </c>
      <c r="BO12" s="27" t="n">
        <v>5385997.037715526</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197335.273164222</v>
      </c>
      <c r="W13" s="27" t="n">
        <v>51986.79350890244</v>
      </c>
      <c r="X13" s="27" t="n">
        <v>0</v>
      </c>
      <c r="Y13" s="27" t="n">
        <v>23041.52179553442</v>
      </c>
      <c r="Z13" s="27" t="n">
        <v>14818.25868361702</v>
      </c>
      <c r="AA13" s="27" t="n">
        <v>0</v>
      </c>
      <c r="AB13" s="27" t="n">
        <v>2688.177542812349</v>
      </c>
      <c r="AC13" s="27" t="n">
        <v>11438.83548693864</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336168.3134133851</v>
      </c>
      <c r="AO13" s="27" t="n">
        <v>25173.98303035425</v>
      </c>
      <c r="AP13" s="27" t="n">
        <v>0</v>
      </c>
      <c r="AQ13" s="28" t="n">
        <v>338300.7746482049</v>
      </c>
      <c r="AR13" s="27" t="n">
        <v>218283.1996170003</v>
      </c>
      <c r="AS13" s="27" t="n">
        <v>0</v>
      </c>
      <c r="AT13" s="28" t="n">
        <v>120017.5750312046</v>
      </c>
      <c r="AU13" s="28" t="n">
        <v>0</v>
      </c>
      <c r="AV13" s="27" t="n">
        <v>0</v>
      </c>
      <c r="AW13" s="27" t="n">
        <v>0</v>
      </c>
      <c r="AX13" s="28" t="n">
        <v>0</v>
      </c>
      <c r="AY13" s="27" t="n">
        <v>0</v>
      </c>
      <c r="AZ13" s="27" t="n">
        <v>60016.11937375834</v>
      </c>
      <c r="BA13" s="27" t="n">
        <v>60001.45565744625</v>
      </c>
      <c r="BB13" s="28" t="n">
        <v>120017.5750312046</v>
      </c>
      <c r="BC13" s="27" t="n">
        <v>0</v>
      </c>
      <c r="BD13" s="27" t="n">
        <v>0</v>
      </c>
      <c r="BE13" s="27" t="n">
        <v>0</v>
      </c>
      <c r="BF13" s="28" t="n">
        <v>0</v>
      </c>
      <c r="BG13" s="27" t="n">
        <v>0</v>
      </c>
      <c r="BH13" s="27" t="n">
        <v>0</v>
      </c>
      <c r="BI13" s="27" t="n">
        <v>0</v>
      </c>
      <c r="BJ13" s="28" t="n">
        <v>0</v>
      </c>
      <c r="BK13" s="27" t="n">
        <v>0</v>
      </c>
      <c r="BL13" s="28" t="n">
        <v>0</v>
      </c>
      <c r="BM13" s="28" t="n">
        <v>120017.5750312046</v>
      </c>
      <c r="BN13" s="27" t="n">
        <v>0</v>
      </c>
      <c r="BO13" s="27" t="n">
        <v>5405050.207723499</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0</v>
      </c>
      <c r="V14" s="27" t="n">
        <v>202268.6549933275</v>
      </c>
      <c r="W14" s="27" t="n">
        <v>53286.46334662499</v>
      </c>
      <c r="X14" s="27" t="n">
        <v>0</v>
      </c>
      <c r="Y14" s="27" t="n">
        <v>23617.55984042278</v>
      </c>
      <c r="Z14" s="27" t="n">
        <v>15188.71515070745</v>
      </c>
      <c r="AA14" s="27" t="n">
        <v>0</v>
      </c>
      <c r="AB14" s="27" t="n">
        <v>2755.381981382658</v>
      </c>
      <c r="AC14" s="27" t="n">
        <v>11724.80637411211</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346016.1853170212</v>
      </c>
      <c r="AO14" s="27" t="n">
        <v>22635.27554966751</v>
      </c>
      <c r="AP14" s="27" t="n">
        <v>0</v>
      </c>
      <c r="AQ14" s="28" t="n">
        <v>345033.9010262659</v>
      </c>
      <c r="AR14" s="27" t="n">
        <v>218848.0055933741</v>
      </c>
      <c r="AS14" s="27" t="n">
        <v>0</v>
      </c>
      <c r="AT14" s="28" t="n">
        <v>126185.8954328918</v>
      </c>
      <c r="AU14" s="28" t="n">
        <v>0</v>
      </c>
      <c r="AV14" s="27" t="n">
        <v>0</v>
      </c>
      <c r="AW14" s="27" t="n">
        <v>0</v>
      </c>
      <c r="AX14" s="28" t="n">
        <v>0</v>
      </c>
      <c r="AY14" s="27" t="n">
        <v>0</v>
      </c>
      <c r="AZ14" s="27" t="n">
        <v>63100.65639649855</v>
      </c>
      <c r="BA14" s="27" t="n">
        <v>63085.23903639329</v>
      </c>
      <c r="BB14" s="28" t="n">
        <v>126185.8954328918</v>
      </c>
      <c r="BC14" s="27" t="n">
        <v>0</v>
      </c>
      <c r="BD14" s="27" t="n">
        <v>0</v>
      </c>
      <c r="BE14" s="27" t="n">
        <v>0</v>
      </c>
      <c r="BF14" s="28" t="n">
        <v>0</v>
      </c>
      <c r="BG14" s="27" t="n">
        <v>0</v>
      </c>
      <c r="BH14" s="27" t="n">
        <v>0</v>
      </c>
      <c r="BI14" s="27" t="n">
        <v>0</v>
      </c>
      <c r="BJ14" s="28" t="n">
        <v>0</v>
      </c>
      <c r="BK14" s="27" t="n">
        <v>0</v>
      </c>
      <c r="BL14" s="28" t="n">
        <v>0</v>
      </c>
      <c r="BM14" s="28" t="n">
        <v>126185.8954328918</v>
      </c>
      <c r="BN14" s="27" t="n">
        <v>0</v>
      </c>
      <c r="BO14" s="27" t="n">
        <v>5408770.49012996</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207325.3713681607</v>
      </c>
      <c r="W15" s="27" t="n">
        <v>54618.62493029061</v>
      </c>
      <c r="X15" s="27" t="n">
        <v>0</v>
      </c>
      <c r="Y15" s="27" t="n">
        <v>24207.99883643335</v>
      </c>
      <c r="Z15" s="27" t="n">
        <v>15568.43302947513</v>
      </c>
      <c r="AA15" s="27" t="n">
        <v>0</v>
      </c>
      <c r="AB15" s="27" t="n">
        <v>2824.266530917224</v>
      </c>
      <c r="AC15" s="27" t="n">
        <v>12017.92653346491</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356192.1762910768</v>
      </c>
      <c r="AO15" s="27" t="n">
        <v>22281.97149835437</v>
      </c>
      <c r="AP15" s="27" t="n">
        <v>0</v>
      </c>
      <c r="AQ15" s="28" t="n">
        <v>354266.1489529979</v>
      </c>
      <c r="AR15" s="27" t="n">
        <v>219541.179726957</v>
      </c>
      <c r="AS15" s="27" t="n">
        <v>0</v>
      </c>
      <c r="AT15" s="28" t="n">
        <v>134724.9692260409</v>
      </c>
      <c r="AU15" s="28" t="n">
        <v>0</v>
      </c>
      <c r="AV15" s="27" t="n">
        <v>0</v>
      </c>
      <c r="AW15" s="27" t="n">
        <v>0</v>
      </c>
      <c r="AX15" s="28" t="n">
        <v>0</v>
      </c>
      <c r="AY15" s="27" t="n">
        <v>0</v>
      </c>
      <c r="AZ15" s="27" t="n">
        <v>67370.7149439881</v>
      </c>
      <c r="BA15" s="27" t="n">
        <v>67354.25428205279</v>
      </c>
      <c r="BB15" s="28" t="n">
        <v>134724.9692260409</v>
      </c>
      <c r="BC15" s="27" t="n">
        <v>0</v>
      </c>
      <c r="BD15" s="27" t="n">
        <v>0</v>
      </c>
      <c r="BE15" s="27" t="n">
        <v>0</v>
      </c>
      <c r="BF15" s="28" t="n">
        <v>0</v>
      </c>
      <c r="BG15" s="27" t="n">
        <v>0</v>
      </c>
      <c r="BH15" s="27" t="n">
        <v>0</v>
      </c>
      <c r="BI15" s="27" t="n">
        <v>0</v>
      </c>
      <c r="BJ15" s="28" t="n">
        <v>0</v>
      </c>
      <c r="BK15" s="27" t="n">
        <v>0</v>
      </c>
      <c r="BL15" s="28" t="n">
        <v>0</v>
      </c>
      <c r="BM15" s="28" t="n">
        <v>134724.9692260409</v>
      </c>
      <c r="BN15" s="27" t="n">
        <v>0</v>
      </c>
      <c r="BO15" s="27" t="n">
        <v>5403433.717417354</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212508.5056523646</v>
      </c>
      <c r="W16" s="27" t="n">
        <v>55984.09055354787</v>
      </c>
      <c r="X16" s="27" t="n">
        <v>0</v>
      </c>
      <c r="Y16" s="27" t="n">
        <v>24813.19880734418</v>
      </c>
      <c r="Z16" s="27" t="n">
        <v>15957.64385521201</v>
      </c>
      <c r="AA16" s="27" t="n">
        <v>0</v>
      </c>
      <c r="AB16" s="27" t="n">
        <v>2894.873194190154</v>
      </c>
      <c r="AC16" s="27" t="n">
        <v>12318.37469680153</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366709.0265466813</v>
      </c>
      <c r="AO16" s="27" t="n">
        <v>21951.60762144411</v>
      </c>
      <c r="AP16" s="27" t="n">
        <v>0</v>
      </c>
      <c r="AQ16" s="28" t="n">
        <v>363847.4353607812</v>
      </c>
      <c r="AR16" s="27" t="n">
        <v>220385.1979228624</v>
      </c>
      <c r="AS16" s="27" t="n">
        <v>0</v>
      </c>
      <c r="AT16" s="28" t="n">
        <v>143462.2374379188</v>
      </c>
      <c r="AU16" s="28" t="n">
        <v>0</v>
      </c>
      <c r="AV16" s="27" t="n">
        <v>0</v>
      </c>
      <c r="AW16" s="27" t="n">
        <v>0</v>
      </c>
      <c r="AX16" s="28" t="n">
        <v>0</v>
      </c>
      <c r="AY16" s="27" t="n">
        <v>0</v>
      </c>
      <c r="AZ16" s="27" t="n">
        <v>71739.88280851355</v>
      </c>
      <c r="BA16" s="27" t="n">
        <v>71722.35462940528</v>
      </c>
      <c r="BB16" s="28" t="n">
        <v>143462.2374379188</v>
      </c>
      <c r="BC16" s="27" t="n">
        <v>0</v>
      </c>
      <c r="BD16" s="27" t="n">
        <v>0</v>
      </c>
      <c r="BE16" s="27" t="n">
        <v>0</v>
      </c>
      <c r="BF16" s="28" t="n">
        <v>0</v>
      </c>
      <c r="BG16" s="27" t="n">
        <v>0</v>
      </c>
      <c r="BH16" s="27" t="n">
        <v>0</v>
      </c>
      <c r="BI16" s="27" t="n">
        <v>0</v>
      </c>
      <c r="BJ16" s="28" t="n">
        <v>0</v>
      </c>
      <c r="BK16" s="27" t="n">
        <v>0</v>
      </c>
      <c r="BL16" s="28" t="n">
        <v>0</v>
      </c>
      <c r="BM16" s="28" t="n">
        <v>143462.2374379188</v>
      </c>
      <c r="BN16" s="27" t="n">
        <v>0</v>
      </c>
      <c r="BO16" s="27" t="n">
        <v>5388141.349266239</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217821.2182936738</v>
      </c>
      <c r="W17" s="27" t="n">
        <v>57383.69281738657</v>
      </c>
      <c r="X17" s="27" t="n">
        <v>0</v>
      </c>
      <c r="Y17" s="27" t="n">
        <v>25433.52877752778</v>
      </c>
      <c r="Z17" s="27" t="n">
        <v>16356.58495159231</v>
      </c>
      <c r="AA17" s="27" t="n">
        <v>0</v>
      </c>
      <c r="AB17" s="27" t="n">
        <v>2967.245024044908</v>
      </c>
      <c r="AC17" s="27" t="n">
        <v>12626.33406422157</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377580.0447419998</v>
      </c>
      <c r="AO17" s="27" t="n">
        <v>21642.61741173897</v>
      </c>
      <c r="AP17" s="27" t="n">
        <v>0</v>
      </c>
      <c r="AQ17" s="28" t="n">
        <v>373789.133376211</v>
      </c>
      <c r="AR17" s="27" t="n">
        <v>221373.831242794</v>
      </c>
      <c r="AS17" s="27" t="n">
        <v>0</v>
      </c>
      <c r="AT17" s="28" t="n">
        <v>152415.302133417</v>
      </c>
      <c r="AU17" s="28" t="n">
        <v>0</v>
      </c>
      <c r="AV17" s="27" t="n">
        <v>0</v>
      </c>
      <c r="AW17" s="27" t="n">
        <v>0</v>
      </c>
      <c r="AX17" s="28" t="n">
        <v>0</v>
      </c>
      <c r="AY17" s="27" t="n">
        <v>0</v>
      </c>
      <c r="AZ17" s="27" t="n">
        <v>76216.96209782842</v>
      </c>
      <c r="BA17" s="27" t="n">
        <v>76198.34003558858</v>
      </c>
      <c r="BB17" s="28" t="n">
        <v>152415.302133417</v>
      </c>
      <c r="BC17" s="27" t="n">
        <v>0</v>
      </c>
      <c r="BD17" s="27" t="n">
        <v>0</v>
      </c>
      <c r="BE17" s="27" t="n">
        <v>0</v>
      </c>
      <c r="BF17" s="28" t="n">
        <v>0</v>
      </c>
      <c r="BG17" s="27" t="n">
        <v>0</v>
      </c>
      <c r="BH17" s="27" t="n">
        <v>0</v>
      </c>
      <c r="BI17" s="27" t="n">
        <v>0</v>
      </c>
      <c r="BJ17" s="28" t="n">
        <v>0</v>
      </c>
      <c r="BK17" s="27" t="n">
        <v>0</v>
      </c>
      <c r="BL17" s="28" t="n">
        <v>0</v>
      </c>
      <c r="BM17" s="28" t="n">
        <v>152415.302133417</v>
      </c>
      <c r="BN17" s="27" t="n">
        <v>0</v>
      </c>
      <c r="BO17" s="27" t="n">
        <v>5361897.780351412</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217821.2182936738</v>
      </c>
      <c r="W18" s="27" t="n">
        <v>58818.28513782122</v>
      </c>
      <c r="X18" s="27" t="n">
        <v>0</v>
      </c>
      <c r="Y18" s="27" t="n">
        <v>26069.36699696597</v>
      </c>
      <c r="Z18" s="27" t="n">
        <v>16765.49957538212</v>
      </c>
      <c r="AA18" s="27" t="n">
        <v>0</v>
      </c>
      <c r="AB18" s="27" t="n">
        <v>3041.42614964603</v>
      </c>
      <c r="AC18" s="27" t="n">
        <v>12941.99241582711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383373.6054877869</v>
      </c>
      <c r="AO18" s="27" t="n">
        <v>21353.51704674344</v>
      </c>
      <c r="AP18" s="27" t="n">
        <v>0</v>
      </c>
      <c r="AQ18" s="28" t="n">
        <v>378657.7555375644</v>
      </c>
      <c r="AR18" s="27" t="n">
        <v>222501.2466663256</v>
      </c>
      <c r="AS18" s="27" t="n">
        <v>0</v>
      </c>
      <c r="AT18" s="28" t="n">
        <v>156156.5088712388</v>
      </c>
      <c r="AU18" s="28" t="n">
        <v>0</v>
      </c>
      <c r="AV18" s="27" t="n">
        <v>0</v>
      </c>
      <c r="AW18" s="27" t="n">
        <v>0</v>
      </c>
      <c r="AX18" s="28" t="n">
        <v>0</v>
      </c>
      <c r="AY18" s="27" t="n">
        <v>0</v>
      </c>
      <c r="AZ18" s="27" t="n">
        <v>78087.79401657566</v>
      </c>
      <c r="BA18" s="27" t="n">
        <v>78068.71485466311</v>
      </c>
      <c r="BB18" s="28" t="n">
        <v>156156.5088712388</v>
      </c>
      <c r="BC18" s="27" t="n">
        <v>0</v>
      </c>
      <c r="BD18" s="27" t="n">
        <v>0</v>
      </c>
      <c r="BE18" s="27" t="n">
        <v>0</v>
      </c>
      <c r="BF18" s="28" t="n">
        <v>0</v>
      </c>
      <c r="BG18" s="27" t="n">
        <v>0</v>
      </c>
      <c r="BH18" s="27" t="n">
        <v>0</v>
      </c>
      <c r="BI18" s="27" t="n">
        <v>0</v>
      </c>
      <c r="BJ18" s="28" t="n">
        <v>0</v>
      </c>
      <c r="BK18" s="27" t="n">
        <v>0</v>
      </c>
      <c r="BL18" s="28" t="n">
        <v>0</v>
      </c>
      <c r="BM18" s="28" t="n">
        <v>156156.5088712388</v>
      </c>
      <c r="BN18" s="27" t="n">
        <v>0</v>
      </c>
      <c r="BO18" s="27" t="n">
        <v>5329406.887351632</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217821.2182936738</v>
      </c>
      <c r="W19" s="27" t="n">
        <v>60288.74226626676</v>
      </c>
      <c r="X19" s="27" t="n">
        <v>0</v>
      </c>
      <c r="Y19" s="27" t="n">
        <v>26721.10117189012</v>
      </c>
      <c r="Z19" s="27" t="n">
        <v>17184.63706476667</v>
      </c>
      <c r="AA19" s="27" t="n">
        <v>0</v>
      </c>
      <c r="AB19" s="27" t="n">
        <v>3117.461803387181</v>
      </c>
      <c r="AC19" s="27" t="n">
        <v>13265.54222622278</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389413.6318763533</v>
      </c>
      <c r="AO19" s="27" t="n">
        <v>21082.90116166768</v>
      </c>
      <c r="AP19" s="27" t="n">
        <v>0</v>
      </c>
      <c r="AQ19" s="28" t="n">
        <v>383775.4318661308</v>
      </c>
      <c r="AR19" s="27" t="n">
        <v>223761.988162839</v>
      </c>
      <c r="AS19" s="27" t="n">
        <v>0</v>
      </c>
      <c r="AT19" s="28" t="n">
        <v>160013.4437032918</v>
      </c>
      <c r="AU19" s="28" t="n">
        <v>0</v>
      </c>
      <c r="AV19" s="27" t="n">
        <v>0</v>
      </c>
      <c r="AW19" s="27" t="n">
        <v>0</v>
      </c>
      <c r="AX19" s="28" t="n">
        <v>0</v>
      </c>
      <c r="AY19" s="27" t="n">
        <v>0</v>
      </c>
      <c r="AZ19" s="27" t="n">
        <v>80016.49705225287</v>
      </c>
      <c r="BA19" s="27" t="n">
        <v>79996.94665103893</v>
      </c>
      <c r="BB19" s="28" t="n">
        <v>160013.4437032918</v>
      </c>
      <c r="BC19" s="27" t="n">
        <v>0</v>
      </c>
      <c r="BD19" s="27" t="n">
        <v>0</v>
      </c>
      <c r="BE19" s="27" t="n">
        <v>0</v>
      </c>
      <c r="BF19" s="28" t="n">
        <v>0</v>
      </c>
      <c r="BG19" s="27" t="n">
        <v>0</v>
      </c>
      <c r="BH19" s="27" t="n">
        <v>0</v>
      </c>
      <c r="BI19" s="27" t="n">
        <v>0</v>
      </c>
      <c r="BJ19" s="28" t="n">
        <v>0</v>
      </c>
      <c r="BK19" s="27" t="n">
        <v>0</v>
      </c>
      <c r="BL19" s="28" t="n">
        <v>0</v>
      </c>
      <c r="BM19" s="28" t="n">
        <v>160013.4437032918</v>
      </c>
      <c r="BN19" s="27" t="n">
        <v>0</v>
      </c>
      <c r="BO19" s="27" t="n">
        <v>5290012.994149549</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217821.2182936738</v>
      </c>
      <c r="W20" s="27" t="n">
        <v>61795.96082292341</v>
      </c>
      <c r="X20" s="27" t="n">
        <v>0</v>
      </c>
      <c r="Y20" s="27" t="n">
        <v>27389.12870118737</v>
      </c>
      <c r="Z20" s="27" t="n">
        <v>17614.25299138583</v>
      </c>
      <c r="AA20" s="27" t="n">
        <v>0</v>
      </c>
      <c r="AB20" s="27" t="n">
        <v>3195.39834847186</v>
      </c>
      <c r="AC20" s="27" t="n">
        <v>13597.18078187835</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395711.9081277144</v>
      </c>
      <c r="AO20" s="27" t="n">
        <v>20829.43882592252</v>
      </c>
      <c r="AP20" s="27" t="n">
        <v>0</v>
      </c>
      <c r="AQ20" s="28" t="n">
        <v>389152.2182524495</v>
      </c>
      <c r="AR20" s="27" t="n">
        <v>225150.9586998192</v>
      </c>
      <c r="AS20" s="27" t="n">
        <v>0</v>
      </c>
      <c r="AT20" s="28" t="n">
        <v>164001.2595526302</v>
      </c>
      <c r="AU20" s="28" t="n">
        <v>0</v>
      </c>
      <c r="AV20" s="27" t="n">
        <v>0</v>
      </c>
      <c r="AW20" s="27" t="n">
        <v>0</v>
      </c>
      <c r="AX20" s="28" t="n">
        <v>0</v>
      </c>
      <c r="AY20" s="27" t="n">
        <v>0</v>
      </c>
      <c r="AZ20" s="27" t="n">
        <v>82010.64859207722</v>
      </c>
      <c r="BA20" s="27" t="n">
        <v>81990.61096055302</v>
      </c>
      <c r="BB20" s="28" t="n">
        <v>164001.2595526302</v>
      </c>
      <c r="BC20" s="27" t="n">
        <v>0</v>
      </c>
      <c r="BD20" s="27" t="n">
        <v>0</v>
      </c>
      <c r="BE20" s="27" t="n">
        <v>0</v>
      </c>
      <c r="BF20" s="28" t="n">
        <v>0</v>
      </c>
      <c r="BG20" s="27" t="n">
        <v>0</v>
      </c>
      <c r="BH20" s="27" t="n">
        <v>0</v>
      </c>
      <c r="BI20" s="27" t="n">
        <v>0</v>
      </c>
      <c r="BJ20" s="28" t="n">
        <v>0</v>
      </c>
      <c r="BK20" s="27" t="n">
        <v>0</v>
      </c>
      <c r="BL20" s="28" t="n">
        <v>0</v>
      </c>
      <c r="BM20" s="28" t="n">
        <v>164001.2595526302</v>
      </c>
      <c r="BN20" s="27" t="n">
        <v>0</v>
      </c>
      <c r="BO20" s="27" t="n">
        <v>5243010.048009348</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217821.2182936738</v>
      </c>
      <c r="W21" s="27" t="n">
        <v>63340.8598434965</v>
      </c>
      <c r="X21" s="27" t="n">
        <v>0</v>
      </c>
      <c r="Y21" s="27" t="n">
        <v>28073.85691871705</v>
      </c>
      <c r="Z21" s="27" t="n">
        <v>18054.60931617048</v>
      </c>
      <c r="AA21" s="27" t="n">
        <v>0</v>
      </c>
      <c r="AB21" s="27" t="n">
        <v>3275.283307183656</v>
      </c>
      <c r="AC21" s="27" t="n">
        <v>13937.11030142531</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402280.8227231607</v>
      </c>
      <c r="AO21" s="27" t="n">
        <v>20591.86971354248</v>
      </c>
      <c r="AP21" s="27" t="n">
        <v>0</v>
      </c>
      <c r="AQ21" s="28" t="n">
        <v>394798.835517986</v>
      </c>
      <c r="AR21" s="27" t="n">
        <v>226663.4031439956</v>
      </c>
      <c r="AS21" s="27" t="n">
        <v>0</v>
      </c>
      <c r="AT21" s="28" t="n">
        <v>168135.4323739905</v>
      </c>
      <c r="AU21" s="28" t="n">
        <v>0</v>
      </c>
      <c r="AV21" s="27" t="n">
        <v>0</v>
      </c>
      <c r="AW21" s="27" t="n">
        <v>0</v>
      </c>
      <c r="AX21" s="28" t="n">
        <v>0</v>
      </c>
      <c r="AY21" s="27" t="n">
        <v>0</v>
      </c>
      <c r="AZ21" s="27" t="n">
        <v>84077.98755884099</v>
      </c>
      <c r="BA21" s="27" t="n">
        <v>84057.44481514949</v>
      </c>
      <c r="BB21" s="28" t="n">
        <v>168135.4323739905</v>
      </c>
      <c r="BC21" s="27" t="n">
        <v>0</v>
      </c>
      <c r="BD21" s="27" t="n">
        <v>0</v>
      </c>
      <c r="BE21" s="27" t="n">
        <v>0</v>
      </c>
      <c r="BF21" s="28" t="n">
        <v>0</v>
      </c>
      <c r="BG21" s="27" t="n">
        <v>0</v>
      </c>
      <c r="BH21" s="27" t="n">
        <v>0</v>
      </c>
      <c r="BI21" s="27" t="n">
        <v>0</v>
      </c>
      <c r="BJ21" s="28" t="n">
        <v>0</v>
      </c>
      <c r="BK21" s="27" t="n">
        <v>0</v>
      </c>
      <c r="BL21" s="28" t="n">
        <v>0</v>
      </c>
      <c r="BM21" s="28" t="n">
        <v>168135.4323739905</v>
      </c>
      <c r="BN21" s="27" t="n">
        <v>0</v>
      </c>
      <c r="BO21" s="27" t="n">
        <v>5187637.842794328</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217821.2182936738</v>
      </c>
      <c r="W22" s="27" t="n">
        <v>64924.3813395839</v>
      </c>
      <c r="X22" s="27" t="n">
        <v>0</v>
      </c>
      <c r="Y22" s="27" t="n">
        <v>28775.70334168497</v>
      </c>
      <c r="Z22" s="27" t="n">
        <v>18505.97454907474</v>
      </c>
      <c r="AA22" s="27" t="n">
        <v>0</v>
      </c>
      <c r="AB22" s="27" t="n">
        <v>3357.165389863247</v>
      </c>
      <c r="AC22" s="27" t="n">
        <v>14285.53805896094</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409133.4005480314</v>
      </c>
      <c r="AO22" s="27" t="n">
        <v>20369.00045841167</v>
      </c>
      <c r="AP22" s="27" t="n">
        <v>0</v>
      </c>
      <c r="AQ22" s="28" t="n">
        <v>400726.6976647581</v>
      </c>
      <c r="AR22" s="27" t="n">
        <v>228294.8920138218</v>
      </c>
      <c r="AS22" s="27" t="n">
        <v>0</v>
      </c>
      <c r="AT22" s="28" t="n">
        <v>172431.8056509364</v>
      </c>
      <c r="AU22" s="28" t="n">
        <v>0</v>
      </c>
      <c r="AV22" s="27" t="n">
        <v>0</v>
      </c>
      <c r="AW22" s="27" t="n">
        <v>0</v>
      </c>
      <c r="AX22" s="28" t="n">
        <v>0</v>
      </c>
      <c r="AY22" s="27" t="n">
        <v>0</v>
      </c>
      <c r="AZ22" s="27" t="n">
        <v>86226.43666220248</v>
      </c>
      <c r="BA22" s="27" t="n">
        <v>86205.36898873391</v>
      </c>
      <c r="BB22" s="28" t="n">
        <v>172431.8056509364</v>
      </c>
      <c r="BC22" s="27" t="n">
        <v>0</v>
      </c>
      <c r="BD22" s="27" t="n">
        <v>0</v>
      </c>
      <c r="BE22" s="27" t="n">
        <v>0</v>
      </c>
      <c r="BF22" s="28" t="n">
        <v>0</v>
      </c>
      <c r="BG22" s="27" t="n">
        <v>0</v>
      </c>
      <c r="BH22" s="27" t="n">
        <v>0</v>
      </c>
      <c r="BI22" s="27" t="n">
        <v>0</v>
      </c>
      <c r="BJ22" s="28" t="n">
        <v>0</v>
      </c>
      <c r="BK22" s="27" t="n">
        <v>0</v>
      </c>
      <c r="BL22" s="28" t="n">
        <v>0</v>
      </c>
      <c r="BM22" s="28" t="n">
        <v>172431.8056509364</v>
      </c>
      <c r="BN22" s="27" t="n">
        <v>0</v>
      </c>
      <c r="BO22" s="27" t="n">
        <v>5123077.985428047</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217821.2182936738</v>
      </c>
      <c r="W23" s="27" t="n">
        <v>66547.49087307349</v>
      </c>
      <c r="X23" s="27" t="n">
        <v>0</v>
      </c>
      <c r="Y23" s="27" t="n">
        <v>29495.09592522709</v>
      </c>
      <c r="Z23" s="27" t="n">
        <v>18968.6239128016</v>
      </c>
      <c r="AA23" s="27" t="n">
        <v>0</v>
      </c>
      <c r="AB23" s="27" t="n">
        <v>3441.094524609828</v>
      </c>
      <c r="AC23" s="27" t="n">
        <v>14642.67651043496</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375317.9257678562</v>
      </c>
      <c r="AO23" s="27" t="n">
        <v>20159.7011855864</v>
      </c>
      <c r="AP23" s="27" t="n">
        <v>0</v>
      </c>
      <c r="AQ23" s="28" t="n">
        <v>365982.5310282155</v>
      </c>
      <c r="AR23" s="27" t="n">
        <v>230041.3060437013</v>
      </c>
      <c r="AS23" s="27" t="n">
        <v>0</v>
      </c>
      <c r="AT23" s="28" t="n">
        <v>135941.2249845142</v>
      </c>
      <c r="AU23" s="28" t="n">
        <v>0</v>
      </c>
      <c r="AV23" s="27" t="n">
        <v>0</v>
      </c>
      <c r="AW23" s="27" t="n">
        <v>0</v>
      </c>
      <c r="AX23" s="28" t="n">
        <v>0</v>
      </c>
      <c r="AY23" s="27" t="n">
        <v>0</v>
      </c>
      <c r="AZ23" s="27" t="n">
        <v>67978.91712413193</v>
      </c>
      <c r="BA23" s="27" t="n">
        <v>67962.30786038225</v>
      </c>
      <c r="BB23" s="28" t="n">
        <v>135941.2249845142</v>
      </c>
      <c r="BC23" s="27" t="n">
        <v>0</v>
      </c>
      <c r="BD23" s="27" t="n">
        <v>0</v>
      </c>
      <c r="BE23" s="27" t="n">
        <v>0</v>
      </c>
      <c r="BF23" s="28" t="n">
        <v>0</v>
      </c>
      <c r="BG23" s="27" t="n">
        <v>0</v>
      </c>
      <c r="BH23" s="27" t="n">
        <v>0</v>
      </c>
      <c r="BI23" s="27" t="n">
        <v>0</v>
      </c>
      <c r="BJ23" s="28" t="n">
        <v>0</v>
      </c>
      <c r="BK23" s="27" t="n">
        <v>0</v>
      </c>
      <c r="BL23" s="28" t="n">
        <v>0</v>
      </c>
      <c r="BM23" s="28" t="n">
        <v>135941.2249845142</v>
      </c>
      <c r="BN23" s="27" t="n">
        <v>0</v>
      </c>
      <c r="BO23" s="27" t="n">
        <v>5091872.923757648</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217821.2182936738</v>
      </c>
      <c r="W24" s="27" t="n">
        <v>68211.17814490033</v>
      </c>
      <c r="X24" s="27" t="n">
        <v>0</v>
      </c>
      <c r="Y24" s="27" t="n">
        <v>30232.47332335778</v>
      </c>
      <c r="Z24" s="27" t="n">
        <v>19442.83951062164</v>
      </c>
      <c r="AA24" s="27" t="n">
        <v>0</v>
      </c>
      <c r="AB24" s="27" t="n">
        <v>3527.121887725074</v>
      </c>
      <c r="AC24" s="27" t="n">
        <v>15008.74342319584</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381755.4863012948</v>
      </c>
      <c r="AO24" s="27" t="n">
        <v>17782.59019445763</v>
      </c>
      <c r="AP24" s="27" t="n">
        <v>0</v>
      </c>
      <c r="AQ24" s="28" t="n">
        <v>369305.6031723946</v>
      </c>
      <c r="AR24" s="27" t="n">
        <v>221900.1515324549</v>
      </c>
      <c r="AS24" s="27" t="n">
        <v>0</v>
      </c>
      <c r="AT24" s="28" t="n">
        <v>147405.4516399397</v>
      </c>
      <c r="AU24" s="28" t="n">
        <v>0</v>
      </c>
      <c r="AV24" s="27" t="n">
        <v>0</v>
      </c>
      <c r="AW24" s="27" t="n">
        <v>0</v>
      </c>
      <c r="AX24" s="28" t="n">
        <v>0</v>
      </c>
      <c r="AY24" s="27" t="n">
        <v>0</v>
      </c>
      <c r="AZ24" s="27" t="n">
        <v>73711.73079997026</v>
      </c>
      <c r="BA24" s="27" t="n">
        <v>73693.72083996948</v>
      </c>
      <c r="BB24" s="28" t="n">
        <v>147405.4516399397</v>
      </c>
      <c r="BC24" s="27" t="n">
        <v>0</v>
      </c>
      <c r="BD24" s="27" t="n">
        <v>0</v>
      </c>
      <c r="BE24" s="27" t="n">
        <v>0</v>
      </c>
      <c r="BF24" s="28" t="n">
        <v>0</v>
      </c>
      <c r="BG24" s="27" t="n">
        <v>0</v>
      </c>
      <c r="BH24" s="27" t="n">
        <v>0</v>
      </c>
      <c r="BI24" s="27" t="n">
        <v>0</v>
      </c>
      <c r="BJ24" s="28" t="n">
        <v>0</v>
      </c>
      <c r="BK24" s="27" t="n">
        <v>0</v>
      </c>
      <c r="BL24" s="28" t="n">
        <v>0</v>
      </c>
      <c r="BM24" s="28" t="n">
        <v>147405.4516399397</v>
      </c>
      <c r="BN24" s="27" t="n">
        <v>0</v>
      </c>
      <c r="BO24" s="27" t="n">
        <v>5045054.862909709</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217821.2182936738</v>
      </c>
      <c r="W25" s="27" t="n">
        <v>69916.45759852283</v>
      </c>
      <c r="X25" s="27" t="n">
        <v>0</v>
      </c>
      <c r="Y25" s="27" t="n">
        <v>30988.28515644171</v>
      </c>
      <c r="Z25" s="27" t="n">
        <v>19928.91049838718</v>
      </c>
      <c r="AA25" s="27" t="n">
        <v>0</v>
      </c>
      <c r="AB25" s="27" t="n">
        <v>3615.2999349182</v>
      </c>
      <c r="AC25" s="27" t="n">
        <v>15383.96200877573</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388494.3478752746</v>
      </c>
      <c r="AO25" s="27" t="n">
        <v>13059.52302307638</v>
      </c>
      <c r="AP25" s="27" t="n">
        <v>0</v>
      </c>
      <c r="AQ25" s="28" t="n">
        <v>370565.5857419092</v>
      </c>
      <c r="AR25" s="27" t="n">
        <v>200480.1465766074</v>
      </c>
      <c r="AS25" s="27" t="n">
        <v>0</v>
      </c>
      <c r="AT25" s="28" t="n">
        <v>170085.4391653018</v>
      </c>
      <c r="AU25" s="28" t="n">
        <v>0</v>
      </c>
      <c r="AV25" s="27" t="n">
        <v>0</v>
      </c>
      <c r="AW25" s="27" t="n">
        <v>0</v>
      </c>
      <c r="AX25" s="28" t="n">
        <v>0</v>
      </c>
      <c r="AY25" s="27" t="n">
        <v>0</v>
      </c>
      <c r="AZ25" s="27" t="n">
        <v>85053.11008015965</v>
      </c>
      <c r="BA25" s="27" t="n">
        <v>85032.32908514215</v>
      </c>
      <c r="BB25" s="28" t="n">
        <v>170085.4391653018</v>
      </c>
      <c r="BC25" s="27" t="n">
        <v>0</v>
      </c>
      <c r="BD25" s="27" t="n">
        <v>0</v>
      </c>
      <c r="BE25" s="27" t="n">
        <v>0</v>
      </c>
      <c r="BF25" s="28" t="n">
        <v>0</v>
      </c>
      <c r="BG25" s="27" t="n">
        <v>0</v>
      </c>
      <c r="BH25" s="27" t="n">
        <v>0</v>
      </c>
      <c r="BI25" s="27" t="n">
        <v>0</v>
      </c>
      <c r="BJ25" s="28" t="n">
        <v>0</v>
      </c>
      <c r="BK25" s="27" t="n">
        <v>0</v>
      </c>
      <c r="BL25" s="28" t="n">
        <v>0</v>
      </c>
      <c r="BM25" s="28" t="n">
        <v>170085.4391653018</v>
      </c>
      <c r="BN25" s="27" t="n">
        <v>0</v>
      </c>
      <c r="BO25" s="27" t="n">
        <v>4980263.047921559</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217821.2182936738</v>
      </c>
      <c r="W26" s="27" t="n">
        <v>71664.36903848589</v>
      </c>
      <c r="X26" s="27" t="n">
        <v>0</v>
      </c>
      <c r="Y26" s="27" t="n">
        <v>31762.99228535276</v>
      </c>
      <c r="Z26" s="27" t="n">
        <v>20427.13326084686</v>
      </c>
      <c r="AA26" s="27" t="n">
        <v>0</v>
      </c>
      <c r="AB26" s="27" t="n">
        <v>3705.682433291155</v>
      </c>
      <c r="AC26" s="27" t="n">
        <v>15768.56105899512</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395549.7986044384</v>
      </c>
      <c r="AO26" s="27" t="n">
        <v>13268.12963278216</v>
      </c>
      <c r="AP26" s="27" t="n">
        <v>0</v>
      </c>
      <c r="AQ26" s="28" t="n">
        <v>377054.935951868</v>
      </c>
      <c r="AR26" s="27" t="n">
        <v>203906.550820344</v>
      </c>
      <c r="AS26" s="27" t="n">
        <v>0</v>
      </c>
      <c r="AT26" s="28" t="n">
        <v>173148.385131524</v>
      </c>
      <c r="AU26" s="28" t="n">
        <v>0</v>
      </c>
      <c r="AV26" s="27" t="n">
        <v>0</v>
      </c>
      <c r="AW26" s="27" t="n">
        <v>0</v>
      </c>
      <c r="AX26" s="28" t="n">
        <v>0</v>
      </c>
      <c r="AY26" s="27" t="n">
        <v>0</v>
      </c>
      <c r="AZ26" s="27" t="n">
        <v>86584.77017824417</v>
      </c>
      <c r="BA26" s="27" t="n">
        <v>86563.61495327982</v>
      </c>
      <c r="BB26" s="28" t="n">
        <v>173148.385131524</v>
      </c>
      <c r="BC26" s="27" t="n">
        <v>0</v>
      </c>
      <c r="BD26" s="27" t="n">
        <v>0</v>
      </c>
      <c r="BE26" s="27" t="n">
        <v>0</v>
      </c>
      <c r="BF26" s="28" t="n">
        <v>0</v>
      </c>
      <c r="BG26" s="27" t="n">
        <v>0</v>
      </c>
      <c r="BH26" s="27" t="n">
        <v>0</v>
      </c>
      <c r="BI26" s="27" t="n">
        <v>0</v>
      </c>
      <c r="BJ26" s="28" t="n">
        <v>0</v>
      </c>
      <c r="BK26" s="27" t="n">
        <v>0</v>
      </c>
      <c r="BL26" s="28" t="n">
        <v>0</v>
      </c>
      <c r="BM26" s="28" t="n">
        <v>173148.385131524</v>
      </c>
      <c r="BN26" s="27" t="n">
        <v>0</v>
      </c>
      <c r="BO26" s="27" t="n">
        <v>4931271.64581791</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217821.2182936738</v>
      </c>
      <c r="W27" s="27" t="n">
        <v>73455.97826444803</v>
      </c>
      <c r="X27" s="27" t="n">
        <v>0</v>
      </c>
      <c r="Y27" s="27" t="n">
        <v>32557.06709248657</v>
      </c>
      <c r="Z27" s="27" t="n">
        <v>20937.81159236803</v>
      </c>
      <c r="AA27" s="27" t="n">
        <v>0</v>
      </c>
      <c r="AB27" s="27" t="n">
        <v>3798.324494123433</v>
      </c>
      <c r="AC27" s="27" t="n">
        <v>16162.77508547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402937.9358096342</v>
      </c>
      <c r="AO27" s="27" t="n">
        <v>13479.69043282948</v>
      </c>
      <c r="AP27" s="27" t="n">
        <v>0</v>
      </c>
      <c r="AQ27" s="28" t="n">
        <v>383860.5591499771</v>
      </c>
      <c r="AR27" s="27" t="n">
        <v>207395.9678018882</v>
      </c>
      <c r="AS27" s="27" t="n">
        <v>0</v>
      </c>
      <c r="AT27" s="28" t="n">
        <v>176464.5913480888</v>
      </c>
      <c r="AU27" s="28" t="n">
        <v>2.91038304567337e-11</v>
      </c>
      <c r="AV27" s="27" t="n">
        <v>0</v>
      </c>
      <c r="AW27" s="27" t="n">
        <v>0</v>
      </c>
      <c r="AX27" s="28" t="n">
        <v>0</v>
      </c>
      <c r="AY27" s="27" t="n">
        <v>0</v>
      </c>
      <c r="AZ27" s="27" t="n">
        <v>88243.07587313601</v>
      </c>
      <c r="BA27" s="27" t="n">
        <v>88221.51547495282</v>
      </c>
      <c r="BB27" s="28" t="n">
        <v>176464.5913480888</v>
      </c>
      <c r="BC27" s="27" t="n">
        <v>0</v>
      </c>
      <c r="BD27" s="27" t="n">
        <v>0</v>
      </c>
      <c r="BE27" s="27" t="n">
        <v>0</v>
      </c>
      <c r="BF27" s="28" t="n">
        <v>0</v>
      </c>
      <c r="BG27" s="27" t="n">
        <v>0</v>
      </c>
      <c r="BH27" s="27" t="n">
        <v>0</v>
      </c>
      <c r="BI27" s="27" t="n">
        <v>0</v>
      </c>
      <c r="BJ27" s="28" t="n">
        <v>0</v>
      </c>
      <c r="BK27" s="27" t="n">
        <v>0</v>
      </c>
      <c r="BL27" s="28" t="n">
        <v>0</v>
      </c>
      <c r="BM27" s="28" t="n">
        <v>176464.5913480888</v>
      </c>
      <c r="BN27" s="27" t="n">
        <v>0</v>
      </c>
      <c r="BO27" s="27" t="n">
        <v>4872404.977946024</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217821.2182936738</v>
      </c>
      <c r="W28" s="27" t="n">
        <v>75292.37772105922</v>
      </c>
      <c r="X28" s="27" t="n">
        <v>0</v>
      </c>
      <c r="Y28" s="27" t="n">
        <v>33370.99376979873</v>
      </c>
      <c r="Z28" s="27" t="n">
        <v>21461.25688217723</v>
      </c>
      <c r="AA28" s="27" t="n">
        <v>0</v>
      </c>
      <c r="AB28" s="27" t="n">
        <v>3893.282606476519</v>
      </c>
      <c r="AC28" s="27" t="n">
        <v>16566.84446260675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410675.7097388273</v>
      </c>
      <c r="AO28" s="27" t="n">
        <v>13693.56939596265</v>
      </c>
      <c r="AP28" s="27" t="n">
        <v>0</v>
      </c>
      <c r="AQ28" s="28" t="n">
        <v>390998.2853649913</v>
      </c>
      <c r="AR28" s="27" t="n">
        <v>210946.512803967</v>
      </c>
      <c r="AS28" s="27" t="n">
        <v>0</v>
      </c>
      <c r="AT28" s="28" t="n">
        <v>180051.7725610243</v>
      </c>
      <c r="AU28" s="28" t="n">
        <v>0</v>
      </c>
      <c r="AV28" s="27" t="n">
        <v>0</v>
      </c>
      <c r="AW28" s="27" t="n">
        <v>0</v>
      </c>
      <c r="AX28" s="28" t="n">
        <v>0</v>
      </c>
      <c r="AY28" s="27" t="n">
        <v>0</v>
      </c>
      <c r="AZ28" s="27" t="n">
        <v>90036.88562004069</v>
      </c>
      <c r="BA28" s="27" t="n">
        <v>90014.8869409836</v>
      </c>
      <c r="BB28" s="28" t="n">
        <v>180051.7725610243</v>
      </c>
      <c r="BC28" s="27" t="n">
        <v>0</v>
      </c>
      <c r="BD28" s="27" t="n">
        <v>0</v>
      </c>
      <c r="BE28" s="27" t="n">
        <v>0</v>
      </c>
      <c r="BF28" s="28" t="n">
        <v>0</v>
      </c>
      <c r="BG28" s="27" t="n">
        <v>0</v>
      </c>
      <c r="BH28" s="27" t="n">
        <v>0</v>
      </c>
      <c r="BI28" s="27" t="n">
        <v>0</v>
      </c>
      <c r="BJ28" s="28" t="n">
        <v>0</v>
      </c>
      <c r="BK28" s="27" t="n">
        <v>0</v>
      </c>
      <c r="BL28" s="28" t="n">
        <v>0</v>
      </c>
      <c r="BM28" s="28" t="n">
        <v>180051.7725610243</v>
      </c>
      <c r="BN28" s="27" t="n">
        <v>0</v>
      </c>
      <c r="BO28" s="27" t="n">
        <v>4802697.407198694</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217821.2182936738</v>
      </c>
      <c r="W29" s="27" t="n">
        <v>77174.68716408568</v>
      </c>
      <c r="X29" s="27" t="n">
        <v>0</v>
      </c>
      <c r="Y29" s="27" t="n">
        <v>34205.26861404369</v>
      </c>
      <c r="Z29" s="27" t="n">
        <v>21997.78830423166</v>
      </c>
      <c r="AA29" s="27" t="n">
        <v>0</v>
      </c>
      <c r="AB29" s="27" t="n">
        <v>3990.614671638431</v>
      </c>
      <c r="AC29" s="27" t="n">
        <v>16981.01557417191</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418780.9696730998</v>
      </c>
      <c r="AO29" s="27" t="n">
        <v>13916.482755611</v>
      </c>
      <c r="AP29" s="27" t="n">
        <v>0</v>
      </c>
      <c r="AQ29" s="28" t="n">
        <v>398492.1838146671</v>
      </c>
      <c r="AR29" s="27" t="n">
        <v>214589.4401599739</v>
      </c>
      <c r="AS29" s="27" t="n">
        <v>0</v>
      </c>
      <c r="AT29" s="28" t="n">
        <v>183902.7436546932</v>
      </c>
      <c r="AU29" s="28" t="n">
        <v>0</v>
      </c>
      <c r="AV29" s="27" t="n">
        <v>0</v>
      </c>
      <c r="AW29" s="27" t="n">
        <v>0</v>
      </c>
      <c r="AX29" s="28" t="n">
        <v>0</v>
      </c>
      <c r="AY29" s="27" t="n">
        <v>0</v>
      </c>
      <c r="AZ29" s="27" t="n">
        <v>91962.60642220182</v>
      </c>
      <c r="BA29" s="27" t="n">
        <v>91940.13723249137</v>
      </c>
      <c r="BB29" s="28" t="n">
        <v>183902.7436546932</v>
      </c>
      <c r="BC29" s="27" t="n">
        <v>0</v>
      </c>
      <c r="BD29" s="27" t="n">
        <v>0</v>
      </c>
      <c r="BE29" s="27" t="n">
        <v>0</v>
      </c>
      <c r="BF29" s="28" t="n">
        <v>0</v>
      </c>
      <c r="BG29" s="27" t="n">
        <v>0</v>
      </c>
      <c r="BH29" s="27" t="n">
        <v>0</v>
      </c>
      <c r="BI29" s="27" t="n">
        <v>0</v>
      </c>
      <c r="BJ29" s="28" t="n">
        <v>0</v>
      </c>
      <c r="BK29" s="27" t="n">
        <v>0</v>
      </c>
      <c r="BL29" s="28" t="n">
        <v>0</v>
      </c>
      <c r="BM29" s="28" t="n">
        <v>183902.7436546932</v>
      </c>
      <c r="BN29" s="27" t="n">
        <v>0</v>
      </c>
      <c r="BO29" s="27" t="n">
        <v>4721133.890725751</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217821.2182936738</v>
      </c>
      <c r="W30" s="27" t="n">
        <v>79104.05434318783</v>
      </c>
      <c r="X30" s="27" t="n">
        <v>0</v>
      </c>
      <c r="Y30" s="27" t="n">
        <v>35060.40032939479</v>
      </c>
      <c r="Z30" s="27" t="n">
        <v>22547.73301183745</v>
      </c>
      <c r="AA30" s="27" t="n">
        <v>0</v>
      </c>
      <c r="AB30" s="27" t="n">
        <v>4090.380038429392</v>
      </c>
      <c r="AC30" s="27" t="n">
        <v>17405.54096352621</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427272.5125484216</v>
      </c>
      <c r="AO30" s="27" t="n">
        <v>14168.56397368701</v>
      </c>
      <c r="AP30" s="27" t="n">
        <v>0</v>
      </c>
      <c r="AQ30" s="28" t="n">
        <v>406380.6761927138</v>
      </c>
      <c r="AR30" s="27" t="n">
        <v>218417.0175942602</v>
      </c>
      <c r="AS30" s="27" t="n">
        <v>0</v>
      </c>
      <c r="AT30" s="28" t="n">
        <v>187963.6585984536</v>
      </c>
      <c r="AU30" s="28" t="n">
        <v>0</v>
      </c>
      <c r="AV30" s="27" t="n">
        <v>0</v>
      </c>
      <c r="AW30" s="27" t="n">
        <v>0</v>
      </c>
      <c r="AX30" s="28" t="n">
        <v>0</v>
      </c>
      <c r="AY30" s="27" t="n">
        <v>0</v>
      </c>
      <c r="AZ30" s="27" t="n">
        <v>93993.3119748514</v>
      </c>
      <c r="BA30" s="27" t="n">
        <v>93970.34662360222</v>
      </c>
      <c r="BB30" s="28" t="n">
        <v>187963.6585984536</v>
      </c>
      <c r="BC30" s="27" t="n">
        <v>0</v>
      </c>
      <c r="BD30" s="27" t="n">
        <v>0</v>
      </c>
      <c r="BE30" s="27" t="n">
        <v>0</v>
      </c>
      <c r="BF30" s="28" t="n">
        <v>0</v>
      </c>
      <c r="BG30" s="27" t="n">
        <v>0</v>
      </c>
      <c r="BH30" s="27" t="n">
        <v>0</v>
      </c>
      <c r="BI30" s="27" t="n">
        <v>0</v>
      </c>
      <c r="BJ30" s="28" t="n">
        <v>0</v>
      </c>
      <c r="BK30" s="27" t="n">
        <v>0</v>
      </c>
      <c r="BL30" s="28" t="n">
        <v>0</v>
      </c>
      <c r="BM30" s="28" t="n">
        <v>187963.6585984536</v>
      </c>
      <c r="BN30" s="27" t="n">
        <v>0</v>
      </c>
      <c r="BO30" s="27" t="n">
        <v>4626661.30614522</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217821.2182936738</v>
      </c>
      <c r="W31" s="27" t="n">
        <v>81081.65570176754</v>
      </c>
      <c r="X31" s="27" t="n">
        <v>0</v>
      </c>
      <c r="Y31" s="27" t="n">
        <v>35936.91033762966</v>
      </c>
      <c r="Z31" s="27" t="n">
        <v>23111.42633713338</v>
      </c>
      <c r="AA31" s="27" t="n">
        <v>0</v>
      </c>
      <c r="AB31" s="27" t="n">
        <v>4192.639539390127</v>
      </c>
      <c r="AC31" s="27" t="n">
        <v>17840.67948761436</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436170.1342310678</v>
      </c>
      <c r="AO31" s="27" t="n">
        <v>14452.75569409362</v>
      </c>
      <c r="AP31" s="27" t="n">
        <v>0</v>
      </c>
      <c r="AQ31" s="28" t="n">
        <v>414685.9795875318</v>
      </c>
      <c r="AR31" s="27" t="n">
        <v>222443.6119520883</v>
      </c>
      <c r="AS31" s="27" t="n">
        <v>0</v>
      </c>
      <c r="AT31" s="28" t="n">
        <v>192242.3676354435</v>
      </c>
      <c r="AU31" s="28" t="n">
        <v>0</v>
      </c>
      <c r="AV31" s="27" t="n">
        <v>0</v>
      </c>
      <c r="AW31" s="27" t="n">
        <v>0</v>
      </c>
      <c r="AX31" s="28" t="n">
        <v>0</v>
      </c>
      <c r="AY31" s="27" t="n">
        <v>0</v>
      </c>
      <c r="AZ31" s="27" t="n">
        <v>0</v>
      </c>
      <c r="BA31" s="27" t="n">
        <v>192242.3676354435</v>
      </c>
      <c r="BB31" s="28" t="n">
        <v>192242.3676354435</v>
      </c>
      <c r="BC31" s="27" t="n">
        <v>0</v>
      </c>
      <c r="BD31" s="27" t="n">
        <v>0</v>
      </c>
      <c r="BE31" s="27" t="n">
        <v>0</v>
      </c>
      <c r="BF31" s="28" t="n">
        <v>0</v>
      </c>
      <c r="BG31" s="27" t="n">
        <v>0</v>
      </c>
      <c r="BH31" s="27" t="n">
        <v>0</v>
      </c>
      <c r="BI31" s="27" t="n">
        <v>0</v>
      </c>
      <c r="BJ31" s="28" t="n">
        <v>0</v>
      </c>
      <c r="BK31" s="27" t="n">
        <v>0</v>
      </c>
      <c r="BL31" s="28" t="n">
        <v>0</v>
      </c>
      <c r="BM31" s="28" t="n">
        <v>192242.3676354435</v>
      </c>
      <c r="BN31" s="27" t="n">
        <v>0</v>
      </c>
      <c r="BO31" s="27" t="n">
        <v>4519256.050424207</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217821.2182936738</v>
      </c>
      <c r="W32" s="27" t="n">
        <v>83108.6970943117</v>
      </c>
      <c r="X32" s="27" t="n">
        <v>0</v>
      </c>
      <c r="Y32" s="27" t="n">
        <v>36835.33309607039</v>
      </c>
      <c r="Z32" s="27" t="n">
        <v>23689.21199556172</v>
      </c>
      <c r="AA32" s="27" t="n">
        <v>0</v>
      </c>
      <c r="AB32" s="27" t="n">
        <v>4297.455527874879</v>
      </c>
      <c r="AC32" s="27" t="n">
        <v>18286.69647480472</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373212.2994900497</v>
      </c>
      <c r="AO32" s="27" t="n">
        <v>15227.79197644511</v>
      </c>
      <c r="AP32" s="27" t="n">
        <v>0</v>
      </c>
      <c r="AQ32" s="28" t="n">
        <v>351604.7583704244</v>
      </c>
      <c r="AR32" s="27" t="n">
        <v>155729.8264844285</v>
      </c>
      <c r="AS32" s="27" t="n">
        <v>0</v>
      </c>
      <c r="AT32" s="28" t="n">
        <v>195874.9318859959</v>
      </c>
      <c r="AU32" s="28" t="n">
        <v>0</v>
      </c>
      <c r="AV32" s="27" t="n">
        <v>0</v>
      </c>
      <c r="AW32" s="27" t="n">
        <v>0</v>
      </c>
      <c r="AX32" s="28" t="n">
        <v>0</v>
      </c>
      <c r="AY32" s="27" t="n">
        <v>0</v>
      </c>
      <c r="AZ32" s="27" t="n">
        <v>0</v>
      </c>
      <c r="BA32" s="27" t="n">
        <v>195874.9318859959</v>
      </c>
      <c r="BB32" s="28" t="n">
        <v>195874.9318859959</v>
      </c>
      <c r="BC32" s="27" t="n">
        <v>0</v>
      </c>
      <c r="BD32" s="27" t="n">
        <v>0</v>
      </c>
      <c r="BE32" s="27" t="n">
        <v>0</v>
      </c>
      <c r="BF32" s="28" t="n">
        <v>0</v>
      </c>
      <c r="BG32" s="27" t="n">
        <v>0</v>
      </c>
      <c r="BH32" s="27" t="n">
        <v>0</v>
      </c>
      <c r="BI32" s="27" t="n">
        <v>0</v>
      </c>
      <c r="BJ32" s="28" t="n">
        <v>0</v>
      </c>
      <c r="BK32" s="27" t="n">
        <v>0</v>
      </c>
      <c r="BL32" s="28" t="n">
        <v>0</v>
      </c>
      <c r="BM32" s="28" t="n">
        <v>195874.9318859959</v>
      </c>
      <c r="BN32" s="27" t="n">
        <v>0</v>
      </c>
      <c r="BO32" s="27" t="n">
        <v>4397392.436808653</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217821.2182936738</v>
      </c>
      <c r="W33" s="27" t="n">
        <v>85186.41452166947</v>
      </c>
      <c r="X33" s="27" t="n">
        <v>0</v>
      </c>
      <c r="Y33" s="27" t="n">
        <v>37756.21642347214</v>
      </c>
      <c r="Z33" s="27" t="n">
        <v>24281.44229545075</v>
      </c>
      <c r="AA33" s="27" t="n">
        <v>0</v>
      </c>
      <c r="AB33" s="27" t="n">
        <v>4404.891916071751</v>
      </c>
      <c r="AC33" s="27" t="n">
        <v>18743.86388667484</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379137.8761748892</v>
      </c>
      <c r="AO33" s="27" t="n">
        <v>15252.76260547477</v>
      </c>
      <c r="AP33" s="27" t="n">
        <v>0</v>
      </c>
      <c r="AQ33" s="28" t="n">
        <v>356634.4223568919</v>
      </c>
      <c r="AR33" s="27" t="n">
        <v>157357.8025611761</v>
      </c>
      <c r="AS33" s="27" t="n">
        <v>0</v>
      </c>
      <c r="AT33" s="28" t="n">
        <v>199276.6197957158</v>
      </c>
      <c r="AU33" s="28" t="n">
        <v>0</v>
      </c>
      <c r="AV33" s="27" t="n">
        <v>0</v>
      </c>
      <c r="AW33" s="27" t="n">
        <v>0</v>
      </c>
      <c r="AX33" s="28" t="n">
        <v>0</v>
      </c>
      <c r="AY33" s="27" t="n">
        <v>0</v>
      </c>
      <c r="AZ33" s="27" t="n">
        <v>0</v>
      </c>
      <c r="BA33" s="27" t="n">
        <v>199276.6197957158</v>
      </c>
      <c r="BB33" s="28" t="n">
        <v>199276.6197957158</v>
      </c>
      <c r="BC33" s="27" t="n">
        <v>0</v>
      </c>
      <c r="BD33" s="27" t="n">
        <v>0</v>
      </c>
      <c r="BE33" s="27" t="n">
        <v>0</v>
      </c>
      <c r="BF33" s="28" t="n">
        <v>0</v>
      </c>
      <c r="BG33" s="27" t="n">
        <v>0</v>
      </c>
      <c r="BH33" s="27" t="n">
        <v>0</v>
      </c>
      <c r="BI33" s="27" t="n">
        <v>0</v>
      </c>
      <c r="BJ33" s="28" t="n">
        <v>0</v>
      </c>
      <c r="BK33" s="27" t="n">
        <v>0</v>
      </c>
      <c r="BL33" s="28" t="n">
        <v>0</v>
      </c>
      <c r="BM33" s="28" t="n">
        <v>199276.6197957158</v>
      </c>
      <c r="BN33" s="27" t="n">
        <v>0</v>
      </c>
      <c r="BO33" s="27" t="n">
        <v>4267239.328080034</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2026-06-30</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39242.525</v>
      </c>
      <c r="C11" s="12" t="inlineStr">
        <is>
          <t>Tax-deferred</t>
        </is>
      </c>
    </row>
    <row r="12" ht="15" customHeight="1">
      <c r="A12" s="12" t="inlineStr">
        <is>
          <t xml:space="preserve">  Matthew's Traditional IRA</t>
        </is>
      </c>
      <c r="B12" s="27" t="n">
        <v>1389960.8138384</v>
      </c>
      <c r="C12" s="12" t="inlineStr">
        <is>
          <t>Tax-deferred</t>
        </is>
      </c>
    </row>
    <row r="13" ht="30" customHeight="1">
      <c r="A13" s="12" t="inlineStr">
        <is>
          <t xml:space="preserve">  Patricia's Traditional IRA</t>
        </is>
      </c>
      <c r="B13" s="27" t="n">
        <v>482153.19713486</v>
      </c>
      <c r="C13" s="12" t="inlineStr">
        <is>
          <t>Tax-deferred</t>
        </is>
      </c>
    </row>
    <row r="14" ht="30" customHeight="1">
      <c r="A14" s="11" t="inlineStr">
        <is>
          <t xml:space="preserve">  Total Pre-Tax (Tax-Deferred)</t>
        </is>
      </c>
      <c r="B14" s="28" t="n">
        <v>1911356.53597326</v>
      </c>
      <c r="C14" s="34" t="inlineStr"/>
    </row>
    <row r="15" ht="15" customHeight="1">
      <c r="A15" s="10" t="inlineStr">
        <is>
          <t>Roth (Tax-Free)</t>
        </is>
      </c>
      <c r="B15" s="3" t="n"/>
      <c r="C15" s="4" t="n"/>
    </row>
    <row r="16" ht="15" customHeight="1">
      <c r="A16" s="12" t="inlineStr">
        <is>
          <t xml:space="preserve">  Matthew's Roth IRA</t>
        </is>
      </c>
      <c r="B16" s="27" t="n">
        <v>145656.825841</v>
      </c>
      <c r="C16" s="12" t="inlineStr">
        <is>
          <t>Tax-free</t>
        </is>
      </c>
    </row>
    <row r="17" ht="15" customHeight="1">
      <c r="A17" s="12" t="inlineStr">
        <is>
          <t xml:space="preserve">  Patricia's Roth IRA</t>
        </is>
      </c>
      <c r="B17" s="27" t="n">
        <v>216168.19522158</v>
      </c>
      <c r="C17" s="12" t="inlineStr">
        <is>
          <t>Tax-free</t>
        </is>
      </c>
    </row>
    <row r="18" ht="15" customHeight="1">
      <c r="A18" s="11" t="inlineStr">
        <is>
          <t xml:space="preserve">  Total Roth (Tax-Free)</t>
        </is>
      </c>
      <c r="B18" s="28" t="n">
        <v>361825.0210625801</v>
      </c>
      <c r="C18" s="34" t="inlineStr"/>
    </row>
    <row r="19" ht="15" customHeight="1">
      <c r="A19" s="10" t="inlineStr">
        <is>
          <t>Taxable / Trust</t>
        </is>
      </c>
      <c r="B19" s="3" t="n"/>
      <c r="C19" s="4" t="n"/>
    </row>
    <row r="20" ht="15" customHeight="1">
      <c r="A20" s="12" t="inlineStr">
        <is>
          <t xml:space="preserve">  Matthew's Trust</t>
        </is>
      </c>
      <c r="B20" s="27" t="n">
        <v>262825.6330539086</v>
      </c>
      <c r="C20" s="12" t="inlineStr">
        <is>
          <t>Taxable</t>
        </is>
      </c>
    </row>
    <row r="21" ht="15" customHeight="1">
      <c r="A21" s="12" t="inlineStr">
        <is>
          <t xml:space="preserve">  Patricia's Trust</t>
        </is>
      </c>
      <c r="B21" s="27" t="n">
        <v>340203.36700576</v>
      </c>
      <c r="C21" s="12" t="inlineStr">
        <is>
          <t>Taxable</t>
        </is>
      </c>
    </row>
    <row r="22" ht="15" customHeight="1">
      <c r="A22" s="11" t="inlineStr">
        <is>
          <t xml:space="preserve">  Total Taxable / Trust</t>
        </is>
      </c>
      <c r="B22" s="28" t="n">
        <v>603029.0000596687</v>
      </c>
      <c r="C22" s="34" t="inlineStr"/>
    </row>
    <row r="23" ht="15" customHeight="1">
      <c r="A23" s="10" t="inlineStr">
        <is>
          <t>Health Savings Account</t>
        </is>
      </c>
      <c r="B23" s="3" t="n"/>
      <c r="C23" s="4" t="n"/>
    </row>
    <row r="24" ht="15" customHeight="1">
      <c r="A24" s="12" t="inlineStr">
        <is>
          <t xml:space="preserve">  Matthew's HSA</t>
        </is>
      </c>
      <c r="B24" s="27" t="n">
        <v>82867.40086620001</v>
      </c>
      <c r="C24" s="12" t="inlineStr">
        <is>
          <t>Triple tax-advantaged</t>
        </is>
      </c>
    </row>
    <row r="25" ht="30" customHeight="1">
      <c r="A25" s="11" t="inlineStr">
        <is>
          <t xml:space="preserve">  Total Health Savings Account</t>
        </is>
      </c>
      <c r="B25" s="28" t="n">
        <v>82867.40086620001</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0</v>
      </c>
      <c r="C28" s="12" t="inlineStr">
        <is>
          <t>Illiquid</t>
        </is>
      </c>
    </row>
    <row r="29" ht="15" customHeight="1">
      <c r="A29" s="12" t="inlineStr">
        <is>
          <t xml:space="preserve">  Autos</t>
        </is>
      </c>
      <c r="B29" s="27" t="n">
        <v>0</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1787361.34</v>
      </c>
      <c r="C32" s="34" t="inlineStr"/>
    </row>
    <row r="33"/>
    <row r="34" ht="15" customHeight="1">
      <c r="A34" s="13" t="inlineStr">
        <is>
          <t>LIABILITIES</t>
        </is>
      </c>
    </row>
    <row r="35" ht="45" customHeight="1">
      <c r="A35" s="12" t="inlineStr">
        <is>
          <t xml:space="preserve">  Mortgage</t>
        </is>
      </c>
      <c r="B35" s="27" t="n">
        <v>293284</v>
      </c>
      <c r="C35" s="12" t="inlineStr">
        <is>
          <t>Offsets Primary Residence gross value; not double-counted as Home Equity</t>
        </is>
      </c>
    </row>
    <row r="36" ht="15" customHeight="1">
      <c r="A36" s="11" t="inlineStr">
        <is>
          <t xml:space="preserve">  Total Liabilities</t>
        </is>
      </c>
      <c r="B36" s="28" t="n">
        <v>293284</v>
      </c>
      <c r="C36" s="34" t="inlineStr"/>
    </row>
    <row r="37"/>
    <row r="38" ht="15" customHeight="1">
      <c r="A38" s="35" t="inlineStr">
        <is>
          <t>NET WORTH</t>
        </is>
      </c>
      <c r="B38" s="36" t="n">
        <v>5813821.11399342</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322202.71581734</v>
      </c>
      <c r="F3" s="27" t="n">
        <v>244498.3673634684</v>
      </c>
      <c r="G3" s="27" t="n">
        <v>44087.48816723241</v>
      </c>
      <c r="H3" s="27" t="n">
        <v>15725.69043295833</v>
      </c>
      <c r="I3" s="27" t="n">
        <v>0</v>
      </c>
      <c r="J3" s="27" t="n">
        <v>9180</v>
      </c>
      <c r="K3" s="27" t="n">
        <v>2725.2</v>
      </c>
      <c r="L3" s="27" t="n">
        <v>71718.37860019074</v>
      </c>
      <c r="M3" s="29" t="n">
        <v>0.2225877532356016</v>
      </c>
      <c r="N3" s="29" t="n">
        <v>0.24</v>
      </c>
    </row>
    <row r="4" ht="15" customHeight="1">
      <c r="A4" s="26" t="n">
        <v>2027</v>
      </c>
      <c r="B4" s="40" t="n">
        <v>65</v>
      </c>
      <c r="C4" s="40" t="n">
        <v>66</v>
      </c>
      <c r="D4" s="41" t="inlineStr">
        <is>
          <t>MFJ</t>
        </is>
      </c>
      <c r="E4" s="27" t="n">
        <v>273360</v>
      </c>
      <c r="F4" s="27" t="n">
        <v>234220.32</v>
      </c>
      <c r="G4" s="27" t="n">
        <v>41328.9144</v>
      </c>
      <c r="H4" s="27" t="n">
        <v>2170.583796813046</v>
      </c>
      <c r="I4" s="27" t="n">
        <v>887.6799999999999</v>
      </c>
      <c r="J4" s="27" t="n">
        <v>0</v>
      </c>
      <c r="K4" s="27" t="n">
        <v>2167.2</v>
      </c>
      <c r="L4" s="27" t="n">
        <v>50033.63513359291</v>
      </c>
      <c r="M4" s="29" t="n">
        <v>0.1830320278518909</v>
      </c>
      <c r="N4" s="29" t="n">
        <v>0.24</v>
      </c>
    </row>
    <row r="5" ht="15" customHeight="1">
      <c r="A5" s="26" t="n">
        <v>2028</v>
      </c>
      <c r="B5" s="40" t="n">
        <v>66</v>
      </c>
      <c r="C5" s="40" t="n">
        <v>67</v>
      </c>
      <c r="D5" s="41" t="inlineStr">
        <is>
          <t>MFJ</t>
        </is>
      </c>
      <c r="E5" s="27" t="n">
        <v>278827.2000000001</v>
      </c>
      <c r="F5" s="27" t="n">
        <v>239324.7264000001</v>
      </c>
      <c r="G5" s="27" t="n">
        <v>42256.29268800002</v>
      </c>
      <c r="H5" s="27" t="n">
        <v>1615.297053189755</v>
      </c>
      <c r="I5" s="27" t="n">
        <v>1095.433600000003</v>
      </c>
      <c r="J5" s="27" t="n">
        <v>0</v>
      </c>
      <c r="K5" s="27" t="n">
        <v>5450.4</v>
      </c>
      <c r="L5" s="27" t="n">
        <v>52931.28664017492</v>
      </c>
      <c r="M5" s="29" t="n">
        <v>0.1898354487660275</v>
      </c>
      <c r="N5" s="29" t="n">
        <v>0.24</v>
      </c>
    </row>
    <row r="6" ht="15" customHeight="1">
      <c r="A6" s="26" t="n">
        <v>2029</v>
      </c>
      <c r="B6" s="40" t="n">
        <v>67</v>
      </c>
      <c r="C6" s="40" t="n">
        <v>68</v>
      </c>
      <c r="D6" s="41" t="inlineStr">
        <is>
          <t>MFJ</t>
        </is>
      </c>
      <c r="E6" s="27" t="n">
        <v>281484.7492599302</v>
      </c>
      <c r="F6" s="27" t="n">
        <v>242575.1379041694</v>
      </c>
      <c r="G6" s="27" t="n">
        <v>42732.75861604066</v>
      </c>
      <c r="H6" s="27" t="n">
        <v>1610.646421316397</v>
      </c>
      <c r="I6" s="27" t="n">
        <v>0</v>
      </c>
      <c r="J6" s="27" t="n">
        <v>0</v>
      </c>
      <c r="K6" s="27" t="n">
        <v>2167.2</v>
      </c>
      <c r="L6" s="27" t="n">
        <v>46510.60503735706</v>
      </c>
      <c r="M6" s="29" t="n">
        <v>0.1652331259851239</v>
      </c>
      <c r="N6" s="29" t="n">
        <v>0.24</v>
      </c>
    </row>
    <row r="7" ht="15" customHeight="1">
      <c r="A7" s="26" t="n">
        <v>2030</v>
      </c>
      <c r="B7" s="40" t="n">
        <v>68</v>
      </c>
      <c r="C7" s="40" t="n">
        <v>69</v>
      </c>
      <c r="D7" s="41" t="inlineStr">
        <is>
          <t>MFJ</t>
        </is>
      </c>
      <c r="E7" s="27" t="n">
        <v>287184.5138177453</v>
      </c>
      <c r="F7" s="27" t="n">
        <v>250529.0311515053</v>
      </c>
      <c r="G7" s="27" t="n">
        <v>44331.98750578208</v>
      </c>
      <c r="H7" s="27" t="n">
        <v>1375.342072310616</v>
      </c>
      <c r="I7" s="27" t="n">
        <v>0</v>
      </c>
      <c r="J7" s="27" t="n">
        <v>0</v>
      </c>
      <c r="K7" s="27" t="n">
        <v>2167.2</v>
      </c>
      <c r="L7" s="27" t="n">
        <v>47874.52957809269</v>
      </c>
      <c r="M7" s="29" t="n">
        <v>0.1667030333274694</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191780.9034798605</v>
      </c>
      <c r="F12" s="27" t="n">
        <v>151310.2887360346</v>
      </c>
      <c r="G12" s="27" t="n">
        <v>20888.65228174093</v>
      </c>
      <c r="H12" s="27" t="n">
        <v>475.0310965926355</v>
      </c>
      <c r="I12" s="27" t="n">
        <v>0</v>
      </c>
      <c r="J12" s="27" t="n">
        <v>0</v>
      </c>
      <c r="K12" s="27" t="n">
        <v>2167.2</v>
      </c>
      <c r="L12" s="27" t="n">
        <v>23530.88337833357</v>
      </c>
      <c r="M12" s="29" t="n">
        <v>0.1226966968627542</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0</v>
      </c>
      <c r="L14" s="27" t="n">
        <v>22635.27554966751</v>
      </c>
      <c r="M14" s="29" t="n">
        <v>0.112425367742484</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792981.9698706996</v>
      </c>
    </row>
    <row r="36" ht="30" customHeight="1">
      <c r="A36" s="35" t="inlineStr">
        <is>
          <t>Lifetime State Tax (Il)</t>
        </is>
      </c>
      <c r="B36" s="3" t="n"/>
      <c r="C36" s="3" t="n"/>
      <c r="D36" s="3" t="n"/>
      <c r="E36" s="3" t="n"/>
      <c r="F36" s="4" t="n"/>
      <c r="G36" s="42" t="n">
        <v>35268.78770323285</v>
      </c>
    </row>
    <row r="37" ht="30" customHeight="1">
      <c r="A37" s="35" t="inlineStr">
        <is>
          <t>Lifetime NIIT</t>
        </is>
      </c>
      <c r="B37" s="3" t="n"/>
      <c r="C37" s="3" t="n"/>
      <c r="D37" s="3" t="n"/>
      <c r="E37" s="3" t="n"/>
      <c r="F37" s="4" t="n"/>
      <c r="G37" s="42" t="n">
        <v>1983.113600000002</v>
      </c>
    </row>
    <row r="38" ht="30" customHeight="1">
      <c r="A38" s="35" t="inlineStr">
        <is>
          <t>Lifetime Total Tax</t>
        </is>
      </c>
      <c r="B38" s="3" t="n"/>
      <c r="C38" s="3" t="n"/>
      <c r="D38" s="3" t="n"/>
      <c r="E38" s="3" t="n"/>
      <c r="F38" s="4" t="n"/>
      <c r="G38" s="42" t="n">
        <v>873087.3914096974</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(181 days elapsed)</t>
        </is>
      </c>
    </row>
    <row r="2" ht="36" customHeight="1">
      <c r="A2" s="44" t="inlineStr">
        <is>
          <t>Model core spending assumption (annual)</t>
        </is>
      </c>
      <c r="B2" s="45" t="n">
        <v>154158</v>
      </c>
    </row>
    <row r="3" ht="30" customHeight="1">
      <c r="A3" s="44" t="inlineStr">
        <is>
          <t>YTD core spending — actual (181 days)</t>
        </is>
      </c>
      <c r="B3" s="46" t="n">
        <v>78558.53</v>
      </c>
    </row>
    <row r="4" ht="15" customHeight="1">
      <c r="A4" s="44" t="inlineStr">
        <is>
          <t>Annualized at current pace</t>
        </is>
      </c>
      <c r="B4" s="46" t="n">
        <v>158419.14</v>
      </c>
    </row>
    <row r="5" ht="30" customHeight="1">
      <c r="A5" s="44" t="inlineStr">
        <is>
          <t>Annualized vs model (103%  OVER budget)</t>
        </is>
      </c>
      <c r="B5" s="47" t="n">
        <v>4261.140000000014</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6492.52</v>
      </c>
      <c r="D8" s="50" t="n">
        <v>0.04098320067852593</v>
      </c>
      <c r="E8" s="49" t="n">
        <v>5241.37</v>
      </c>
    </row>
    <row r="9" hidden="1" outlineLevel="1" ht="15" customHeight="1">
      <c r="A9" s="12" t="inlineStr">
        <is>
          <t xml:space="preserve">    Auto Insurance</t>
        </is>
      </c>
      <c r="B9" s="27" t="n">
        <v>1164</v>
      </c>
      <c r="C9" s="27" t="n">
        <v>2347.32</v>
      </c>
      <c r="D9" s="29" t="n">
        <v>0.01481697786351145</v>
      </c>
      <c r="E9" s="33" t="inlineStr"/>
    </row>
    <row r="10" hidden="1" outlineLevel="1" ht="15" customHeight="1">
      <c r="A10" s="12" t="inlineStr">
        <is>
          <t xml:space="preserve">    Taxi &amp; Ride Shares</t>
        </is>
      </c>
      <c r="B10" s="27" t="n">
        <v>628.74</v>
      </c>
      <c r="C10" s="27" t="n">
        <v>1267.92</v>
      </c>
      <c r="D10" s="29" t="n">
        <v>0.008003459331532807</v>
      </c>
      <c r="E10" s="33" t="inlineStr"/>
    </row>
    <row r="11" hidden="1" outlineLevel="1" ht="15" customHeight="1">
      <c r="A11" s="12" t="inlineStr">
        <is>
          <t xml:space="preserve">    Auto Fuel</t>
        </is>
      </c>
      <c r="B11" s="27" t="n">
        <v>575.6799999999999</v>
      </c>
      <c r="C11" s="27" t="n">
        <v>1160.92</v>
      </c>
      <c r="D11" s="29" t="n">
        <v>0.007328039361225318</v>
      </c>
      <c r="E11" s="33" t="inlineStr"/>
    </row>
    <row r="12" hidden="1" outlineLevel="1" ht="15" customHeight="1">
      <c r="A12" s="12" t="inlineStr">
        <is>
          <t xml:space="preserve">    Auto Maintenance</t>
        </is>
      </c>
      <c r="B12" s="27" t="n">
        <v>405.86</v>
      </c>
      <c r="C12" s="27" t="n">
        <v>818.46</v>
      </c>
      <c r="D12" s="29" t="n">
        <v>0.005166339034093434</v>
      </c>
      <c r="E12" s="33" t="inlineStr"/>
    </row>
    <row r="13" hidden="1" outlineLevel="1" ht="15" customHeight="1">
      <c r="A13" s="12" t="inlineStr">
        <is>
          <t xml:space="preserve">    Parking &amp; Tolls</t>
        </is>
      </c>
      <c r="B13" s="27" t="n">
        <v>269.8</v>
      </c>
      <c r="C13" s="27" t="n">
        <v>544.08</v>
      </c>
      <c r="D13" s="29" t="n">
        <v>0.003434381982453083</v>
      </c>
      <c r="E13" s="33" t="inlineStr"/>
    </row>
    <row r="14" hidden="1" outlineLevel="1" ht="15" customHeight="1">
      <c r="A14" s="12" t="inlineStr">
        <is>
          <t xml:space="preserve">    Car Wash</t>
        </is>
      </c>
      <c r="B14" s="27" t="n">
        <v>170</v>
      </c>
      <c r="C14" s="27" t="n">
        <v>342.82</v>
      </c>
      <c r="D14" s="29" t="n">
        <v>0.002163991612368511</v>
      </c>
      <c r="E14" s="33" t="inlineStr"/>
    </row>
    <row r="15" hidden="1" outlineLevel="1" ht="15" customHeight="1">
      <c r="A15" s="12" t="inlineStr">
        <is>
          <t xml:space="preserve">    Public Transit</t>
        </is>
      </c>
      <c r="B15" s="27" t="n">
        <v>5.5</v>
      </c>
      <c r="C15" s="27" t="n">
        <v>11.09</v>
      </c>
      <c r="D15" s="29" t="n">
        <v>7.001149334133417e-05</v>
      </c>
      <c r="E15" s="33" t="inlineStr"/>
    </row>
    <row r="16" ht="45" customHeight="1">
      <c r="A16" s="48" t="inlineStr">
        <is>
          <t>Business</t>
        </is>
      </c>
      <c r="B16" s="49" t="n">
        <v>4046.79</v>
      </c>
      <c r="C16" s="49" t="n">
        <v>8160.65</v>
      </c>
      <c r="D16" s="50" t="n">
        <v>0.05151305657068685</v>
      </c>
      <c r="E16" s="51" t="inlineStr"/>
    </row>
    <row r="17" hidden="1" outlineLevel="1" ht="15" customHeight="1">
      <c r="A17" s="12" t="inlineStr">
        <is>
          <t xml:space="preserve">    Business Services</t>
        </is>
      </c>
      <c r="B17" s="27" t="n">
        <v>1577.94</v>
      </c>
      <c r="C17" s="27" t="n">
        <v>3182.07</v>
      </c>
      <c r="D17" s="29" t="n">
        <v>0.02008617014600451</v>
      </c>
      <c r="E17" s="33" t="inlineStr"/>
    </row>
    <row r="18" hidden="1" outlineLevel="1" ht="15" customHeight="1">
      <c r="A18" s="12" t="inlineStr">
        <is>
          <t xml:space="preserve">    Business Memberships</t>
        </is>
      </c>
      <c r="B18" s="27" t="n">
        <v>1004.85</v>
      </c>
      <c r="C18" s="27" t="n">
        <v>2026.38</v>
      </c>
      <c r="D18" s="29" t="n">
        <v>0.01279109983346175</v>
      </c>
      <c r="E18" s="33" t="inlineStr"/>
    </row>
    <row r="19" hidden="1" outlineLevel="1" ht="15" customHeight="1">
      <c r="A19" s="12" t="inlineStr">
        <is>
          <t xml:space="preserve">    Business Travel &amp; Meals</t>
        </is>
      </c>
      <c r="B19" s="27" t="n">
        <v>800.37</v>
      </c>
      <c r="C19" s="27" t="n">
        <v>1614.03</v>
      </c>
      <c r="D19" s="29" t="n">
        <v>0.0101881998046552</v>
      </c>
      <c r="E19" s="33" t="inlineStr"/>
    </row>
    <row r="20" hidden="1" outlineLevel="1" ht="15" customHeight="1">
      <c r="A20" s="12" t="inlineStr">
        <is>
          <t xml:space="preserve">    Business Events</t>
        </is>
      </c>
      <c r="B20" s="27" t="n">
        <v>301.73</v>
      </c>
      <c r="C20" s="27" t="n">
        <v>608.47</v>
      </c>
      <c r="D20" s="29" t="n">
        <v>0.003840830524705592</v>
      </c>
      <c r="E20" s="33" t="inlineStr"/>
    </row>
    <row r="21" hidden="1" outlineLevel="1" ht="30" customHeight="1">
      <c r="A21" s="12" t="inlineStr">
        <is>
          <t xml:space="preserve">    Business Hardware and Software</t>
        </is>
      </c>
      <c r="B21" s="27" t="n">
        <v>162.01</v>
      </c>
      <c r="C21" s="27" t="n">
        <v>326.71</v>
      </c>
      <c r="D21" s="29" t="n">
        <v>0.002062284006587191</v>
      </c>
      <c r="E21" s="33" t="inlineStr"/>
    </row>
    <row r="22" hidden="1" outlineLevel="1" ht="15" customHeight="1">
      <c r="A22" s="12" t="inlineStr">
        <is>
          <t xml:space="preserve">    Business Auto Expenses</t>
        </is>
      </c>
      <c r="B22" s="27" t="n">
        <v>99.73999999999999</v>
      </c>
      <c r="C22" s="27" t="n">
        <v>201.14</v>
      </c>
      <c r="D22" s="29" t="n">
        <v>0.001269626608339031</v>
      </c>
      <c r="E22" s="33" t="inlineStr"/>
    </row>
    <row r="23" hidden="1" outlineLevel="1" ht="30" customHeight="1">
      <c r="A23" s="12" t="inlineStr">
        <is>
          <t xml:space="preserve">    Office Supplies &amp; Expenses</t>
        </is>
      </c>
      <c r="B23" s="27" t="n">
        <v>75.70999999999999</v>
      </c>
      <c r="C23" s="27" t="n">
        <v>152.68</v>
      </c>
      <c r="D23" s="29" t="n">
        <v>0.0009637400292495289</v>
      </c>
      <c r="E23" s="33" t="inlineStr"/>
    </row>
    <row r="24" hidden="1" outlineLevel="1" ht="15" customHeight="1">
      <c r="A24" s="12" t="inlineStr">
        <is>
          <t xml:space="preserve">    Business Taxi - Uber</t>
        </is>
      </c>
      <c r="B24" s="27" t="n">
        <v>24.44</v>
      </c>
      <c r="C24" s="27" t="n">
        <v>49.29</v>
      </c>
      <c r="D24" s="29" t="n">
        <v>0.0003111056176840376</v>
      </c>
      <c r="E24" s="33" t="inlineStr"/>
    </row>
    <row r="25" ht="45" customHeight="1">
      <c r="A25" s="48" t="inlineStr">
        <is>
          <t>Financial</t>
        </is>
      </c>
      <c r="B25" s="49" t="n">
        <v>1958.74</v>
      </c>
      <c r="C25" s="49" t="n">
        <v>3949.95</v>
      </c>
      <c r="D25" s="50" t="n">
        <v>0.02493351135770998</v>
      </c>
      <c r="E25" s="49" t="n">
        <v>3853.95</v>
      </c>
    </row>
    <row r="26" hidden="1" outlineLevel="1" ht="15" customHeight="1">
      <c r="A26" s="12" t="inlineStr">
        <is>
          <t xml:space="preserve">    Cash &amp; ATM</t>
        </is>
      </c>
      <c r="B26" s="27" t="n">
        <v>1116.26</v>
      </c>
      <c r="C26" s="27" t="n">
        <v>2251.05</v>
      </c>
      <c r="D26" s="29" t="n">
        <v>0.01420927810130867</v>
      </c>
      <c r="E26" s="33" t="inlineStr"/>
    </row>
    <row r="27" hidden="1" outlineLevel="1" ht="30" customHeight="1">
      <c r="A27" s="12" t="inlineStr">
        <is>
          <t xml:space="preserve">    Financial &amp; Legal Services</t>
        </is>
      </c>
      <c r="B27" s="27" t="n">
        <v>749.99</v>
      </c>
      <c r="C27" s="27" t="n">
        <v>1512.43</v>
      </c>
      <c r="D27" s="29" t="n">
        <v>0.009546894525648584</v>
      </c>
      <c r="E27" s="33" t="inlineStr"/>
    </row>
    <row r="28" hidden="1" outlineLevel="1" ht="15" customHeight="1">
      <c r="A28" s="12" t="inlineStr">
        <is>
          <t xml:space="preserve">    Financial Fees</t>
        </is>
      </c>
      <c r="B28" s="27" t="n">
        <v>92.48999999999999</v>
      </c>
      <c r="C28" s="27" t="n">
        <v>186.52</v>
      </c>
      <c r="D28" s="29" t="n">
        <v>0.001177338730752727</v>
      </c>
      <c r="E28" s="33" t="inlineStr"/>
    </row>
    <row r="29" ht="45" customHeight="1">
      <c r="A29" s="48" t="inlineStr">
        <is>
          <t>Food &amp; Dining</t>
        </is>
      </c>
      <c r="B29" s="49" t="n">
        <v>16116.37</v>
      </c>
      <c r="C29" s="49" t="n">
        <v>32499.86</v>
      </c>
      <c r="D29" s="50" t="n">
        <v>0.2051511147166323</v>
      </c>
      <c r="E29" s="49" t="n">
        <v>25744.39</v>
      </c>
    </row>
    <row r="30" hidden="1" outlineLevel="1" ht="15" customHeight="1">
      <c r="A30" s="12" t="inlineStr">
        <is>
          <t xml:space="preserve">    Restaurants &amp; Bars</t>
        </is>
      </c>
      <c r="B30" s="27" t="n">
        <v>7857.88</v>
      </c>
      <c r="C30" s="27" t="n">
        <v>15846.2</v>
      </c>
      <c r="D30" s="29" t="n">
        <v>0.1000258024176369</v>
      </c>
      <c r="E30" s="33" t="inlineStr"/>
    </row>
    <row r="31" hidden="1" outlineLevel="1" ht="15" customHeight="1">
      <c r="A31" s="12" t="inlineStr">
        <is>
          <t xml:space="preserve">    Groceries</t>
        </is>
      </c>
      <c r="B31" s="27" t="n">
        <v>7175.5</v>
      </c>
      <c r="C31" s="27" t="n">
        <v>14470.11</v>
      </c>
      <c r="D31" s="29" t="n">
        <v>0.09133954008558968</v>
      </c>
      <c r="E31" s="33" t="inlineStr"/>
    </row>
    <row r="32" hidden="1" outlineLevel="1" ht="15" customHeight="1">
      <c r="A32" s="12" t="inlineStr">
        <is>
          <t xml:space="preserve">    Fast Food</t>
        </is>
      </c>
      <c r="B32" s="27" t="n">
        <v>884.34</v>
      </c>
      <c r="C32" s="27" t="n">
        <v>1783.36</v>
      </c>
      <c r="D32" s="29" t="n">
        <v>0.01125708436754099</v>
      </c>
      <c r="E32" s="33" t="inlineStr"/>
    </row>
    <row r="33" hidden="1" outlineLevel="1" ht="15" customHeight="1">
      <c r="A33" s="12" t="inlineStr">
        <is>
          <t xml:space="preserve">    Coffee Shops</t>
        </is>
      </c>
      <c r="B33" s="27" t="n">
        <v>198.65</v>
      </c>
      <c r="C33" s="27" t="n">
        <v>400.6</v>
      </c>
      <c r="D33" s="29" t="n">
        <v>0.002528687845864733</v>
      </c>
      <c r="E33" s="33" t="inlineStr"/>
    </row>
    <row r="34" ht="45" customHeight="1">
      <c r="A34" s="48" t="inlineStr">
        <is>
          <t>Gifts Charity</t>
        </is>
      </c>
      <c r="B34" s="49" t="n">
        <v>42411.79</v>
      </c>
      <c r="C34" s="49" t="n">
        <v>85526.53999999999</v>
      </c>
      <c r="D34" s="50" t="n">
        <v>0.5398750460325569</v>
      </c>
      <c r="E34" s="51" t="inlineStr"/>
    </row>
    <row r="35" hidden="1" outlineLevel="1" ht="15" customHeight="1">
      <c r="A35" s="12" t="inlineStr">
        <is>
          <t xml:space="preserve">    Gifts - Family 12</t>
        </is>
      </c>
      <c r="B35" s="27" t="n">
        <v>40868.65</v>
      </c>
      <c r="C35" s="27" t="n">
        <v>82415.72</v>
      </c>
      <c r="D35" s="29" t="n">
        <v>0.5202318576989666</v>
      </c>
      <c r="E35" s="33" t="inlineStr"/>
    </row>
    <row r="36" hidden="1" outlineLevel="1" ht="15" customHeight="1">
      <c r="A36" s="12" t="inlineStr">
        <is>
          <t xml:space="preserve">    Gifts - Other</t>
        </is>
      </c>
      <c r="B36" s="27" t="n">
        <v>813.14</v>
      </c>
      <c r="C36" s="27" t="n">
        <v>1639.78</v>
      </c>
      <c r="D36" s="29" t="n">
        <v>0.01035075376283136</v>
      </c>
      <c r="E36" s="33" t="inlineStr"/>
    </row>
    <row r="37" hidden="1" outlineLevel="1" ht="15" customHeight="1">
      <c r="A37" s="12" t="inlineStr">
        <is>
          <t xml:space="preserve">    Church</t>
        </is>
      </c>
      <c r="B37" s="27" t="n">
        <v>625</v>
      </c>
      <c r="C37" s="27" t="n">
        <v>1260.38</v>
      </c>
      <c r="D37" s="29" t="n">
        <v>0.007955851516060701</v>
      </c>
      <c r="E37" s="33" t="inlineStr"/>
    </row>
    <row r="38" hidden="1" outlineLevel="1" ht="15" customHeight="1">
      <c r="A38" s="12" t="inlineStr">
        <is>
          <t xml:space="preserve">    Donation</t>
        </is>
      </c>
      <c r="B38" s="27" t="n">
        <v>105</v>
      </c>
      <c r="C38" s="27" t="n">
        <v>211.74</v>
      </c>
      <c r="D38" s="29" t="n">
        <v>0.001336583054698198</v>
      </c>
      <c r="E38" s="33" t="inlineStr"/>
    </row>
    <row r="39" ht="45" customHeight="1">
      <c r="A39" s="48" t="inlineStr">
        <is>
          <t>Lifestyle</t>
        </is>
      </c>
      <c r="B39" s="49" t="n">
        <v>8481.84</v>
      </c>
      <c r="C39" s="49" t="n">
        <v>17104.26</v>
      </c>
      <c r="D39" s="50" t="n">
        <v>0.1079684153967749</v>
      </c>
      <c r="E39" s="49" t="n">
        <v>24973.6</v>
      </c>
    </row>
    <row r="40" hidden="1" outlineLevel="1" ht="15" customHeight="1">
      <c r="A40" s="12" t="inlineStr">
        <is>
          <t xml:space="preserve">    Cubs Tickets</t>
        </is>
      </c>
      <c r="B40" s="27" t="n">
        <v>5076.64</v>
      </c>
      <c r="C40" s="27" t="n">
        <v>10237.55</v>
      </c>
      <c r="D40" s="29" t="n">
        <v>0.06462239046479104</v>
      </c>
      <c r="E40" s="33" t="inlineStr"/>
    </row>
    <row r="41" hidden="1" outlineLevel="1" ht="15" customHeight="1">
      <c r="A41" s="12" t="inlineStr">
        <is>
          <t xml:space="preserve">    Hair/Make-up</t>
        </is>
      </c>
      <c r="B41" s="27" t="n">
        <v>1754.09</v>
      </c>
      <c r="C41" s="27" t="n">
        <v>3537.3</v>
      </c>
      <c r="D41" s="29" t="n">
        <v>0.02232844733729106</v>
      </c>
      <c r="E41" s="33" t="inlineStr"/>
    </row>
    <row r="42" hidden="1" outlineLevel="1" ht="15" customHeight="1">
      <c r="A42" s="12" t="inlineStr">
        <is>
          <t xml:space="preserve">    Electronics</t>
        </is>
      </c>
      <c r="B42" s="27" t="n">
        <v>614.58</v>
      </c>
      <c r="C42" s="27" t="n">
        <v>1239.36</v>
      </c>
      <c r="D42" s="29" t="n">
        <v>0.007823211559584937</v>
      </c>
      <c r="E42" s="33" t="inlineStr"/>
    </row>
    <row r="43" hidden="1" outlineLevel="1" ht="15" customHeight="1">
      <c r="A43" s="12" t="inlineStr">
        <is>
          <t xml:space="preserve">    Mani-Pedi</t>
        </is>
      </c>
      <c r="B43" s="27" t="n">
        <v>524.77</v>
      </c>
      <c r="C43" s="27" t="n">
        <v>1058.25</v>
      </c>
      <c r="D43" s="29" t="n">
        <v>0.006679987520133077</v>
      </c>
      <c r="E43" s="33" t="inlineStr"/>
    </row>
    <row r="44" hidden="1" outlineLevel="1" ht="15" customHeight="1">
      <c r="A44" s="12" t="inlineStr">
        <is>
          <t xml:space="preserve">    Personal</t>
        </is>
      </c>
      <c r="B44" s="27" t="n">
        <v>360</v>
      </c>
      <c r="C44" s="27" t="n">
        <v>725.98</v>
      </c>
      <c r="D44" s="29" t="n">
        <v>0.004582570473250964</v>
      </c>
      <c r="E44" s="33" t="inlineStr"/>
    </row>
    <row r="45" hidden="1" outlineLevel="1" ht="15" customHeight="1">
      <c r="A45" s="12" t="inlineStr">
        <is>
          <t xml:space="preserve">    Movie Theater</t>
        </is>
      </c>
      <c r="B45" s="27" t="n">
        <v>151.76</v>
      </c>
      <c r="C45" s="27" t="n">
        <v>306.04</v>
      </c>
      <c r="D45" s="29" t="n">
        <v>0.001931808041723795</v>
      </c>
      <c r="E45" s="33" t="inlineStr"/>
    </row>
    <row r="46" ht="45" customHeight="1">
      <c r="A46" s="48" t="inlineStr">
        <is>
          <t>Other</t>
        </is>
      </c>
      <c r="B46" s="49" t="n">
        <v>20.6</v>
      </c>
      <c r="C46" s="49" t="n">
        <v>41.54</v>
      </c>
      <c r="D46" s="50" t="n">
        <v>0.0002622248659693607</v>
      </c>
      <c r="E46" s="49" t="n">
        <v>5087.21</v>
      </c>
    </row>
    <row r="47" hidden="1" outlineLevel="1" ht="15" customHeight="1">
      <c r="A47" s="12" t="inlineStr">
        <is>
          <t xml:space="preserve">    Postage &amp; Shipping</t>
        </is>
      </c>
      <c r="B47" s="27" t="n">
        <v>20.6</v>
      </c>
      <c r="C47" s="27" t="n">
        <v>41.54</v>
      </c>
      <c r="D47" s="29" t="n">
        <v>0.0002622248659693607</v>
      </c>
      <c r="E47" s="33" t="inlineStr"/>
    </row>
    <row r="48" ht="45" customHeight="1">
      <c r="A48" s="48" t="inlineStr">
        <is>
          <t>Shopping</t>
        </is>
      </c>
      <c r="B48" s="49" t="n">
        <v>6349.61</v>
      </c>
      <c r="C48" s="49" t="n">
        <v>12804.46</v>
      </c>
      <c r="D48" s="50" t="n">
        <v>0.08082648695183069</v>
      </c>
      <c r="E48" s="49" t="n">
        <v>10945.22</v>
      </c>
    </row>
    <row r="49" hidden="1" outlineLevel="1" ht="15" customHeight="1">
      <c r="A49" s="12" t="inlineStr">
        <is>
          <t xml:space="preserve">    Clothing &amp; Jewelry</t>
        </is>
      </c>
      <c r="B49" s="27" t="n">
        <v>6326.62</v>
      </c>
      <c r="C49" s="27" t="n">
        <v>12758.26</v>
      </c>
      <c r="D49" s="29" t="n">
        <v>0.08053383890966391</v>
      </c>
      <c r="E49" s="33" t="inlineStr"/>
    </row>
    <row r="50" hidden="1" outlineLevel="1" ht="15" customHeight="1">
      <c r="A50" s="12" t="inlineStr">
        <is>
          <t xml:space="preserve">    Shopping</t>
        </is>
      </c>
      <c r="B50" s="27" t="n">
        <v>22.99</v>
      </c>
      <c r="C50" s="27" t="n">
        <v>46.36</v>
      </c>
      <c r="D50" s="29" t="n">
        <v>0.0002926480421667768</v>
      </c>
      <c r="E50" s="33" t="inlineStr"/>
    </row>
    <row r="51"/>
    <row r="52" ht="30" customHeight="1">
      <c r="A52" s="11" t="inlineStr">
        <is>
          <t>TOTAL CORE SPENDING</t>
        </is>
      </c>
      <c r="B52" s="30" t="n">
        <v>78558.53</v>
      </c>
      <c r="C52" s="30" t="n">
        <v>158419.14</v>
      </c>
      <c r="D52" s="31" t="n">
        <v>1</v>
      </c>
      <c r="E52" s="30" t="n">
        <v>75845.73999999999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(181 days elapsed)</t>
        </is>
      </c>
    </row>
    <row r="2" ht="36" customHeight="1">
      <c r="A2" s="44" t="inlineStr">
        <is>
          <t>YTD total spending — actual (181 days)</t>
        </is>
      </c>
      <c r="B2" s="45" t="n">
        <v>178072.81</v>
      </c>
    </row>
    <row r="3" ht="15" customHeight="1">
      <c r="A3" s="44" t="inlineStr">
        <is>
          <t>Annualized at current pace</t>
        </is>
      </c>
      <c r="B3" s="46" t="n">
        <v>359097.1</v>
      </c>
    </row>
    <row r="4" ht="30" customHeight="1">
      <c r="A4" s="44" t="inlineStr">
        <is>
          <t>Total annual budget (categories with budgets set)</t>
        </is>
      </c>
      <c r="B4" s="46" t="n">
        <v>337953</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710843.39</v>
      </c>
      <c r="D7" s="59" t="inlineStr"/>
      <c r="E7" s="59" t="inlineStr"/>
      <c r="F7" s="60" t="n">
        <v>1.979529721578493</v>
      </c>
    </row>
    <row r="8" hidden="1" outlineLevel="1" ht="45" customHeight="1">
      <c r="A8" s="6" t="inlineStr">
        <is>
          <t xml:space="preserve">  Income</t>
        </is>
      </c>
      <c r="B8" s="61" t="n">
        <v>352500.42</v>
      </c>
      <c r="C8" s="61" t="n">
        <v>710843.39</v>
      </c>
      <c r="D8" s="62" t="inlineStr"/>
      <c r="E8" s="62" t="inlineStr"/>
      <c r="F8" s="63" t="n">
        <v>1.979529721578493</v>
      </c>
    </row>
    <row r="9" hidden="1" outlineLevel="2" ht="30" customHeight="1">
      <c r="A9" s="12" t="inlineStr">
        <is>
          <t xml:space="preserve">    Dividends &amp; Capital Gains</t>
        </is>
      </c>
      <c r="B9" s="27" t="n">
        <v>14994.06</v>
      </c>
      <c r="C9" s="27" t="n">
        <v>30236.64</v>
      </c>
      <c r="D9" s="64" t="inlineStr"/>
      <c r="E9" s="64" t="inlineStr"/>
      <c r="F9" s="29" t="n">
        <v>0.08420184979391294</v>
      </c>
    </row>
    <row r="10" hidden="1" outlineLevel="2" ht="15" customHeight="1">
      <c r="A10" s="12" t="inlineStr">
        <is>
          <t xml:space="preserve">    Interest</t>
        </is>
      </c>
      <c r="B10" s="27" t="n">
        <v>2.88</v>
      </c>
      <c r="C10" s="27" t="n">
        <v>5.81</v>
      </c>
      <c r="D10" s="64" t="inlineStr"/>
      <c r="E10" s="64" t="inlineStr"/>
      <c r="F10" s="29" t="n">
        <v>1.617315973168503e-05</v>
      </c>
    </row>
    <row r="11" hidden="1" outlineLevel="2" ht="15" customHeight="1">
      <c r="A11" s="12" t="inlineStr">
        <is>
          <t xml:space="preserve">    Other Income</t>
        </is>
      </c>
      <c r="B11" s="27" t="n">
        <v>6.85</v>
      </c>
      <c r="C11" s="27" t="n">
        <v>13.81</v>
      </c>
      <c r="D11" s="64" t="inlineStr"/>
      <c r="E11" s="64" t="inlineStr"/>
      <c r="F11" s="29" t="n">
        <v>3.846741116737586e-05</v>
      </c>
    </row>
    <row r="12" hidden="1" outlineLevel="2" ht="15" customHeight="1">
      <c r="A12" s="12" t="inlineStr">
        <is>
          <t xml:space="preserve">    Paychecks</t>
        </is>
      </c>
      <c r="B12" s="27" t="n">
        <v>236950</v>
      </c>
      <c r="C12" s="27" t="n">
        <v>477827.35</v>
      </c>
      <c r="D12" s="64" t="inlineStr"/>
      <c r="E12" s="64" t="inlineStr"/>
      <c r="F12" s="29" t="n">
        <v>1.330635485563461</v>
      </c>
    </row>
    <row r="13" hidden="1" outlineLevel="2" ht="15" customHeight="1">
      <c r="A13" s="12" t="inlineStr">
        <is>
          <t xml:space="preserve">    RedMane Annual Note P&amp;I</t>
        </is>
      </c>
      <c r="B13" s="27" t="n">
        <v>100546.63</v>
      </c>
      <c r="C13" s="27" t="n">
        <v>202759.78</v>
      </c>
      <c r="D13" s="64" t="inlineStr"/>
      <c r="E13" s="64" t="inlineStr"/>
      <c r="F13" s="29" t="n">
        <v>0.5646377456502203</v>
      </c>
    </row>
    <row r="14" ht="45" customHeight="1">
      <c r="A14" s="57" t="inlineStr">
        <is>
          <t>Core Expenses</t>
        </is>
      </c>
      <c r="B14" s="58" t="n">
        <v>73407.7</v>
      </c>
      <c r="C14" s="58" t="n">
        <v>148032.1</v>
      </c>
      <c r="D14" s="58" t="n">
        <v>137241</v>
      </c>
      <c r="E14" s="65" t="n">
        <v>10791.10000000001</v>
      </c>
      <c r="F14" s="60" t="n">
        <v>0.4122341866790331</v>
      </c>
    </row>
    <row r="15" hidden="1" outlineLevel="1" ht="45" customHeight="1">
      <c r="A15" s="6" t="inlineStr">
        <is>
          <t xml:space="preserve">  Auto &amp; Transport</t>
        </is>
      </c>
      <c r="B15" s="61" t="n">
        <v>3219.58</v>
      </c>
      <c r="C15" s="61" t="n">
        <v>6492.52</v>
      </c>
      <c r="D15" s="61" t="n">
        <v>6036</v>
      </c>
      <c r="E15" s="66" t="n">
        <v>456.5200000000004</v>
      </c>
      <c r="F15" s="63" t="n">
        <v>0.01808013250310364</v>
      </c>
    </row>
    <row r="16" hidden="1" outlineLevel="2" ht="15" customHeight="1">
      <c r="A16" s="12" t="inlineStr">
        <is>
          <t xml:space="preserve">    Auto Fuel</t>
        </is>
      </c>
      <c r="B16" s="27" t="n">
        <v>575.6799999999999</v>
      </c>
      <c r="C16" s="27" t="n">
        <v>1160.9</v>
      </c>
      <c r="D16" s="27" t="n">
        <v>950</v>
      </c>
      <c r="E16" s="67" t="n">
        <v>210.9000000000001</v>
      </c>
      <c r="F16" s="29" t="n">
        <v>0.003232834928589042</v>
      </c>
    </row>
    <row r="17" hidden="1" outlineLevel="2" ht="15" customHeight="1">
      <c r="A17" s="12" t="inlineStr">
        <is>
          <t xml:space="preserve">    Auto Insurance</t>
        </is>
      </c>
      <c r="B17" s="27" t="n">
        <v>1164</v>
      </c>
      <c r="C17" s="27" t="n">
        <v>2347.29</v>
      </c>
      <c r="D17" s="27" t="n">
        <v>2442</v>
      </c>
      <c r="E17" s="27" t="n">
        <v>-94.71000000000004</v>
      </c>
      <c r="F17" s="29" t="n">
        <v>0.006536652058222701</v>
      </c>
    </row>
    <row r="18" hidden="1" outlineLevel="2" ht="15" customHeight="1">
      <c r="A18" s="12" t="inlineStr">
        <is>
          <t xml:space="preserve">    Auto Maintenance</t>
        </is>
      </c>
      <c r="B18" s="27" t="n">
        <v>405.86</v>
      </c>
      <c r="C18" s="27" t="n">
        <v>818.45</v>
      </c>
      <c r="D18" s="27" t="n">
        <v>851</v>
      </c>
      <c r="E18" s="27" t="n">
        <v>-32.54999999999995</v>
      </c>
      <c r="F18" s="29" t="n">
        <v>0.002279180072465864</v>
      </c>
    </row>
    <row r="19" hidden="1" outlineLevel="2" ht="15" customHeight="1">
      <c r="A19" s="12" t="inlineStr">
        <is>
          <t xml:space="preserve">    Car Wash</t>
        </is>
      </c>
      <c r="B19" s="27" t="n">
        <v>170</v>
      </c>
      <c r="C19" s="27" t="n">
        <v>342.82</v>
      </c>
      <c r="D19" s="27" t="n">
        <v>266</v>
      </c>
      <c r="E19" s="67" t="n">
        <v>76.81999999999999</v>
      </c>
      <c r="F19" s="29" t="n">
        <v>0.0009546656786064082</v>
      </c>
    </row>
    <row r="20" hidden="1" outlineLevel="2" ht="15" customHeight="1">
      <c r="A20" s="12" t="inlineStr">
        <is>
          <t xml:space="preserve">    Parking / Tolls</t>
        </is>
      </c>
      <c r="B20" s="27" t="n">
        <v>269.8</v>
      </c>
      <c r="C20" s="27" t="n">
        <v>544.0700000000001</v>
      </c>
      <c r="D20" s="27" t="n">
        <v>535</v>
      </c>
      <c r="E20" s="67" t="n">
        <v>9.07000000000005</v>
      </c>
      <c r="F20" s="29" t="n">
        <v>0.001515110588752994</v>
      </c>
    </row>
    <row r="21" hidden="1" outlineLevel="2" ht="15" customHeight="1">
      <c r="A21" s="12" t="inlineStr">
        <is>
          <t xml:space="preserve">    Public Transit</t>
        </is>
      </c>
      <c r="B21" s="27" t="n">
        <v>5.5</v>
      </c>
      <c r="C21" s="27" t="n">
        <v>11.09</v>
      </c>
      <c r="D21" s="27" t="n">
        <v>20</v>
      </c>
      <c r="E21" s="27" t="n">
        <v>-8.91</v>
      </c>
      <c r="F21" s="29" t="n">
        <v>3.08862425431485e-05</v>
      </c>
    </row>
    <row r="22" hidden="1" outlineLevel="2" ht="15" customHeight="1">
      <c r="A22" s="12" t="inlineStr">
        <is>
          <t xml:space="preserve">    Taxi &amp; Ride Shares</t>
        </is>
      </c>
      <c r="B22" s="27" t="n">
        <v>628.74</v>
      </c>
      <c r="C22" s="27" t="n">
        <v>1267.9</v>
      </c>
      <c r="D22" s="27" t="n">
        <v>972</v>
      </c>
      <c r="E22" s="67" t="n">
        <v>295.9000000000001</v>
      </c>
      <c r="F22" s="29" t="n">
        <v>0.003530802933923489</v>
      </c>
    </row>
    <row r="23" hidden="1" outlineLevel="1" ht="45" customHeight="1">
      <c r="A23" s="6" t="inlineStr">
        <is>
          <t xml:space="preserve">  Financial</t>
        </is>
      </c>
      <c r="B23" s="61" t="n">
        <v>1958.74</v>
      </c>
      <c r="C23" s="61" t="n">
        <v>3949.95</v>
      </c>
      <c r="D23" s="61" t="n">
        <v>2494</v>
      </c>
      <c r="E23" s="66" t="n">
        <v>1455.95</v>
      </c>
      <c r="F23" s="63" t="n">
        <v>0.01099965794890304</v>
      </c>
    </row>
    <row r="24" hidden="1" outlineLevel="2" ht="15" customHeight="1">
      <c r="A24" s="12" t="inlineStr">
        <is>
          <t xml:space="preserve">    Cash &amp; ATM</t>
        </is>
      </c>
      <c r="B24" s="27" t="n">
        <v>1116.26</v>
      </c>
      <c r="C24" s="27" t="n">
        <v>2251.02</v>
      </c>
      <c r="D24" s="27" t="n">
        <v>2090</v>
      </c>
      <c r="E24" s="67" t="n">
        <v>161.02</v>
      </c>
      <c r="F24" s="29" t="n">
        <v>0.006268559472948172</v>
      </c>
    </row>
    <row r="25" hidden="1" outlineLevel="2" ht="30" customHeight="1">
      <c r="A25" s="12" t="inlineStr">
        <is>
          <t xml:space="preserve">    Financial &amp; Legal Services</t>
        </is>
      </c>
      <c r="B25" s="27" t="n">
        <v>749.99</v>
      </c>
      <c r="C25" s="27" t="n">
        <v>1512.41</v>
      </c>
      <c r="D25" s="27" t="n">
        <v>210</v>
      </c>
      <c r="E25" s="67" t="n">
        <v>1302.41</v>
      </c>
      <c r="F25" s="29" t="n">
        <v>0.004211704189988353</v>
      </c>
    </row>
    <row r="26" hidden="1" outlineLevel="2" ht="15" customHeight="1">
      <c r="A26" s="12" t="inlineStr">
        <is>
          <t xml:space="preserve">    Financial Fees</t>
        </is>
      </c>
      <c r="B26" s="27" t="n">
        <v>92.48999999999999</v>
      </c>
      <c r="C26" s="27" t="n">
        <v>186.51</v>
      </c>
      <c r="D26" s="27" t="n">
        <v>194</v>
      </c>
      <c r="E26" s="27" t="n">
        <v>-7.490000000000009</v>
      </c>
      <c r="F26" s="29" t="n">
        <v>0.00051939428596651</v>
      </c>
    </row>
    <row r="27" hidden="1" outlineLevel="1" ht="45" customHeight="1">
      <c r="A27" s="6" t="inlineStr">
        <is>
          <t xml:space="preserve">  Food &amp; Dining</t>
        </is>
      </c>
      <c r="B27" s="61" t="n">
        <v>15769.65</v>
      </c>
      <c r="C27" s="61" t="n">
        <v>31800.68</v>
      </c>
      <c r="D27" s="61" t="n">
        <v>25443</v>
      </c>
      <c r="E27" s="66" t="n">
        <v>6357.68</v>
      </c>
      <c r="F27" s="63" t="n">
        <v>0.0885573154037385</v>
      </c>
    </row>
    <row r="28" hidden="1" outlineLevel="2" ht="15" customHeight="1">
      <c r="A28" s="12" t="inlineStr">
        <is>
          <t xml:space="preserve">    Coffee Shops</t>
        </is>
      </c>
      <c r="B28" s="27" t="n">
        <v>198.65</v>
      </c>
      <c r="C28" s="27" t="n">
        <v>400.59</v>
      </c>
      <c r="D28" s="27" t="n">
        <v>218</v>
      </c>
      <c r="E28" s="67" t="n">
        <v>182.59</v>
      </c>
      <c r="F28" s="29" t="n">
        <v>0.0011155549238539</v>
      </c>
    </row>
    <row r="29" hidden="1" outlineLevel="2" ht="15" customHeight="1">
      <c r="A29" s="12" t="inlineStr">
        <is>
          <t xml:space="preserve">    Fast Food / Takeout</t>
        </is>
      </c>
      <c r="B29" s="27" t="n">
        <v>884.34</v>
      </c>
      <c r="C29" s="27" t="n">
        <v>1783.34</v>
      </c>
      <c r="D29" s="27" t="n">
        <v>1352</v>
      </c>
      <c r="E29" s="67" t="n">
        <v>431.3399999999999</v>
      </c>
      <c r="F29" s="29" t="n">
        <v>0.004966170860110536</v>
      </c>
    </row>
    <row r="30" hidden="1" outlineLevel="2" ht="15" customHeight="1">
      <c r="A30" s="12" t="inlineStr">
        <is>
          <t xml:space="preserve">    Groceries</t>
        </is>
      </c>
      <c r="B30" s="27" t="n">
        <v>7079.89</v>
      </c>
      <c r="C30" s="27" t="n">
        <v>14277.13</v>
      </c>
      <c r="D30" s="27" t="n">
        <v>10568</v>
      </c>
      <c r="E30" s="67" t="n">
        <v>3709.129999999999</v>
      </c>
      <c r="F30" s="29" t="n">
        <v>0.03975839994887485</v>
      </c>
    </row>
    <row r="31" hidden="1" outlineLevel="2" ht="15" customHeight="1">
      <c r="A31" s="12" t="inlineStr">
        <is>
          <t xml:space="preserve">    Restaurants &amp; Bars</t>
        </is>
      </c>
      <c r="B31" s="27" t="n">
        <v>7606.77</v>
      </c>
      <c r="C31" s="27" t="n">
        <v>15339.62</v>
      </c>
      <c r="D31" s="27" t="n">
        <v>13305</v>
      </c>
      <c r="E31" s="67" t="n">
        <v>2034.620000000001</v>
      </c>
      <c r="F31" s="29" t="n">
        <v>0.04271718967089923</v>
      </c>
    </row>
    <row r="32" hidden="1" outlineLevel="1" ht="45" customHeight="1">
      <c r="A32" s="6" t="inlineStr">
        <is>
          <t xml:space="preserve">  Gifts Charity</t>
        </is>
      </c>
      <c r="B32" s="61" t="n">
        <v>42411.79</v>
      </c>
      <c r="C32" s="61" t="n">
        <v>85526.53999999999</v>
      </c>
      <c r="D32" s="61" t="n">
        <v>71260</v>
      </c>
      <c r="E32" s="66" t="n">
        <v>14266.53999999999</v>
      </c>
      <c r="F32" s="63" t="n">
        <v>0.2381710604780146</v>
      </c>
    </row>
    <row r="33" hidden="1" outlineLevel="2" ht="15" customHeight="1">
      <c r="A33" s="12" t="inlineStr">
        <is>
          <t xml:space="preserve">    Charitable Donations</t>
        </is>
      </c>
      <c r="B33" s="27" t="n">
        <v>0</v>
      </c>
      <c r="C33" s="27" t="n">
        <v>0</v>
      </c>
      <c r="D33" s="27" t="n">
        <v>5000</v>
      </c>
      <c r="E33" s="27" t="n">
        <v>-5000</v>
      </c>
      <c r="F33" s="29" t="n">
        <v>0</v>
      </c>
    </row>
    <row r="34" hidden="1" outlineLevel="2" ht="15" customHeight="1">
      <c r="A34" s="12" t="inlineStr">
        <is>
          <t xml:space="preserve">    Church</t>
        </is>
      </c>
      <c r="B34" s="27" t="n">
        <v>625</v>
      </c>
      <c r="C34" s="27" t="n">
        <v>1260.36</v>
      </c>
      <c r="D34" s="27" t="n">
        <v>1101</v>
      </c>
      <c r="E34" s="67" t="n">
        <v>159.3599999999999</v>
      </c>
      <c r="F34" s="29" t="n">
        <v>0.003509800288994148</v>
      </c>
    </row>
    <row r="35" hidden="1" outlineLevel="2" ht="15" customHeight="1">
      <c r="A35" s="12" t="inlineStr">
        <is>
          <t xml:space="preserve">    Donation</t>
        </is>
      </c>
      <c r="B35" s="27" t="n">
        <v>105</v>
      </c>
      <c r="C35" s="27" t="n">
        <v>211.74</v>
      </c>
      <c r="D35" s="27" t="n">
        <v>220</v>
      </c>
      <c r="E35" s="27" t="n">
        <v>-8.259999999999991</v>
      </c>
      <c r="F35" s="29" t="n">
        <v>0.0005896464485510168</v>
      </c>
    </row>
    <row r="36" hidden="1" outlineLevel="2" ht="15" customHeight="1">
      <c r="A36" s="12" t="inlineStr">
        <is>
          <t xml:space="preserve">    Gifts - Family 12</t>
        </is>
      </c>
      <c r="B36" s="27" t="n">
        <v>40868.65</v>
      </c>
      <c r="C36" s="27" t="n">
        <v>82414.67999999999</v>
      </c>
      <c r="D36" s="27" t="n">
        <v>64169</v>
      </c>
      <c r="E36" s="67" t="n">
        <v>18245.67999999999</v>
      </c>
      <c r="F36" s="29" t="n">
        <v>0.2295052793292811</v>
      </c>
    </row>
    <row r="37" hidden="1" outlineLevel="2" ht="15" customHeight="1">
      <c r="A37" s="12" t="inlineStr">
        <is>
          <t xml:space="preserve">    Gifts - Other</t>
        </is>
      </c>
      <c r="B37" s="27" t="n">
        <v>813.14</v>
      </c>
      <c r="C37" s="27" t="n">
        <v>1639.76</v>
      </c>
      <c r="D37" s="27" t="n">
        <v>770</v>
      </c>
      <c r="E37" s="67" t="n">
        <v>869.76</v>
      </c>
      <c r="F37" s="29" t="n">
        <v>0.004566334411188322</v>
      </c>
    </row>
    <row r="38" hidden="1" outlineLevel="1" ht="45" customHeight="1">
      <c r="A38" s="6" t="inlineStr">
        <is>
          <t xml:space="preserve">  Lifestyle</t>
        </is>
      </c>
      <c r="B38" s="61" t="n">
        <v>5822.34</v>
      </c>
      <c r="C38" s="61" t="n">
        <v>11741.18</v>
      </c>
      <c r="D38" s="61" t="n">
        <v>15224</v>
      </c>
      <c r="E38" s="61" t="n">
        <v>-3482.82</v>
      </c>
      <c r="F38" s="63" t="n">
        <v>0.0326964009833955</v>
      </c>
    </row>
    <row r="39" hidden="1" outlineLevel="2" ht="15" customHeight="1">
      <c r="A39" s="12" t="inlineStr">
        <is>
          <t xml:space="preserve">    Cubs Tickets</t>
        </is>
      </c>
      <c r="B39" s="27" t="n">
        <v>2417.14</v>
      </c>
      <c r="C39" s="27" t="n">
        <v>4874.34</v>
      </c>
      <c r="D39" s="27" t="n">
        <v>10649</v>
      </c>
      <c r="E39" s="27" t="n">
        <v>-5774.66</v>
      </c>
      <c r="F39" s="29" t="n">
        <v>0.0135738858728629</v>
      </c>
    </row>
    <row r="40" hidden="1" outlineLevel="2" ht="15" customHeight="1">
      <c r="A40" s="12" t="inlineStr">
        <is>
          <t xml:space="preserve">    Electronics</t>
        </is>
      </c>
      <c r="B40" s="27" t="n">
        <v>614.58</v>
      </c>
      <c r="C40" s="27" t="n">
        <v>1239.35</v>
      </c>
      <c r="D40" s="27" t="n">
        <v>244</v>
      </c>
      <c r="E40" s="67" t="n">
        <v>995.3499999999999</v>
      </c>
      <c r="F40" s="29" t="n">
        <v>0.003451284898576038</v>
      </c>
    </row>
    <row r="41" hidden="1" outlineLevel="2" ht="15" customHeight="1">
      <c r="A41" s="12" t="inlineStr">
        <is>
          <t xml:space="preserve">    Hair/Make-up</t>
        </is>
      </c>
      <c r="B41" s="27" t="n">
        <v>1754.09</v>
      </c>
      <c r="C41" s="27" t="n">
        <v>3537.25</v>
      </c>
      <c r="D41" s="27" t="n">
        <v>2442</v>
      </c>
      <c r="E41" s="67" t="n">
        <v>1095.25</v>
      </c>
      <c r="F41" s="29" t="n">
        <v>0.009850408942274791</v>
      </c>
    </row>
    <row r="42" hidden="1" outlineLevel="2" ht="15" customHeight="1">
      <c r="A42" s="12" t="inlineStr">
        <is>
          <t xml:space="preserve">    Mani-Pedi</t>
        </is>
      </c>
      <c r="B42" s="27" t="n">
        <v>524.77</v>
      </c>
      <c r="C42" s="27" t="n">
        <v>1058.24</v>
      </c>
      <c r="D42" s="27" t="n">
        <v>996</v>
      </c>
      <c r="E42" s="67" t="n">
        <v>62.24000000000001</v>
      </c>
      <c r="F42" s="29" t="n">
        <v>0.002946940636248735</v>
      </c>
    </row>
    <row r="43" hidden="1" outlineLevel="2" ht="15" customHeight="1">
      <c r="A43" s="12" t="inlineStr">
        <is>
          <t xml:space="preserve">    Movie Theater</t>
        </is>
      </c>
      <c r="B43" s="27" t="n">
        <v>151.76</v>
      </c>
      <c r="C43" s="27" t="n">
        <v>306.04</v>
      </c>
      <c r="D43" s="27" t="n">
        <v>138</v>
      </c>
      <c r="E43" s="67" t="n">
        <v>168.04</v>
      </c>
      <c r="F43" s="29" t="n">
        <v>0.000852235666972403</v>
      </c>
    </row>
    <row r="44" hidden="1" outlineLevel="2" ht="15" customHeight="1">
      <c r="A44" s="12" t="inlineStr">
        <is>
          <t xml:space="preserve">    Personal</t>
        </is>
      </c>
      <c r="B44" s="27" t="n">
        <v>360</v>
      </c>
      <c r="C44" s="27" t="n">
        <v>725.97</v>
      </c>
      <c r="D44" s="27" t="n">
        <v>755</v>
      </c>
      <c r="E44" s="27" t="n">
        <v>-29.02999999999997</v>
      </c>
      <c r="F44" s="29" t="n">
        <v>0.002021644966460629</v>
      </c>
    </row>
    <row r="45" hidden="1" outlineLevel="1" ht="60" customHeight="1">
      <c r="A45" s="6" t="inlineStr">
        <is>
          <t xml:space="preserve">  Other</t>
        </is>
      </c>
      <c r="B45" s="61" t="n">
        <v>20.6</v>
      </c>
      <c r="C45" s="61" t="n">
        <v>41.54</v>
      </c>
      <c r="D45" s="61" t="n">
        <v>6164</v>
      </c>
      <c r="E45" s="61" t="n">
        <v>-6122.46</v>
      </c>
      <c r="F45" s="63" t="n">
        <v>0.0001156830175252471</v>
      </c>
    </row>
    <row r="46" hidden="1" outlineLevel="2" ht="15" customHeight="1">
      <c r="A46" s="12" t="inlineStr">
        <is>
          <t xml:space="preserve">    Check</t>
        </is>
      </c>
      <c r="B46" s="27" t="n">
        <v>0</v>
      </c>
      <c r="C46" s="27" t="n">
        <v>0</v>
      </c>
      <c r="D46" s="27" t="n">
        <v>2305</v>
      </c>
      <c r="E46" s="27" t="n">
        <v>-2305</v>
      </c>
      <c r="F46" s="29" t="n">
        <v>0</v>
      </c>
    </row>
    <row r="47" hidden="1" outlineLevel="2" ht="15" customHeight="1">
      <c r="A47" s="12" t="inlineStr">
        <is>
          <t xml:space="preserve">    Miscellaneous</t>
        </is>
      </c>
      <c r="B47" s="27" t="n">
        <v>0</v>
      </c>
      <c r="C47" s="27" t="n">
        <v>0</v>
      </c>
      <c r="D47" s="27" t="n">
        <v>2</v>
      </c>
      <c r="E47" s="27" t="n">
        <v>-2</v>
      </c>
      <c r="F47" s="29" t="n">
        <v>0</v>
      </c>
    </row>
    <row r="48" hidden="1" outlineLevel="2" ht="15" customHeight="1">
      <c r="A48" s="12" t="inlineStr">
        <is>
          <t xml:space="preserve">    Uncategorized</t>
        </is>
      </c>
      <c r="B48" s="27" t="n">
        <v>20.6</v>
      </c>
      <c r="C48" s="27" t="n">
        <v>41.54</v>
      </c>
      <c r="D48" s="27" t="n">
        <v>3857</v>
      </c>
      <c r="E48" s="27" t="n">
        <v>-3815.46</v>
      </c>
      <c r="F48" s="29" t="n">
        <v>0.0001156830175252471</v>
      </c>
    </row>
    <row r="49" hidden="1" outlineLevel="1" ht="45" customHeight="1">
      <c r="A49" s="6" t="inlineStr">
        <is>
          <t xml:space="preserve">  Shopping</t>
        </is>
      </c>
      <c r="B49" s="61" t="n">
        <v>4205</v>
      </c>
      <c r="C49" s="61" t="n">
        <v>8479.700000000001</v>
      </c>
      <c r="D49" s="61" t="n">
        <v>10620</v>
      </c>
      <c r="E49" s="61" t="n">
        <v>-2140.299999999999</v>
      </c>
      <c r="F49" s="63" t="n">
        <v>0.02361393634435263</v>
      </c>
    </row>
    <row r="50" hidden="1" outlineLevel="2" ht="15" customHeight="1">
      <c r="A50" s="12" t="inlineStr">
        <is>
          <t xml:space="preserve">    Clothing &amp; Jewelry</t>
        </is>
      </c>
      <c r="B50" s="27" t="n">
        <v>4243.01</v>
      </c>
      <c r="C50" s="27" t="n">
        <v>8556.35</v>
      </c>
      <c r="D50" s="27" t="n">
        <v>9604</v>
      </c>
      <c r="E50" s="27" t="n">
        <v>-1047.65</v>
      </c>
      <c r="F50" s="29" t="n">
        <v>0.0238273883587281</v>
      </c>
    </row>
    <row r="51" hidden="1" outlineLevel="2" ht="15" customHeight="1">
      <c r="A51" s="12" t="inlineStr">
        <is>
          <t xml:space="preserve">    Shopping</t>
        </is>
      </c>
      <c r="B51" s="27" t="n">
        <v>-38.01</v>
      </c>
      <c r="C51" s="27" t="n">
        <v>-76.65000000000001</v>
      </c>
      <c r="D51" s="27" t="n">
        <v>1016</v>
      </c>
      <c r="E51" s="27" t="n">
        <v>-1092.65</v>
      </c>
      <c r="F51" s="29" t="n">
        <v>-0.0002134520143754681</v>
      </c>
    </row>
    <row r="52" ht="45" customHeight="1">
      <c r="A52" s="57" t="inlineStr">
        <is>
          <t>Wellness</t>
        </is>
      </c>
      <c r="B52" s="58" t="n">
        <v>18388.85</v>
      </c>
      <c r="C52" s="58" t="n">
        <v>37082.49</v>
      </c>
      <c r="D52" s="58" t="n">
        <v>50364</v>
      </c>
      <c r="E52" s="58" t="n">
        <v>-13281.51</v>
      </c>
      <c r="F52" s="60" t="n">
        <v>0.103265905670832</v>
      </c>
    </row>
    <row r="53" hidden="1" outlineLevel="1" ht="45" customHeight="1">
      <c r="A53" s="6" t="inlineStr">
        <is>
          <t xml:space="preserve">  Healthcare Premium</t>
        </is>
      </c>
      <c r="B53" s="61" t="n">
        <v>8790.610000000001</v>
      </c>
      <c r="C53" s="61" t="n">
        <v>17726.92</v>
      </c>
      <c r="D53" s="61" t="n">
        <v>23760</v>
      </c>
      <c r="E53" s="61" t="n">
        <v>-6033.080000000002</v>
      </c>
      <c r="F53" s="63" t="n">
        <v>0.04936525682949576</v>
      </c>
    </row>
    <row r="54" hidden="1" outlineLevel="2" ht="15" customHeight="1">
      <c r="A54" s="12" t="inlineStr">
        <is>
          <t xml:space="preserve">    Medicare Part B Premium</t>
        </is>
      </c>
      <c r="B54" s="27" t="n">
        <v>0</v>
      </c>
      <c r="C54" s="27" t="n">
        <v>0</v>
      </c>
      <c r="D54" s="27" t="n">
        <v>5356</v>
      </c>
      <c r="E54" s="27" t="n">
        <v>-5356</v>
      </c>
      <c r="F54" s="29" t="n">
        <v>0</v>
      </c>
    </row>
    <row r="55" hidden="1" outlineLevel="2" ht="15" customHeight="1">
      <c r="A55" s="12" t="inlineStr">
        <is>
          <t xml:space="preserve">    Medicare Part D Premium</t>
        </is>
      </c>
      <c r="B55" s="27" t="n">
        <v>0</v>
      </c>
      <c r="C55" s="27" t="n">
        <v>0</v>
      </c>
      <c r="D55" s="27" t="n">
        <v>2095</v>
      </c>
      <c r="E55" s="27" t="n">
        <v>-2095</v>
      </c>
      <c r="F55" s="29" t="n">
        <v>0</v>
      </c>
    </row>
    <row r="56" hidden="1" outlineLevel="2" ht="30" customHeight="1">
      <c r="A56" s="12" t="inlineStr">
        <is>
          <t xml:space="preserve">    Medicare Part G / Medigap Premium</t>
        </is>
      </c>
      <c r="B56" s="27" t="n">
        <v>0</v>
      </c>
      <c r="C56" s="27" t="n">
        <v>0</v>
      </c>
      <c r="D56" s="27" t="n">
        <v>4309</v>
      </c>
      <c r="E56" s="27" t="n">
        <v>-4309</v>
      </c>
      <c r="F56" s="29" t="n">
        <v>0</v>
      </c>
    </row>
    <row r="57" hidden="1" outlineLevel="2" ht="30" customHeight="1">
      <c r="A57" s="12" t="inlineStr">
        <is>
          <t xml:space="preserve">    Pre-65 Healthcare Premium</t>
        </is>
      </c>
      <c r="B57" s="27" t="n">
        <v>8790.610000000001</v>
      </c>
      <c r="C57" s="27" t="n">
        <v>17726.92</v>
      </c>
      <c r="D57" s="27" t="n">
        <v>12000</v>
      </c>
      <c r="E57" s="67" t="n">
        <v>5726.919999999998</v>
      </c>
      <c r="F57" s="29" t="n">
        <v>0.04936525682949576</v>
      </c>
    </row>
    <row r="58" hidden="1" outlineLevel="1" ht="45" customHeight="1">
      <c r="A58" s="6" t="inlineStr">
        <is>
          <t xml:space="preserve">  Wellness Budget Detail</t>
        </is>
      </c>
      <c r="B58" s="61" t="n">
        <v>9598.24</v>
      </c>
      <c r="C58" s="61" t="n">
        <v>19355.57</v>
      </c>
      <c r="D58" s="61" t="n">
        <v>26604</v>
      </c>
      <c r="E58" s="61" t="n">
        <v>-7248.43</v>
      </c>
      <c r="F58" s="63" t="n">
        <v>0.0539006488413363</v>
      </c>
    </row>
    <row r="59" hidden="1" outlineLevel="2" ht="15" customHeight="1">
      <c r="A59" s="12" t="inlineStr">
        <is>
          <t xml:space="preserve">    Dentist</t>
        </is>
      </c>
      <c r="B59" s="27" t="n">
        <v>400.9</v>
      </c>
      <c r="C59" s="27" t="n">
        <v>808.4400000000001</v>
      </c>
      <c r="D59" s="27" t="n">
        <v>2900</v>
      </c>
      <c r="E59" s="27" t="n">
        <v>-2091.56</v>
      </c>
      <c r="F59" s="29" t="n">
        <v>0.002251326297372406</v>
      </c>
    </row>
    <row r="60" hidden="1" outlineLevel="2" ht="15" customHeight="1">
      <c r="A60" s="12" t="inlineStr">
        <is>
          <t xml:space="preserve">    Dermatologist</t>
        </is>
      </c>
      <c r="B60" s="27" t="n">
        <v>728</v>
      </c>
      <c r="C60" s="27" t="n">
        <v>1468.07</v>
      </c>
      <c r="D60" s="27" t="n">
        <v>1527</v>
      </c>
      <c r="E60" s="27" t="n">
        <v>-58.93000000000006</v>
      </c>
      <c r="F60" s="29" t="n">
        <v>0.004088215376620383</v>
      </c>
    </row>
    <row r="61" hidden="1" outlineLevel="2" ht="15" customHeight="1">
      <c r="A61" s="12" t="inlineStr">
        <is>
          <t xml:space="preserve">    Drugs - Rx and OTC</t>
        </is>
      </c>
      <c r="B61" s="27" t="n">
        <v>3278.39</v>
      </c>
      <c r="C61" s="27" t="n">
        <v>6611.12</v>
      </c>
      <c r="D61" s="27" t="n">
        <v>5000</v>
      </c>
      <c r="E61" s="67" t="n">
        <v>1611.12</v>
      </c>
      <c r="F61" s="29" t="n">
        <v>0.01841039067109684</v>
      </c>
    </row>
    <row r="62" hidden="1" outlineLevel="2" ht="30" customHeight="1">
      <c r="A62" s="12" t="inlineStr">
        <is>
          <t xml:space="preserve">    Exercise &amp; Health Equipment</t>
        </is>
      </c>
      <c r="B62" s="27" t="n">
        <v>102.69</v>
      </c>
      <c r="C62" s="27" t="n">
        <v>207.08</v>
      </c>
      <c r="D62" s="27" t="n">
        <v>485</v>
      </c>
      <c r="E62" s="27" t="n">
        <v>-277.92</v>
      </c>
      <c r="F62" s="29" t="n">
        <v>0.0005766742266828945</v>
      </c>
    </row>
    <row r="63" hidden="1" outlineLevel="2" ht="15" customHeight="1">
      <c r="A63" s="12" t="inlineStr">
        <is>
          <t xml:space="preserve">    Health Club</t>
        </is>
      </c>
      <c r="B63" s="27" t="n">
        <v>1616.25</v>
      </c>
      <c r="C63" s="27" t="n">
        <v>3259.29</v>
      </c>
      <c r="D63" s="27" t="n">
        <v>2668</v>
      </c>
      <c r="E63" s="67" t="n">
        <v>591.29</v>
      </c>
      <c r="F63" s="29" t="n">
        <v>0.009076343547338868</v>
      </c>
    </row>
    <row r="64" hidden="1" outlineLevel="2" ht="15" customHeight="1">
      <c r="A64" s="12" t="inlineStr">
        <is>
          <t xml:space="preserve">    Medical</t>
        </is>
      </c>
      <c r="B64" s="27" t="n">
        <v>590.45</v>
      </c>
      <c r="C64" s="27" t="n">
        <v>1190.69</v>
      </c>
      <c r="D64" s="27" t="n">
        <v>10000</v>
      </c>
      <c r="E64" s="27" t="n">
        <v>-8809.309999999999</v>
      </c>
      <c r="F64" s="29" t="n">
        <v>0.003315778529018552</v>
      </c>
    </row>
    <row r="65" hidden="1" outlineLevel="2" ht="15" customHeight="1">
      <c r="A65" s="12" t="inlineStr">
        <is>
          <t xml:space="preserve">    Vision</t>
        </is>
      </c>
      <c r="B65" s="27" t="n">
        <v>1335</v>
      </c>
      <c r="C65" s="27" t="n">
        <v>2692.13</v>
      </c>
      <c r="D65" s="27" t="n">
        <v>2100</v>
      </c>
      <c r="E65" s="67" t="n">
        <v>592.1300000000001</v>
      </c>
      <c r="F65" s="29" t="n">
        <v>0.0074969334172915</v>
      </c>
    </row>
    <row r="66" hidden="1" outlineLevel="2" ht="15" customHeight="1">
      <c r="A66" s="12" t="inlineStr">
        <is>
          <t xml:space="preserve">    Vitamins &amp; Supplements</t>
        </is>
      </c>
      <c r="B66" s="27" t="n">
        <v>1546.56</v>
      </c>
      <c r="C66" s="27" t="n">
        <v>3118.75</v>
      </c>
      <c r="D66" s="27" t="n">
        <v>1924</v>
      </c>
      <c r="E66" s="67" t="n">
        <v>1194.75</v>
      </c>
      <c r="F66" s="29" t="n">
        <v>0.008684986775914862</v>
      </c>
    </row>
    <row r="67" ht="45" customHeight="1">
      <c r="A67" s="57" t="inlineStr">
        <is>
          <t>Housing</t>
        </is>
      </c>
      <c r="B67" s="58" t="n">
        <v>66947.95</v>
      </c>
      <c r="C67" s="58" t="n">
        <v>135005.53</v>
      </c>
      <c r="D67" s="58" t="n">
        <v>103371</v>
      </c>
      <c r="E67" s="65" t="n">
        <v>31634.53</v>
      </c>
      <c r="F67" s="60" t="n">
        <v>0.3759582948121052</v>
      </c>
    </row>
    <row r="68" hidden="1" outlineLevel="1" ht="45" customHeight="1">
      <c r="A68" s="6" t="inlineStr">
        <is>
          <t xml:space="preserve">  Home Improvement</t>
        </is>
      </c>
      <c r="B68" s="61" t="n">
        <v>25689.11</v>
      </c>
      <c r="C68" s="61" t="n">
        <v>51804.01</v>
      </c>
      <c r="D68" s="61" t="n">
        <v>25000</v>
      </c>
      <c r="E68" s="66" t="n">
        <v>26804.01</v>
      </c>
      <c r="F68" s="63" t="n">
        <v>0.1442618331232039</v>
      </c>
    </row>
    <row r="69" hidden="1" outlineLevel="2" ht="15" customHeight="1">
      <c r="A69" s="12" t="inlineStr">
        <is>
          <t xml:space="preserve">    Home Improvement</t>
        </is>
      </c>
      <c r="B69" s="27" t="n">
        <v>25689.11</v>
      </c>
      <c r="C69" s="27" t="n">
        <v>51804.01</v>
      </c>
      <c r="D69" s="27" t="n">
        <v>25000</v>
      </c>
      <c r="E69" s="67" t="n">
        <v>26804.01</v>
      </c>
      <c r="F69" s="29" t="n">
        <v>0.1442618331232039</v>
      </c>
    </row>
    <row r="70" hidden="1" outlineLevel="1" ht="45" customHeight="1">
      <c r="A70" s="6" t="inlineStr">
        <is>
          <t xml:space="preserve">  Maintenance</t>
        </is>
      </c>
      <c r="B70" s="61" t="n">
        <v>2214.24</v>
      </c>
      <c r="C70" s="61" t="n">
        <v>4465.18</v>
      </c>
      <c r="D70" s="61" t="n">
        <v>2100</v>
      </c>
      <c r="E70" s="66" t="n">
        <v>2365.18</v>
      </c>
      <c r="F70" s="63" t="n">
        <v>0.01243446430704384</v>
      </c>
    </row>
    <row r="71" hidden="1" outlineLevel="2" ht="15" customHeight="1">
      <c r="A71" s="12" t="inlineStr">
        <is>
          <t xml:space="preserve">    Home Maintenance</t>
        </is>
      </c>
      <c r="B71" s="27" t="n">
        <v>2214.24</v>
      </c>
      <c r="C71" s="27" t="n">
        <v>4465.18</v>
      </c>
      <c r="D71" s="27" t="n">
        <v>2100</v>
      </c>
      <c r="E71" s="67" t="n">
        <v>2365.18</v>
      </c>
      <c r="F71" s="29" t="n">
        <v>0.01243446430704384</v>
      </c>
    </row>
    <row r="72" hidden="1" outlineLevel="1" ht="45" customHeight="1">
      <c r="A72" s="6" t="inlineStr">
        <is>
          <t xml:space="preserve">  Mortgage</t>
        </is>
      </c>
      <c r="B72" s="61" t="n">
        <v>18000</v>
      </c>
      <c r="C72" s="61" t="n">
        <v>36298.34</v>
      </c>
      <c r="D72" s="61" t="n">
        <v>37759</v>
      </c>
      <c r="E72" s="61" t="n">
        <v>-1460.660000000003</v>
      </c>
      <c r="F72" s="63" t="n">
        <v>0.1010822483230315</v>
      </c>
    </row>
    <row r="73" hidden="1" outlineLevel="2" ht="15" customHeight="1">
      <c r="A73" s="12" t="inlineStr">
        <is>
          <t xml:space="preserve">    Mortgage</t>
        </is>
      </c>
      <c r="B73" s="27" t="n">
        <v>18000</v>
      </c>
      <c r="C73" s="27" t="n">
        <v>36298.34</v>
      </c>
      <c r="D73" s="27" t="n">
        <v>37759</v>
      </c>
      <c r="E73" s="27" t="n">
        <v>-1460.660000000003</v>
      </c>
      <c r="F73" s="29" t="n">
        <v>0.1010822483230315</v>
      </c>
    </row>
    <row r="74" hidden="1" outlineLevel="1" ht="45" customHeight="1">
      <c r="A74" s="6" t="inlineStr">
        <is>
          <t xml:space="preserve">  Other</t>
        </is>
      </c>
      <c r="B74" s="61" t="n">
        <v>5841.79</v>
      </c>
      <c r="C74" s="61" t="n">
        <v>11780.41</v>
      </c>
      <c r="D74" s="61" t="n">
        <v>8936</v>
      </c>
      <c r="E74" s="66" t="n">
        <v>2844.41</v>
      </c>
      <c r="F74" s="63" t="n">
        <v>0.032805625968389</v>
      </c>
    </row>
    <row r="75" hidden="1" outlineLevel="2" ht="30" customHeight="1">
      <c r="A75" s="12" t="inlineStr">
        <is>
          <t xml:space="preserve">    Furniture/Home Decor/Kitchenware</t>
        </is>
      </c>
      <c r="B75" s="27" t="n">
        <v>2149.85</v>
      </c>
      <c r="C75" s="27" t="n">
        <v>4335.33</v>
      </c>
      <c r="D75" s="27" t="n">
        <v>2115</v>
      </c>
      <c r="E75" s="67" t="n">
        <v>2220.33</v>
      </c>
      <c r="F75" s="29" t="n">
        <v>0.01207287064207051</v>
      </c>
    </row>
    <row r="76" hidden="1" outlineLevel="2" ht="15" customHeight="1">
      <c r="A76" s="12" t="inlineStr">
        <is>
          <t xml:space="preserve">    Homeowners Insurance</t>
        </is>
      </c>
      <c r="B76" s="27" t="n">
        <v>0</v>
      </c>
      <c r="C76" s="27" t="n">
        <v>0</v>
      </c>
      <c r="D76" s="27" t="n">
        <v>2000</v>
      </c>
      <c r="E76" s="27" t="n">
        <v>-2000</v>
      </c>
      <c r="F76" s="29" t="n">
        <v>0</v>
      </c>
    </row>
    <row r="77" hidden="1" outlineLevel="2" ht="15" customHeight="1">
      <c r="A77" s="12" t="inlineStr">
        <is>
          <t xml:space="preserve">    House Cleaning</t>
        </is>
      </c>
      <c r="B77" s="27" t="n">
        <v>1600</v>
      </c>
      <c r="C77" s="27" t="n">
        <v>3226.52</v>
      </c>
      <c r="D77" s="27" t="n">
        <v>2517</v>
      </c>
      <c r="E77" s="67" t="n">
        <v>709.52</v>
      </c>
      <c r="F77" s="29" t="n">
        <v>0.008985088739825019</v>
      </c>
    </row>
    <row r="78" hidden="1" outlineLevel="2" ht="30" customHeight="1">
      <c r="A78" s="12" t="inlineStr">
        <is>
          <t xml:space="preserve">    Lawn Service/Garden/Flowers</t>
        </is>
      </c>
      <c r="B78" s="27" t="n">
        <v>2091.94</v>
      </c>
      <c r="C78" s="27" t="n">
        <v>4218.55</v>
      </c>
      <c r="D78" s="27" t="n">
        <v>2304</v>
      </c>
      <c r="E78" s="67" t="n">
        <v>1914.55</v>
      </c>
      <c r="F78" s="29" t="n">
        <v>0.01174766658649347</v>
      </c>
    </row>
    <row r="79" hidden="1" outlineLevel="1" ht="45" customHeight="1">
      <c r="A79" s="6" t="inlineStr">
        <is>
          <t xml:space="preserve">  Real Estate Taxes</t>
        </is>
      </c>
      <c r="B79" s="61" t="n">
        <v>8645.74</v>
      </c>
      <c r="C79" s="61" t="n">
        <v>17434.78</v>
      </c>
      <c r="D79" s="61" t="n">
        <v>18000</v>
      </c>
      <c r="E79" s="61" t="n">
        <v>-565.2200000000012</v>
      </c>
      <c r="F79" s="63" t="n">
        <v>0.04855171320090922</v>
      </c>
    </row>
    <row r="80" hidden="1" outlineLevel="2" ht="15" customHeight="1">
      <c r="A80" s="12" t="inlineStr">
        <is>
          <t xml:space="preserve">    Real Estate Taxes</t>
        </is>
      </c>
      <c r="B80" s="27" t="n">
        <v>8645.74</v>
      </c>
      <c r="C80" s="27" t="n">
        <v>17434.78</v>
      </c>
      <c r="D80" s="27" t="n">
        <v>18000</v>
      </c>
      <c r="E80" s="27" t="n">
        <v>-565.2200000000012</v>
      </c>
      <c r="F80" s="29" t="n">
        <v>0.04855171320090922</v>
      </c>
    </row>
    <row r="81" hidden="1" outlineLevel="1" ht="45" customHeight="1">
      <c r="A81" s="6" t="inlineStr">
        <is>
          <t xml:space="preserve">  Utilities</t>
        </is>
      </c>
      <c r="B81" s="61" t="n">
        <v>6557.07</v>
      </c>
      <c r="C81" s="61" t="n">
        <v>13222.82</v>
      </c>
      <c r="D81" s="61" t="n">
        <v>11576</v>
      </c>
      <c r="E81" s="66" t="n">
        <v>1646.82</v>
      </c>
      <c r="F81" s="63" t="n">
        <v>0.03682240988952777</v>
      </c>
    </row>
    <row r="82" hidden="1" outlineLevel="2" ht="15" customHeight="1">
      <c r="A82" s="12" t="inlineStr">
        <is>
          <t xml:space="preserve">    Dry Cleaners</t>
        </is>
      </c>
      <c r="B82" s="27" t="n">
        <v>131.34</v>
      </c>
      <c r="C82" s="27" t="n">
        <v>264.86</v>
      </c>
      <c r="D82" s="64" t="inlineStr"/>
      <c r="E82" s="64" t="inlineStr"/>
      <c r="F82" s="29" t="n">
        <v>0.0007375634719303863</v>
      </c>
    </row>
    <row r="83" hidden="1" outlineLevel="2" ht="15" customHeight="1">
      <c r="A83" s="12" t="inlineStr">
        <is>
          <t xml:space="preserve">    Garbage</t>
        </is>
      </c>
      <c r="B83" s="27" t="n">
        <v>231.8</v>
      </c>
      <c r="C83" s="27" t="n">
        <v>467.44</v>
      </c>
      <c r="D83" s="27" t="n">
        <v>486</v>
      </c>
      <c r="E83" s="27" t="n">
        <v>-18.56</v>
      </c>
      <c r="F83" s="29" t="n">
        <v>0.00130171473118215</v>
      </c>
    </row>
    <row r="84" hidden="1" outlineLevel="2" ht="15" customHeight="1">
      <c r="A84" s="12" t="inlineStr">
        <is>
          <t xml:space="preserve">    Gas &amp; Electric</t>
        </is>
      </c>
      <c r="B84" s="27" t="n">
        <v>2692.38</v>
      </c>
      <c r="C84" s="27" t="n">
        <v>5429.39</v>
      </c>
      <c r="D84" s="27" t="n">
        <v>4957</v>
      </c>
      <c r="E84" s="67" t="n">
        <v>472.3900000000003</v>
      </c>
      <c r="F84" s="29" t="n">
        <v>0.0151195457633313</v>
      </c>
    </row>
    <row r="85" hidden="1" outlineLevel="2" ht="15" customHeight="1">
      <c r="A85" s="12" t="inlineStr">
        <is>
          <t xml:space="preserve">    Internet &amp; Cable</t>
        </is>
      </c>
      <c r="B85" s="27" t="n">
        <v>2261</v>
      </c>
      <c r="C85" s="27" t="n">
        <v>4559.48</v>
      </c>
      <c r="D85" s="27" t="n">
        <v>2371</v>
      </c>
      <c r="E85" s="67" t="n">
        <v>2188.48</v>
      </c>
      <c r="F85" s="29" t="n">
        <v>0.01269705352546523</v>
      </c>
    </row>
    <row r="86" hidden="1" outlineLevel="2" ht="15" customHeight="1">
      <c r="A86" s="12" t="inlineStr">
        <is>
          <t xml:space="preserve">    Pest Control</t>
        </is>
      </c>
      <c r="B86" s="27" t="n">
        <v>319.44</v>
      </c>
      <c r="C86" s="27" t="n">
        <v>644.17</v>
      </c>
      <c r="D86" s="27" t="n">
        <v>558</v>
      </c>
      <c r="E86" s="67" t="n">
        <v>86.16999999999996</v>
      </c>
      <c r="F86" s="29" t="n">
        <v>0.001793872966906065</v>
      </c>
    </row>
    <row r="87" hidden="1" outlineLevel="2" ht="15" customHeight="1">
      <c r="A87" s="12" t="inlineStr">
        <is>
          <t xml:space="preserve">    Phone</t>
        </is>
      </c>
      <c r="B87" s="27" t="n">
        <v>672</v>
      </c>
      <c r="C87" s="27" t="n">
        <v>1355.14</v>
      </c>
      <c r="D87" s="27" t="n">
        <v>780</v>
      </c>
      <c r="E87" s="67" t="n">
        <v>575.1400000000001</v>
      </c>
      <c r="F87" s="29" t="n">
        <v>0.003773737270726508</v>
      </c>
    </row>
    <row r="88" hidden="1" outlineLevel="2" ht="15" customHeight="1">
      <c r="A88" s="12" t="inlineStr">
        <is>
          <t xml:space="preserve">    Sewer</t>
        </is>
      </c>
      <c r="B88" s="27" t="n">
        <v>93.34</v>
      </c>
      <c r="C88" s="27" t="n">
        <v>188.23</v>
      </c>
      <c r="D88" s="27" t="n">
        <v>90</v>
      </c>
      <c r="E88" s="67" t="n">
        <v>98.22999999999999</v>
      </c>
      <c r="F88" s="29" t="n">
        <v>0.0005241676143595421</v>
      </c>
    </row>
    <row r="89" hidden="1" outlineLevel="2" ht="15" customHeight="1">
      <c r="A89" s="12" t="inlineStr">
        <is>
          <t xml:space="preserve">    Utilities</t>
        </is>
      </c>
      <c r="B89" s="27" t="n">
        <v>0</v>
      </c>
      <c r="C89" s="27" t="n">
        <v>0</v>
      </c>
      <c r="D89" s="27" t="n">
        <v>2100</v>
      </c>
      <c r="E89" s="27" t="n">
        <v>-2100</v>
      </c>
      <c r="F89" s="29" t="n">
        <v>0</v>
      </c>
    </row>
    <row r="90" hidden="1" outlineLevel="2" ht="15" customHeight="1">
      <c r="A90" s="12" t="inlineStr">
        <is>
          <t xml:space="preserve">    Water</t>
        </is>
      </c>
      <c r="B90" s="27" t="n">
        <v>155.77</v>
      </c>
      <c r="C90" s="27" t="n">
        <v>314.12</v>
      </c>
      <c r="D90" s="27" t="n">
        <v>234</v>
      </c>
      <c r="E90" s="67" t="n">
        <v>80.12</v>
      </c>
      <c r="F90" s="29" t="n">
        <v>0.0008747545456265895</v>
      </c>
    </row>
    <row r="91" ht="45" customHeight="1">
      <c r="A91" s="57" t="inlineStr">
        <is>
          <t>Travel</t>
        </is>
      </c>
      <c r="B91" s="58" t="n">
        <v>16222.26</v>
      </c>
      <c r="C91" s="58" t="n">
        <v>32713.4</v>
      </c>
      <c r="D91" s="58" t="n">
        <v>41917</v>
      </c>
      <c r="E91" s="58" t="n">
        <v>-9203.599999999999</v>
      </c>
      <c r="F91" s="60" t="n">
        <v>0.09109902853782113</v>
      </c>
    </row>
    <row r="92" hidden="1" outlineLevel="1" ht="45" customHeight="1">
      <c r="A92" s="6" t="inlineStr">
        <is>
          <t xml:space="preserve">  Travel</t>
        </is>
      </c>
      <c r="B92" s="61" t="n">
        <v>16222.26</v>
      </c>
      <c r="C92" s="61" t="n">
        <v>32713.4</v>
      </c>
      <c r="D92" s="61" t="n">
        <v>41917</v>
      </c>
      <c r="E92" s="61" t="n">
        <v>-9203.599999999999</v>
      </c>
      <c r="F92" s="63" t="n">
        <v>0.09109902853782113</v>
      </c>
    </row>
    <row r="93" hidden="1" outlineLevel="2" ht="30" customHeight="1">
      <c r="A93" s="12" t="inlineStr">
        <is>
          <t xml:space="preserve">    Entertainment &amp; Recreation</t>
        </is>
      </c>
      <c r="B93" s="27" t="n">
        <v>8761.709999999999</v>
      </c>
      <c r="C93" s="27" t="n">
        <v>17668.64</v>
      </c>
      <c r="D93" s="27" t="n">
        <v>3270</v>
      </c>
      <c r="E93" s="67" t="n">
        <v>14398.64</v>
      </c>
      <c r="F93" s="29" t="n">
        <v>0.04920296366413266</v>
      </c>
    </row>
    <row r="94" hidden="1" outlineLevel="2" ht="30" customHeight="1">
      <c r="A94" s="12" t="inlineStr">
        <is>
          <t xml:space="preserve">    Recurring Travel Projection</t>
        </is>
      </c>
      <c r="B94" s="27" t="n">
        <v>0</v>
      </c>
      <c r="C94" s="27" t="n">
        <v>0</v>
      </c>
      <c r="D94" s="27" t="n">
        <v>25000</v>
      </c>
      <c r="E94" s="27" t="n">
        <v>-25000</v>
      </c>
      <c r="F94" s="29" t="n">
        <v>0</v>
      </c>
    </row>
    <row r="95" hidden="1" outlineLevel="2" ht="15" customHeight="1">
      <c r="A95" s="12" t="inlineStr">
        <is>
          <t xml:space="preserve">    Travel &amp; Vacation</t>
        </is>
      </c>
      <c r="B95" s="27" t="n">
        <v>3722.02</v>
      </c>
      <c r="C95" s="27" t="n">
        <v>7505.73</v>
      </c>
      <c r="D95" s="27" t="n">
        <v>8127</v>
      </c>
      <c r="E95" s="27" t="n">
        <v>-621.2700000000004</v>
      </c>
      <c r="F95" s="29" t="n">
        <v>0.0209016749946272</v>
      </c>
    </row>
    <row r="96" hidden="1" outlineLevel="2" ht="15" customHeight="1">
      <c r="A96" s="12" t="inlineStr">
        <is>
          <t xml:space="preserve">    Travel - Housing</t>
        </is>
      </c>
      <c r="B96" s="27" t="n">
        <v>2248</v>
      </c>
      <c r="C96" s="27" t="n">
        <v>4533.26</v>
      </c>
      <c r="D96" s="27" t="n">
        <v>2617</v>
      </c>
      <c r="E96" s="67" t="n">
        <v>1916.26</v>
      </c>
      <c r="F96" s="29" t="n">
        <v>0.01262404967945415</v>
      </c>
    </row>
    <row r="97" hidden="1" outlineLevel="2" ht="15" customHeight="1">
      <c r="A97" s="12" t="inlineStr">
        <is>
          <t xml:space="preserve">    Travel - Insurance</t>
        </is>
      </c>
      <c r="B97" s="27" t="n">
        <v>76</v>
      </c>
      <c r="C97" s="27" t="n">
        <v>153.26</v>
      </c>
      <c r="D97" s="27" t="n">
        <v>159</v>
      </c>
      <c r="E97" s="27" t="n">
        <v>-5.740000000000009</v>
      </c>
      <c r="F97" s="29" t="n">
        <v>0.0004267917151416884</v>
      </c>
    </row>
    <row r="98" hidden="1" outlineLevel="2" ht="30" customHeight="1">
      <c r="A98" s="12" t="inlineStr">
        <is>
          <t xml:space="preserve">    Travel - Plane/Train/Bus</t>
        </is>
      </c>
      <c r="B98" s="27" t="n">
        <v>1414.53</v>
      </c>
      <c r="C98" s="27" t="n">
        <v>2852.51</v>
      </c>
      <c r="D98" s="27" t="n">
        <v>2744</v>
      </c>
      <c r="E98" s="67" t="n">
        <v>108.5100000000002</v>
      </c>
      <c r="F98" s="29" t="n">
        <v>0.007943548484465428</v>
      </c>
    </row>
    <row r="99" ht="15" customHeight="1">
      <c r="A99" s="57" t="inlineStr">
        <is>
          <t>Large Discretionary</t>
        </is>
      </c>
      <c r="B99" s="58" t="n">
        <v>0</v>
      </c>
      <c r="C99" s="58" t="n">
        <v>0</v>
      </c>
      <c r="D99" s="59" t="inlineStr"/>
      <c r="E99" s="59" t="inlineStr"/>
      <c r="F99" s="60" t="n">
        <v>0</v>
      </c>
    </row>
    <row r="100" hidden="1" outlineLevel="1" ht="15" customHeight="1">
      <c r="A100" s="6" t="inlineStr">
        <is>
          <t xml:space="preserve">  Wedding</t>
        </is>
      </c>
      <c r="B100" s="61" t="n">
        <v>0</v>
      </c>
      <c r="C100" s="61" t="n">
        <v>0</v>
      </c>
      <c r="D100" s="62" t="inlineStr"/>
      <c r="E100" s="62" t="inlineStr"/>
      <c r="F100" s="63" t="n">
        <v>0</v>
      </c>
    </row>
    <row r="101" hidden="1" outlineLevel="2" ht="15" customHeight="1">
      <c r="A101" s="12" t="inlineStr">
        <is>
          <t xml:space="preserve">    Weddings</t>
        </is>
      </c>
      <c r="B101" s="27" t="n">
        <v>0</v>
      </c>
      <c r="C101" s="27" t="n">
        <v>0</v>
      </c>
      <c r="D101" s="64" t="inlineStr"/>
      <c r="E101" s="64" t="inlineStr"/>
      <c r="F101" s="29" t="n">
        <v>0</v>
      </c>
    </row>
    <row r="102" ht="45" customHeight="1">
      <c r="A102" s="57" t="inlineStr">
        <is>
          <t>Business</t>
        </is>
      </c>
      <c r="B102" s="58" t="n">
        <v>3106.05</v>
      </c>
      <c r="C102" s="58" t="n">
        <v>6263.58</v>
      </c>
      <c r="D102" s="58" t="n">
        <v>5060</v>
      </c>
      <c r="E102" s="65" t="n">
        <v>1203.58</v>
      </c>
      <c r="F102" s="60" t="n">
        <v>0.01744258430020844</v>
      </c>
    </row>
    <row r="103" hidden="1" outlineLevel="1" ht="45" customHeight="1">
      <c r="A103" s="6" t="inlineStr">
        <is>
          <t xml:space="preserve">  Business</t>
        </is>
      </c>
      <c r="B103" s="61" t="n">
        <v>3106.05</v>
      </c>
      <c r="C103" s="61" t="n">
        <v>6263.58</v>
      </c>
      <c r="D103" s="61" t="n">
        <v>5060</v>
      </c>
      <c r="E103" s="66" t="n">
        <v>1203.58</v>
      </c>
      <c r="F103" s="63" t="n">
        <v>0.01744258430020844</v>
      </c>
    </row>
    <row r="104" hidden="1" outlineLevel="2" ht="15" customHeight="1">
      <c r="A104" s="12" t="inlineStr">
        <is>
          <t xml:space="preserve">    Business Auto Expenses</t>
        </is>
      </c>
      <c r="B104" s="27" t="n">
        <v>99.73999999999999</v>
      </c>
      <c r="C104" s="27" t="n">
        <v>201.13</v>
      </c>
      <c r="D104" s="27" t="n">
        <v>131</v>
      </c>
      <c r="E104" s="67" t="n">
        <v>70.13</v>
      </c>
      <c r="F104" s="29" t="n">
        <v>0.0005601079693188421</v>
      </c>
    </row>
    <row r="105" hidden="1" outlineLevel="2" ht="15" customHeight="1">
      <c r="A105" s="12" t="inlineStr">
        <is>
          <t xml:space="preserve">    Business Events</t>
        </is>
      </c>
      <c r="B105" s="27" t="n">
        <v>-48.27</v>
      </c>
      <c r="C105" s="27" t="n">
        <v>-97.34</v>
      </c>
      <c r="D105" s="27" t="n">
        <v>633</v>
      </c>
      <c r="E105" s="27" t="n">
        <v>-730.34</v>
      </c>
      <c r="F105" s="29" t="n">
        <v>-0.0002710688959195961</v>
      </c>
    </row>
    <row r="106" hidden="1" outlineLevel="2" ht="30" customHeight="1">
      <c r="A106" s="12" t="inlineStr">
        <is>
          <t xml:space="preserve">    Business Hardware and Software</t>
        </is>
      </c>
      <c r="B106" s="27" t="n">
        <v>379.95</v>
      </c>
      <c r="C106" s="27" t="n">
        <v>766.2</v>
      </c>
      <c r="D106" s="27" t="n">
        <v>340</v>
      </c>
      <c r="E106" s="67" t="n">
        <v>426.2</v>
      </c>
      <c r="F106" s="29" t="n">
        <v>0.002133677791685322</v>
      </c>
    </row>
    <row r="107" hidden="1" outlineLevel="2" ht="15" customHeight="1">
      <c r="A107" s="12" t="inlineStr">
        <is>
          <t xml:space="preserve">    Business Memberships</t>
        </is>
      </c>
      <c r="B107" s="27" t="n">
        <v>495</v>
      </c>
      <c r="C107" s="27" t="n">
        <v>998.2</v>
      </c>
      <c r="D107" s="27" t="n">
        <v>2108</v>
      </c>
      <c r="E107" s="27" t="n">
        <v>-1109.8</v>
      </c>
      <c r="F107" s="29" t="n">
        <v>0.002779761828883365</v>
      </c>
    </row>
    <row r="108" hidden="1" outlineLevel="2" ht="15" customHeight="1">
      <c r="A108" s="12" t="inlineStr">
        <is>
          <t xml:space="preserve">    Business Taxi - Uber</t>
        </is>
      </c>
      <c r="B108" s="27" t="n">
        <v>24.44</v>
      </c>
      <c r="C108" s="27" t="n">
        <v>49.29</v>
      </c>
      <c r="D108" s="27" t="n">
        <v>28</v>
      </c>
      <c r="E108" s="67" t="n">
        <v>21.29</v>
      </c>
      <c r="F108" s="29" t="n">
        <v>0.0001372472305008272</v>
      </c>
    </row>
    <row r="109" hidden="1" outlineLevel="2" ht="15" customHeight="1">
      <c r="A109" s="12" t="inlineStr">
        <is>
          <t xml:space="preserve">    Business Travel &amp; Meals</t>
        </is>
      </c>
      <c r="B109" s="27" t="n">
        <v>800.37</v>
      </c>
      <c r="C109" s="27" t="n">
        <v>1614.01</v>
      </c>
      <c r="D109" s="27" t="n">
        <v>1679</v>
      </c>
      <c r="E109" s="27" t="n">
        <v>-64.99000000000001</v>
      </c>
      <c r="F109" s="29" t="n">
        <v>0.004494622171683594</v>
      </c>
    </row>
    <row r="110" hidden="1" outlineLevel="2" ht="30" customHeight="1">
      <c r="A110" s="12" t="inlineStr">
        <is>
          <t xml:space="preserve">    Office Supplies &amp; Expenses</t>
        </is>
      </c>
      <c r="B110" s="27" t="n">
        <v>1354.82</v>
      </c>
      <c r="C110" s="27" t="n">
        <v>2732.1</v>
      </c>
      <c r="D110" s="27" t="n">
        <v>141</v>
      </c>
      <c r="E110" s="67" t="n">
        <v>2591.1</v>
      </c>
      <c r="F110" s="29" t="n">
        <v>0.007608236204056082</v>
      </c>
    </row>
    <row r="111"/>
    <row r="112" ht="30" customHeight="1">
      <c r="A112" s="11" t="inlineStr">
        <is>
          <t>TOTAL SPENDING</t>
        </is>
      </c>
      <c r="B112" s="30" t="n">
        <v>178072.81</v>
      </c>
      <c r="C112" s="30" t="n">
        <v>359097.1</v>
      </c>
      <c r="D112" s="30" t="n">
        <v>337953</v>
      </c>
      <c r="E112" s="68" t="n">
        <v>21144.09999999998</v>
      </c>
      <c r="F112"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322202.71581734</v>
      </c>
      <c r="E14" s="27" t="n">
        <v>210834</v>
      </c>
      <c r="F14" s="27" t="n">
        <v>0</v>
      </c>
      <c r="G14" s="27" t="n">
        <v>1348305.03664</v>
      </c>
      <c r="H14" s="27" t="n">
        <v>454861.506731</v>
      </c>
      <c r="I14" s="27" t="n">
        <v>580483.0642142202</v>
      </c>
      <c r="J14" s="27" t="n">
        <v>0</v>
      </c>
      <c r="K14" s="12" t="inlineStr">
        <is>
          <t>—</t>
        </is>
      </c>
      <c r="L14" s="12" t="inlineStr">
        <is>
          <t>—</t>
        </is>
      </c>
      <c r="M14" s="27" t="n">
        <v>322202.71581734</v>
      </c>
      <c r="N14" s="27" t="n">
        <v>268000</v>
      </c>
      <c r="O14" s="74" t="inlineStr">
        <is>
          <t>AGI &gt; target bracket</t>
        </is>
      </c>
    </row>
    <row r="15" ht="60" customHeight="1">
      <c r="A15" s="73" t="n">
        <v>2027</v>
      </c>
      <c r="B15" s="41" t="inlineStr">
        <is>
          <t>Voluntary</t>
        </is>
      </c>
      <c r="C15" s="12" t="inlineStr">
        <is>
          <t>Wife_IRA $224,998→Wife_Roth</t>
        </is>
      </c>
      <c r="D15" s="27" t="n">
        <v>48362.17771339486</v>
      </c>
      <c r="E15" s="27" t="n">
        <v>215050.68</v>
      </c>
      <c r="F15" s="27" t="n">
        <v>166688.5022866051</v>
      </c>
      <c r="G15" s="27" t="n">
        <v>1429203.3388384</v>
      </c>
      <c r="H15" s="27" t="n">
        <v>482153.19713486</v>
      </c>
      <c r="I15" s="27" t="n">
        <v>304695.1232049111</v>
      </c>
      <c r="J15" s="28" t="n">
        <v>224997.8222866051</v>
      </c>
      <c r="K15" s="12" t="inlineStr">
        <is>
          <t>Tier 2</t>
        </is>
      </c>
      <c r="L15" s="12" t="inlineStr">
        <is>
          <t>IRA balance</t>
        </is>
      </c>
      <c r="M15" s="27" t="n">
        <v>273360</v>
      </c>
      <c r="N15" s="27" t="n">
        <v>273360</v>
      </c>
      <c r="O15" s="75" t="inlineStr">
        <is>
          <t>✓ OK</t>
        </is>
      </c>
    </row>
    <row r="16" ht="60" customHeight="1">
      <c r="A16" s="73" t="n">
        <v>2028</v>
      </c>
      <c r="B16" s="41" t="inlineStr">
        <is>
          <t>Voluntary</t>
        </is>
      </c>
      <c r="C16" s="12" t="inlineStr">
        <is>
          <t>Wife_IRA $214,071→Wife_Roth</t>
        </is>
      </c>
      <c r="D16" s="27" t="n">
        <v>64755.71093867251</v>
      </c>
      <c r="E16" s="27" t="n">
        <v>219351.6936</v>
      </c>
      <c r="F16" s="27" t="n">
        <v>154595.9826613275</v>
      </c>
      <c r="G16" s="27" t="n">
        <v>1514955.529730976</v>
      </c>
      <c r="H16" s="27" t="n">
        <v>272584.6956410276</v>
      </c>
      <c r="I16" s="27" t="n">
        <v>26933.11193065273</v>
      </c>
      <c r="J16" s="28" t="n">
        <v>214071.4890613275</v>
      </c>
      <c r="K16" s="12" t="inlineStr">
        <is>
          <t>Tier 2</t>
        </is>
      </c>
      <c r="L16" s="12" t="inlineStr">
        <is>
          <t>IRA balance</t>
        </is>
      </c>
      <c r="M16" s="27" t="n">
        <v>278827.2000000001</v>
      </c>
      <c r="N16" s="27" t="n">
        <v>278827.2</v>
      </c>
      <c r="O16" s="75" t="inlineStr">
        <is>
          <t>✓ OK</t>
        </is>
      </c>
    </row>
    <row r="17" ht="90" customHeight="1">
      <c r="A17" s="73" t="n">
        <v>2029</v>
      </c>
      <c r="B17" s="41" t="inlineStr">
        <is>
          <t>Voluntary</t>
        </is>
      </c>
      <c r="C17" s="12" t="inlineStr">
        <is>
          <t>Wife_IRA $60,850→Wife_Roth + Husband_401k $43,258→Husband_Roth + Husband_IRA $41,552→Husband_Roth</t>
        </is>
      </c>
      <c r="D17" s="27" t="n">
        <v>138743.0690029636</v>
      </c>
      <c r="E17" s="27" t="n">
        <v>223738.727472</v>
      </c>
      <c r="F17" s="27" t="n">
        <v>84995.6584690364</v>
      </c>
      <c r="G17" s="27" t="n">
        <v>1575463.014246997</v>
      </c>
      <c r="H17" s="27" t="n">
        <v>60850.2302557236</v>
      </c>
      <c r="I17" s="27" t="n">
        <v>-134402.6742437422</v>
      </c>
      <c r="J17" s="28" t="n">
        <v>145660.6749970365</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Husband_IRA $156,706→Husband_Roth</t>
        </is>
      </c>
      <c r="D18" s="27" t="n">
        <v>133386.1819535354</v>
      </c>
      <c r="E18" s="27" t="n">
        <v>228213.50202144</v>
      </c>
      <c r="F18" s="27" t="n">
        <v>94827.32006790466</v>
      </c>
      <c r="G18" s="27" t="n">
        <v>1346498.136686685</v>
      </c>
      <c r="H18" s="27" t="n">
        <v>0</v>
      </c>
      <c r="I18" s="27" t="n">
        <v>-146838.591736812</v>
      </c>
      <c r="J18" s="28" t="n">
        <v>156705.6369264646</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Husband_IRA $125,267→Husband_Roth</t>
        </is>
      </c>
      <c r="D19" s="27" t="n">
        <v>170626.4476207162</v>
      </c>
      <c r="E19" s="27" t="n">
        <v>232777.7720618688</v>
      </c>
      <c r="F19" s="27" t="n">
        <v>62151.3244411526</v>
      </c>
      <c r="G19" s="27" t="n">
        <v>1006979.857135939</v>
      </c>
      <c r="H19" s="27" t="n">
        <v>0</v>
      </c>
      <c r="I19" s="27" t="n">
        <v>-88651.83232776608</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Husband_IRA $108,908→Husband_Roth</t>
        </is>
      </c>
      <c r="D20" s="27" t="n">
        <v>192903.0383062721</v>
      </c>
      <c r="E20" s="27" t="n">
        <v>237433.3275031062</v>
      </c>
      <c r="F20" s="27" t="n">
        <v>44530.28919683411</v>
      </c>
      <c r="G20" s="27" t="n">
        <v>784352.7568289442</v>
      </c>
      <c r="H20" s="27" t="n">
        <v>0</v>
      </c>
      <c r="I20" s="27" t="n">
        <v>-172716.7554279833</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Husband_IRA $116,223→Husband_Roth</t>
        </is>
      </c>
      <c r="D21" s="27" t="n">
        <v>191624.3125698421</v>
      </c>
      <c r="E21" s="27" t="n">
        <v>242181.9940531683</v>
      </c>
      <c r="F21" s="27" t="n">
        <v>50557.68148332619</v>
      </c>
      <c r="G21" s="27" t="n">
        <v>454336.990435579</v>
      </c>
      <c r="H21" s="27" t="n">
        <v>0</v>
      </c>
      <c r="I21" s="27" t="n">
        <v>-81023.36703733982</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Husband_IRA $123,594→Husband_Roth</t>
        </is>
      </c>
      <c r="D22" s="27" t="n">
        <v>190410.5330882793</v>
      </c>
      <c r="E22" s="27" t="n">
        <v>247025.6339342317</v>
      </c>
      <c r="F22" s="27" t="n">
        <v>56615.1008459524</v>
      </c>
      <c r="G22" s="27" t="n">
        <v>223320.1312955785</v>
      </c>
      <c r="H22" s="27" t="n">
        <v>0</v>
      </c>
      <c r="I22" s="27" t="n">
        <v>-148908.7465654061</v>
      </c>
      <c r="J22" s="28" t="n">
        <v>123594.1810203279</v>
      </c>
      <c r="K22" s="12" t="inlineStr">
        <is>
          <t>Tier 2</t>
        </is>
      </c>
      <c r="L22" s="12" t="inlineStr">
        <is>
          <t>IRA balance</t>
        </is>
      </c>
      <c r="M22" s="27" t="n">
        <v>311138.0727082647</v>
      </c>
      <c r="N22" s="27" t="n">
        <v>314004.7141086072</v>
      </c>
      <c r="O22" s="75" t="inlineStr">
        <is>
          <t>✓ OK</t>
        </is>
      </c>
    </row>
    <row r="23" ht="45" customHeight="1">
      <c r="A23" s="73" t="n">
        <v>2035</v>
      </c>
      <c r="B23" s="41" t="inlineStr">
        <is>
          <t>—</t>
        </is>
      </c>
      <c r="C23" s="12" t="inlineStr">
        <is>
          <t>—</t>
        </is>
      </c>
      <c r="D23" s="27" t="n">
        <v>194639.0493012519</v>
      </c>
      <c r="E23" s="27" t="n">
        <v>251966.1466129163</v>
      </c>
      <c r="F23" s="27" t="n">
        <v>57327.09731166446</v>
      </c>
      <c r="G23" s="27" t="n">
        <v>0</v>
      </c>
      <c r="H23" s="27" t="n">
        <v>0</v>
      </c>
      <c r="I23" s="27" t="n">
        <v>-117598.0070333358</v>
      </c>
      <c r="J23" s="27" t="n">
        <v>0</v>
      </c>
      <c r="K23" s="12" t="inlineStr">
        <is>
          <t>—</t>
        </is>
      </c>
      <c r="L23" s="12" t="inlineStr">
        <is>
          <t>—</t>
        </is>
      </c>
      <c r="M23" s="27" t="n">
        <v>191780.9034798605</v>
      </c>
      <c r="N23" s="27" t="n">
        <v>320284.8083907794</v>
      </c>
      <c r="O23" s="74" t="inlineStr">
        <is>
          <t>No non-Roth surplus</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$1,215,429</t>
        </is>
      </c>
      <c r="B31" s="3" t="n"/>
      <c r="C31" s="3" t="n"/>
      <c r="D31" s="3" t="n"/>
      <c r="E31" s="3" t="n"/>
      <c r="F31" s="3" t="n"/>
      <c r="G31" s="3" t="n"/>
      <c r="H31" s="4" t="n"/>
      <c r="I31" s="11" t="inlineStr">
        <is>
          <t>Forced</t>
        </is>
      </c>
      <c r="J31" s="76" t="n">
        <v>0</v>
      </c>
      <c r="K31" s="11" t="inlineStr">
        <is>
          <t>Voluntary</t>
        </is>
      </c>
      <c r="L31" s="76" t="n">
        <v>1215428.94834529</v>
      </c>
      <c r="M31" s="11" t="inlineStr">
        <is>
          <t>Grand Total</t>
        </is>
      </c>
      <c r="N31" s="76" t="n">
        <v>1215428.94834529</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8"/>
  <sheetViews>
    <sheetView showGridLines="0" workbookViewId="0">
      <selection activeCell="A1" sqref="A1"/>
    </sheetView>
  </sheetViews>
  <sheetFormatPr baseColWidth="8" defaultRowHeight="15"/>
  <cols>
    <col width="13.2" customWidth="1" min="1" max="1"/>
    <col width="10.2" customWidth="1" min="2" max="2"/>
    <col width="9.5" customWidth="1" min="3" max="3"/>
    <col width="9.5" customWidth="1" min="4" max="4"/>
    <col width="9.5" customWidth="1" min="5" max="5"/>
    <col width="9.1" customWidth="1" min="6" max="6"/>
    <col width="10.6" customWidth="1" min="7" max="7"/>
    <col width="15.4" customWidth="1" min="8" max="8"/>
    <col width="15.4" customWidth="1" min="9" max="9"/>
    <col width="15.4"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06/29/2026 09:35 AM</t>
        </is>
      </c>
      <c r="B5" s="12" t="inlineStr">
        <is>
          <t>Cached quotes were used as of 06/29/2026 09:35 AM; cache TTL is 24.0 hours. Some symbols used offline fallback pricing; see Holdings Detail by Account for ticker-level sources. Ticker-level source counts: cash: 1, fresh_cache_24h_from_fixture_cache: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30" customHeight="1">
      <c r="A9" s="12" t="inlineStr">
        <is>
          <t>US Large Cap</t>
        </is>
      </c>
      <c r="B9" s="78" t="n">
        <v>1329502.60797</v>
      </c>
      <c r="C9" s="79" t="n">
        <v>0.2504273597875965</v>
      </c>
      <c r="D9" s="80" t="n">
        <v>1360803.60797</v>
      </c>
      <c r="E9" s="81" t="n">
        <v>0.2563232690860974</v>
      </c>
      <c r="F9" s="12" t="inlineStr">
        <is>
          <t>Liquid</t>
        </is>
      </c>
      <c r="G9" s="79" t="n">
        <v>0.4</v>
      </c>
      <c r="H9" s="12" t="inlineStr">
        <is>
          <t>Under 15.0%</t>
        </is>
      </c>
      <c r="I9" s="75" t="inlineStr">
        <is>
          <t>Under 14.4%</t>
        </is>
      </c>
    </row>
    <row r="10" ht="45" customHeight="1">
      <c r="A10" s="2" t="inlineStr">
        <is>
          <t>Real Estate Coverage (Home Equity)</t>
        </is>
      </c>
      <c r="B10" s="78" t="n">
        <v>1313000</v>
      </c>
      <c r="C10" s="79" t="n">
        <v>0.2473189006399706</v>
      </c>
      <c r="D10" s="78" t="n">
        <v>1313000</v>
      </c>
      <c r="E10" s="79" t="n">
        <v>0.2473189006399706</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0.2400344197621096</v>
      </c>
      <c r="D11" s="78" t="n">
        <v>1274327.16356137</v>
      </c>
      <c r="E11" s="79" t="n">
        <v>0.2400344197621096</v>
      </c>
      <c r="F11" s="82" t="inlineStr">
        <is>
          <t>Non-liquid</t>
        </is>
      </c>
      <c r="G11" s="79" t="n">
        <v>0.2</v>
      </c>
      <c r="H11" s="12" t="inlineStr">
        <is>
          <t>✓ Covered</t>
        </is>
      </c>
      <c r="I11" s="12" t="inlineStr">
        <is>
          <t>✓ Covered</t>
        </is>
      </c>
    </row>
    <row r="12" ht="45" customHeight="1">
      <c r="A12" s="12" t="inlineStr">
        <is>
          <t>International</t>
        </is>
      </c>
      <c r="B12" s="78" t="n">
        <v>897149.1413760001</v>
      </c>
      <c r="C12" s="79" t="n">
        <v>0.168988529592693</v>
      </c>
      <c r="D12" s="80" t="n">
        <v>680402.4413759999</v>
      </c>
      <c r="E12" s="81" t="n">
        <v>0.1281617546030955</v>
      </c>
      <c r="F12" s="12" t="inlineStr">
        <is>
          <t>Liquid</t>
        </is>
      </c>
      <c r="G12" s="79" t="n">
        <v>0.2</v>
      </c>
      <c r="H12" s="12" t="inlineStr">
        <is>
          <t>Under 3.1%</t>
        </is>
      </c>
      <c r="I12" s="75" t="inlineStr">
        <is>
          <t>Under 7.2%</t>
        </is>
      </c>
    </row>
    <row r="13" ht="45" customHeight="1">
      <c r="A13" s="12" t="inlineStr">
        <is>
          <t>US Small Cap</t>
        </is>
      </c>
      <c r="B13" s="78" t="n">
        <v>310315.117414</v>
      </c>
      <c r="C13" s="79" t="n">
        <v>0.0584514803433312</v>
      </c>
      <c r="D13" s="80" t="n">
        <v>170100.117414</v>
      </c>
      <c r="E13" s="81" t="n">
        <v>0.03204034580164539</v>
      </c>
      <c r="F13" s="12" t="inlineStr">
        <is>
          <t>Liquid</t>
        </is>
      </c>
      <c r="G13" s="79" t="n">
        <v>0.05</v>
      </c>
      <c r="H13" s="12" t="inlineStr">
        <is>
          <t>✓</t>
        </is>
      </c>
      <c r="I13" s="75" t="inlineStr">
        <is>
          <t>✓</t>
        </is>
      </c>
    </row>
    <row r="14" ht="45" customHeight="1">
      <c r="A14" s="12" t="inlineStr">
        <is>
          <t>Commodities</t>
        </is>
      </c>
      <c r="B14" s="78" t="n">
        <v>166714.35</v>
      </c>
      <c r="C14" s="79" t="n">
        <v>0.03140259692529115</v>
      </c>
      <c r="D14" s="80" t="n">
        <v>0</v>
      </c>
      <c r="E14" s="81" t="n">
        <v>0</v>
      </c>
      <c r="F14" s="12" t="inlineStr">
        <is>
          <t>Liquid</t>
        </is>
      </c>
      <c r="G14" s="64" t="inlineStr"/>
      <c r="H14" s="33" t="inlineStr"/>
      <c r="I14" s="83" t="inlineStr"/>
    </row>
    <row r="15" ht="45" customHeight="1">
      <c r="A15" s="12" t="inlineStr">
        <is>
          <t>Cash</t>
        </is>
      </c>
      <c r="B15" s="78" t="n">
        <v>17926.75</v>
      </c>
      <c r="C15" s="79" t="n">
        <v>0.003376712949008067</v>
      </c>
      <c r="D15" s="80" t="n">
        <v>170101.75</v>
      </c>
      <c r="E15" s="81" t="n">
        <v>0.0320406533183055</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170100</v>
      </c>
      <c r="E17" s="81" t="n">
        <v>0.03204032368534577</v>
      </c>
      <c r="F17" s="12" t="inlineStr">
        <is>
          <t>Liquid</t>
        </is>
      </c>
      <c r="G17" s="79" t="n">
        <v>0.05</v>
      </c>
      <c r="H17" s="12" t="inlineStr">
        <is>
          <t>Under 5.0%</t>
        </is>
      </c>
      <c r="I17" s="75" t="inlineStr">
        <is>
          <t>✓</t>
        </is>
      </c>
    </row>
    <row r="18" ht="30" customHeight="1">
      <c r="A18" s="12" t="inlineStr">
        <is>
          <t>Managed Futures</t>
        </is>
      </c>
      <c r="B18" s="78" t="n">
        <v>0</v>
      </c>
      <c r="C18" s="79" t="n">
        <v>0</v>
      </c>
      <c r="D18" s="78" t="n">
        <v>0</v>
      </c>
      <c r="E18" s="79" t="n">
        <v>0</v>
      </c>
      <c r="F18" s="12" t="inlineStr">
        <is>
          <t>Liquid</t>
        </is>
      </c>
      <c r="G18" s="64" t="inlineStr"/>
      <c r="H18" s="33" t="inlineStr"/>
      <c r="I18" s="33" t="inlineStr"/>
    </row>
    <row r="19" ht="45" customHeight="1">
      <c r="A19" s="12" t="inlineStr">
        <is>
          <t>Municipal Bonds</t>
        </is>
      </c>
      <c r="B19" s="78" t="n">
        <v>0</v>
      </c>
      <c r="C19" s="79" t="n">
        <v>0</v>
      </c>
      <c r="D19" s="78" t="n">
        <v>0</v>
      </c>
      <c r="E19" s="79" t="n">
        <v>0</v>
      </c>
      <c r="F19" s="12" t="inlineStr">
        <is>
          <t>Liquid</t>
        </is>
      </c>
      <c r="G19" s="64" t="inlineStr"/>
      <c r="H19" s="12" t="inlineStr">
        <is>
          <t>✓ Covered by fixed-income coverage</t>
        </is>
      </c>
      <c r="I19" s="12" t="inlineStr">
        <is>
          <t>✓ Covered by fixed-income coverage</t>
        </is>
      </c>
    </row>
    <row r="20" ht="30" customHeight="1">
      <c r="A20" s="12" t="inlineStr">
        <is>
          <t>Private Credit</t>
        </is>
      </c>
      <c r="B20" s="78" t="n">
        <v>0</v>
      </c>
      <c r="C20" s="79" t="n">
        <v>0</v>
      </c>
      <c r="D20" s="78" t="n">
        <v>0</v>
      </c>
      <c r="E20" s="79" t="n">
        <v>0</v>
      </c>
      <c r="F20" s="12" t="inlineStr">
        <is>
          <t>Liquid</t>
        </is>
      </c>
      <c r="G20" s="64" t="inlineStr"/>
      <c r="H20" s="33" t="inlineStr"/>
      <c r="I20" s="33" t="inlineStr"/>
    </row>
    <row r="21" ht="15" customHeight="1">
      <c r="A21" s="12" t="inlineStr">
        <is>
          <t>REITs</t>
        </is>
      </c>
      <c r="B21" s="78" t="n">
        <v>0</v>
      </c>
      <c r="C21" s="79" t="n">
        <v>0</v>
      </c>
      <c r="D21" s="78" t="n">
        <v>0</v>
      </c>
      <c r="E21" s="79" t="n">
        <v>0</v>
      </c>
      <c r="F21" s="12" t="inlineStr">
        <is>
          <t>Liquid</t>
        </is>
      </c>
      <c r="G21" s="64" t="inlineStr"/>
      <c r="H21" s="33" t="inlineStr"/>
      <c r="I21" s="33" t="inlineStr"/>
    </row>
    <row r="22" ht="45" customHeight="1">
      <c r="A22" s="12" t="inlineStr">
        <is>
          <t>Short-Term Bonds</t>
        </is>
      </c>
      <c r="B22" s="78" t="n">
        <v>0</v>
      </c>
      <c r="C22" s="79" t="n">
        <v>0</v>
      </c>
      <c r="D22" s="78" t="n">
        <v>0</v>
      </c>
      <c r="E22" s="79" t="n">
        <v>0</v>
      </c>
      <c r="F22" s="12" t="inlineStr">
        <is>
          <t>Liquid</t>
        </is>
      </c>
      <c r="G22" s="79" t="n">
        <v>0.05</v>
      </c>
      <c r="H22" s="12" t="inlineStr">
        <is>
          <t>✓ Covered by fixed-income coverage</t>
        </is>
      </c>
      <c r="I22" s="12" t="inlineStr">
        <is>
          <t>✓ Covered by fixed-income coverage</t>
        </is>
      </c>
    </row>
    <row r="23" ht="45" customHeight="1">
      <c r="A23" s="12" t="inlineStr">
        <is>
          <t>TIPS</t>
        </is>
      </c>
      <c r="B23" s="78" t="n">
        <v>0</v>
      </c>
      <c r="C23" s="79" t="n">
        <v>0</v>
      </c>
      <c r="D23" s="78" t="n">
        <v>0</v>
      </c>
      <c r="E23" s="79" t="n">
        <v>0</v>
      </c>
      <c r="F23" s="12" t="inlineStr">
        <is>
          <t>Liquid</t>
        </is>
      </c>
      <c r="G23" s="64" t="inlineStr"/>
      <c r="H23" s="12" t="inlineStr">
        <is>
          <t>✓ Covered by fixed-income coverage</t>
        </is>
      </c>
      <c r="I23" s="12" t="inlineStr">
        <is>
          <t>✓ Covered by fixed-income coverage</t>
        </is>
      </c>
    </row>
    <row r="24" ht="45" customHeight="1">
      <c r="A24" s="12" t="inlineStr">
        <is>
          <t>US Mid Cap</t>
        </is>
      </c>
      <c r="B24" s="78" t="n">
        <v>0</v>
      </c>
      <c r="C24" s="79" t="n">
        <v>0</v>
      </c>
      <c r="D24" s="80" t="n">
        <v>170101</v>
      </c>
      <c r="E24" s="81" t="n">
        <v>0.03204051204703704</v>
      </c>
      <c r="F24" s="12" t="inlineStr">
        <is>
          <t>Liquid</t>
        </is>
      </c>
      <c r="G24" s="79" t="n">
        <v>0.05</v>
      </c>
      <c r="H24" s="12" t="inlineStr">
        <is>
          <t>Under 5.0%</t>
        </is>
      </c>
      <c r="I24" s="75" t="inlineStr">
        <is>
          <t>✓</t>
        </is>
      </c>
    </row>
    <row r="25" ht="30" customHeight="1">
      <c r="A25" s="2" t="inlineStr">
        <is>
          <t>TOTAL PORTFOLIO</t>
        </is>
      </c>
      <c r="B25" s="84" t="n">
        <v>5308935.13032137</v>
      </c>
      <c r="C25" s="85" t="n">
        <v>1</v>
      </c>
      <c r="D25" s="84" t="n">
        <v>5308935.13032137</v>
      </c>
      <c r="E25" s="85" t="n">
        <v>1</v>
      </c>
    </row>
    <row r="26"/>
    <row r="27" ht="30" customHeight="1">
      <c r="A27" s="2" t="inlineStr">
        <is>
          <t>Non-Liquid Coverage:</t>
        </is>
      </c>
    </row>
    <row r="28" ht="45" customHeight="1">
      <c r="A28" s="12" t="inlineStr">
        <is>
          <t>Fixed Income Coverage: selected guaranteed/bond-like assets cover 24.0% of total portfolio (target 20%). ✓ Fully covered — no bonds/TIPS/short-term bonds needed in liquid portfolio. Included sources: Pension, Annuities, Note Receivable.</t>
        </is>
      </c>
      <c r="B28" s="3" t="n"/>
      <c r="C28" s="3" t="n"/>
      <c r="D28" s="3" t="n"/>
      <c r="E28" s="3" t="n"/>
      <c r="F28" s="3" t="n"/>
      <c r="G28" s="3" t="n"/>
      <c r="H28" s="3" t="n"/>
      <c r="I28" s="4" t="n"/>
    </row>
    <row r="29" ht="45" customHeight="1">
      <c r="A29" s="12" t="inlineStr">
        <is>
          <t>Real Estate Coverage: home equity is counted toward REIT/real-estate target; coverage equals 24.7% of total portfolio (target 0%). No selected liquid REIT target; home equity is shown for context and is not under target.</t>
        </is>
      </c>
      <c r="B29" s="3" t="n"/>
      <c r="C29" s="3" t="n"/>
      <c r="D29" s="3" t="n"/>
      <c r="E29" s="3" t="n"/>
      <c r="F29" s="3" t="n"/>
      <c r="G29" s="3" t="n"/>
      <c r="H29" s="3" t="n"/>
      <c r="I29" s="4" t="n"/>
    </row>
    <row r="30"/>
    <row r="31" ht="15" customHeight="1">
      <c r="A31" s="10" t="inlineStr">
        <is>
          <t>Allocation Selection and Optimizer Recommendation</t>
        </is>
      </c>
      <c r="B31" s="3" t="n"/>
      <c r="C31" s="3" t="n"/>
      <c r="D31" s="3" t="n"/>
      <c r="E31" s="3" t="n"/>
      <c r="F31" s="4" t="n"/>
    </row>
    <row r="32" ht="45" customHeight="1">
      <c r="A32" s="2" t="inlineStr">
        <is>
          <t>Selected Mode</t>
        </is>
      </c>
      <c r="B32" s="12" t="inlineStr">
        <is>
          <t>Use user-specified allocation</t>
        </is>
      </c>
      <c r="C32" s="12" t="inlineStr">
        <is>
          <t>Toggle in the guided UI between the optimizer recommendation and the user-specified target_pct allocation.</t>
        </is>
      </c>
      <c r="D32" s="3" t="n"/>
      <c r="E32" s="3" t="n"/>
      <c r="F32" s="4" t="n"/>
    </row>
    <row r="33" ht="90" customHeight="1">
      <c r="A33" s="2" t="inlineStr">
        <is>
          <t>Recommendation Source</t>
        </is>
      </c>
      <c r="B33" s="77" t="inlineStr">
        <is>
          <t>User-defined allocation</t>
        </is>
      </c>
      <c r="C33" s="12" t="inlineStr">
        <is>
          <t>Selected in the UI and stored in database-backed Plan Data as allocation_selection_mode=user_target; this source drives the selected target %, liquid target-vs-actual table, and rebalance recommendations.</t>
        </is>
      </c>
      <c r="D33" s="3" t="n"/>
      <c r="E33" s="3" t="n"/>
      <c r="F33" s="4" t="n"/>
    </row>
    <row r="34" ht="90" customHeight="1">
      <c r="A34" s="2" t="inlineStr">
        <is>
          <t>Pricing Source</t>
        </is>
      </c>
      <c r="B34" s="77" t="inlineStr">
        <is>
          <t>CACHE — as of 06/29/2026 09:35 AM</t>
        </is>
      </c>
      <c r="C34" s="12" t="inlineStr">
        <is>
          <t>Cached quotes were used as of 06/29/2026 09:35 AM; cache TTL is 24.0 hours. Some symbols used offline fallback pricing; see Holdings Detail by Account for ticker-level sources. Ticker-level source counts: cash: 1, fresh_cache_24h_from_fixture_cache: 7.</t>
        </is>
      </c>
      <c r="D34" s="3" t="n"/>
      <c r="E34" s="3" t="n"/>
      <c r="F34" s="4" t="n"/>
    </row>
    <row r="35" ht="90" customHeight="1">
      <c r="A35" s="2" t="inlineStr">
        <is>
          <t>Why consider optimizer?</t>
        </is>
      </c>
      <c r="B35"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5" s="3" t="n"/>
      <c r="D35" s="3" t="n"/>
      <c r="E35" s="3" t="n"/>
      <c r="F35" s="4" t="n"/>
    </row>
    <row r="36"/>
    <row r="37" ht="30" customHeight="1">
      <c r="A37" s="86" t="inlineStr">
        <is>
          <t>Asset Class</t>
        </is>
      </c>
      <c r="B37" s="86" t="inlineStr">
        <is>
          <t>User Target %</t>
        </is>
      </c>
      <c r="C37" s="86" t="inlineStr">
        <is>
          <t>Optimizer Target %</t>
        </is>
      </c>
      <c r="D37" s="86" t="inlineStr">
        <is>
          <t>Selected Target %</t>
        </is>
      </c>
      <c r="E37" s="5" t="inlineStr">
        <is>
          <t>Comment</t>
        </is>
      </c>
      <c r="F37" s="4" t="n"/>
    </row>
    <row r="38" ht="60" customHeight="1">
      <c r="A38" s="87" t="inlineStr">
        <is>
          <t>Orange italic percentages show the initial target for a class fully satisfied by an alternate existing asset; those covered classes are excluded from the 100% liquid target completeness.</t>
        </is>
      </c>
      <c r="B38" s="3" t="n"/>
      <c r="C38" s="3" t="n"/>
      <c r="D38" s="3" t="n"/>
      <c r="E38" s="3" t="n"/>
      <c r="F38" s="4" t="n"/>
    </row>
    <row r="39" ht="45" customHeight="1">
      <c r="A39" s="12" t="inlineStr">
        <is>
          <t>US Large Cap</t>
        </is>
      </c>
      <c r="B39" s="79" t="n">
        <v>0.5</v>
      </c>
      <c r="C39" s="79" t="n">
        <v>0.5756243318434298</v>
      </c>
      <c r="D39" s="88" t="n">
        <v>0.5</v>
      </c>
      <c r="E39" s="12" t="inlineStr">
        <is>
          <t>Included in selected liquid target recommendation.</t>
        </is>
      </c>
      <c r="F39" s="4" t="n"/>
    </row>
    <row r="40" ht="45" customHeight="1">
      <c r="A40" s="12" t="inlineStr">
        <is>
          <t>US Mid Cap</t>
        </is>
      </c>
      <c r="B40" s="79" t="n">
        <v>0.0625</v>
      </c>
      <c r="C40" s="79" t="n">
        <v>0</v>
      </c>
      <c r="D40" s="88" t="n">
        <v>0.0625</v>
      </c>
      <c r="E40" s="12" t="inlineStr">
        <is>
          <t>Included in selected liquid target recommendation.</t>
        </is>
      </c>
      <c r="F40" s="4" t="n"/>
    </row>
    <row r="41" ht="45" customHeight="1">
      <c r="A41" s="12" t="inlineStr">
        <is>
          <t>US Small Cap</t>
        </is>
      </c>
      <c r="B41" s="79" t="n">
        <v>0.0625</v>
      </c>
      <c r="C41" s="79" t="n">
        <v>0</v>
      </c>
      <c r="D41" s="88" t="n">
        <v>0.0625</v>
      </c>
      <c r="E41" s="12" t="inlineStr">
        <is>
          <t>Included in selected liquid target recommendation.</t>
        </is>
      </c>
      <c r="F41" s="4" t="n"/>
    </row>
    <row r="42" ht="45" customHeight="1">
      <c r="A42" s="12" t="inlineStr">
        <is>
          <t>International</t>
        </is>
      </c>
      <c r="B42" s="79" t="n">
        <v>0.25</v>
      </c>
      <c r="C42" s="79" t="n">
        <v>0.04652761453173576</v>
      </c>
      <c r="D42" s="88" t="n">
        <v>0.25</v>
      </c>
      <c r="E42" s="12" t="inlineStr">
        <is>
          <t>Included in selected liquid target recommendation.</t>
        </is>
      </c>
      <c r="F42" s="4" t="n"/>
    </row>
    <row r="43" ht="45" customHeight="1">
      <c r="A43" s="12" t="inlineStr">
        <is>
          <t>Emerging Markets</t>
        </is>
      </c>
      <c r="B43" s="79" t="n">
        <v>0.0625</v>
      </c>
      <c r="C43" s="79" t="n">
        <v>0</v>
      </c>
      <c r="D43" s="88" t="n">
        <v>0.0625</v>
      </c>
      <c r="E43" s="12" t="inlineStr">
        <is>
          <t>Included in selected liquid target recommendation.</t>
        </is>
      </c>
      <c r="F43" s="4" t="n"/>
    </row>
    <row r="44" ht="60" customHeight="1">
      <c r="A44" s="12" t="inlineStr">
        <is>
          <t>Commodities</t>
        </is>
      </c>
      <c r="B44" s="79" t="n">
        <v>0</v>
      </c>
      <c r="C44" s="79" t="n">
        <v>0.1131185357045755</v>
      </c>
      <c r="D44" s="88" t="n">
        <v>0</v>
      </c>
      <c r="E44" s="12" t="inlineStr">
        <is>
          <t>Visible in optimizer comparison; not in selected target.</t>
        </is>
      </c>
      <c r="F44" s="4" t="n"/>
    </row>
    <row r="45" ht="90" customHeight="1">
      <c r="A45" s="12" t="inlineStr">
        <is>
          <t>Bonds</t>
        </is>
      </c>
      <c r="B45" s="89" t="n">
        <v>0.15</v>
      </c>
      <c r="C45" s="89" t="n">
        <v>0.012641646590356</v>
      </c>
      <c r="D45" s="90" t="n">
        <v>0.15</v>
      </c>
      <c r="E45" s="12" t="inlineStr">
        <is>
          <t>Covered by Pension, Annuities, Note Receivable; initial target is shown but not counted in the 100% liquid recommendation.</t>
        </is>
      </c>
      <c r="F45" s="4" t="n"/>
    </row>
    <row r="46" ht="90" customHeight="1">
      <c r="A46" s="12" t="inlineStr">
        <is>
          <t>Short-Term Bonds</t>
        </is>
      </c>
      <c r="B46" s="89" t="n">
        <v>0.05</v>
      </c>
      <c r="C46" s="89" t="n">
        <v>0.005618509595713778</v>
      </c>
      <c r="D46" s="90" t="n">
        <v>0.05</v>
      </c>
      <c r="E46" s="12" t="inlineStr">
        <is>
          <t>Covered by Pension, Annuities, Note Receivable; initial target is shown but not counted in the 100% liquid recommendation.</t>
        </is>
      </c>
      <c r="F46" s="4" t="n"/>
    </row>
    <row r="47" ht="30" customHeight="1">
      <c r="A47" s="12" t="inlineStr">
        <is>
          <t>TIPS</t>
        </is>
      </c>
      <c r="B47" s="79" t="n">
        <v>0</v>
      </c>
      <c r="C47" s="79" t="n">
        <v>0</v>
      </c>
      <c r="D47" s="88" t="n">
        <v>0</v>
      </c>
      <c r="E47" s="12" t="inlineStr">
        <is>
          <t>No selected liquid target.</t>
        </is>
      </c>
      <c r="F47" s="4" t="n"/>
    </row>
    <row r="48" ht="30" customHeight="1">
      <c r="A48" s="12" t="inlineStr">
        <is>
          <t>Municipal Bonds</t>
        </is>
      </c>
      <c r="B48" s="79" t="n">
        <v>0</v>
      </c>
      <c r="C48" s="79" t="n">
        <v>0</v>
      </c>
      <c r="D48" s="88" t="n">
        <v>0</v>
      </c>
      <c r="E48" s="12" t="inlineStr">
        <is>
          <t>No selected liquid target.</t>
        </is>
      </c>
      <c r="F48" s="4" t="n"/>
    </row>
    <row r="49" ht="60" customHeight="1">
      <c r="A49" s="12" t="inlineStr">
        <is>
          <t>Managed Futures</t>
        </is>
      </c>
      <c r="B49" s="79" t="n">
        <v>0</v>
      </c>
      <c r="C49" s="79" t="n">
        <v>0.1131185357045755</v>
      </c>
      <c r="D49" s="88" t="n">
        <v>0</v>
      </c>
      <c r="E49" s="12" t="inlineStr">
        <is>
          <t>Visible in optimizer comparison; not in selected target.</t>
        </is>
      </c>
      <c r="F49" s="4" t="n"/>
    </row>
    <row r="50" ht="60" customHeight="1">
      <c r="A50" s="12" t="inlineStr">
        <is>
          <t>Private Credit</t>
        </is>
      </c>
      <c r="B50" s="79" t="n">
        <v>0</v>
      </c>
      <c r="C50" s="79" t="n">
        <v>0.09426544642047961</v>
      </c>
      <c r="D50" s="88" t="n">
        <v>0</v>
      </c>
      <c r="E50" s="12" t="inlineStr">
        <is>
          <t>Visible in optimizer comparison; not in selected target.</t>
        </is>
      </c>
      <c r="F50" s="4" t="n"/>
    </row>
    <row r="51" ht="30" customHeight="1">
      <c r="A51" s="12" t="inlineStr">
        <is>
          <t>REITs</t>
        </is>
      </c>
      <c r="B51" s="79" t="n">
        <v>0</v>
      </c>
      <c r="C51" s="79" t="n">
        <v>0</v>
      </c>
      <c r="D51" s="88" t="n">
        <v>0</v>
      </c>
      <c r="E51" s="12" t="inlineStr">
        <is>
          <t>No selected liquid target.</t>
        </is>
      </c>
      <c r="F51" s="4" t="n"/>
    </row>
    <row r="52" ht="45" customHeight="1">
      <c r="A52" s="12" t="inlineStr">
        <is>
          <t>Cash</t>
        </is>
      </c>
      <c r="B52" s="79" t="n">
        <v>0.0625</v>
      </c>
      <c r="C52" s="79" t="n">
        <v>0.05734553579520389</v>
      </c>
      <c r="D52" s="88" t="n">
        <v>0.0625</v>
      </c>
      <c r="E52" s="12" t="inlineStr">
        <is>
          <t>Included in selected liquid target recommendation.</t>
        </is>
      </c>
      <c r="F52" s="4" t="n"/>
    </row>
    <row r="53"/>
    <row r="54" ht="15" customHeight="1">
      <c r="A54" s="10" t="inlineStr">
        <is>
          <t>Allocation Policy Inputs</t>
        </is>
      </c>
      <c r="B54" s="3" t="n"/>
      <c r="C54" s="3" t="n"/>
      <c r="D54" s="3" t="n"/>
      <c r="E54" s="3" t="n"/>
      <c r="F54" s="4" t="n"/>
    </row>
    <row r="55" ht="30" customHeight="1">
      <c r="A55" s="2" t="inlineStr">
        <is>
          <t>Risk Tolerance Score</t>
        </is>
      </c>
      <c r="B55" s="12" t="inlineStr">
        <is>
          <t>8.0 / 10</t>
        </is>
      </c>
      <c r="C55" s="12" t="inlineStr">
        <is>
          <t>User-provided</t>
        </is>
      </c>
      <c r="D55" s="3" t="n"/>
      <c r="E55" s="3" t="n"/>
      <c r="F55" s="4" t="n"/>
    </row>
    <row r="56" ht="45" customHeight="1">
      <c r="A56" s="2" t="inlineStr">
        <is>
          <t>Target Growth/Diversifier Allocation</t>
        </is>
      </c>
      <c r="B56" s="12" t="inlineStr">
        <is>
          <t>93.8%</t>
        </is>
      </c>
      <c r="C56" s="12" t="inlineStr">
        <is>
          <t>Selected allocation mode drives this target; optimizer recommendation remains visible above for comparison.</t>
        </is>
      </c>
      <c r="D56" s="3" t="n"/>
      <c r="E56" s="3" t="n"/>
      <c r="F56" s="4" t="n"/>
    </row>
    <row r="57" ht="45" customHeight="1">
      <c r="A57" s="2" t="inlineStr">
        <is>
          <t>Human Capital (PV earnings)</t>
        </is>
      </c>
      <c r="B57" s="12" t="inlineStr">
        <is>
          <t>$140,777</t>
        </is>
      </c>
      <c r="C57" s="12" t="inlineStr">
        <is>
          <t>1 years to retirement × stability 0.5</t>
        </is>
      </c>
      <c r="D57" s="3" t="n"/>
      <c r="E57" s="3" t="n"/>
      <c r="F57" s="4" t="n"/>
    </row>
    <row r="58" ht="60" customHeight="1">
      <c r="A58" s="2" t="inlineStr">
        <is>
          <t>Fixed-Income Coverage PV</t>
        </is>
      </c>
      <c r="B58" s="12" t="inlineStr">
        <is>
          <t>$1,274,327</t>
        </is>
      </c>
      <c r="C58" s="12" t="inlineStr">
        <is>
          <t>Sources counted toward fixed-income target: Pension, Annuities, Note Receivable; funded ratio from guaranteed income: 37.7%</t>
        </is>
      </c>
      <c r="D58" s="3" t="n"/>
      <c r="E58" s="3" t="n"/>
      <c r="F58" s="4" t="n"/>
    </row>
    <row r="59" ht="45" customHeight="1">
      <c r="A59" s="2" t="inlineStr">
        <is>
          <t>Home Equity REIT Coverage</t>
        </is>
      </c>
      <c r="B59" s="12" t="inlineStr">
        <is>
          <t>YES</t>
        </is>
      </c>
      <c r="C59" s="12" t="inlineStr">
        <is>
          <t>Controls whether primary residence equity satisfies the REIT/real-estate target before recommending liquid REITs</t>
        </is>
      </c>
      <c r="D59" s="3" t="n"/>
      <c r="E59" s="3" t="n"/>
      <c r="F59" s="4" t="n"/>
    </row>
    <row r="60" ht="30" customHeight="1">
      <c r="A60" s="2" t="inlineStr">
        <is>
          <t>Withdrawal Rate</t>
        </is>
      </c>
      <c r="B60" s="12" t="inlineStr">
        <is>
          <t>5.6%</t>
        </is>
      </c>
      <c r="C60" s="12" t="inlineStr">
        <is>
          <t>Annual spending / liquid portfolio</t>
        </is>
      </c>
      <c r="D60" s="3" t="n"/>
      <c r="E60" s="3" t="n"/>
      <c r="F60" s="4" t="n"/>
    </row>
    <row r="61" ht="30" customHeight="1">
      <c r="A61" s="2" t="inlineStr">
        <is>
          <t>Glide Path Mode</t>
        </is>
      </c>
      <c r="B61" s="12" t="inlineStr">
        <is>
          <t>Static</t>
        </is>
      </c>
      <c r="C61" s="12" t="inlineStr">
        <is>
          <t>Target-date: de-risk approaching retirement; Static: fixed allocation</t>
        </is>
      </c>
      <c r="D61" s="3" t="n"/>
      <c r="E61" s="3" t="n"/>
      <c r="F61" s="4" t="n"/>
    </row>
    <row r="62" ht="60" customHeight="1">
      <c r="A62" s="2" t="inlineStr">
        <is>
          <t>Inflation-Sensitive Spending</t>
        </is>
      </c>
      <c r="B62" s="12" t="inlineStr">
        <is>
          <t>10%</t>
        </is>
      </c>
      <c r="C62" s="12" t="inlineStr">
        <is>
          <t>Higher → more broad commodities/TIPS/managed futures; precious-metal sleeves are excluded from the recommendation model</t>
        </is>
      </c>
      <c r="D62" s="3" t="n"/>
      <c r="E62" s="3" t="n"/>
      <c r="F62" s="4" t="n"/>
    </row>
    <row r="63"/>
    <row r="64" ht="15" customHeight="1">
      <c r="A64" s="13" t="inlineStr">
        <is>
          <t>Liquid Portfolio: Target vs Actual</t>
        </is>
      </c>
      <c r="B64" s="3" t="n"/>
      <c r="C64" s="3" t="n"/>
      <c r="D64" s="3" t="n"/>
      <c r="E64" s="3" t="n"/>
      <c r="F64" s="4" t="n"/>
    </row>
    <row r="65" ht="75" customHeight="1">
      <c r="A65"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5" s="3" t="n"/>
      <c r="C65" s="3" t="n"/>
      <c r="D65" s="3" t="n"/>
      <c r="E65" s="3" t="n"/>
      <c r="F65" s="4" t="n"/>
    </row>
    <row r="66" ht="15" customHeight="1">
      <c r="A66" s="5" t="inlineStr">
        <is>
          <t>Bucket</t>
        </is>
      </c>
      <c r="B66" s="5" t="inlineStr">
        <is>
          <t>Target %</t>
        </is>
      </c>
      <c r="C66" s="5" t="inlineStr">
        <is>
          <t>Actual $</t>
        </is>
      </c>
      <c r="D66" s="5" t="inlineStr">
        <is>
          <t>Actual %</t>
        </is>
      </c>
      <c r="E66" s="5" t="inlineStr">
        <is>
          <t>Delta pp</t>
        </is>
      </c>
      <c r="F66" s="5" t="inlineStr">
        <is>
          <t>Action</t>
        </is>
      </c>
    </row>
    <row r="67" ht="45" customHeight="1">
      <c r="A67" s="12" t="inlineStr">
        <is>
          <t>US Large Cap</t>
        </is>
      </c>
      <c r="B67" s="79" t="n">
        <v>0.5</v>
      </c>
      <c r="C67" s="78" t="n">
        <v>1329502.60797</v>
      </c>
      <c r="D67" s="79" t="n">
        <v>0.4884989404086499</v>
      </c>
      <c r="E67" s="79" t="n">
        <v>-0.01150105959135006</v>
      </c>
      <c r="F67" s="12" t="inlineStr">
        <is>
          <t>Hold</t>
        </is>
      </c>
    </row>
    <row r="68" ht="45" customHeight="1">
      <c r="A68" s="12" t="inlineStr">
        <is>
          <t>International</t>
        </is>
      </c>
      <c r="B68" s="79" t="n">
        <v>0.25</v>
      </c>
      <c r="C68" s="78" t="n">
        <v>897149.1413760001</v>
      </c>
      <c r="D68" s="79" t="n">
        <v>0.3296393721407392</v>
      </c>
      <c r="E68" s="91" t="n">
        <v>0.07963937214073918</v>
      </c>
      <c r="F68" s="12" t="inlineStr">
        <is>
          <t>Rebalance</t>
        </is>
      </c>
    </row>
    <row r="69" ht="45" customHeight="1">
      <c r="A69" s="12" t="inlineStr">
        <is>
          <t>US Small Cap</t>
        </is>
      </c>
      <c r="B69" s="79" t="n">
        <v>0.0625</v>
      </c>
      <c r="C69" s="78" t="n">
        <v>310315.117414</v>
      </c>
      <c r="D69" s="79" t="n">
        <v>0.1140190362476862</v>
      </c>
      <c r="E69" s="91" t="n">
        <v>0.05151903624768621</v>
      </c>
      <c r="F69" s="12" t="inlineStr">
        <is>
          <t>Rebalance</t>
        </is>
      </c>
    </row>
    <row r="70" ht="45" customHeight="1">
      <c r="A70" s="12" t="inlineStr">
        <is>
          <t>Commodities</t>
        </is>
      </c>
      <c r="B70" s="79" t="n">
        <v>0</v>
      </c>
      <c r="C70" s="78" t="n">
        <v>166714.35</v>
      </c>
      <c r="D70" s="79" t="n">
        <v>0.06125582818544908</v>
      </c>
      <c r="E70" s="91" t="n">
        <v>0.06125582818544908</v>
      </c>
      <c r="F70" s="12" t="inlineStr">
        <is>
          <t>Rebalance</t>
        </is>
      </c>
    </row>
    <row r="71" ht="45" customHeight="1">
      <c r="A71" s="12" t="inlineStr">
        <is>
          <t>Cash</t>
        </is>
      </c>
      <c r="B71" s="79" t="n">
        <v>0.0625</v>
      </c>
      <c r="C71" s="78" t="n">
        <v>17926.75</v>
      </c>
      <c r="D71" s="79" t="n">
        <v>0.006586823017475697</v>
      </c>
      <c r="E71" s="91" t="n">
        <v>-0.0559131769825243</v>
      </c>
      <c r="F71" s="12" t="inlineStr">
        <is>
          <t>Rebalance</t>
        </is>
      </c>
    </row>
    <row r="72" ht="15" customHeight="1">
      <c r="A72" s="12" t="inlineStr">
        <is>
          <t>Bonds</t>
        </is>
      </c>
      <c r="B72" s="79" t="n">
        <v>0</v>
      </c>
      <c r="C72" s="78" t="n">
        <v>0</v>
      </c>
      <c r="D72" s="79" t="n">
        <v>0</v>
      </c>
      <c r="E72" s="79" t="n">
        <v>0</v>
      </c>
      <c r="F72" s="12" t="inlineStr">
        <is>
          <t>Covered</t>
        </is>
      </c>
    </row>
    <row r="73" ht="30" customHeight="1">
      <c r="A73" s="12" t="inlineStr">
        <is>
          <t>Emerging Markets</t>
        </is>
      </c>
      <c r="B73" s="79" t="n">
        <v>0.0625</v>
      </c>
      <c r="C73" s="78" t="n">
        <v>0</v>
      </c>
      <c r="D73" s="79" t="n">
        <v>0</v>
      </c>
      <c r="E73" s="91" t="n">
        <v>-0.0625</v>
      </c>
      <c r="F73" s="12" t="inlineStr">
        <is>
          <t>Rebalance</t>
        </is>
      </c>
    </row>
    <row r="74" ht="30" customHeight="1">
      <c r="A74" s="12" t="inlineStr">
        <is>
          <t>Managed Futures</t>
        </is>
      </c>
      <c r="B74" s="79" t="n">
        <v>0</v>
      </c>
      <c r="C74" s="78" t="n">
        <v>0</v>
      </c>
      <c r="D74" s="79" t="n">
        <v>0</v>
      </c>
      <c r="E74" s="79" t="n">
        <v>0</v>
      </c>
      <c r="F74" s="12" t="inlineStr">
        <is>
          <t>Hold</t>
        </is>
      </c>
    </row>
    <row r="75" ht="30" customHeight="1">
      <c r="A75" s="12" t="inlineStr">
        <is>
          <t>Municipal Bonds</t>
        </is>
      </c>
      <c r="B75" s="79" t="n">
        <v>0</v>
      </c>
      <c r="C75" s="78" t="n">
        <v>0</v>
      </c>
      <c r="D75" s="79" t="n">
        <v>0</v>
      </c>
      <c r="E75" s="79" t="n">
        <v>0</v>
      </c>
      <c r="F75" s="12" t="inlineStr">
        <is>
          <t>Covered</t>
        </is>
      </c>
    </row>
    <row r="76" ht="30" customHeight="1">
      <c r="A76" s="12" t="inlineStr">
        <is>
          <t>Private Credit</t>
        </is>
      </c>
      <c r="B76" s="79" t="n">
        <v>0</v>
      </c>
      <c r="C76" s="78" t="n">
        <v>0</v>
      </c>
      <c r="D76" s="79" t="n">
        <v>0</v>
      </c>
      <c r="E76" s="79" t="n">
        <v>0</v>
      </c>
      <c r="F76" s="12" t="inlineStr">
        <is>
          <t>Hold</t>
        </is>
      </c>
    </row>
    <row r="77" ht="15" customHeight="1">
      <c r="A77" s="12" t="inlineStr">
        <is>
          <t>REITs</t>
        </is>
      </c>
      <c r="B77" s="79" t="n">
        <v>0</v>
      </c>
      <c r="C77" s="78" t="n">
        <v>0</v>
      </c>
      <c r="D77" s="79" t="n">
        <v>0</v>
      </c>
      <c r="E77" s="79" t="n">
        <v>0</v>
      </c>
      <c r="F77" s="12" t="inlineStr">
        <is>
          <t>Hold</t>
        </is>
      </c>
    </row>
    <row r="78" ht="30" customHeight="1">
      <c r="A78" s="12" t="inlineStr">
        <is>
          <t>Short-Term Bonds</t>
        </is>
      </c>
      <c r="B78" s="79" t="n">
        <v>0</v>
      </c>
      <c r="C78" s="78" t="n">
        <v>0</v>
      </c>
      <c r="D78" s="79" t="n">
        <v>0</v>
      </c>
      <c r="E78" s="79" t="n">
        <v>0</v>
      </c>
      <c r="F78" s="12" t="inlineStr">
        <is>
          <t>Covered</t>
        </is>
      </c>
    </row>
    <row r="79" ht="15" customHeight="1">
      <c r="A79" s="12" t="inlineStr">
        <is>
          <t>TIPS</t>
        </is>
      </c>
      <c r="B79" s="79" t="n">
        <v>0</v>
      </c>
      <c r="C79" s="78" t="n">
        <v>0</v>
      </c>
      <c r="D79" s="79" t="n">
        <v>0</v>
      </c>
      <c r="E79" s="79" t="n">
        <v>0</v>
      </c>
      <c r="F79" s="12" t="inlineStr">
        <is>
          <t>Covered</t>
        </is>
      </c>
    </row>
    <row r="80" ht="15" customHeight="1">
      <c r="A80" s="12" t="inlineStr">
        <is>
          <t>US Mid Cap</t>
        </is>
      </c>
      <c r="B80" s="79" t="n">
        <v>0.0625</v>
      </c>
      <c r="C80" s="78" t="n">
        <v>0</v>
      </c>
      <c r="D80" s="79" t="n">
        <v>0</v>
      </c>
      <c r="E80" s="91" t="n">
        <v>-0.0625</v>
      </c>
      <c r="F80" s="12" t="inlineStr">
        <is>
          <t>Rebalance</t>
        </is>
      </c>
    </row>
    <row r="81"/>
    <row r="82"/>
    <row r="83" ht="15" customHeight="1">
      <c r="A83" s="10" t="inlineStr">
        <is>
          <t>ETF Ideas for Recommended but Unrepresented Sleeves</t>
        </is>
      </c>
      <c r="B83" s="3" t="n"/>
      <c r="C83" s="3" t="n"/>
      <c r="D83" s="3" t="n"/>
      <c r="E83" s="3" t="n"/>
      <c r="F83" s="4" t="n"/>
    </row>
    <row r="84" ht="45" customHeight="1">
      <c r="A84" s="86" t="inlineStr">
        <is>
          <t>Sleeve</t>
        </is>
      </c>
      <c r="B84" s="86" t="inlineStr">
        <is>
          <t>Target %</t>
        </is>
      </c>
      <c r="C84" s="86" t="inlineStr">
        <is>
          <t>Current $</t>
        </is>
      </c>
      <c r="D84" s="5" t="inlineStr">
        <is>
          <t>Possible ETFs / specific vehicles</t>
        </is>
      </c>
      <c r="E84" s="4" t="n"/>
      <c r="F84" s="86" t="inlineStr">
        <is>
          <t>How used in trade guidance</t>
        </is>
      </c>
    </row>
    <row r="85" ht="90" customHeight="1">
      <c r="A85" s="2" t="inlineStr">
        <is>
          <t>Emerging Markets</t>
        </is>
      </c>
      <c r="B85" s="79" t="n">
        <v>0.0625</v>
      </c>
      <c r="C85" s="78" t="n">
        <v>0</v>
      </c>
      <c r="D85" s="12" t="inlineStr">
        <is>
          <t>VWO, IEMG, EEM</t>
        </is>
      </c>
      <c r="E85" s="4" t="n"/>
      <c r="F85" s="12" t="inlineStr">
        <is>
          <t>Trade guidance selects one ETF per account for this unrepresented Emerging Markets sleeve; other listed ETFs are alternatives only.</t>
        </is>
      </c>
    </row>
    <row r="86" ht="90" customHeight="1">
      <c r="A86" s="2" t="inlineStr">
        <is>
          <t>US Mid Cap</t>
        </is>
      </c>
      <c r="B86" s="79" t="n">
        <v>0.0625</v>
      </c>
      <c r="C86" s="78" t="n">
        <v>0</v>
      </c>
      <c r="D86" s="12" t="inlineStr">
        <is>
          <t>VO, IJH, SCHM</t>
        </is>
      </c>
      <c r="E86" s="4" t="n"/>
      <c r="F86" s="12" t="inlineStr">
        <is>
          <t>Trade guidance selects one ETF per account for this unrepresented US Mid Cap sleeve; other listed ETFs are alternatives only.</t>
        </is>
      </c>
    </row>
    <row r="87"/>
    <row r="88" ht="15" customHeight="1">
      <c r="A88" s="10" t="inlineStr">
        <is>
          <t>Asset Location Guidance</t>
        </is>
      </c>
      <c r="B88" s="3" t="n"/>
      <c r="C88" s="3" t="n"/>
      <c r="D88" s="3" t="n"/>
      <c r="E88" s="3" t="n"/>
      <c r="F88" s="4" t="n"/>
    </row>
    <row r="89" ht="30" customHeight="1">
      <c r="A89" s="5" t="inlineStr">
        <is>
          <t>Account Type</t>
        </is>
      </c>
      <c r="B89" s="5" t="inlineStr">
        <is>
          <t>Recommended Asset Class</t>
        </is>
      </c>
      <c r="C89" s="4" t="n"/>
      <c r="D89" s="5" t="inlineStr">
        <is>
          <t>Tax Rationale</t>
        </is>
      </c>
      <c r="E89" s="3" t="n"/>
      <c r="F89" s="4" t="n"/>
    </row>
    <row r="90" ht="45" customHeight="1">
      <c r="A90" s="2" t="inlineStr">
        <is>
          <t>Tax-Deferred (IRA/401k)</t>
        </is>
      </c>
      <c r="B90" s="12" t="inlineStr">
        <is>
          <t>Bonds, REITs, High-turnover funds, PDBC (commodities)</t>
        </is>
      </c>
      <c r="C90" s="4" t="n"/>
      <c r="D90" s="12" t="inlineStr">
        <is>
          <t>Interest/dividends shielded from current tax</t>
        </is>
      </c>
      <c r="E90" s="3" t="n"/>
      <c r="F90" s="4" t="n"/>
    </row>
    <row r="91" ht="45" customHeight="1">
      <c r="A91" s="2" t="inlineStr">
        <is>
          <t>Roth (Tax-Free)</t>
        </is>
      </c>
      <c r="B91" s="12" t="inlineStr">
        <is>
          <t>Highest-growth assets (AVUV, VBR small-cap)</t>
        </is>
      </c>
      <c r="C91" s="4" t="n"/>
      <c r="D91" s="12" t="inlineStr">
        <is>
          <t>Growth compounds tax-free; no RMD</t>
        </is>
      </c>
      <c r="E91" s="3" t="n"/>
      <c r="F91" s="4" t="n"/>
    </row>
    <row r="92" ht="45" customHeight="1">
      <c r="A92" s="2" t="inlineStr">
        <is>
          <t>Taxable Trust</t>
        </is>
      </c>
      <c r="B92" s="12" t="inlineStr">
        <is>
          <t>Tax-efficient equity (ITOT, VTI, IXUS, VXUS)</t>
        </is>
      </c>
      <c r="C92" s="4" t="n"/>
      <c r="D92" s="12" t="inlineStr">
        <is>
          <t>Qualified dividends + LTCG rates; step-up at death</t>
        </is>
      </c>
      <c r="E92" s="3" t="n"/>
      <c r="F92" s="4" t="n"/>
    </row>
    <row r="93"/>
    <row r="94"/>
    <row r="95" ht="45" customHeight="1">
      <c r="A95" s="2" t="inlineStr">
        <is>
          <t>Weighted Portfolio Expense Ratio</t>
        </is>
      </c>
      <c r="B95" s="92" t="n">
        <v>0.0008635549500440059</v>
      </c>
      <c r="C95" s="12" t="inlineStr">
        <is>
          <t>Annual fee drag: $2,350</t>
        </is>
      </c>
    </row>
    <row r="96"/>
    <row r="97"/>
    <row r="98" ht="15" customHeight="1">
      <c r="A98" s="9" t="inlineStr">
        <is>
          <t>HOLDINGS DETAIL BY ACCOUNT</t>
        </is>
      </c>
    </row>
    <row r="99" ht="30" customHeight="1">
      <c r="A99" s="5" t="inlineStr">
        <is>
          <t>Account</t>
        </is>
      </c>
      <c r="B99" s="5" t="inlineStr">
        <is>
          <t>Symbol</t>
        </is>
      </c>
      <c r="C99" s="5" t="inlineStr">
        <is>
          <t>Shares</t>
        </is>
      </c>
      <c r="D99" s="5" t="inlineStr">
        <is>
          <t>Price</t>
        </is>
      </c>
      <c r="E99" s="5" t="inlineStr">
        <is>
          <t>Market Value</t>
        </is>
      </c>
      <c r="F99" s="5" t="inlineStr">
        <is>
          <t>Weight</t>
        </is>
      </c>
      <c r="G99" s="5" t="inlineStr">
        <is>
          <t>Bucket</t>
        </is>
      </c>
      <c r="H99" s="5" t="inlineStr">
        <is>
          <t>Pricing Source</t>
        </is>
      </c>
    </row>
    <row r="100" ht="45" customHeight="1">
      <c r="A100" s="93" t="inlineStr">
        <is>
          <t>Husband_401k</t>
        </is>
      </c>
      <c r="B100" s="3" t="n"/>
      <c r="C100" s="3" t="n"/>
      <c r="D100" s="4" t="n"/>
      <c r="E100" s="94" t="n">
        <v>13021.25</v>
      </c>
      <c r="F100" s="93" t="inlineStr">
        <is>
          <t>Account Total</t>
        </is>
      </c>
      <c r="G100" s="93" t="inlineStr">
        <is>
          <t>Sources:</t>
        </is>
      </c>
      <c r="H100" s="75" t="inlineStr">
        <is>
          <t>cash, fresh_cache_24h_from_fixture_cache</t>
        </is>
      </c>
    </row>
    <row r="101" ht="45" customHeight="1">
      <c r="A101" s="33" t="inlineStr"/>
      <c r="B101" s="12" t="inlineStr">
        <is>
          <t>AVUV</t>
        </is>
      </c>
      <c r="C101" s="95" t="n">
        <v>88</v>
      </c>
      <c r="D101" s="78" t="n">
        <v>124.94</v>
      </c>
      <c r="E101" s="78" t="n">
        <v>10994.72</v>
      </c>
      <c r="F101" s="79" t="n">
        <v>0.004039788292172335</v>
      </c>
      <c r="G101" s="12" t="inlineStr">
        <is>
          <t>US Small Cap</t>
        </is>
      </c>
      <c r="H101" s="12" t="inlineStr">
        <is>
          <t>fresh_cache_24h_from_fixture_cache</t>
        </is>
      </c>
    </row>
    <row r="102" ht="45" customHeight="1">
      <c r="A102" s="33" t="inlineStr"/>
      <c r="B102" s="12" t="inlineStr">
        <is>
          <t>CASH</t>
        </is>
      </c>
      <c r="C102" s="95" t="n">
        <v>2026.53</v>
      </c>
      <c r="D102" s="78" t="n">
        <v>1</v>
      </c>
      <c r="E102" s="78" t="n">
        <v>2026.53</v>
      </c>
      <c r="F102" s="79" t="n">
        <v>0.0007446076087190944</v>
      </c>
      <c r="G102" s="12" t="inlineStr">
        <is>
          <t>Cash</t>
        </is>
      </c>
      <c r="H102" s="12" t="inlineStr">
        <is>
          <t>cash</t>
        </is>
      </c>
    </row>
    <row r="103"/>
    <row r="104" ht="45" customHeight="1">
      <c r="A104" s="93" t="inlineStr">
        <is>
          <t>Husband_HSA</t>
        </is>
      </c>
      <c r="B104" s="3" t="n"/>
      <c r="C104" s="3" t="n"/>
      <c r="D104" s="4" t="n"/>
      <c r="E104" s="94" t="n">
        <v>70601.79327000001</v>
      </c>
      <c r="F104" s="93" t="inlineStr">
        <is>
          <t>Account Total</t>
        </is>
      </c>
      <c r="G104" s="93" t="inlineStr">
        <is>
          <t>Sources:</t>
        </is>
      </c>
      <c r="H104" s="75" t="inlineStr">
        <is>
          <t>cash, fresh_cache_24h_from_fixture_cache</t>
        </is>
      </c>
    </row>
    <row r="105" ht="45" customHeight="1">
      <c r="A105" s="33" t="inlineStr"/>
      <c r="B105" s="12" t="inlineStr">
        <is>
          <t>CASH</t>
        </is>
      </c>
      <c r="C105" s="95" t="n">
        <v>275.82</v>
      </c>
      <c r="D105" s="78" t="n">
        <v>1</v>
      </c>
      <c r="E105" s="78" t="n">
        <v>275.82</v>
      </c>
      <c r="F105" s="79" t="n">
        <v>0.0001013445005190649</v>
      </c>
      <c r="G105" s="12" t="inlineStr">
        <is>
          <t>Cash</t>
        </is>
      </c>
      <c r="H105" s="12" t="inlineStr">
        <is>
          <t>cash</t>
        </is>
      </c>
    </row>
    <row r="106" ht="45" customHeight="1">
      <c r="A106" s="33" t="inlineStr"/>
      <c r="B106" s="12" t="inlineStr">
        <is>
          <t>ITOT</t>
        </is>
      </c>
      <c r="C106" s="95" t="n">
        <v>437.269</v>
      </c>
      <c r="D106" s="78" t="n">
        <v>160.83</v>
      </c>
      <c r="E106" s="78" t="n">
        <v>70325.97327</v>
      </c>
      <c r="F106" s="79" t="n">
        <v>0.02583986162919752</v>
      </c>
      <c r="G106" s="12" t="inlineStr">
        <is>
          <t>US Large Cap</t>
        </is>
      </c>
      <c r="H106" s="12" t="inlineStr">
        <is>
          <t>fresh_cache_24h_from_fixture_cache</t>
        </is>
      </c>
    </row>
    <row r="107"/>
    <row r="108" ht="45" customHeight="1">
      <c r="A108" s="93" t="inlineStr">
        <is>
          <t>Husband_IRA</t>
        </is>
      </c>
      <c r="B108" s="3" t="n"/>
      <c r="C108" s="3" t="n"/>
      <c r="D108" s="4" t="n"/>
      <c r="E108" s="94" t="n">
        <v>1311283.78664</v>
      </c>
      <c r="F108" s="93" t="inlineStr">
        <is>
          <t>Account Total</t>
        </is>
      </c>
      <c r="G108" s="93" t="inlineStr">
        <is>
          <t>Sources:</t>
        </is>
      </c>
      <c r="H108" s="75" t="inlineStr">
        <is>
          <t>cash, fresh_cache_24h_from_fixture_cache</t>
        </is>
      </c>
    </row>
    <row r="109" ht="45" customHeight="1">
      <c r="A109" s="33" t="inlineStr"/>
      <c r="B109" s="12" t="inlineStr">
        <is>
          <t>AVUV</t>
        </is>
      </c>
      <c r="C109" s="95" t="n">
        <v>852</v>
      </c>
      <c r="D109" s="78" t="n">
        <v>124.94</v>
      </c>
      <c r="E109" s="78" t="n">
        <v>106448.88</v>
      </c>
      <c r="F109" s="79" t="n">
        <v>0.03911249573785033</v>
      </c>
      <c r="G109" s="12" t="inlineStr">
        <is>
          <t>US Small Cap</t>
        </is>
      </c>
      <c r="H109" s="12" t="inlineStr">
        <is>
          <t>fresh_cache_24h_from_fixture_cache</t>
        </is>
      </c>
    </row>
    <row r="110" ht="45" customHeight="1">
      <c r="A110" s="33" t="inlineStr"/>
      <c r="B110" s="12" t="inlineStr">
        <is>
          <t>CASH</t>
        </is>
      </c>
      <c r="C110" s="95" t="n">
        <v>67.58</v>
      </c>
      <c r="D110" s="78" t="n">
        <v>1</v>
      </c>
      <c r="E110" s="78" t="n">
        <v>67.58</v>
      </c>
      <c r="F110" s="79" t="n">
        <v>2.483090908954538e-05</v>
      </c>
      <c r="G110" s="12" t="inlineStr">
        <is>
          <t>Cash</t>
        </is>
      </c>
      <c r="H110" s="12" t="inlineStr">
        <is>
          <t>cash</t>
        </is>
      </c>
    </row>
    <row r="111" ht="45" customHeight="1">
      <c r="A111" s="33" t="inlineStr"/>
      <c r="B111" s="12" t="inlineStr">
        <is>
          <t>ITOT</t>
        </is>
      </c>
      <c r="C111" s="95" t="n">
        <v>3920.008</v>
      </c>
      <c r="D111" s="78" t="n">
        <v>160.83</v>
      </c>
      <c r="E111" s="78" t="n">
        <v>630454.88664</v>
      </c>
      <c r="F111" s="79" t="n">
        <v>0.2316479428117413</v>
      </c>
      <c r="G111" s="12" t="inlineStr">
        <is>
          <t>US Large Cap</t>
        </is>
      </c>
      <c r="H111" s="12" t="inlineStr">
        <is>
          <t>fresh_cache_24h_from_fixture_cache</t>
        </is>
      </c>
    </row>
    <row r="112" ht="45" customHeight="1">
      <c r="A112" s="33" t="inlineStr"/>
      <c r="B112" s="12" t="inlineStr">
        <is>
          <t>IXUS</t>
        </is>
      </c>
      <c r="C112" s="95" t="n">
        <v>4884</v>
      </c>
      <c r="D112" s="78" t="n">
        <v>94.26000000000001</v>
      </c>
      <c r="E112" s="78" t="n">
        <v>460365.84</v>
      </c>
      <c r="F112" s="79" t="n">
        <v>0.1691521503547232</v>
      </c>
      <c r="G112" s="12" t="inlineStr">
        <is>
          <t>International</t>
        </is>
      </c>
      <c r="H112" s="12" t="inlineStr">
        <is>
          <t>fresh_cache_24h_from_fixture_cache</t>
        </is>
      </c>
    </row>
    <row r="113" ht="45" customHeight="1">
      <c r="A113" s="33" t="inlineStr"/>
      <c r="B113" s="12" t="inlineStr">
        <is>
          <t>PDBC</t>
        </is>
      </c>
      <c r="C113" s="95" t="n">
        <v>7180</v>
      </c>
      <c r="D113" s="78" t="n">
        <v>15.87</v>
      </c>
      <c r="E113" s="78" t="n">
        <v>113946.6</v>
      </c>
      <c r="F113" s="79" t="n">
        <v>0.04186738185354826</v>
      </c>
      <c r="G113" s="12" t="inlineStr">
        <is>
          <t>Commodities</t>
        </is>
      </c>
      <c r="H113" s="12" t="inlineStr">
        <is>
          <t>fresh_cache_24h_from_fixture_cache</t>
        </is>
      </c>
    </row>
    <row r="114"/>
    <row r="115" ht="45" customHeight="1">
      <c r="A115" s="93" t="inlineStr">
        <is>
          <t>Husband_Roth</t>
        </is>
      </c>
      <c r="B115" s="3" t="n"/>
      <c r="C115" s="3" t="n"/>
      <c r="D115" s="4" t="n"/>
      <c r="E115" s="94" t="n">
        <v>137412.09985</v>
      </c>
      <c r="F115" s="93" t="inlineStr">
        <is>
          <t>Account Total</t>
        </is>
      </c>
      <c r="G115" s="93" t="inlineStr">
        <is>
          <t>Sources:</t>
        </is>
      </c>
      <c r="H115" s="75" t="inlineStr">
        <is>
          <t>cash, fresh_cache_24h_from_fixture_cache</t>
        </is>
      </c>
    </row>
    <row r="116" ht="45" customHeight="1">
      <c r="A116" s="33" t="inlineStr"/>
      <c r="B116" s="12" t="inlineStr">
        <is>
          <t>AVUV</t>
        </is>
      </c>
      <c r="C116" s="95" t="n">
        <v>503.89</v>
      </c>
      <c r="D116" s="78" t="n">
        <v>124.94</v>
      </c>
      <c r="E116" s="78" t="n">
        <v>62956.0166</v>
      </c>
      <c r="F116" s="79" t="n">
        <v>0.02313191957434907</v>
      </c>
      <c r="G116" s="12" t="inlineStr">
        <is>
          <t>US Small Cap</t>
        </is>
      </c>
      <c r="H116" s="12" t="inlineStr">
        <is>
          <t>fresh_cache_24h_from_fixture_cache</t>
        </is>
      </c>
    </row>
    <row r="117" ht="45" customHeight="1">
      <c r="A117" s="33" t="inlineStr"/>
      <c r="B117" s="12" t="inlineStr">
        <is>
          <t>CASH</t>
        </is>
      </c>
      <c r="C117" s="95" t="n">
        <v>9.98</v>
      </c>
      <c r="D117" s="78" t="n">
        <v>1</v>
      </c>
      <c r="E117" s="78" t="n">
        <v>9.98</v>
      </c>
      <c r="F117" s="79" t="n">
        <v>3.666949877384772e-06</v>
      </c>
      <c r="G117" s="12" t="inlineStr">
        <is>
          <t>Cash</t>
        </is>
      </c>
      <c r="H117" s="12" t="inlineStr">
        <is>
          <t>cash</t>
        </is>
      </c>
    </row>
    <row r="118" ht="45" customHeight="1">
      <c r="A118" s="33" t="inlineStr"/>
      <c r="B118" s="12" t="inlineStr">
        <is>
          <t>ITOT</t>
        </is>
      </c>
      <c r="C118" s="95" t="n">
        <v>172.775</v>
      </c>
      <c r="D118" s="78" t="n">
        <v>160.83</v>
      </c>
      <c r="E118" s="78" t="n">
        <v>27787.40325</v>
      </c>
      <c r="F118" s="79" t="n">
        <v>0.01020992133671631</v>
      </c>
      <c r="G118" s="12" t="inlineStr">
        <is>
          <t>US Large Cap</t>
        </is>
      </c>
      <c r="H118" s="12" t="inlineStr">
        <is>
          <t>fresh_cache_24h_from_fixture_cache</t>
        </is>
      </c>
    </row>
    <row r="119" ht="45" customHeight="1">
      <c r="A119" s="33" t="inlineStr"/>
      <c r="B119" s="12" t="inlineStr">
        <is>
          <t>IXUS</t>
        </is>
      </c>
      <c r="C119" s="95" t="n">
        <v>495</v>
      </c>
      <c r="D119" s="78" t="n">
        <v>94.26000000000001</v>
      </c>
      <c r="E119" s="78" t="n">
        <v>46658.7</v>
      </c>
      <c r="F119" s="79" t="n">
        <v>0.01714379902243816</v>
      </c>
      <c r="G119" s="12" t="inlineStr">
        <is>
          <t>International</t>
        </is>
      </c>
      <c r="H119" s="12" t="inlineStr">
        <is>
          <t>fresh_cache_24h_from_fixture_cache</t>
        </is>
      </c>
    </row>
    <row r="120"/>
    <row r="121" ht="45" customHeight="1">
      <c r="A121" s="93" t="inlineStr">
        <is>
          <t>Husband_Trust</t>
        </is>
      </c>
      <c r="B121" s="3" t="n"/>
      <c r="C121" s="3" t="n"/>
      <c r="D121" s="4" t="n"/>
      <c r="E121" s="94" t="n">
        <v>204048.53501</v>
      </c>
      <c r="F121" s="93" t="inlineStr">
        <is>
          <t>Account Total</t>
        </is>
      </c>
      <c r="G121" s="93" t="inlineStr">
        <is>
          <t>Sources:</t>
        </is>
      </c>
      <c r="H121" s="75" t="inlineStr">
        <is>
          <t>cash, fresh_cache_24h_from_fixture_cache</t>
        </is>
      </c>
    </row>
    <row r="122" ht="45" customHeight="1">
      <c r="A122" s="33" t="inlineStr"/>
      <c r="B122" s="12" t="inlineStr">
        <is>
          <t>CASH</t>
        </is>
      </c>
      <c r="C122" s="95" t="n">
        <v>10282.85</v>
      </c>
      <c r="D122" s="78" t="n">
        <v>1</v>
      </c>
      <c r="E122" s="78" t="n">
        <v>10282.85</v>
      </c>
      <c r="F122" s="79" t="n">
        <v>0.00377822600667996</v>
      </c>
      <c r="G122" s="12" t="inlineStr">
        <is>
          <t>Cash</t>
        </is>
      </c>
      <c r="H122" s="12" t="inlineStr">
        <is>
          <t>cash</t>
        </is>
      </c>
    </row>
    <row r="123" ht="45" customHeight="1">
      <c r="A123" s="33" t="inlineStr"/>
      <c r="B123" s="12" t="inlineStr">
        <is>
          <t>ITOT</t>
        </is>
      </c>
      <c r="C123" s="95" t="n">
        <v>646.247</v>
      </c>
      <c r="D123" s="78" t="n">
        <v>160.83</v>
      </c>
      <c r="E123" s="78" t="n">
        <v>103935.90501</v>
      </c>
      <c r="F123" s="79" t="n">
        <v>0.03818915372067083</v>
      </c>
      <c r="G123" s="12" t="inlineStr">
        <is>
          <t>US Large Cap</t>
        </is>
      </c>
      <c r="H123" s="12" t="inlineStr">
        <is>
          <t>fresh_cache_24h_from_fixture_cache</t>
        </is>
      </c>
    </row>
    <row r="124" ht="45" customHeight="1">
      <c r="A124" s="33" t="inlineStr"/>
      <c r="B124" s="12" t="inlineStr">
        <is>
          <t>IXUS</t>
        </is>
      </c>
      <c r="C124" s="95" t="n">
        <v>953</v>
      </c>
      <c r="D124" s="78" t="n">
        <v>94.26000000000001</v>
      </c>
      <c r="E124" s="78" t="n">
        <v>89829.78</v>
      </c>
      <c r="F124" s="79" t="n">
        <v>0.03300614236037085</v>
      </c>
      <c r="G124" s="12" t="inlineStr">
        <is>
          <t>International</t>
        </is>
      </c>
      <c r="H124" s="12" t="inlineStr">
        <is>
          <t>fresh_cache_24h_from_fixture_cache</t>
        </is>
      </c>
    </row>
    <row r="125"/>
    <row r="126" ht="45" customHeight="1">
      <c r="A126" s="93" t="inlineStr">
        <is>
          <t>Wife_IRA</t>
        </is>
      </c>
      <c r="B126" s="3" t="n"/>
      <c r="C126" s="3" t="n"/>
      <c r="D126" s="4" t="n"/>
      <c r="E126" s="94" t="n">
        <v>454861.506731</v>
      </c>
      <c r="F126" s="93" t="inlineStr">
        <is>
          <t>Account Total</t>
        </is>
      </c>
      <c r="G126" s="93" t="inlineStr">
        <is>
          <t>Sources:</t>
        </is>
      </c>
      <c r="H126" s="75" t="inlineStr">
        <is>
          <t>cash, fresh_cache_24h_from_fixture_cache</t>
        </is>
      </c>
    </row>
    <row r="127" ht="45" customHeight="1">
      <c r="A127" s="33" t="inlineStr"/>
      <c r="B127" s="12" t="inlineStr">
        <is>
          <t>CASH</t>
        </is>
      </c>
      <c r="C127" s="95" t="n">
        <v>181.78</v>
      </c>
      <c r="D127" s="78" t="n">
        <v>1</v>
      </c>
      <c r="E127" s="78" t="n">
        <v>181.78</v>
      </c>
      <c r="F127" s="79" t="n">
        <v>6.679139766643325e-05</v>
      </c>
      <c r="G127" s="12" t="inlineStr">
        <is>
          <t>Cash</t>
        </is>
      </c>
      <c r="H127" s="12" t="inlineStr">
        <is>
          <t>cash</t>
        </is>
      </c>
    </row>
    <row r="128" ht="45" customHeight="1">
      <c r="A128" s="33" t="inlineStr"/>
      <c r="B128" s="12" t="inlineStr">
        <is>
          <t>PDBC</t>
        </is>
      </c>
      <c r="C128" s="95" t="n">
        <v>3325</v>
      </c>
      <c r="D128" s="78" t="n">
        <v>15.87</v>
      </c>
      <c r="E128" s="78" t="n">
        <v>52767.75</v>
      </c>
      <c r="F128" s="79" t="n">
        <v>0.01938844633190083</v>
      </c>
      <c r="G128" s="12" t="inlineStr">
        <is>
          <t>Commodities</t>
        </is>
      </c>
      <c r="H128" s="12" t="inlineStr">
        <is>
          <t>fresh_cache_24h_from_fixture_cache</t>
        </is>
      </c>
    </row>
    <row r="129" ht="45" customHeight="1">
      <c r="A129" s="33" t="inlineStr"/>
      <c r="B129" s="12" t="inlineStr">
        <is>
          <t>VBR</t>
        </is>
      </c>
      <c r="C129" s="95" t="n">
        <v>156.9277</v>
      </c>
      <c r="D129" s="78" t="n">
        <v>242.77</v>
      </c>
      <c r="E129" s="78" t="n">
        <v>38097.337729</v>
      </c>
      <c r="F129" s="79" t="n">
        <v>0.01399809898938305</v>
      </c>
      <c r="G129" s="12" t="inlineStr">
        <is>
          <t>US Small Cap</t>
        </is>
      </c>
      <c r="H129" s="12" t="inlineStr">
        <is>
          <t>fresh_cache_24h_from_fixture_cache</t>
        </is>
      </c>
    </row>
    <row r="130" ht="45" customHeight="1">
      <c r="A130" s="33" t="inlineStr"/>
      <c r="B130" s="12" t="inlineStr">
        <is>
          <t>VTI</t>
        </is>
      </c>
      <c r="C130" s="95" t="n">
        <v>578.5074999999999</v>
      </c>
      <c r="D130" s="78" t="n">
        <v>362.22</v>
      </c>
      <c r="E130" s="78" t="n">
        <v>209546.98665</v>
      </c>
      <c r="F130" s="79" t="n">
        <v>0.07699381733492645</v>
      </c>
      <c r="G130" s="12" t="inlineStr">
        <is>
          <t>US Large Cap</t>
        </is>
      </c>
      <c r="H130" s="12" t="inlineStr">
        <is>
          <t>fresh_cache_24h_from_fixture_cache</t>
        </is>
      </c>
    </row>
    <row r="131" ht="45" customHeight="1">
      <c r="A131" s="33" t="inlineStr"/>
      <c r="B131" s="12" t="inlineStr">
        <is>
          <t>VXUS</t>
        </is>
      </c>
      <c r="C131" s="95" t="n">
        <v>1826.0849</v>
      </c>
      <c r="D131" s="78" t="n">
        <v>84.48</v>
      </c>
      <c r="E131" s="78" t="n">
        <v>154267.652352</v>
      </c>
      <c r="F131" s="79" t="n">
        <v>0.0566825399675955</v>
      </c>
      <c r="G131" s="12" t="inlineStr">
        <is>
          <t>International</t>
        </is>
      </c>
      <c r="H131" s="12" t="inlineStr">
        <is>
          <t>fresh_cache_24h_from_fixture_cache</t>
        </is>
      </c>
    </row>
    <row r="132"/>
    <row r="133" ht="45" customHeight="1">
      <c r="A133" s="93" t="inlineStr">
        <is>
          <t>Wife_Roth</t>
        </is>
      </c>
      <c r="B133" s="3" t="n"/>
      <c r="C133" s="3" t="n"/>
      <c r="D133" s="4" t="n"/>
      <c r="E133" s="94" t="n">
        <v>203932.259643</v>
      </c>
      <c r="F133" s="93" t="inlineStr">
        <is>
          <t>Account Total</t>
        </is>
      </c>
      <c r="G133" s="93" t="inlineStr">
        <is>
          <t>Sources:</t>
        </is>
      </c>
      <c r="H133" s="75" t="inlineStr">
        <is>
          <t>cash, fresh_cache_24h_from_fixture_cache</t>
        </is>
      </c>
    </row>
    <row r="134" ht="45" customHeight="1">
      <c r="A134" s="33" t="inlineStr"/>
      <c r="B134" s="12" t="inlineStr">
        <is>
          <t>CASH</t>
        </is>
      </c>
      <c r="C134" s="95" t="n">
        <v>225.79</v>
      </c>
      <c r="D134" s="78" t="n">
        <v>1</v>
      </c>
      <c r="E134" s="78" t="n">
        <v>225.79</v>
      </c>
      <c r="F134" s="79" t="n">
        <v>8.296198525197471e-05</v>
      </c>
      <c r="G134" s="12" t="inlineStr">
        <is>
          <t>Cash</t>
        </is>
      </c>
      <c r="H134" s="12" t="inlineStr">
        <is>
          <t>cash</t>
        </is>
      </c>
    </row>
    <row r="135" ht="45" customHeight="1">
      <c r="A135" s="33" t="inlineStr"/>
      <c r="B135" s="12" t="inlineStr">
        <is>
          <t>VBR</t>
        </is>
      </c>
      <c r="C135" s="95" t="n">
        <v>378.2105</v>
      </c>
      <c r="D135" s="78" t="n">
        <v>242.77</v>
      </c>
      <c r="E135" s="78" t="n">
        <v>91818.16308500001</v>
      </c>
      <c r="F135" s="79" t="n">
        <v>0.03373673365393144</v>
      </c>
      <c r="G135" s="12" t="inlineStr">
        <is>
          <t>US Small Cap</t>
        </is>
      </c>
      <c r="H135" s="12" t="inlineStr">
        <is>
          <t>fresh_cache_24h_from_fixture_cache</t>
        </is>
      </c>
    </row>
    <row r="136" ht="45" customHeight="1">
      <c r="A136" s="33" t="inlineStr"/>
      <c r="B136" s="12" t="inlineStr">
        <is>
          <t>VTI</t>
        </is>
      </c>
      <c r="C136" s="95" t="n">
        <v>118.1185</v>
      </c>
      <c r="D136" s="78" t="n">
        <v>362.22</v>
      </c>
      <c r="E136" s="78" t="n">
        <v>42784.88307000001</v>
      </c>
      <c r="F136" s="79" t="n">
        <v>0.01572044305886356</v>
      </c>
      <c r="G136" s="12" t="inlineStr">
        <is>
          <t>US Large Cap</t>
        </is>
      </c>
      <c r="H136" s="12" t="inlineStr">
        <is>
          <t>fresh_cache_24h_from_fixture_cache</t>
        </is>
      </c>
    </row>
    <row r="137" ht="45" customHeight="1">
      <c r="A137" s="33" t="inlineStr"/>
      <c r="B137" s="12" t="inlineStr">
        <is>
          <t>VXUS</t>
        </is>
      </c>
      <c r="C137" s="95" t="n">
        <v>817.9856</v>
      </c>
      <c r="D137" s="78" t="n">
        <v>84.48</v>
      </c>
      <c r="E137" s="78" t="n">
        <v>69103.423488</v>
      </c>
      <c r="F137" s="79" t="n">
        <v>0.02539066034931759</v>
      </c>
      <c r="G137" s="12" t="inlineStr">
        <is>
          <t>International</t>
        </is>
      </c>
      <c r="H137" s="12" t="inlineStr">
        <is>
          <t>fresh_cache_24h_from_fixture_cache</t>
        </is>
      </c>
    </row>
    <row r="138"/>
    <row r="139" ht="45" customHeight="1">
      <c r="A139" s="93" t="inlineStr">
        <is>
          <t>Wife_Trust</t>
        </is>
      </c>
      <c r="B139" s="3" t="n"/>
      <c r="C139" s="3" t="n"/>
      <c r="D139" s="4" t="n"/>
      <c r="E139" s="94" t="n">
        <v>326446.735616</v>
      </c>
      <c r="F139" s="93" t="inlineStr">
        <is>
          <t>Account Total</t>
        </is>
      </c>
      <c r="G139" s="93" t="inlineStr">
        <is>
          <t>Sources:</t>
        </is>
      </c>
      <c r="H139" s="75" t="inlineStr">
        <is>
          <t>cash, fresh_cache_24h_from_fixture_cache</t>
        </is>
      </c>
    </row>
    <row r="140" ht="45" customHeight="1">
      <c r="A140" s="33" t="inlineStr"/>
      <c r="B140" s="12" t="inlineStr">
        <is>
          <t>CASH</t>
        </is>
      </c>
      <c r="C140" s="95" t="n">
        <v>4856.42</v>
      </c>
      <c r="D140" s="78" t="n">
        <v>1</v>
      </c>
      <c r="E140" s="78" t="n">
        <v>4856.42</v>
      </c>
      <c r="F140" s="79" t="n">
        <v>0.00178439365967224</v>
      </c>
      <c r="G140" s="12" t="inlineStr">
        <is>
          <t>Cash</t>
        </is>
      </c>
      <c r="H140" s="12" t="inlineStr">
        <is>
          <t>cash</t>
        </is>
      </c>
    </row>
    <row r="141" ht="45" customHeight="1">
      <c r="A141" s="33" t="inlineStr"/>
      <c r="B141" s="12" t="inlineStr">
        <is>
          <t>VTI</t>
        </is>
      </c>
      <c r="C141" s="95" t="n">
        <v>675.4639999999999</v>
      </c>
      <c r="D141" s="78" t="n">
        <v>362.22</v>
      </c>
      <c r="E141" s="78" t="n">
        <v>244666.57008</v>
      </c>
      <c r="F141" s="79" t="n">
        <v>0.08989780051653394</v>
      </c>
      <c r="G141" s="12" t="inlineStr">
        <is>
          <t>US Large Cap</t>
        </is>
      </c>
      <c r="H141" s="12" t="inlineStr">
        <is>
          <t>fresh_cache_24h_from_fixture_cache</t>
        </is>
      </c>
    </row>
    <row r="142" ht="45" customHeight="1">
      <c r="A142" s="33" t="inlineStr"/>
      <c r="B142" s="12" t="inlineStr">
        <is>
          <t>VXUS</t>
        </is>
      </c>
      <c r="C142" s="95" t="n">
        <v>910.5557</v>
      </c>
      <c r="D142" s="78" t="n">
        <v>84.48</v>
      </c>
      <c r="E142" s="78" t="n">
        <v>76923.745536</v>
      </c>
      <c r="F142" s="79" t="n">
        <v>0.02826408008629385</v>
      </c>
      <c r="G142" s="12" t="inlineStr">
        <is>
          <t>International</t>
        </is>
      </c>
      <c r="H142" s="12" t="inlineStr">
        <is>
          <t>fresh_cache_24h_from_fixture_cache</t>
        </is>
      </c>
    </row>
    <row r="143" ht="30" customHeight="1">
      <c r="A143" s="2" t="inlineStr">
        <is>
          <t>TOTAL</t>
        </is>
      </c>
      <c r="E143" s="84" t="n">
        <v>2721607.96676</v>
      </c>
      <c r="F143" s="85" t="n">
        <v>1</v>
      </c>
    </row>
    <row r="144"/>
    <row r="145"/>
    <row r="146" ht="15" customHeight="1">
      <c r="A146" s="9" t="inlineStr">
        <is>
          <t>REBALANCING TRADES</t>
        </is>
      </c>
    </row>
    <row r="147" ht="90" customHeight="1">
      <c r="A147"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7" s="3" t="n"/>
      <c r="C147" s="3" t="n"/>
      <c r="D147" s="3" t="n"/>
      <c r="E147" s="3" t="n"/>
      <c r="F147" s="3" t="n"/>
      <c r="G147" s="3" t="n"/>
      <c r="H147" s="3" t="n"/>
      <c r="I147" s="3" t="n"/>
      <c r="J147" s="4" t="n"/>
    </row>
    <row r="148"/>
    <row r="149" ht="15" customHeight="1">
      <c r="A149" s="10" t="inlineStr">
        <is>
          <t>Husband_401k — Tax-deferred — Sells $9,552 | Security Buys $9,552 | Ending Cash After Trades $2,027</t>
        </is>
      </c>
      <c r="B149" s="3" t="n"/>
      <c r="C149" s="3" t="n"/>
      <c r="D149" s="3" t="n"/>
      <c r="E149" s="3" t="n"/>
      <c r="F149" s="3" t="n"/>
      <c r="G149" s="3" t="n"/>
      <c r="H149" s="3" t="n"/>
      <c r="I149" s="3" t="n"/>
      <c r="J149" s="4" t="n"/>
    </row>
    <row r="150" ht="30" customHeight="1">
      <c r="A150" s="5" t="inlineStr">
        <is>
          <t>Account</t>
        </is>
      </c>
      <c r="B150" s="5" t="inlineStr">
        <is>
          <t>Tax Treatment</t>
        </is>
      </c>
      <c r="C150" s="5" t="inlineStr">
        <is>
          <t>Symbol</t>
        </is>
      </c>
      <c r="D150" s="5" t="inlineStr">
        <is>
          <t>Action</t>
        </is>
      </c>
      <c r="E150" s="5" t="inlineStr">
        <is>
          <t>Amount</t>
        </is>
      </c>
      <c r="F150" s="5" t="inlineStr">
        <is>
          <t>Shares</t>
        </is>
      </c>
      <c r="G150" s="5" t="inlineStr">
        <is>
          <t>Bucket</t>
        </is>
      </c>
      <c r="H150" s="5" t="inlineStr">
        <is>
          <t>Est. Tax Cost</t>
        </is>
      </c>
      <c r="I150" s="5" t="inlineStr">
        <is>
          <t>Tax Logic</t>
        </is>
      </c>
      <c r="J150" s="5" t="inlineStr">
        <is>
          <t>Note</t>
        </is>
      </c>
    </row>
    <row r="151" ht="90" customHeight="1">
      <c r="A151" s="12" t="inlineStr">
        <is>
          <t>Husband_401k</t>
        </is>
      </c>
      <c r="B151" s="12" t="inlineStr">
        <is>
          <t>Tax-deferred</t>
        </is>
      </c>
      <c r="C151" s="2" t="inlineStr">
        <is>
          <t>AVUV</t>
        </is>
      </c>
      <c r="D151" s="96" t="inlineStr">
        <is>
          <t>SELL</t>
        </is>
      </c>
      <c r="E151" s="78" t="n">
        <v>9552</v>
      </c>
      <c r="F151" s="97" t="n">
        <v>76.45</v>
      </c>
      <c r="G151" s="12" t="inlineStr">
        <is>
          <t>US Small Cap</t>
        </is>
      </c>
      <c r="H151" s="78" t="n">
        <v>0</v>
      </c>
      <c r="I151" s="12" t="inlineStr">
        <is>
          <t>No current tax inside tax-advantaged account.</t>
        </is>
      </c>
      <c r="J151" s="12" t="inlineStr">
        <is>
          <t>No current tax inside this account type. Global optimizer fit score 50%; household target/location/tax tradeoff selected this sale.</t>
        </is>
      </c>
    </row>
    <row r="152" ht="90" customHeight="1">
      <c r="A152" s="12" t="inlineStr">
        <is>
          <t>Husband_401k</t>
        </is>
      </c>
      <c r="B152" s="12" t="inlineStr">
        <is>
          <t>Tax-deferred</t>
        </is>
      </c>
      <c r="C152" s="2" t="inlineStr">
        <is>
          <t>VOO</t>
        </is>
      </c>
      <c r="D152" s="93" t="inlineStr">
        <is>
          <t>BUY</t>
        </is>
      </c>
      <c r="E152" s="78" t="n">
        <v>3692</v>
      </c>
      <c r="F152" s="97" t="n">
        <v>5.51</v>
      </c>
      <c r="G152" s="12" t="inlineStr">
        <is>
          <t>US Large Cap</t>
        </is>
      </c>
      <c r="H152" s="78" t="n">
        <v>0</v>
      </c>
      <c r="I152" s="12" t="inlineStr">
        <is>
          <t>Buy side has no realized gain; global optimizer places exposure by account tax treatment and constraints.</t>
        </is>
      </c>
      <c r="J152" s="12" t="inlineStr">
        <is>
          <t>Global optimizer selected this account for US Large Cap based on tax treatment, household drift, and location fit 65%.</t>
        </is>
      </c>
    </row>
    <row r="153" ht="90" customHeight="1">
      <c r="A153" s="12" t="inlineStr">
        <is>
          <t>Husband_401k</t>
        </is>
      </c>
      <c r="B153" s="12" t="inlineStr">
        <is>
          <t>Tax-deferred</t>
        </is>
      </c>
      <c r="C153" s="2" t="inlineStr">
        <is>
          <t>VO</t>
        </is>
      </c>
      <c r="D153" s="93" t="inlineStr">
        <is>
          <t>BUY</t>
        </is>
      </c>
      <c r="E153" s="78" t="n">
        <v>5860</v>
      </c>
      <c r="F153" s="97" t="n">
        <v>73.25</v>
      </c>
      <c r="G153" s="12" t="inlineStr">
        <is>
          <t>US Mid Cap</t>
        </is>
      </c>
      <c r="H153" s="78" t="n">
        <v>0</v>
      </c>
      <c r="I153" s="12" t="inlineStr">
        <is>
          <t>Buy side has no realized gain; global optimizer places exposure by account tax treatment and constraints.</t>
        </is>
      </c>
      <c r="J153" s="12" t="inlineStr">
        <is>
          <t>Global optimizer selected this account for US Mid Cap based on tax treatment, household drift, and location fit 65%. Single ETF selected for this unrepresented US Mid Cap sleeve in this account; ETF alternatives remain informational only.</t>
        </is>
      </c>
    </row>
    <row r="154" ht="90" customHeight="1">
      <c r="A154" s="11" t="inlineStr">
        <is>
          <t>Husband_401k Subtotal</t>
        </is>
      </c>
      <c r="D154" s="11" t="inlineStr">
        <is>
          <t>SELL</t>
        </is>
      </c>
      <c r="E154" s="30" t="n">
        <v>9552</v>
      </c>
      <c r="F154" s="11" t="inlineStr">
        <is>
          <t>SECURITY BUY</t>
        </is>
      </c>
      <c r="G154" s="30" t="n">
        <v>9552</v>
      </c>
      <c r="H154" s="11" t="inlineStr">
        <is>
          <t>Ending Cash After Trades</t>
        </is>
      </c>
      <c r="I154" s="30" t="n">
        <v>2026.530000000001</v>
      </c>
      <c r="J154" s="98" t="inlineStr">
        <is>
          <t>Beginning cash $2,027; cash change $0. CASH target/hold rows are not counted as security buys.</t>
        </is>
      </c>
    </row>
    <row r="155"/>
    <row r="156" ht="15" customHeight="1">
      <c r="A156" s="10" t="inlineStr">
        <is>
          <t>Husband_IRA — Tax-deferred — Sells $206,513 | Security Buys $54,338 | Ending Cash After Trades $152,243</t>
        </is>
      </c>
      <c r="B156" s="3" t="n"/>
      <c r="C156" s="3" t="n"/>
      <c r="D156" s="3" t="n"/>
      <c r="E156" s="3" t="n"/>
      <c r="F156" s="3" t="n"/>
      <c r="G156" s="3" t="n"/>
      <c r="H156" s="3" t="n"/>
      <c r="I156" s="3" t="n"/>
      <c r="J156" s="4" t="n"/>
    </row>
    <row r="157" ht="30" customHeight="1">
      <c r="A157" s="5" t="inlineStr">
        <is>
          <t>Account</t>
        </is>
      </c>
      <c r="B157" s="5" t="inlineStr">
        <is>
          <t>Tax Treatment</t>
        </is>
      </c>
      <c r="C157" s="5" t="inlineStr">
        <is>
          <t>Symbol</t>
        </is>
      </c>
      <c r="D157" s="5" t="inlineStr">
        <is>
          <t>Action</t>
        </is>
      </c>
      <c r="E157" s="5" t="inlineStr">
        <is>
          <t>Amount</t>
        </is>
      </c>
      <c r="F157" s="5" t="inlineStr">
        <is>
          <t>Shares</t>
        </is>
      </c>
      <c r="G157" s="5" t="inlineStr">
        <is>
          <t>Bucket</t>
        </is>
      </c>
      <c r="H157" s="5" t="inlineStr">
        <is>
          <t>Est. Tax Cost</t>
        </is>
      </c>
      <c r="I157" s="5" t="inlineStr">
        <is>
          <t>Tax Logic</t>
        </is>
      </c>
      <c r="J157" s="5" t="inlineStr">
        <is>
          <t>Note</t>
        </is>
      </c>
    </row>
    <row r="158" ht="90" customHeight="1">
      <c r="A158" s="12" t="inlineStr">
        <is>
          <t>Husband_IRA</t>
        </is>
      </c>
      <c r="B158" s="12" t="inlineStr">
        <is>
          <t>Tax-deferred</t>
        </is>
      </c>
      <c r="C158" s="2" t="inlineStr">
        <is>
          <t>PDBC</t>
        </is>
      </c>
      <c r="D158" s="96" t="inlineStr">
        <is>
          <t>SELL</t>
        </is>
      </c>
      <c r="E158" s="78" t="n">
        <v>113947</v>
      </c>
      <c r="F158" s="97" t="n">
        <v>7180</v>
      </c>
      <c r="G158" s="12" t="inlineStr">
        <is>
          <t>Commodities</t>
        </is>
      </c>
      <c r="H158" s="78" t="n">
        <v>0</v>
      </c>
      <c r="I158" s="12" t="inlineStr">
        <is>
          <t>No current tax inside tax-advantaged account.</t>
        </is>
      </c>
      <c r="J158" s="12" t="inlineStr">
        <is>
          <t>No current tax inside this account type. Global optimizer fit score 95%; household target/location/tax tradeoff selected this sale.</t>
        </is>
      </c>
    </row>
    <row r="159" ht="90" customHeight="1">
      <c r="A159" s="12" t="inlineStr">
        <is>
          <t>Husband_IRA</t>
        </is>
      </c>
      <c r="B159" s="12" t="inlineStr">
        <is>
          <t>Tax-deferred</t>
        </is>
      </c>
      <c r="C159" s="2" t="inlineStr">
        <is>
          <t>AVUV</t>
        </is>
      </c>
      <c r="D159" s="96" t="inlineStr">
        <is>
          <t>SELL</t>
        </is>
      </c>
      <c r="E159" s="78" t="n">
        <v>92566</v>
      </c>
      <c r="F159" s="97" t="n">
        <v>740.88</v>
      </c>
      <c r="G159" s="12" t="inlineStr">
        <is>
          <t>US Small Cap</t>
        </is>
      </c>
      <c r="H159" s="78" t="n">
        <v>0</v>
      </c>
      <c r="I159" s="12" t="inlineStr">
        <is>
          <t>No current tax inside tax-advantaged account.</t>
        </is>
      </c>
      <c r="J159" s="12" t="inlineStr">
        <is>
          <t>No current tax inside this account type. Global optimizer fit score 50%; household target/location/tax tradeoff selected this sale.</t>
        </is>
      </c>
    </row>
    <row r="160" ht="90" customHeight="1">
      <c r="A160" s="12" t="inlineStr">
        <is>
          <t>Husband_IRA</t>
        </is>
      </c>
      <c r="B160" s="12" t="inlineStr">
        <is>
          <t>Tax-deferred</t>
        </is>
      </c>
      <c r="C160" s="2" t="inlineStr">
        <is>
          <t>CASH</t>
        </is>
      </c>
      <c r="D160" s="93" t="inlineStr">
        <is>
          <t>BUY</t>
        </is>
      </c>
      <c r="E160" s="78" t="n">
        <v>152174</v>
      </c>
      <c r="F160" s="97" t="n">
        <v>152173.75</v>
      </c>
      <c r="G160" s="12" t="inlineStr">
        <is>
          <t>Cash</t>
        </is>
      </c>
      <c r="H160" s="78" t="n">
        <v>0</v>
      </c>
      <c r="I160" s="12" t="inlineStr">
        <is>
          <t>Buy side has no realized gain; global optimizer places exposure by account tax treatment and constraints.</t>
        </is>
      </c>
      <c r="J160" s="12" t="inlineStr">
        <is>
          <t>Global optimizer selected this account for Cash based on tax treatment, household drift, and location fit 65%.</t>
        </is>
      </c>
    </row>
    <row r="161" ht="90" customHeight="1">
      <c r="A161" s="12" t="inlineStr">
        <is>
          <t>Husband_IRA</t>
        </is>
      </c>
      <c r="B161" s="12" t="inlineStr">
        <is>
          <t>Tax-deferred</t>
        </is>
      </c>
      <c r="C161" s="2" t="inlineStr">
        <is>
          <t>VWO</t>
        </is>
      </c>
      <c r="D161" s="93" t="inlineStr">
        <is>
          <t>BUY</t>
        </is>
      </c>
      <c r="E161" s="78" t="n">
        <v>54338</v>
      </c>
      <c r="F161" s="97" t="n">
        <v>927.59</v>
      </c>
      <c r="G161" s="12" t="inlineStr">
        <is>
          <t>Emerging Markets</t>
        </is>
      </c>
      <c r="H161" s="78" t="n">
        <v>0</v>
      </c>
      <c r="I161" s="12" t="inlineStr">
        <is>
          <t>Buy side has no realized gain; global optimizer places exposure by account tax treatment and constraints.</t>
        </is>
      </c>
      <c r="J161" s="12" t="inlineStr">
        <is>
          <t>Global optimizer selected this account for Emerging Markets based on tax treatment, household drift, and location fit 50%. Single ETF selected for this unrepresented Emerging Markets sleeve in this account; ETF alternatives remain informational only.</t>
        </is>
      </c>
    </row>
    <row r="162" ht="90" customHeight="1">
      <c r="A162" s="11" t="inlineStr">
        <is>
          <t>Husband_IRA Subtotal</t>
        </is>
      </c>
      <c r="D162" s="11" t="inlineStr">
        <is>
          <t>SELL</t>
        </is>
      </c>
      <c r="E162" s="30" t="n">
        <v>206513</v>
      </c>
      <c r="F162" s="11" t="inlineStr">
        <is>
          <t>SECURITY BUY</t>
        </is>
      </c>
      <c r="G162" s="30" t="n">
        <v>54338</v>
      </c>
      <c r="H162" s="11" t="inlineStr">
        <is>
          <t>Ending Cash After Trades</t>
        </is>
      </c>
      <c r="I162" s="30" t="n">
        <v>152242.58</v>
      </c>
      <c r="J162" s="98" t="inlineStr">
        <is>
          <t>Beginning cash $68; cash change $152,175. CASH target/hold rows are not counted as security buys.</t>
        </is>
      </c>
    </row>
    <row r="163"/>
    <row r="164" ht="15" customHeight="1">
      <c r="A164" s="10" t="inlineStr">
        <is>
          <t>Husband_Roth — Tax-free (Roth) — Sells $46,659 | Security Buys $46,659 | Ending Cash After Trades $10</t>
        </is>
      </c>
      <c r="B164" s="3" t="n"/>
      <c r="C164" s="3" t="n"/>
      <c r="D164" s="3" t="n"/>
      <c r="E164" s="3" t="n"/>
      <c r="F164" s="3" t="n"/>
      <c r="G164" s="3" t="n"/>
      <c r="H164" s="3" t="n"/>
      <c r="I164" s="3" t="n"/>
      <c r="J164" s="4" t="n"/>
    </row>
    <row r="165" ht="30" customHeight="1">
      <c r="A165" s="5" t="inlineStr">
        <is>
          <t>Account</t>
        </is>
      </c>
      <c r="B165" s="5" t="inlineStr">
        <is>
          <t>Tax Treatment</t>
        </is>
      </c>
      <c r="C165" s="5" t="inlineStr">
        <is>
          <t>Symbol</t>
        </is>
      </c>
      <c r="D165" s="5" t="inlineStr">
        <is>
          <t>Action</t>
        </is>
      </c>
      <c r="E165" s="5" t="inlineStr">
        <is>
          <t>Amount</t>
        </is>
      </c>
      <c r="F165" s="5" t="inlineStr">
        <is>
          <t>Shares</t>
        </is>
      </c>
      <c r="G165" s="5" t="inlineStr">
        <is>
          <t>Bucket</t>
        </is>
      </c>
      <c r="H165" s="5" t="inlineStr">
        <is>
          <t>Est. Tax Cost</t>
        </is>
      </c>
      <c r="I165" s="5" t="inlineStr">
        <is>
          <t>Tax Logic</t>
        </is>
      </c>
      <c r="J165" s="5" t="inlineStr">
        <is>
          <t>Note</t>
        </is>
      </c>
    </row>
    <row r="166" ht="90" customHeight="1">
      <c r="A166" s="12" t="inlineStr">
        <is>
          <t>Husband_Roth</t>
        </is>
      </c>
      <c r="B166" s="12" t="inlineStr">
        <is>
          <t>Tax-free (Roth)</t>
        </is>
      </c>
      <c r="C166" s="2" t="inlineStr">
        <is>
          <t>IXUS</t>
        </is>
      </c>
      <c r="D166" s="96" t="inlineStr">
        <is>
          <t>SELL</t>
        </is>
      </c>
      <c r="E166" s="78" t="n">
        <v>46659</v>
      </c>
      <c r="F166" s="97" t="n">
        <v>495</v>
      </c>
      <c r="G166" s="12" t="inlineStr">
        <is>
          <t>International</t>
        </is>
      </c>
      <c r="H166" s="78" t="n">
        <v>0</v>
      </c>
      <c r="I166" s="12" t="inlineStr">
        <is>
          <t>No current tax inside tax-advantaged account.</t>
        </is>
      </c>
      <c r="J166" s="12" t="inlineStr">
        <is>
          <t>No current tax inside this account type. Global optimizer fit score 95%; household target/location/tax tradeoff selected this sale.</t>
        </is>
      </c>
    </row>
    <row r="167" ht="90" customHeight="1">
      <c r="A167" s="12" t="inlineStr">
        <is>
          <t>Husband_Roth</t>
        </is>
      </c>
      <c r="B167" s="12" t="inlineStr">
        <is>
          <t>Tax-free (Roth)</t>
        </is>
      </c>
      <c r="C167" s="2" t="inlineStr">
        <is>
          <t>VWO</t>
        </is>
      </c>
      <c r="D167" s="93" t="inlineStr">
        <is>
          <t>BUY</t>
        </is>
      </c>
      <c r="E167" s="78" t="n">
        <v>46659</v>
      </c>
      <c r="F167" s="97" t="n">
        <v>796.5</v>
      </c>
      <c r="G167" s="12" t="inlineStr">
        <is>
          <t>Emerging Markets</t>
        </is>
      </c>
      <c r="H167" s="78" t="n">
        <v>0</v>
      </c>
      <c r="I167" s="12" t="inlineStr">
        <is>
          <t>Buy side has no realized gain; global optimizer places exposure by account tax treatment and constraints.</t>
        </is>
      </c>
      <c r="J167"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8" ht="90" customHeight="1">
      <c r="A168" s="11" t="inlineStr">
        <is>
          <t>Husband_Roth Subtotal</t>
        </is>
      </c>
      <c r="D168" s="11" t="inlineStr">
        <is>
          <t>SELL</t>
        </is>
      </c>
      <c r="E168" s="30" t="n">
        <v>46659</v>
      </c>
      <c r="F168" s="11" t="inlineStr">
        <is>
          <t>SECURITY BUY</t>
        </is>
      </c>
      <c r="G168" s="30" t="n">
        <v>46659</v>
      </c>
      <c r="H168" s="11" t="inlineStr">
        <is>
          <t>Ending Cash After Trades</t>
        </is>
      </c>
      <c r="I168" s="30" t="n">
        <v>9.980000000003201</v>
      </c>
      <c r="J168" s="98" t="inlineStr">
        <is>
          <t>Beginning cash $10; cash change $0. CASH target/hold rows are not counted as security buys.</t>
        </is>
      </c>
    </row>
    <row r="169"/>
    <row r="170" ht="15" customHeight="1">
      <c r="A170" s="10" t="inlineStr">
        <is>
          <t>Wife_IRA — Tax-deferred — Sells $191,850 | Security Buys $191,850 | Ending Cash After Trades $182</t>
        </is>
      </c>
      <c r="B170" s="3" t="n"/>
      <c r="C170" s="3" t="n"/>
      <c r="D170" s="3" t="n"/>
      <c r="E170" s="3" t="n"/>
      <c r="F170" s="3" t="n"/>
      <c r="G170" s="3" t="n"/>
      <c r="H170" s="3" t="n"/>
      <c r="I170" s="3" t="n"/>
      <c r="J170" s="4" t="n"/>
    </row>
    <row r="171" ht="30" customHeight="1">
      <c r="A171" s="5" t="inlineStr">
        <is>
          <t>Account</t>
        </is>
      </c>
      <c r="B171" s="5" t="inlineStr">
        <is>
          <t>Tax Treatment</t>
        </is>
      </c>
      <c r="C171" s="5" t="inlineStr">
        <is>
          <t>Symbol</t>
        </is>
      </c>
      <c r="D171" s="5" t="inlineStr">
        <is>
          <t>Action</t>
        </is>
      </c>
      <c r="E171" s="5" t="inlineStr">
        <is>
          <t>Amount</t>
        </is>
      </c>
      <c r="F171" s="5" t="inlineStr">
        <is>
          <t>Shares</t>
        </is>
      </c>
      <c r="G171" s="5" t="inlineStr">
        <is>
          <t>Bucket</t>
        </is>
      </c>
      <c r="H171" s="5" t="inlineStr">
        <is>
          <t>Est. Tax Cost</t>
        </is>
      </c>
      <c r="I171" s="5" t="inlineStr">
        <is>
          <t>Tax Logic</t>
        </is>
      </c>
      <c r="J171" s="5" t="inlineStr">
        <is>
          <t>Note</t>
        </is>
      </c>
    </row>
    <row r="172" ht="90" customHeight="1">
      <c r="A172" s="12" t="inlineStr">
        <is>
          <t>Wife_IRA</t>
        </is>
      </c>
      <c r="B172" s="12" t="inlineStr">
        <is>
          <t>Tax-deferred</t>
        </is>
      </c>
      <c r="C172" s="2" t="inlineStr">
        <is>
          <t>PDBC</t>
        </is>
      </c>
      <c r="D172" s="96" t="inlineStr">
        <is>
          <t>SELL</t>
        </is>
      </c>
      <c r="E172" s="78" t="n">
        <v>52768</v>
      </c>
      <c r="F172" s="97" t="n">
        <v>3325</v>
      </c>
      <c r="G172" s="12" t="inlineStr">
        <is>
          <t>Commodities</t>
        </is>
      </c>
      <c r="H172" s="78" t="n">
        <v>0</v>
      </c>
      <c r="I172" s="12" t="inlineStr">
        <is>
          <t>No current tax inside tax-advantaged account.</t>
        </is>
      </c>
      <c r="J172" s="12" t="inlineStr">
        <is>
          <t>No current tax inside this account type. Global optimizer fit score 95%; household target/location/tax tradeoff selected this sale.</t>
        </is>
      </c>
    </row>
    <row r="173" ht="90" customHeight="1">
      <c r="A173" s="12" t="inlineStr">
        <is>
          <t>Wife_IRA</t>
        </is>
      </c>
      <c r="B173" s="12" t="inlineStr">
        <is>
          <t>Tax-deferred</t>
        </is>
      </c>
      <c r="C173" s="2" t="inlineStr">
        <is>
          <t>VXUS</t>
        </is>
      </c>
      <c r="D173" s="96" t="inlineStr">
        <is>
          <t>SELL</t>
        </is>
      </c>
      <c r="E173" s="78" t="n">
        <v>100985</v>
      </c>
      <c r="F173" s="97" t="n">
        <v>1195.37</v>
      </c>
      <c r="G173" s="12" t="inlineStr">
        <is>
          <t>International</t>
        </is>
      </c>
      <c r="H173" s="78" t="n">
        <v>0</v>
      </c>
      <c r="I173" s="12" t="inlineStr">
        <is>
          <t>No current tax inside tax-advantaged account.</t>
        </is>
      </c>
      <c r="J173" s="12" t="inlineStr">
        <is>
          <t>No current tax inside this account type. Global optimizer fit score 65%; household target/location/tax tradeoff selected this sale.</t>
        </is>
      </c>
    </row>
    <row r="174" ht="90" customHeight="1">
      <c r="A174" s="12" t="inlineStr">
        <is>
          <t>Wife_IRA</t>
        </is>
      </c>
      <c r="B174" s="12" t="inlineStr">
        <is>
          <t>Tax-deferred</t>
        </is>
      </c>
      <c r="C174" s="2" t="inlineStr">
        <is>
          <t>VBR</t>
        </is>
      </c>
      <c r="D174" s="96" t="inlineStr">
        <is>
          <t>SELL</t>
        </is>
      </c>
      <c r="E174" s="78" t="n">
        <v>38097</v>
      </c>
      <c r="F174" s="97" t="n">
        <v>156.93</v>
      </c>
      <c r="G174" s="12" t="inlineStr">
        <is>
          <t>US Small Cap</t>
        </is>
      </c>
      <c r="H174" s="78" t="n">
        <v>0</v>
      </c>
      <c r="I174" s="12" t="inlineStr">
        <is>
          <t>No current tax inside tax-advantaged account.</t>
        </is>
      </c>
      <c r="J174" s="12" t="inlineStr">
        <is>
          <t>No current tax inside this account type. Global optimizer fit score 50%; household target/location/tax tradeoff selected this sale.</t>
        </is>
      </c>
    </row>
    <row r="175" ht="90" customHeight="1">
      <c r="A175" s="12" t="inlineStr">
        <is>
          <t>Wife_IRA</t>
        </is>
      </c>
      <c r="B175" s="12" t="inlineStr">
        <is>
          <t>Tax-deferred</t>
        </is>
      </c>
      <c r="C175" s="2" t="inlineStr">
        <is>
          <t>VOO</t>
        </is>
      </c>
      <c r="D175" s="93" t="inlineStr">
        <is>
          <t>BUY</t>
        </is>
      </c>
      <c r="E175" s="78" t="n">
        <v>27609</v>
      </c>
      <c r="F175" s="97" t="n">
        <v>41.19</v>
      </c>
      <c r="G175" s="12" t="inlineStr">
        <is>
          <t>US Large Cap</t>
        </is>
      </c>
      <c r="H175" s="78" t="n">
        <v>0</v>
      </c>
      <c r="I175" s="12" t="inlineStr">
        <is>
          <t>Buy side has no realized gain; global optimizer places exposure by account tax treatment and constraints.</t>
        </is>
      </c>
      <c r="J175" s="12" t="inlineStr">
        <is>
          <t>Global optimizer selected this account for US Large Cap based on tax treatment, household drift, and location fit 65%.</t>
        </is>
      </c>
    </row>
    <row r="176" ht="90" customHeight="1">
      <c r="A176" s="12" t="inlineStr">
        <is>
          <t>Wife_IRA</t>
        </is>
      </c>
      <c r="B176" s="12" t="inlineStr">
        <is>
          <t>Tax-deferred</t>
        </is>
      </c>
      <c r="C176" s="2" t="inlineStr">
        <is>
          <t>VO</t>
        </is>
      </c>
      <c r="D176" s="93" t="inlineStr">
        <is>
          <t>BUY</t>
        </is>
      </c>
      <c r="E176" s="78" t="n">
        <v>164241</v>
      </c>
      <c r="F176" s="97" t="n">
        <v>2053.27</v>
      </c>
      <c r="G176" s="12" t="inlineStr">
        <is>
          <t>US Mid Cap</t>
        </is>
      </c>
      <c r="H176" s="78" t="n">
        <v>0</v>
      </c>
      <c r="I176" s="12" t="inlineStr">
        <is>
          <t>Buy side has no realized gain; global optimizer places exposure by account tax treatment and constraints.</t>
        </is>
      </c>
      <c r="J176" s="12" t="inlineStr">
        <is>
          <t>Global optimizer selected this account for US Mid Cap based on tax treatment, household drift, and location fit 65%. Single ETF selected for this unrepresented US Mid Cap sleeve in this account; ETF alternatives remain informational only.</t>
        </is>
      </c>
    </row>
    <row r="177" ht="90" customHeight="1">
      <c r="A177" s="11" t="inlineStr">
        <is>
          <t>Wife_IRA Subtotal</t>
        </is>
      </c>
      <c r="D177" s="11" t="inlineStr">
        <is>
          <t>SELL</t>
        </is>
      </c>
      <c r="E177" s="30" t="n">
        <v>191850</v>
      </c>
      <c r="F177" s="11" t="inlineStr">
        <is>
          <t>SECURITY BUY</t>
        </is>
      </c>
      <c r="G177" s="30" t="n">
        <v>191850</v>
      </c>
      <c r="H177" s="11" t="inlineStr">
        <is>
          <t>Ending Cash After Trades</t>
        </is>
      </c>
      <c r="I177" s="30" t="n">
        <v>181.7799999999988</v>
      </c>
      <c r="J177" s="98" t="inlineStr">
        <is>
          <t>Beginning cash $182; cash change $-0. CASH target/hold rows are not counted as security buys.</t>
        </is>
      </c>
    </row>
    <row r="178"/>
    <row r="179" ht="15" customHeight="1">
      <c r="A179" s="10" t="inlineStr">
        <is>
          <t>Wife_Roth — Tax-free (Roth) — Sells $69,103 | Security Buys $69,103 | Ending Cash After Trades $226</t>
        </is>
      </c>
      <c r="B179" s="3" t="n"/>
      <c r="C179" s="3" t="n"/>
      <c r="D179" s="3" t="n"/>
      <c r="E179" s="3" t="n"/>
      <c r="F179" s="3" t="n"/>
      <c r="G179" s="3" t="n"/>
      <c r="H179" s="3" t="n"/>
      <c r="I179" s="3" t="n"/>
      <c r="J179" s="4" t="n"/>
    </row>
    <row r="180" ht="30" customHeight="1">
      <c r="A180" s="5" t="inlineStr">
        <is>
          <t>Account</t>
        </is>
      </c>
      <c r="B180" s="5" t="inlineStr">
        <is>
          <t>Tax Treatment</t>
        </is>
      </c>
      <c r="C180" s="5" t="inlineStr">
        <is>
          <t>Symbol</t>
        </is>
      </c>
      <c r="D180" s="5" t="inlineStr">
        <is>
          <t>Action</t>
        </is>
      </c>
      <c r="E180" s="5" t="inlineStr">
        <is>
          <t>Amount</t>
        </is>
      </c>
      <c r="F180" s="5" t="inlineStr">
        <is>
          <t>Shares</t>
        </is>
      </c>
      <c r="G180" s="5" t="inlineStr">
        <is>
          <t>Bucket</t>
        </is>
      </c>
      <c r="H180" s="5" t="inlineStr">
        <is>
          <t>Est. Tax Cost</t>
        </is>
      </c>
      <c r="I180" s="5" t="inlineStr">
        <is>
          <t>Tax Logic</t>
        </is>
      </c>
      <c r="J180" s="5" t="inlineStr">
        <is>
          <t>Note</t>
        </is>
      </c>
    </row>
    <row r="181" ht="90" customHeight="1">
      <c r="A181" s="12" t="inlineStr">
        <is>
          <t>Wife_Roth</t>
        </is>
      </c>
      <c r="B181" s="12" t="inlineStr">
        <is>
          <t>Tax-free (Roth)</t>
        </is>
      </c>
      <c r="C181" s="2" t="inlineStr">
        <is>
          <t>VXUS</t>
        </is>
      </c>
      <c r="D181" s="96" t="inlineStr">
        <is>
          <t>SELL</t>
        </is>
      </c>
      <c r="E181" s="78" t="n">
        <v>69103</v>
      </c>
      <c r="F181" s="97" t="n">
        <v>817.99</v>
      </c>
      <c r="G181" s="12" t="inlineStr">
        <is>
          <t>International</t>
        </is>
      </c>
      <c r="H181" s="78" t="n">
        <v>0</v>
      </c>
      <c r="I181" s="12" t="inlineStr">
        <is>
          <t>No current tax inside tax-advantaged account.</t>
        </is>
      </c>
      <c r="J181" s="12" t="inlineStr">
        <is>
          <t>No current tax inside this account type. Global optimizer fit score 95%; household target/location/tax tradeoff selected this sale.</t>
        </is>
      </c>
    </row>
    <row r="182" ht="90" customHeight="1">
      <c r="A182" s="12" t="inlineStr">
        <is>
          <t>Wife_Roth</t>
        </is>
      </c>
      <c r="B182" s="12" t="inlineStr">
        <is>
          <t>Tax-free (Roth)</t>
        </is>
      </c>
      <c r="C182" s="2" t="inlineStr">
        <is>
          <t>VWO</t>
        </is>
      </c>
      <c r="D182" s="93" t="inlineStr">
        <is>
          <t>BUY</t>
        </is>
      </c>
      <c r="E182" s="78" t="n">
        <v>69103</v>
      </c>
      <c r="F182" s="97" t="n">
        <v>1179.64</v>
      </c>
      <c r="G182" s="12" t="inlineStr">
        <is>
          <t>Emerging Markets</t>
        </is>
      </c>
      <c r="H182" s="78" t="n">
        <v>0</v>
      </c>
      <c r="I182" s="12" t="inlineStr">
        <is>
          <t>Buy side has no realized gain; global optimizer places exposure by account tax treatment and constraints.</t>
        </is>
      </c>
      <c r="J182"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83" ht="90" customHeight="1">
      <c r="A183" s="11" t="inlineStr">
        <is>
          <t>Wife_Roth Subtotal</t>
        </is>
      </c>
      <c r="D183" s="11" t="inlineStr">
        <is>
          <t>SELL</t>
        </is>
      </c>
      <c r="E183" s="30" t="n">
        <v>69103</v>
      </c>
      <c r="F183" s="11" t="inlineStr">
        <is>
          <t>SECURITY BUY</t>
        </is>
      </c>
      <c r="G183" s="30" t="n">
        <v>69103</v>
      </c>
      <c r="H183" s="11" t="inlineStr">
        <is>
          <t>Ending Cash After Trades</t>
        </is>
      </c>
      <c r="I183" s="30" t="n">
        <v>225.7899999999936</v>
      </c>
      <c r="J183" s="98" t="inlineStr">
        <is>
          <t>Beginning cash $226; cash change $-0. CASH target/hold rows are not counted as security buys.</t>
        </is>
      </c>
    </row>
    <row r="184"/>
    <row r="185" ht="15" customHeight="1">
      <c r="A185" s="2" t="inlineStr">
        <is>
          <t>Grand Total</t>
        </is>
      </c>
      <c r="D185" s="2" t="inlineStr">
        <is>
          <t>SELL</t>
        </is>
      </c>
      <c r="E185" s="84" t="n">
        <v>523677</v>
      </c>
    </row>
    <row r="186" ht="30" customHeight="1">
      <c r="D186" s="2" t="inlineStr">
        <is>
          <t>SECURITY BUY</t>
        </is>
      </c>
      <c r="E186" s="84" t="n">
        <v>371502</v>
      </c>
    </row>
    <row r="187" ht="90" customHeight="1">
      <c r="D187" s="2" t="inlineStr">
        <is>
          <t>Cash Change</t>
        </is>
      </c>
      <c r="E187" s="84" t="n">
        <v>152175</v>
      </c>
      <c r="G187" s="12" t="inlineStr">
        <is>
          <t>Change in cash = sells minus non-cash security buys; CASH target/hold rows are not counted as buys.</t>
        </is>
      </c>
    </row>
    <row r="188" ht="90" customHeight="1">
      <c r="D188" s="2" t="inlineStr">
        <is>
          <t>Ending Cash After Trades</t>
        </is>
      </c>
      <c r="E188" s="94" t="n">
        <v>170101.75</v>
      </c>
      <c r="G188" s="12" t="inlineStr">
        <is>
          <t>This should reconcile to the Cash row in Total Portfolio Mix after trades. No cross-account transfers are assumed. Includes $15,415 of unchanged cash in investment accounts without recommended trades.</t>
        </is>
      </c>
    </row>
    <row r="189"/>
    <row r="190" ht="15" customHeight="1">
      <c r="A190" s="17" t="inlineStr">
        <is>
          <t>Tax optimization diagnostics</t>
        </is>
      </c>
      <c r="B190" s="3" t="n"/>
      <c r="C190" s="3" t="n"/>
      <c r="D190" s="3" t="n"/>
      <c r="E190" s="3" t="n"/>
      <c r="F190" s="3" t="n"/>
      <c r="G190" s="3" t="n"/>
      <c r="H190" s="3" t="n"/>
      <c r="I190" s="3" t="n"/>
      <c r="J190" s="4" t="n"/>
    </row>
    <row r="191" ht="30" customHeight="1">
      <c r="A191" s="5" t="inlineStr">
        <is>
          <t>Control / objective</t>
        </is>
      </c>
      <c r="B191" s="5" t="inlineStr">
        <is>
          <t>Setting / result</t>
        </is>
      </c>
      <c r="C191" s="5" t="inlineStr">
        <is>
          <t>What it protects against</t>
        </is>
      </c>
      <c r="D191" s="3" t="n"/>
      <c r="E191" s="3" t="n"/>
      <c r="F191" s="3" t="n"/>
      <c r="G191" s="3" t="n"/>
      <c r="H191" s="3" t="n"/>
      <c r="I191" s="3" t="n"/>
      <c r="J191" s="4" t="n"/>
    </row>
    <row r="192" ht="30" customHeight="1">
      <c r="A192" s="2" t="inlineStr">
        <is>
          <t>Trade optimizer mode</t>
        </is>
      </c>
      <c r="B192" s="12" t="inlineStr">
        <is>
          <t>GLOBAL_TAX_AWARE</t>
        </is>
      </c>
      <c r="C192" s="12" t="inlineStr">
        <is>
          <t>Household-level linear objective; account cash constraints are respected because assets generally cannot transfer directly across account types.</t>
        </is>
      </c>
      <c r="D192" s="3" t="n"/>
      <c r="E192" s="3" t="n"/>
      <c r="F192" s="3" t="n"/>
      <c r="G192" s="3" t="n"/>
      <c r="H192" s="3" t="n"/>
      <c r="I192" s="3" t="n"/>
      <c r="J192" s="4" t="n"/>
    </row>
    <row r="193" ht="90" customHeight="1">
      <c r="A193" s="2" t="inlineStr">
        <is>
          <t>Optimization objective</t>
        </is>
      </c>
      <c r="B193" s="12" t="inlineStr">
        <is>
          <t>Drift + tax cost + turnover + account-location penalty</t>
        </is>
      </c>
      <c r="C193" s="12" t="inlineStr">
        <is>
          <t>Balances diversification and after-tax asset-location rather than optimizing each account in isolation.</t>
        </is>
      </c>
      <c r="D193" s="3" t="n"/>
      <c r="E193" s="3" t="n"/>
      <c r="F193" s="3" t="n"/>
      <c r="G193" s="3" t="n"/>
      <c r="H193" s="3" t="n"/>
      <c r="I193" s="3" t="n"/>
      <c r="J193" s="4" t="n"/>
    </row>
    <row r="194" ht="30" customHeight="1">
      <c r="A194" s="2" t="inlineStr">
        <is>
          <t>Configured max turnover</t>
        </is>
      </c>
      <c r="B194" s="12" t="inlineStr">
        <is>
          <t>20.0%</t>
        </is>
      </c>
      <c r="C194" s="12" t="inlineStr">
        <is>
          <t>Actual recommended sell turnover: 19.2%; cash deployed from existing account cash: $0.</t>
        </is>
      </c>
      <c r="D194" s="3" t="n"/>
      <c r="E194" s="3" t="n"/>
      <c r="F194" s="3" t="n"/>
      <c r="G194" s="3" t="n"/>
      <c r="H194" s="3" t="n"/>
      <c r="I194" s="3" t="n"/>
      <c r="J194" s="4" t="n"/>
    </row>
    <row r="195" ht="30" customHeight="1">
      <c r="A195" s="2" t="inlineStr">
        <is>
          <t>Taxable gain budget</t>
        </is>
      </c>
      <c r="B195" s="12" t="inlineStr">
        <is>
          <t>$2,500</t>
        </is>
      </c>
      <c r="C195" s="12" t="inlineStr">
        <is>
          <t>Estimated realized tax cost in recommended sells: $0.</t>
        </is>
      </c>
      <c r="D195" s="3" t="n"/>
      <c r="E195" s="3" t="n"/>
      <c r="F195" s="3" t="n"/>
      <c r="G195" s="3" t="n"/>
      <c r="H195" s="3" t="n"/>
      <c r="I195" s="3" t="n"/>
      <c r="J195" s="4" t="n"/>
    </row>
    <row r="196" ht="30" customHeight="1">
      <c r="A196" s="2" t="inlineStr">
        <is>
          <t>Taxable gain sale policy</t>
        </is>
      </c>
      <c r="B196" s="12" t="inlineStr">
        <is>
          <t>DRIFT_THRESHOLD</t>
        </is>
      </c>
      <c r="C196" s="12" t="inlineStr">
        <is>
          <t>Addresses tax-tail-wagging-dog, legacy gains, and taxable income timing risk.</t>
        </is>
      </c>
      <c r="D196" s="3" t="n"/>
      <c r="E196" s="3" t="n"/>
      <c r="F196" s="3" t="n"/>
      <c r="G196" s="3" t="n"/>
      <c r="H196" s="3" t="n"/>
      <c r="I196" s="3" t="n"/>
      <c r="J196" s="4" t="n"/>
    </row>
    <row r="197" ht="30" customHeight="1">
      <c r="A197" s="2" t="inlineStr">
        <is>
          <t>Asset-location strength</t>
        </is>
      </c>
      <c r="B197" s="12" t="inlineStr">
        <is>
          <t>BALANCED</t>
        </is>
      </c>
      <c r="C197" s="12" t="inlineStr">
        <is>
          <t>Controls how hard the optimizer pushes Roth growth, pre-tax income assets, and taxable tax-efficient equity.</t>
        </is>
      </c>
      <c r="D197" s="3" t="n"/>
      <c r="E197" s="3" t="n"/>
      <c r="F197" s="3" t="n"/>
      <c r="G197" s="3" t="n"/>
      <c r="H197" s="3" t="n"/>
      <c r="I197" s="3" t="n"/>
      <c r="J197" s="4" t="n"/>
    </row>
    <row r="198" ht="90" customHeight="1">
      <c r="A198" s="2" t="inlineStr">
        <is>
          <t>Concentration / tilt caps</t>
        </is>
      </c>
      <c r="B198" s="12" t="inlineStr">
        <is>
          <t>single asset 45%; Roth growth 85%; pre-tax fixed income 85%</t>
        </is>
      </c>
      <c r="C198" s="12" t="inlineStr">
        <is>
          <t>Hard caps reduce odd account-level allocations and over-concentration.</t>
        </is>
      </c>
      <c r="D198" s="3" t="n"/>
      <c r="E198" s="3" t="n"/>
      <c r="F198" s="3" t="n"/>
      <c r="G198" s="3" t="n"/>
      <c r="H198" s="3" t="n"/>
      <c r="I198" s="3" t="n"/>
      <c r="J198" s="4" t="n"/>
    </row>
    <row r="199" ht="30" customHeight="1">
      <c r="A199" s="2" t="inlineStr">
        <is>
          <t>Wash-sale handling</t>
        </is>
      </c>
      <c r="B199" s="12" t="inlineStr">
        <is>
          <t>FLAG_ONLY</t>
        </is>
      </c>
      <c r="C199" s="12" t="inlineStr">
        <is>
          <t>The workbook flags review items; it does not certify tax compliance or see outside-account/spouse trades.</t>
        </is>
      </c>
      <c r="D199" s="3" t="n"/>
      <c r="E199" s="3" t="n"/>
      <c r="F199" s="3" t="n"/>
      <c r="G199" s="3" t="n"/>
      <c r="H199" s="3" t="n"/>
      <c r="I199" s="3" t="n"/>
      <c r="J199" s="4" t="n"/>
    </row>
    <row r="200" ht="30" customHeight="1">
      <c r="A200" s="2" t="inlineStr">
        <is>
          <t>Deferred taxable sales</t>
        </is>
      </c>
      <c r="B200" s="12" t="inlineStr">
        <is>
          <t>2</t>
        </is>
      </c>
      <c r="C200" s="12" t="inlineStr">
        <is>
          <t>High-tax-drag or policy-blocked taxable sales are shown below instead of forced into the recommendation.</t>
        </is>
      </c>
      <c r="D200" s="3" t="n"/>
      <c r="E200" s="3" t="n"/>
      <c r="F200" s="3" t="n"/>
      <c r="G200" s="3" t="n"/>
      <c r="H200" s="3" t="n"/>
      <c r="I200" s="3" t="n"/>
      <c r="J200" s="4" t="n"/>
    </row>
    <row r="201"/>
    <row r="202" ht="45" customHeight="1">
      <c r="A202" s="87" t="inlineStr">
        <is>
          <t>Tax-aware deferred taxable sales: candidate taxable-account sells below were not recommended now because estimated realized-tax drag was high relative to the rebalance benefit. Use new contributions, dividends, tax-advantaged trades, or staged sales first.</t>
        </is>
      </c>
      <c r="B202" s="3" t="n"/>
      <c r="C202" s="3" t="n"/>
      <c r="D202" s="3" t="n"/>
      <c r="E202" s="3" t="n"/>
      <c r="F202" s="3" t="n"/>
      <c r="G202" s="3" t="n"/>
      <c r="H202" s="3" t="n"/>
      <c r="I202" s="3" t="n"/>
      <c r="J202" s="4" t="n"/>
    </row>
    <row r="203" ht="30" customHeight="1">
      <c r="A203" s="5" t="inlineStr">
        <is>
          <t>Account</t>
        </is>
      </c>
      <c r="B203" s="5" t="inlineStr">
        <is>
          <t>Symbol</t>
        </is>
      </c>
      <c r="C203" s="5" t="inlineStr">
        <is>
          <t>Deferred Amount</t>
        </is>
      </c>
      <c r="D203" s="5" t="inlineStr">
        <is>
          <t>Bucket</t>
        </is>
      </c>
      <c r="E203" s="5" t="inlineStr">
        <is>
          <t>Est. Tax Cost</t>
        </is>
      </c>
      <c r="F203" s="5" t="inlineStr">
        <is>
          <t>Tax Drag</t>
        </is>
      </c>
      <c r="G203" s="5" t="inlineStr">
        <is>
          <t>Reason</t>
        </is>
      </c>
    </row>
    <row r="204" ht="60" customHeight="1">
      <c r="A204" s="12" t="inlineStr">
        <is>
          <t>Husband_Trust</t>
        </is>
      </c>
      <c r="B204" s="2" t="inlineStr">
        <is>
          <t>IXUS</t>
        </is>
      </c>
      <c r="C204" s="78" t="n">
        <v>89830</v>
      </c>
      <c r="D204" s="12" t="inlineStr">
        <is>
          <t>International</t>
        </is>
      </c>
      <c r="E204" s="78" t="n">
        <v>1376</v>
      </c>
      <c r="F204" s="79" t="n">
        <v>0.01531235527906225</v>
      </c>
      <c r="G204" s="12" t="inlineStr">
        <is>
          <t>Deferred: estimated tax drag 1.5% exceeds 1.5%; use contributions, dividends, tax-advantaged accounts, or staged sales first. Taxable gain sale allowed only when low-drag or drift threshold is large.</t>
        </is>
      </c>
      <c r="H204" s="3" t="n"/>
      <c r="I204" s="3" t="n"/>
      <c r="J204" s="4" t="n"/>
    </row>
    <row r="205" ht="60" customHeight="1">
      <c r="A205" s="12" t="inlineStr">
        <is>
          <t>Wife_Trust</t>
        </is>
      </c>
      <c r="B205" s="2" t="inlineStr">
        <is>
          <t>VXUS</t>
        </is>
      </c>
      <c r="C205" s="78" t="n">
        <v>76924</v>
      </c>
      <c r="D205" s="12" t="inlineStr">
        <is>
          <t>International</t>
        </is>
      </c>
      <c r="E205" s="78" t="n">
        <v>1475</v>
      </c>
      <c r="F205" s="79" t="n">
        <v>0.01917060883606947</v>
      </c>
      <c r="G205" s="12" t="inlineStr">
        <is>
          <t>Deferred: estimated tax drag 1.9% exceeds 1.5%; use contributions, dividends, tax-advantaged accounts, or staged sales first. Taxable gain sale allowed only when low-drag or drift threshold is large.</t>
        </is>
      </c>
      <c r="H205" s="3" t="n"/>
      <c r="I205" s="3" t="n"/>
      <c r="J205" s="4" t="n"/>
    </row>
    <row r="206"/>
    <row r="207"/>
    <row r="208"/>
    <row r="209" ht="15" customHeight="1">
      <c r="A209" s="9" t="inlineStr">
        <is>
          <t>BEFORE &amp; AFTER REBALANCING</t>
        </is>
      </c>
    </row>
    <row r="210" ht="30" customHeight="1">
      <c r="A210" s="12" t="inlineStr">
        <is>
          <t>Shows current allocation, projected allocation after executing recommended trades, and remaining gap vs target. Positive delta = still over-allocated; negative = still under-allocated.</t>
        </is>
      </c>
      <c r="B210" s="3" t="n"/>
      <c r="C210" s="3" t="n"/>
      <c r="D210" s="3" t="n"/>
      <c r="E210" s="3" t="n"/>
      <c r="F210" s="3" t="n"/>
      <c r="G210" s="3" t="n"/>
      <c r="H210" s="3" t="n"/>
      <c r="I210" s="3" t="n"/>
      <c r="J210" s="4" t="n"/>
    </row>
    <row r="211" ht="30" customHeight="1">
      <c r="A211" s="99" t="n"/>
    </row>
    <row r="212"/>
    <row r="213" ht="15" customHeight="1">
      <c r="A213" s="10" t="inlineStr">
        <is>
          <t>Husband_401k  —  Total: $13,021</t>
        </is>
      </c>
      <c r="B213" s="3" t="n"/>
      <c r="C213" s="3" t="n"/>
      <c r="D213" s="3" t="n"/>
      <c r="E213" s="3" t="n"/>
      <c r="F213" s="3" t="n"/>
      <c r="G213" s="3" t="n"/>
      <c r="H213" s="3" t="n"/>
      <c r="I213" s="3" t="n"/>
      <c r="J213" s="4" t="n"/>
    </row>
    <row r="214" ht="15" customHeight="1">
      <c r="A214" s="5" t="inlineStr">
        <is>
          <t>Bucket</t>
        </is>
      </c>
      <c r="B214" s="5" t="inlineStr">
        <is>
          <t>Before $</t>
        </is>
      </c>
      <c r="C214" s="5" t="inlineStr">
        <is>
          <t>Before %</t>
        </is>
      </c>
      <c r="D214" s="100" t="inlineStr"/>
      <c r="E214" s="5" t="inlineStr">
        <is>
          <t>After $</t>
        </is>
      </c>
      <c r="F214" s="5" t="inlineStr">
        <is>
          <t>After %</t>
        </is>
      </c>
      <c r="G214" s="100" t="inlineStr"/>
      <c r="H214" s="5" t="inlineStr">
        <is>
          <t>Target %</t>
        </is>
      </c>
      <c r="I214" s="5" t="inlineStr">
        <is>
          <t>Delta pp</t>
        </is>
      </c>
      <c r="J214" s="5" t="inlineStr">
        <is>
          <t>Status</t>
        </is>
      </c>
    </row>
    <row r="215" ht="30" customHeight="1">
      <c r="A215" s="12" t="inlineStr">
        <is>
          <t>US Large Cap</t>
        </is>
      </c>
      <c r="B215" s="78" t="n">
        <v>0</v>
      </c>
      <c r="C215" s="79" t="n">
        <v>0</v>
      </c>
      <c r="D215" s="41" t="inlineStr">
        <is>
          <t>→</t>
        </is>
      </c>
      <c r="E215" s="80" t="n">
        <v>3692</v>
      </c>
      <c r="F215" s="81" t="n">
        <v>0.2835365268311414</v>
      </c>
      <c r="G215" s="33" t="inlineStr"/>
      <c r="H215" s="79" t="n">
        <v>0.5333333333333333</v>
      </c>
      <c r="I215" s="101" t="n">
        <v>-0.2497968065021919</v>
      </c>
      <c r="J215" s="12" t="inlineStr">
        <is>
          <t>Under -25.0%</t>
        </is>
      </c>
    </row>
    <row r="216" ht="45" customHeight="1">
      <c r="A216" s="12" t="inlineStr">
        <is>
          <t>US Small Cap</t>
        </is>
      </c>
      <c r="B216" s="78" t="n">
        <v>10994.72</v>
      </c>
      <c r="C216" s="79" t="n">
        <v>0.8443674762407603</v>
      </c>
      <c r="D216" s="41" t="inlineStr">
        <is>
          <t>→</t>
        </is>
      </c>
      <c r="E216" s="80" t="n">
        <v>1442.719999999999</v>
      </c>
      <c r="F216" s="81" t="n">
        <v>0.1107973504847844</v>
      </c>
      <c r="G216" s="33" t="inlineStr"/>
      <c r="H216" s="79" t="n">
        <v>0.06666666666666667</v>
      </c>
      <c r="I216" s="101" t="n">
        <v>0.04413068381811777</v>
      </c>
      <c r="J216" s="12" t="inlineStr">
        <is>
          <t>Over +4.4%</t>
        </is>
      </c>
    </row>
    <row r="217" ht="45" customHeight="1">
      <c r="A217" s="12" t="inlineStr">
        <is>
          <t>Cash</t>
        </is>
      </c>
      <c r="B217" s="78" t="n">
        <v>2026.53</v>
      </c>
      <c r="C217" s="79" t="n">
        <v>0.1556325237592397</v>
      </c>
      <c r="D217" s="102" t="inlineStr"/>
      <c r="E217" s="78" t="n">
        <v>2026.530000000001</v>
      </c>
      <c r="F217" s="79" t="n">
        <v>0.1556325237592397</v>
      </c>
      <c r="G217" s="33" t="inlineStr"/>
      <c r="H217" s="64" t="inlineStr"/>
      <c r="I217" s="64" t="inlineStr"/>
      <c r="J217" s="33" t="inlineStr"/>
    </row>
    <row r="218" ht="30" customHeight="1">
      <c r="A218" s="12" t="inlineStr">
        <is>
          <t>US Mid Cap</t>
        </is>
      </c>
      <c r="B218" s="78" t="n">
        <v>0</v>
      </c>
      <c r="C218" s="79" t="n">
        <v>0</v>
      </c>
      <c r="D218" s="41" t="inlineStr">
        <is>
          <t>→</t>
        </is>
      </c>
      <c r="E218" s="80" t="n">
        <v>5860</v>
      </c>
      <c r="F218" s="81" t="n">
        <v>0.4500335989248344</v>
      </c>
      <c r="G218" s="33" t="inlineStr"/>
      <c r="H218" s="79" t="n">
        <v>0.06666666666666667</v>
      </c>
      <c r="I218" s="101" t="n">
        <v>0.3833669322581678</v>
      </c>
      <c r="J218" s="12" t="inlineStr">
        <is>
          <t>Over +38.3%</t>
        </is>
      </c>
    </row>
    <row r="219"/>
    <row r="220" ht="15" customHeight="1">
      <c r="A220" s="10" t="inlineStr">
        <is>
          <t>Husband_HSA  —  Total: $70,602</t>
        </is>
      </c>
      <c r="B220" s="3" t="n"/>
      <c r="C220" s="3" t="n"/>
      <c r="D220" s="3" t="n"/>
      <c r="E220" s="3" t="n"/>
      <c r="F220" s="3" t="n"/>
      <c r="G220" s="3" t="n"/>
      <c r="H220" s="3" t="n"/>
      <c r="I220" s="3" t="n"/>
      <c r="J220" s="4" t="n"/>
    </row>
    <row r="221" ht="15" customHeight="1">
      <c r="A221" s="5" t="inlineStr">
        <is>
          <t>Bucket</t>
        </is>
      </c>
      <c r="B221" s="5" t="inlineStr">
        <is>
          <t>Before $</t>
        </is>
      </c>
      <c r="C221" s="5" t="inlineStr">
        <is>
          <t>Before %</t>
        </is>
      </c>
      <c r="D221" s="100" t="inlineStr"/>
      <c r="E221" s="5" t="inlineStr">
        <is>
          <t>After $</t>
        </is>
      </c>
      <c r="F221" s="5" t="inlineStr">
        <is>
          <t>After %</t>
        </is>
      </c>
      <c r="G221" s="100" t="inlineStr"/>
      <c r="H221" s="5" t="inlineStr">
        <is>
          <t>Target %</t>
        </is>
      </c>
      <c r="I221" s="5" t="inlineStr">
        <is>
          <t>Delta pp</t>
        </is>
      </c>
      <c r="J221" s="5" t="inlineStr">
        <is>
          <t>Status</t>
        </is>
      </c>
    </row>
    <row r="222" ht="30" customHeight="1">
      <c r="A222" s="12" t="inlineStr">
        <is>
          <t>US Large Cap</t>
        </is>
      </c>
      <c r="B222" s="78" t="n">
        <v>70325.97327</v>
      </c>
      <c r="C222" s="79" t="n">
        <v>0.9960933003649752</v>
      </c>
      <c r="D222" s="102" t="inlineStr"/>
      <c r="E222" s="78" t="n">
        <v>70325.97327</v>
      </c>
      <c r="F222" s="79" t="n">
        <v>0.9960933003649752</v>
      </c>
      <c r="G222" s="33" t="inlineStr"/>
      <c r="H222" s="79" t="n">
        <v>0.5333333333333333</v>
      </c>
      <c r="I222" s="101" t="n">
        <v>0.4627599670316419</v>
      </c>
      <c r="J222" s="12" t="inlineStr">
        <is>
          <t>Over +46.3%</t>
        </is>
      </c>
    </row>
    <row r="223" ht="45" customHeight="1">
      <c r="A223" s="12" t="inlineStr">
        <is>
          <t>Cash</t>
        </is>
      </c>
      <c r="B223" s="78" t="n">
        <v>275.82</v>
      </c>
      <c r="C223" s="79" t="n">
        <v>0.003906699635024723</v>
      </c>
      <c r="D223" s="102" t="inlineStr"/>
      <c r="E223" s="78" t="n">
        <v>275.82</v>
      </c>
      <c r="F223" s="79" t="n">
        <v>0.003906699635024723</v>
      </c>
      <c r="G223" s="33" t="inlineStr"/>
      <c r="H223" s="64" t="inlineStr"/>
      <c r="I223" s="64" t="inlineStr"/>
      <c r="J223" s="33" t="inlineStr"/>
    </row>
    <row r="224"/>
    <row r="225" ht="15" customHeight="1">
      <c r="A225" s="10" t="inlineStr">
        <is>
          <t>Husband_IRA  —  Total: $1,311,284</t>
        </is>
      </c>
      <c r="B225" s="3" t="n"/>
      <c r="C225" s="3" t="n"/>
      <c r="D225" s="3" t="n"/>
      <c r="E225" s="3" t="n"/>
      <c r="F225" s="3" t="n"/>
      <c r="G225" s="3" t="n"/>
      <c r="H225" s="3" t="n"/>
      <c r="I225" s="3" t="n"/>
      <c r="J225" s="4" t="n"/>
    </row>
    <row r="226" ht="15" customHeight="1">
      <c r="A226" s="5" t="inlineStr">
        <is>
          <t>Bucket</t>
        </is>
      </c>
      <c r="B226" s="5" t="inlineStr">
        <is>
          <t>Before $</t>
        </is>
      </c>
      <c r="C226" s="5" t="inlineStr">
        <is>
          <t>Before %</t>
        </is>
      </c>
      <c r="D226" s="100" t="inlineStr"/>
      <c r="E226" s="5" t="inlineStr">
        <is>
          <t>After $</t>
        </is>
      </c>
      <c r="F226" s="5" t="inlineStr">
        <is>
          <t>After %</t>
        </is>
      </c>
      <c r="G226" s="100" t="inlineStr"/>
      <c r="H226" s="5" t="inlineStr">
        <is>
          <t>Target %</t>
        </is>
      </c>
      <c r="I226" s="5" t="inlineStr">
        <is>
          <t>Delta pp</t>
        </is>
      </c>
      <c r="J226" s="5" t="inlineStr">
        <is>
          <t>Status</t>
        </is>
      </c>
    </row>
    <row r="227" ht="45" customHeight="1">
      <c r="A227" s="12" t="inlineStr">
        <is>
          <t>US Large Cap</t>
        </is>
      </c>
      <c r="B227" s="78" t="n">
        <v>630454.88664</v>
      </c>
      <c r="C227" s="79" t="n">
        <v>0.4807921008887492</v>
      </c>
      <c r="D227" s="102" t="inlineStr"/>
      <c r="E227" s="78" t="n">
        <v>630454.88664</v>
      </c>
      <c r="F227" s="79" t="n">
        <v>0.4807921008887492</v>
      </c>
      <c r="G227" s="33" t="inlineStr"/>
      <c r="H227" s="79" t="n">
        <v>0.5333333333333333</v>
      </c>
      <c r="I227" s="101" t="n">
        <v>-0.05254123244458409</v>
      </c>
      <c r="J227" s="12" t="inlineStr">
        <is>
          <t>Under -5.3%</t>
        </is>
      </c>
    </row>
    <row r="228" ht="45" customHeight="1">
      <c r="A228" s="12" t="inlineStr">
        <is>
          <t>International</t>
        </is>
      </c>
      <c r="B228" s="78" t="n">
        <v>460365.84</v>
      </c>
      <c r="C228" s="79" t="n">
        <v>0.3510802502787209</v>
      </c>
      <c r="D228" s="102" t="inlineStr"/>
      <c r="E228" s="78" t="n">
        <v>460365.84</v>
      </c>
      <c r="F228" s="79" t="n">
        <v>0.3510802502787209</v>
      </c>
      <c r="G228" s="33" t="inlineStr"/>
      <c r="H228" s="79" t="n">
        <v>0.2666666666666667</v>
      </c>
      <c r="I228" s="101" t="n">
        <v>0.0844135836120542</v>
      </c>
      <c r="J228" s="12" t="inlineStr">
        <is>
          <t>Over +8.4%</t>
        </is>
      </c>
    </row>
    <row r="229" ht="45" customHeight="1">
      <c r="A229" s="12" t="inlineStr">
        <is>
          <t>US Small Cap</t>
        </is>
      </c>
      <c r="B229" s="78" t="n">
        <v>106448.88</v>
      </c>
      <c r="C229" s="79" t="n">
        <v>0.08117913230114884</v>
      </c>
      <c r="D229" s="41" t="inlineStr">
        <is>
          <t>→</t>
        </is>
      </c>
      <c r="E229" s="80" t="n">
        <v>13882.88</v>
      </c>
      <c r="F229" s="81" t="n">
        <v>0.0105872429305125</v>
      </c>
      <c r="G229" s="33" t="inlineStr"/>
      <c r="H229" s="79" t="n">
        <v>0.06666666666666667</v>
      </c>
      <c r="I229" s="101" t="n">
        <v>-0.05607942373615416</v>
      </c>
      <c r="J229" s="12" t="inlineStr">
        <is>
          <t>Under -5.6%</t>
        </is>
      </c>
    </row>
    <row r="230" ht="45" customHeight="1">
      <c r="A230" s="12" t="inlineStr">
        <is>
          <t>Commodities</t>
        </is>
      </c>
      <c r="B230" s="78" t="n">
        <v>113946.6</v>
      </c>
      <c r="C230" s="79" t="n">
        <v>0.08689697925113056</v>
      </c>
      <c r="D230" s="41" t="inlineStr">
        <is>
          <t>→</t>
        </is>
      </c>
      <c r="E230" s="80" t="n">
        <v>0</v>
      </c>
      <c r="F230" s="81" t="n">
        <v>0</v>
      </c>
      <c r="G230" s="33" t="inlineStr"/>
      <c r="H230" s="79" t="n">
        <v>0</v>
      </c>
      <c r="I230" s="103" t="n">
        <v>0</v>
      </c>
      <c r="J230" s="12" t="inlineStr">
        <is>
          <t>✓ On target</t>
        </is>
      </c>
    </row>
    <row r="231" ht="45" customHeight="1">
      <c r="A231" s="12" t="inlineStr">
        <is>
          <t>Cash</t>
        </is>
      </c>
      <c r="B231" s="78" t="n">
        <v>67.58</v>
      </c>
      <c r="C231" s="79" t="n">
        <v>5.153728025049807e-05</v>
      </c>
      <c r="D231" s="41" t="inlineStr">
        <is>
          <t>→</t>
        </is>
      </c>
      <c r="E231" s="80" t="n">
        <v>152242.58</v>
      </c>
      <c r="F231" s="81" t="n">
        <v>0.1161019312151357</v>
      </c>
      <c r="G231" s="33" t="inlineStr"/>
      <c r="H231" s="64" t="inlineStr"/>
      <c r="I231" s="64" t="inlineStr"/>
      <c r="J231" s="33" t="inlineStr"/>
    </row>
    <row r="232" ht="45" customHeight="1">
      <c r="A232" s="12" t="inlineStr">
        <is>
          <t>Emerging Markets</t>
        </is>
      </c>
      <c r="B232" s="78" t="n">
        <v>0</v>
      </c>
      <c r="C232" s="79" t="n">
        <v>0</v>
      </c>
      <c r="D232" s="41" t="inlineStr">
        <is>
          <t>→</t>
        </is>
      </c>
      <c r="E232" s="80" t="n">
        <v>54338</v>
      </c>
      <c r="F232" s="81" t="n">
        <v>0.04143877973145256</v>
      </c>
      <c r="G232" s="33" t="inlineStr"/>
      <c r="H232" s="79" t="n">
        <v>0.06666666666666667</v>
      </c>
      <c r="I232" s="101" t="n">
        <v>-0.02522788693521411</v>
      </c>
      <c r="J232" s="12" t="inlineStr">
        <is>
          <t>Under -2.5%</t>
        </is>
      </c>
    </row>
    <row r="233"/>
    <row r="234" ht="15" customHeight="1">
      <c r="A234" s="10" t="inlineStr">
        <is>
          <t>Husband_Roth  —  Total: $137,412</t>
        </is>
      </c>
      <c r="B234" s="3" t="n"/>
      <c r="C234" s="3" t="n"/>
      <c r="D234" s="3" t="n"/>
      <c r="E234" s="3" t="n"/>
      <c r="F234" s="3" t="n"/>
      <c r="G234" s="3" t="n"/>
      <c r="H234" s="3" t="n"/>
      <c r="I234" s="3" t="n"/>
      <c r="J234" s="4" t="n"/>
    </row>
    <row r="235" ht="15" customHeight="1">
      <c r="A235" s="5" t="inlineStr">
        <is>
          <t>Bucket</t>
        </is>
      </c>
      <c r="B235" s="5" t="inlineStr">
        <is>
          <t>Before $</t>
        </is>
      </c>
      <c r="C235" s="5" t="inlineStr">
        <is>
          <t>Before %</t>
        </is>
      </c>
      <c r="D235" s="100" t="inlineStr"/>
      <c r="E235" s="5" t="inlineStr">
        <is>
          <t>After $</t>
        </is>
      </c>
      <c r="F235" s="5" t="inlineStr">
        <is>
          <t>After %</t>
        </is>
      </c>
      <c r="G235" s="100" t="inlineStr"/>
      <c r="H235" s="5" t="inlineStr">
        <is>
          <t>Target %</t>
        </is>
      </c>
      <c r="I235" s="5" t="inlineStr">
        <is>
          <t>Delta pp</t>
        </is>
      </c>
      <c r="J235" s="5" t="inlineStr">
        <is>
          <t>Status</t>
        </is>
      </c>
    </row>
    <row r="236" ht="30" customHeight="1">
      <c r="A236" s="12" t="inlineStr">
        <is>
          <t>US Large Cap</t>
        </is>
      </c>
      <c r="B236" s="78" t="n">
        <v>27787.40325</v>
      </c>
      <c r="C236" s="79" t="n">
        <v>0.2022194790730432</v>
      </c>
      <c r="D236" s="102" t="inlineStr"/>
      <c r="E236" s="78" t="n">
        <v>27787.40325</v>
      </c>
      <c r="F236" s="79" t="n">
        <v>0.2022194790730432</v>
      </c>
      <c r="G236" s="33" t="inlineStr"/>
      <c r="H236" s="79" t="n">
        <v>0.5333333333333333</v>
      </c>
      <c r="I236" s="101" t="n">
        <v>-0.3311138542602902</v>
      </c>
      <c r="J236" s="12" t="inlineStr">
        <is>
          <t>Under -33.1%</t>
        </is>
      </c>
    </row>
    <row r="237" ht="45" customHeight="1">
      <c r="A237" s="12" t="inlineStr">
        <is>
          <t>International</t>
        </is>
      </c>
      <c r="B237" s="78" t="n">
        <v>46658.7</v>
      </c>
      <c r="C237" s="79" t="n">
        <v>0.339553067385863</v>
      </c>
      <c r="D237" s="41" t="inlineStr">
        <is>
          <t>→</t>
        </is>
      </c>
      <c r="E237" s="80" t="n">
        <v>0</v>
      </c>
      <c r="F237" s="81" t="n">
        <v>0</v>
      </c>
      <c r="G237" s="33" t="inlineStr"/>
      <c r="H237" s="79" t="n">
        <v>0.2666666666666667</v>
      </c>
      <c r="I237" s="101" t="n">
        <v>-0.2666666666666667</v>
      </c>
      <c r="J237" s="12" t="inlineStr">
        <is>
          <t>Under -26.7%</t>
        </is>
      </c>
    </row>
    <row r="238" ht="45" customHeight="1">
      <c r="A238" s="12" t="inlineStr">
        <is>
          <t>US Small Cap</t>
        </is>
      </c>
      <c r="B238" s="78" t="n">
        <v>62956.0166</v>
      </c>
      <c r="C238" s="79" t="n">
        <v>0.4581548252935747</v>
      </c>
      <c r="D238" s="102" t="inlineStr"/>
      <c r="E238" s="78" t="n">
        <v>62956.0166</v>
      </c>
      <c r="F238" s="79" t="n">
        <v>0.4581548252935747</v>
      </c>
      <c r="G238" s="33" t="inlineStr"/>
      <c r="H238" s="79" t="n">
        <v>0.06666666666666667</v>
      </c>
      <c r="I238" s="101" t="n">
        <v>0.391488158626908</v>
      </c>
      <c r="J238" s="12" t="inlineStr">
        <is>
          <t>Over +39.1%</t>
        </is>
      </c>
    </row>
    <row r="239" ht="45" customHeight="1">
      <c r="A239" s="12" t="inlineStr">
        <is>
          <t>Cash</t>
        </is>
      </c>
      <c r="B239" s="78" t="n">
        <v>9.98</v>
      </c>
      <c r="C239" s="79" t="n">
        <v>7.262824751891744e-05</v>
      </c>
      <c r="D239" s="102" t="inlineStr"/>
      <c r="E239" s="78" t="n">
        <v>9.980000000003201</v>
      </c>
      <c r="F239" s="79" t="n">
        <v>7.262824751894074e-05</v>
      </c>
      <c r="G239" s="33" t="inlineStr"/>
      <c r="H239" s="64" t="inlineStr"/>
      <c r="I239" s="64" t="inlineStr"/>
      <c r="J239" s="33" t="inlineStr"/>
    </row>
    <row r="240" ht="30" customHeight="1">
      <c r="A240" s="12" t="inlineStr">
        <is>
          <t>Emerging Markets</t>
        </is>
      </c>
      <c r="B240" s="78" t="n">
        <v>0</v>
      </c>
      <c r="C240" s="79" t="n">
        <v>0</v>
      </c>
      <c r="D240" s="41" t="inlineStr">
        <is>
          <t>→</t>
        </is>
      </c>
      <c r="E240" s="80" t="n">
        <v>46659</v>
      </c>
      <c r="F240" s="81" t="n">
        <v>0.3395552505997163</v>
      </c>
      <c r="G240" s="33" t="inlineStr"/>
      <c r="H240" s="79" t="n">
        <v>0.06666666666666667</v>
      </c>
      <c r="I240" s="101" t="n">
        <v>0.2728885839330497</v>
      </c>
      <c r="J240" s="12" t="inlineStr">
        <is>
          <t>Over +27.3%</t>
        </is>
      </c>
    </row>
    <row r="241"/>
    <row r="242" ht="15" customHeight="1">
      <c r="A242" s="10" t="inlineStr">
        <is>
          <t>Husband_Trust  —  Total: $204,049</t>
        </is>
      </c>
      <c r="B242" s="3" t="n"/>
      <c r="C242" s="3" t="n"/>
      <c r="D242" s="3" t="n"/>
      <c r="E242" s="3" t="n"/>
      <c r="F242" s="3" t="n"/>
      <c r="G242" s="3" t="n"/>
      <c r="H242" s="3" t="n"/>
      <c r="I242" s="3" t="n"/>
      <c r="J242" s="4" t="n"/>
    </row>
    <row r="243" ht="15" customHeight="1">
      <c r="A243" s="5" t="inlineStr">
        <is>
          <t>Bucket</t>
        </is>
      </c>
      <c r="B243" s="5" t="inlineStr">
        <is>
          <t>Before $</t>
        </is>
      </c>
      <c r="C243" s="5" t="inlineStr">
        <is>
          <t>Before %</t>
        </is>
      </c>
      <c r="D243" s="100" t="inlineStr"/>
      <c r="E243" s="5" t="inlineStr">
        <is>
          <t>After $</t>
        </is>
      </c>
      <c r="F243" s="5" t="inlineStr">
        <is>
          <t>After %</t>
        </is>
      </c>
      <c r="G243" s="100" t="inlineStr"/>
      <c r="H243" s="5" t="inlineStr">
        <is>
          <t>Target %</t>
        </is>
      </c>
      <c r="I243" s="5" t="inlineStr">
        <is>
          <t>Delta pp</t>
        </is>
      </c>
      <c r="J243" s="5" t="inlineStr">
        <is>
          <t>Status</t>
        </is>
      </c>
    </row>
    <row r="244" ht="30" customHeight="1">
      <c r="A244" s="12" t="inlineStr">
        <is>
          <t>US Large Cap</t>
        </is>
      </c>
      <c r="B244" s="78" t="n">
        <v>103935.90501</v>
      </c>
      <c r="C244" s="79" t="n">
        <v>0.5093685431503162</v>
      </c>
      <c r="D244" s="102" t="inlineStr"/>
      <c r="E244" s="78" t="n">
        <v>103935.90501</v>
      </c>
      <c r="F244" s="79" t="n">
        <v>0.5093685431503162</v>
      </c>
      <c r="G244" s="33" t="inlineStr"/>
      <c r="H244" s="79" t="n">
        <v>0.5333333333333333</v>
      </c>
      <c r="I244" s="101" t="n">
        <v>-0.02396479018301712</v>
      </c>
      <c r="J244" s="12" t="inlineStr">
        <is>
          <t>Under -2.4%</t>
        </is>
      </c>
    </row>
    <row r="245" ht="30" customHeight="1">
      <c r="A245" s="12" t="inlineStr">
        <is>
          <t>International</t>
        </is>
      </c>
      <c r="B245" s="78" t="n">
        <v>89829.78</v>
      </c>
      <c r="C245" s="79" t="n">
        <v>0.4402373190064688</v>
      </c>
      <c r="D245" s="102" t="inlineStr"/>
      <c r="E245" s="78" t="n">
        <v>89829.78</v>
      </c>
      <c r="F245" s="79" t="n">
        <v>0.4402373190064688</v>
      </c>
      <c r="G245" s="33" t="inlineStr"/>
      <c r="H245" s="79" t="n">
        <v>0.2666666666666667</v>
      </c>
      <c r="I245" s="101" t="n">
        <v>0.1735706523398021</v>
      </c>
      <c r="J245" s="12" t="inlineStr">
        <is>
          <t>Over +17.4%</t>
        </is>
      </c>
    </row>
    <row r="246" ht="45" customHeight="1">
      <c r="A246" s="12" t="inlineStr">
        <is>
          <t>Cash</t>
        </is>
      </c>
      <c r="B246" s="78" t="n">
        <v>10282.85</v>
      </c>
      <c r="C246" s="79" t="n">
        <v>0.05039413784321489</v>
      </c>
      <c r="D246" s="102" t="inlineStr"/>
      <c r="E246" s="78" t="n">
        <v>10282.85</v>
      </c>
      <c r="F246" s="79" t="n">
        <v>0.05039413784321489</v>
      </c>
      <c r="G246" s="33" t="inlineStr"/>
      <c r="H246" s="64" t="inlineStr"/>
      <c r="I246" s="64" t="inlineStr"/>
      <c r="J246" s="33" t="inlineStr"/>
    </row>
    <row r="247"/>
    <row r="248" ht="15" customHeight="1">
      <c r="A248" s="10" t="inlineStr">
        <is>
          <t>Wife_IRA  —  Total: $454,862</t>
        </is>
      </c>
      <c r="B248" s="3" t="n"/>
      <c r="C248" s="3" t="n"/>
      <c r="D248" s="3" t="n"/>
      <c r="E248" s="3" t="n"/>
      <c r="F248" s="3" t="n"/>
      <c r="G248" s="3" t="n"/>
      <c r="H248" s="3" t="n"/>
      <c r="I248" s="3" t="n"/>
      <c r="J248" s="4" t="n"/>
    </row>
    <row r="249" ht="15" customHeight="1">
      <c r="A249" s="5" t="inlineStr">
        <is>
          <t>Bucket</t>
        </is>
      </c>
      <c r="B249" s="5" t="inlineStr">
        <is>
          <t>Before $</t>
        </is>
      </c>
      <c r="C249" s="5" t="inlineStr">
        <is>
          <t>Before %</t>
        </is>
      </c>
      <c r="D249" s="100" t="inlineStr"/>
      <c r="E249" s="5" t="inlineStr">
        <is>
          <t>After $</t>
        </is>
      </c>
      <c r="F249" s="5" t="inlineStr">
        <is>
          <t>After %</t>
        </is>
      </c>
      <c r="G249" s="100" t="inlineStr"/>
      <c r="H249" s="5" t="inlineStr">
        <is>
          <t>Target %</t>
        </is>
      </c>
      <c r="I249" s="5" t="inlineStr">
        <is>
          <t>Delta pp</t>
        </is>
      </c>
      <c r="J249" s="5" t="inlineStr">
        <is>
          <t>Status</t>
        </is>
      </c>
    </row>
    <row r="250" ht="30" customHeight="1">
      <c r="A250" s="12" t="inlineStr">
        <is>
          <t>US Large Cap</t>
        </is>
      </c>
      <c r="B250" s="78" t="n">
        <v>209546.98665</v>
      </c>
      <c r="C250" s="79" t="n">
        <v>0.4606830508828344</v>
      </c>
      <c r="D250" s="41" t="inlineStr">
        <is>
          <t>→</t>
        </is>
      </c>
      <c r="E250" s="80" t="n">
        <v>237155.98665</v>
      </c>
      <c r="F250" s="81" t="n">
        <v>0.5213806469454699</v>
      </c>
      <c r="G250" s="33" t="inlineStr"/>
      <c r="H250" s="79" t="n">
        <v>0.5333333333333333</v>
      </c>
      <c r="I250" s="103" t="n">
        <v>-0.0119526863878634</v>
      </c>
      <c r="J250" s="12" t="inlineStr">
        <is>
          <t>✓ On target</t>
        </is>
      </c>
    </row>
    <row r="251" ht="45" customHeight="1">
      <c r="A251" s="12" t="inlineStr">
        <is>
          <t>International</t>
        </is>
      </c>
      <c r="B251" s="78" t="n">
        <v>154267.652352</v>
      </c>
      <c r="C251" s="79" t="n">
        <v>0.3391530170593929</v>
      </c>
      <c r="D251" s="41" t="inlineStr">
        <is>
          <t>→</t>
        </is>
      </c>
      <c r="E251" s="80" t="n">
        <v>53282.652352</v>
      </c>
      <c r="F251" s="81" t="n">
        <v>0.117140385729564</v>
      </c>
      <c r="G251" s="33" t="inlineStr"/>
      <c r="H251" s="79" t="n">
        <v>0.2666666666666667</v>
      </c>
      <c r="I251" s="101" t="n">
        <v>-0.1495262809371027</v>
      </c>
      <c r="J251" s="12" t="inlineStr">
        <is>
          <t>Under -15.0%</t>
        </is>
      </c>
    </row>
    <row r="252" ht="45" customHeight="1">
      <c r="A252" s="12" t="inlineStr">
        <is>
          <t>US Small Cap</t>
        </is>
      </c>
      <c r="B252" s="78" t="n">
        <v>38097.337729</v>
      </c>
      <c r="C252" s="79" t="n">
        <v>0.08375590628188799</v>
      </c>
      <c r="D252" s="41" t="inlineStr">
        <is>
          <t>→</t>
        </is>
      </c>
      <c r="E252" s="80" t="n">
        <v>0.3377289999989443</v>
      </c>
      <c r="F252" s="81" t="n">
        <v>7.424875374180068e-07</v>
      </c>
      <c r="G252" s="33" t="inlineStr"/>
      <c r="H252" s="79" t="n">
        <v>0.06666666666666667</v>
      </c>
      <c r="I252" s="101" t="n">
        <v>-0.06666592417912925</v>
      </c>
      <c r="J252" s="12" t="inlineStr">
        <is>
          <t>Under -6.7%</t>
        </is>
      </c>
    </row>
    <row r="253" ht="30" customHeight="1">
      <c r="A253" s="12" t="inlineStr">
        <is>
          <t>Commodities</t>
        </is>
      </c>
      <c r="B253" s="78" t="n">
        <v>52767.75</v>
      </c>
      <c r="C253" s="79" t="n">
        <v>0.1160083876501914</v>
      </c>
      <c r="D253" s="41" t="inlineStr">
        <is>
          <t>→</t>
        </is>
      </c>
      <c r="E253" s="80" t="n">
        <v>0</v>
      </c>
      <c r="F253" s="81" t="n">
        <v>0</v>
      </c>
      <c r="G253" s="33" t="inlineStr"/>
      <c r="H253" s="79" t="n">
        <v>0</v>
      </c>
      <c r="I253" s="103" t="n">
        <v>0</v>
      </c>
      <c r="J253" s="12" t="inlineStr">
        <is>
          <t>✓ On target</t>
        </is>
      </c>
    </row>
    <row r="254" ht="45" customHeight="1">
      <c r="A254" s="12" t="inlineStr">
        <is>
          <t>Cash</t>
        </is>
      </c>
      <c r="B254" s="78" t="n">
        <v>181.78</v>
      </c>
      <c r="C254" s="79" t="n">
        <v>0.0003996381256932841</v>
      </c>
      <c r="D254" s="102" t="inlineStr"/>
      <c r="E254" s="78" t="n">
        <v>181.7799999999988</v>
      </c>
      <c r="F254" s="79" t="n">
        <v>0.0003996381256932816</v>
      </c>
      <c r="G254" s="33" t="inlineStr"/>
      <c r="H254" s="64" t="inlineStr"/>
      <c r="I254" s="64" t="inlineStr"/>
      <c r="J254" s="33" t="inlineStr"/>
    </row>
    <row r="255" ht="45" customHeight="1">
      <c r="A255" s="12" t="inlineStr">
        <is>
          <t>US Mid Cap</t>
        </is>
      </c>
      <c r="B255" s="78" t="n">
        <v>0</v>
      </c>
      <c r="C255" s="79" t="n">
        <v>0</v>
      </c>
      <c r="D255" s="41" t="inlineStr">
        <is>
          <t>→</t>
        </is>
      </c>
      <c r="E255" s="80" t="n">
        <v>164241</v>
      </c>
      <c r="F255" s="81" t="n">
        <v>0.3610791363295779</v>
      </c>
      <c r="G255" s="33" t="inlineStr"/>
      <c r="H255" s="79" t="n">
        <v>0.06666666666666667</v>
      </c>
      <c r="I255" s="101" t="n">
        <v>0.2944124696629113</v>
      </c>
      <c r="J255" s="12" t="inlineStr">
        <is>
          <t>Over +29.4%</t>
        </is>
      </c>
    </row>
    <row r="256"/>
    <row r="257" ht="15" customHeight="1">
      <c r="A257" s="10" t="inlineStr">
        <is>
          <t>Wife_Roth  —  Total: $203,932</t>
        </is>
      </c>
      <c r="B257" s="3" t="n"/>
      <c r="C257" s="3" t="n"/>
      <c r="D257" s="3" t="n"/>
      <c r="E257" s="3" t="n"/>
      <c r="F257" s="3" t="n"/>
      <c r="G257" s="3" t="n"/>
      <c r="H257" s="3" t="n"/>
      <c r="I257" s="3" t="n"/>
      <c r="J257" s="4" t="n"/>
    </row>
    <row r="258" ht="15" customHeight="1">
      <c r="A258" s="5" t="inlineStr">
        <is>
          <t>Bucket</t>
        </is>
      </c>
      <c r="B258" s="5" t="inlineStr">
        <is>
          <t>Before $</t>
        </is>
      </c>
      <c r="C258" s="5" t="inlineStr">
        <is>
          <t>Before %</t>
        </is>
      </c>
      <c r="D258" s="100" t="inlineStr"/>
      <c r="E258" s="5" t="inlineStr">
        <is>
          <t>After $</t>
        </is>
      </c>
      <c r="F258" s="5" t="inlineStr">
        <is>
          <t>After %</t>
        </is>
      </c>
      <c r="G258" s="100" t="inlineStr"/>
      <c r="H258" s="5" t="inlineStr">
        <is>
          <t>Target %</t>
        </is>
      </c>
      <c r="I258" s="5" t="inlineStr">
        <is>
          <t>Delta pp</t>
        </is>
      </c>
      <c r="J258" s="5" t="inlineStr">
        <is>
          <t>Status</t>
        </is>
      </c>
    </row>
    <row r="259" ht="30" customHeight="1">
      <c r="A259" s="12" t="inlineStr">
        <is>
          <t>US Large Cap</t>
        </is>
      </c>
      <c r="B259" s="78" t="n">
        <v>42784.88307000001</v>
      </c>
      <c r="C259" s="79" t="n">
        <v>0.2097994851079394</v>
      </c>
      <c r="D259" s="102" t="inlineStr"/>
      <c r="E259" s="78" t="n">
        <v>42784.88307000001</v>
      </c>
      <c r="F259" s="79" t="n">
        <v>0.2097994851079394</v>
      </c>
      <c r="G259" s="33" t="inlineStr"/>
      <c r="H259" s="79" t="n">
        <v>0.5333333333333333</v>
      </c>
      <c r="I259" s="101" t="n">
        <v>-0.3235338482253939</v>
      </c>
      <c r="J259" s="12" t="inlineStr">
        <is>
          <t>Under -32.4%</t>
        </is>
      </c>
    </row>
    <row r="260" ht="45" customHeight="1">
      <c r="A260" s="12" t="inlineStr">
        <is>
          <t>International</t>
        </is>
      </c>
      <c r="B260" s="78" t="n">
        <v>69103.423488</v>
      </c>
      <c r="C260" s="79" t="n">
        <v>0.3388547923166798</v>
      </c>
      <c r="D260" s="41" t="inlineStr">
        <is>
          <t>→</t>
        </is>
      </c>
      <c r="E260" s="80" t="n">
        <v>0.4234880000003614</v>
      </c>
      <c r="F260" s="81" t="n">
        <v>2.076611129311819e-06</v>
      </c>
      <c r="G260" s="33" t="inlineStr"/>
      <c r="H260" s="79" t="n">
        <v>0.2666666666666667</v>
      </c>
      <c r="I260" s="101" t="n">
        <v>-0.2666645900555373</v>
      </c>
      <c r="J260" s="12" t="inlineStr">
        <is>
          <t>Under -26.7%</t>
        </is>
      </c>
    </row>
    <row r="261" ht="45" customHeight="1">
      <c r="A261" s="12" t="inlineStr">
        <is>
          <t>US Small Cap</t>
        </is>
      </c>
      <c r="B261" s="78" t="n">
        <v>91818.16308500001</v>
      </c>
      <c r="C261" s="79" t="n">
        <v>0.4502385411986076</v>
      </c>
      <c r="D261" s="102" t="inlineStr"/>
      <c r="E261" s="78" t="n">
        <v>91818.16308500001</v>
      </c>
      <c r="F261" s="79" t="n">
        <v>0.4502385411986076</v>
      </c>
      <c r="G261" s="33" t="inlineStr"/>
      <c r="H261" s="79" t="n">
        <v>0.06666666666666667</v>
      </c>
      <c r="I261" s="101" t="n">
        <v>0.3835718745319409</v>
      </c>
      <c r="J261" s="12" t="inlineStr">
        <is>
          <t>Over +38.4%</t>
        </is>
      </c>
    </row>
    <row r="262" ht="45" customHeight="1">
      <c r="A262" s="12" t="inlineStr">
        <is>
          <t>Cash</t>
        </is>
      </c>
      <c r="B262" s="78" t="n">
        <v>225.79</v>
      </c>
      <c r="C262" s="79" t="n">
        <v>0.001107181376773168</v>
      </c>
      <c r="D262" s="102" t="inlineStr"/>
      <c r="E262" s="78" t="n">
        <v>225.7899999999936</v>
      </c>
      <c r="F262" s="79" t="n">
        <v>0.001107181376773137</v>
      </c>
      <c r="G262" s="33" t="inlineStr"/>
      <c r="H262" s="64" t="inlineStr"/>
      <c r="I262" s="64" t="inlineStr"/>
      <c r="J262" s="33" t="inlineStr"/>
    </row>
    <row r="263" ht="45" customHeight="1">
      <c r="A263" s="12" t="inlineStr">
        <is>
          <t>Emerging Markets</t>
        </is>
      </c>
      <c r="B263" s="78" t="n">
        <v>0</v>
      </c>
      <c r="C263" s="79" t="n">
        <v>0</v>
      </c>
      <c r="D263" s="41" t="inlineStr">
        <is>
          <t>→</t>
        </is>
      </c>
      <c r="E263" s="80" t="n">
        <v>69103</v>
      </c>
      <c r="F263" s="81" t="n">
        <v>0.3388527157055505</v>
      </c>
      <c r="G263" s="33" t="inlineStr"/>
      <c r="H263" s="79" t="n">
        <v>0.06666666666666667</v>
      </c>
      <c r="I263" s="101" t="n">
        <v>0.2721860490388839</v>
      </c>
      <c r="J263" s="12" t="inlineStr">
        <is>
          <t>Over +27.2%</t>
        </is>
      </c>
    </row>
    <row r="264"/>
    <row r="265" ht="15" customHeight="1">
      <c r="A265" s="10" t="inlineStr">
        <is>
          <t>Wife_Trust  —  Total: $326,447</t>
        </is>
      </c>
      <c r="B265" s="3" t="n"/>
      <c r="C265" s="3" t="n"/>
      <c r="D265" s="3" t="n"/>
      <c r="E265" s="3" t="n"/>
      <c r="F265" s="3" t="n"/>
      <c r="G265" s="3" t="n"/>
      <c r="H265" s="3" t="n"/>
      <c r="I265" s="3" t="n"/>
      <c r="J265" s="4" t="n"/>
    </row>
    <row r="266" ht="15" customHeight="1">
      <c r="A266" s="5" t="inlineStr">
        <is>
          <t>Bucket</t>
        </is>
      </c>
      <c r="B266" s="5" t="inlineStr">
        <is>
          <t>Before $</t>
        </is>
      </c>
      <c r="C266" s="5" t="inlineStr">
        <is>
          <t>Before %</t>
        </is>
      </c>
      <c r="D266" s="100" t="inlineStr"/>
      <c r="E266" s="5" t="inlineStr">
        <is>
          <t>After $</t>
        </is>
      </c>
      <c r="F266" s="5" t="inlineStr">
        <is>
          <t>After %</t>
        </is>
      </c>
      <c r="G266" s="100" t="inlineStr"/>
      <c r="H266" s="5" t="inlineStr">
        <is>
          <t>Target %</t>
        </is>
      </c>
      <c r="I266" s="5" t="inlineStr">
        <is>
          <t>Delta pp</t>
        </is>
      </c>
      <c r="J266" s="5" t="inlineStr">
        <is>
          <t>Status</t>
        </is>
      </c>
    </row>
    <row r="267" ht="30" customHeight="1">
      <c r="A267" s="12" t="inlineStr">
        <is>
          <t>US Large Cap</t>
        </is>
      </c>
      <c r="B267" s="78" t="n">
        <v>244666.57008</v>
      </c>
      <c r="C267" s="79" t="n">
        <v>0.7494838924283251</v>
      </c>
      <c r="D267" s="102" t="inlineStr"/>
      <c r="E267" s="78" t="n">
        <v>244666.57008</v>
      </c>
      <c r="F267" s="79" t="n">
        <v>0.7494838924283251</v>
      </c>
      <c r="G267" s="33" t="inlineStr"/>
      <c r="H267" s="79" t="n">
        <v>0.5333333333333333</v>
      </c>
      <c r="I267" s="101" t="n">
        <v>0.2161505590949918</v>
      </c>
      <c r="J267" s="12" t="inlineStr">
        <is>
          <t>Over +21.6%</t>
        </is>
      </c>
    </row>
    <row r="268" ht="45" customHeight="1">
      <c r="A268" s="12" t="inlineStr">
        <is>
          <t>International</t>
        </is>
      </c>
      <c r="B268" s="78" t="n">
        <v>76923.745536</v>
      </c>
      <c r="C268" s="79" t="n">
        <v>0.2356394999350999</v>
      </c>
      <c r="D268" s="102" t="inlineStr"/>
      <c r="E268" s="78" t="n">
        <v>76923.745536</v>
      </c>
      <c r="F268" s="79" t="n">
        <v>0.2356394999350999</v>
      </c>
      <c r="G268" s="33" t="inlineStr"/>
      <c r="H268" s="79" t="n">
        <v>0.2666666666666667</v>
      </c>
      <c r="I268" s="101" t="n">
        <v>-0.03102716673156675</v>
      </c>
      <c r="J268" s="12" t="inlineStr">
        <is>
          <t>Under -3.1%</t>
        </is>
      </c>
    </row>
    <row r="269" ht="45" customHeight="1">
      <c r="A269" s="12" t="inlineStr">
        <is>
          <t>Cash</t>
        </is>
      </c>
      <c r="B269" s="78" t="n">
        <v>4856.42</v>
      </c>
      <c r="C269" s="79" t="n">
        <v>0.01487660763657511</v>
      </c>
      <c r="D269" s="102" t="inlineStr"/>
      <c r="E269" s="78" t="n">
        <v>4856.42</v>
      </c>
      <c r="F269" s="79" t="n">
        <v>0.01487660763657511</v>
      </c>
      <c r="G269" s="33" t="inlineStr"/>
      <c r="H269" s="64" t="inlineStr"/>
      <c r="I269" s="64" t="inlineStr"/>
      <c r="J269" s="33" t="inlineStr"/>
    </row>
    <row r="270"/>
    <row r="271"/>
    <row r="272" ht="15" customHeight="1">
      <c r="A272" s="13" t="inlineStr">
        <is>
          <t>PORTFOLIO TOTAL</t>
        </is>
      </c>
      <c r="B272" s="3" t="n"/>
      <c r="C272" s="3" t="n"/>
      <c r="D272" s="3" t="n"/>
      <c r="E272" s="3" t="n"/>
      <c r="F272" s="3" t="n"/>
      <c r="G272" s="3" t="n"/>
      <c r="H272" s="3" t="n"/>
      <c r="I272" s="3" t="n"/>
      <c r="J272" s="4" t="n"/>
    </row>
    <row r="273" ht="15" customHeight="1">
      <c r="A273" s="5" t="inlineStr">
        <is>
          <t>Bucket</t>
        </is>
      </c>
      <c r="B273" s="5" t="inlineStr">
        <is>
          <t>Before $</t>
        </is>
      </c>
      <c r="C273" s="5" t="inlineStr">
        <is>
          <t>Before %</t>
        </is>
      </c>
      <c r="D273" s="100" t="inlineStr"/>
      <c r="E273" s="5" t="inlineStr">
        <is>
          <t>After $</t>
        </is>
      </c>
      <c r="F273" s="5" t="inlineStr">
        <is>
          <t>After %</t>
        </is>
      </c>
      <c r="G273" s="100" t="inlineStr"/>
      <c r="H273" s="5" t="inlineStr">
        <is>
          <t>Target %</t>
        </is>
      </c>
      <c r="I273" s="5" t="inlineStr">
        <is>
          <t>Delta pp</t>
        </is>
      </c>
      <c r="J273" s="5" t="inlineStr">
        <is>
          <t>Status</t>
        </is>
      </c>
    </row>
    <row r="274" ht="45" customHeight="1">
      <c r="A274" s="2" t="inlineStr">
        <is>
          <t>US Large Cap</t>
        </is>
      </c>
      <c r="B274" s="78" t="n">
        <v>1329502.60797</v>
      </c>
      <c r="C274" s="79" t="n">
        <v>0.4884989404086499</v>
      </c>
      <c r="D274" s="41" t="inlineStr">
        <is>
          <t>→</t>
        </is>
      </c>
      <c r="E274" s="80" t="n">
        <v>1360803.60797</v>
      </c>
      <c r="F274" s="81" t="n">
        <v>0.499999862063161</v>
      </c>
      <c r="G274" s="33" t="inlineStr"/>
      <c r="H274" s="79" t="n">
        <v>0.5333333333333333</v>
      </c>
      <c r="I274" s="101" t="n">
        <v>-0.03333347127017228</v>
      </c>
      <c r="J274" s="12" t="inlineStr">
        <is>
          <t>Under -3.3%</t>
        </is>
      </c>
    </row>
    <row r="275" ht="30" customHeight="1">
      <c r="A275" s="2" t="inlineStr">
        <is>
          <t>International</t>
        </is>
      </c>
      <c r="B275" s="78" t="n">
        <v>897149.1413760001</v>
      </c>
      <c r="C275" s="79" t="n">
        <v>0.3296393721407392</v>
      </c>
      <c r="D275" s="41" t="inlineStr">
        <is>
          <t>→</t>
        </is>
      </c>
      <c r="E275" s="80" t="n">
        <v>680402.4413759999</v>
      </c>
      <c r="F275" s="81" t="n">
        <v>0.2500001652280584</v>
      </c>
      <c r="G275" s="33" t="inlineStr"/>
      <c r="H275" s="79" t="n">
        <v>0.2666666666666667</v>
      </c>
      <c r="I275" s="103" t="n">
        <v>-0.01666650143860826</v>
      </c>
      <c r="J275" s="12" t="inlineStr">
        <is>
          <t>✓ On target</t>
        </is>
      </c>
    </row>
    <row r="276" ht="45" customHeight="1">
      <c r="A276" s="2" t="inlineStr">
        <is>
          <t>US Small Cap</t>
        </is>
      </c>
      <c r="B276" s="78" t="n">
        <v>310315.117414</v>
      </c>
      <c r="C276" s="79" t="n">
        <v>0.1140190362476862</v>
      </c>
      <c r="D276" s="41" t="inlineStr">
        <is>
          <t>→</t>
        </is>
      </c>
      <c r="E276" s="80" t="n">
        <v>170100.117414</v>
      </c>
      <c r="F276" s="81" t="n">
        <v>0.06249986018981991</v>
      </c>
      <c r="G276" s="33" t="inlineStr"/>
      <c r="H276" s="79" t="n">
        <v>0.06666666666666667</v>
      </c>
      <c r="I276" s="103" t="n">
        <v>-0.004166806476846759</v>
      </c>
      <c r="J276" s="12" t="inlineStr">
        <is>
          <t>✓ On target</t>
        </is>
      </c>
    </row>
    <row r="277" ht="45" customHeight="1">
      <c r="A277" s="2" t="inlineStr">
        <is>
          <t>Commodities</t>
        </is>
      </c>
      <c r="B277" s="78" t="n">
        <v>166714.35</v>
      </c>
      <c r="C277" s="79" t="n">
        <v>0.06125582818544908</v>
      </c>
      <c r="D277" s="41" t="inlineStr">
        <is>
          <t>→</t>
        </is>
      </c>
      <c r="E277" s="80" t="n">
        <v>0</v>
      </c>
      <c r="F277" s="81" t="n">
        <v>0</v>
      </c>
      <c r="G277" s="33" t="inlineStr"/>
      <c r="H277" s="79" t="n">
        <v>0</v>
      </c>
      <c r="I277" s="103" t="n">
        <v>0</v>
      </c>
      <c r="J277" s="12" t="inlineStr">
        <is>
          <t>✓ On target</t>
        </is>
      </c>
    </row>
    <row r="278" ht="45" customHeight="1">
      <c r="A278" s="2" t="inlineStr">
        <is>
          <t>Cash</t>
        </is>
      </c>
      <c r="B278" s="78" t="n">
        <v>17926.75</v>
      </c>
      <c r="C278" s="79" t="n">
        <v>0.006586823017475697</v>
      </c>
      <c r="D278" s="41" t="inlineStr">
        <is>
          <t>→</t>
        </is>
      </c>
      <c r="E278" s="80" t="n">
        <v>170101.75</v>
      </c>
      <c r="F278" s="81" t="n">
        <v>0.06250046005064482</v>
      </c>
      <c r="G278" s="33" t="inlineStr"/>
      <c r="H278" s="64" t="inlineStr"/>
      <c r="I278" s="64" t="inlineStr"/>
      <c r="J278" s="33" t="inlineStr"/>
    </row>
    <row r="279" ht="45" customHeight="1">
      <c r="A279" s="2" t="inlineStr">
        <is>
          <t>Emerging Markets</t>
        </is>
      </c>
      <c r="B279" s="78" t="n">
        <v>0</v>
      </c>
      <c r="C279" s="79" t="n">
        <v>0</v>
      </c>
      <c r="D279" s="41" t="inlineStr">
        <is>
          <t>→</t>
        </is>
      </c>
      <c r="E279" s="80" t="n">
        <v>170100</v>
      </c>
      <c r="F279" s="81" t="n">
        <v>0.06249981704841179</v>
      </c>
      <c r="G279" s="33" t="inlineStr"/>
      <c r="H279" s="79" t="n">
        <v>0.06666666666666667</v>
      </c>
      <c r="I279" s="103" t="n">
        <v>-0.004166849618254871</v>
      </c>
      <c r="J279" s="12" t="inlineStr">
        <is>
          <t>✓ On target</t>
        </is>
      </c>
    </row>
    <row r="280" ht="45" customHeight="1">
      <c r="A280" s="2" t="inlineStr">
        <is>
          <t>US Mid Cap</t>
        </is>
      </c>
      <c r="B280" s="78" t="n">
        <v>0</v>
      </c>
      <c r="C280" s="79" t="n">
        <v>0</v>
      </c>
      <c r="D280" s="41" t="inlineStr">
        <is>
          <t>→</t>
        </is>
      </c>
      <c r="E280" s="80" t="n">
        <v>170101</v>
      </c>
      <c r="F280" s="81" t="n">
        <v>0.06250018447825922</v>
      </c>
      <c r="G280" s="33" t="inlineStr"/>
      <c r="H280" s="79" t="n">
        <v>0.06666666666666667</v>
      </c>
      <c r="I280" s="103" t="n">
        <v>-0.004166482188407442</v>
      </c>
      <c r="J280" s="12" t="inlineStr">
        <is>
          <t>✓ On target</t>
        </is>
      </c>
    </row>
    <row r="281"/>
    <row r="282" ht="15" customHeight="1">
      <c r="A282" s="104" t="inlineStr">
        <is>
          <t>TAX-EFFICIENT REBALANCING SEQUENCE</t>
        </is>
      </c>
      <c r="B282" s="3" t="n"/>
      <c r="C282" s="3" t="n"/>
      <c r="D282" s="3" t="n"/>
      <c r="E282" s="3" t="n"/>
      <c r="F282" s="3" t="n"/>
      <c r="G282" s="3" t="n"/>
      <c r="H282" s="3" t="n"/>
      <c r="I282" s="3" t="n"/>
      <c r="J282" s="4" t="n"/>
    </row>
    <row r="283" ht="15" customHeight="1">
      <c r="A283" s="2" t="inlineStr">
        <is>
          <t>Direct new 401k/IRA/HSA contributions to underweight buckets. No tax event — just redirect future dollars.</t>
        </is>
      </c>
      <c r="B283" s="3" t="n"/>
      <c r="C283" s="3" t="n"/>
      <c r="D283" s="3" t="n"/>
      <c r="E283" s="3" t="n"/>
      <c r="F283" s="3" t="n"/>
      <c r="G283" s="3" t="n"/>
      <c r="H283" s="3" t="n"/>
      <c r="I283" s="3" t="n"/>
      <c r="J283" s="4" t="n"/>
    </row>
    <row r="284" ht="15" customHeight="1">
      <c r="A284" s="12" t="inlineStr">
        <is>
          <t>Example: if Roth is underweight AVUV, direct new Roth contributions to AVUV instead of current holdings.</t>
        </is>
      </c>
      <c r="B284" s="3" t="n"/>
      <c r="C284" s="3" t="n"/>
      <c r="D284" s="3" t="n"/>
      <c r="E284" s="3" t="n"/>
      <c r="F284" s="3" t="n"/>
      <c r="G284" s="3" t="n"/>
      <c r="H284" s="3" t="n"/>
      <c r="I284" s="3" t="n"/>
      <c r="J284" s="4" t="n"/>
    </row>
    <row r="285">
      <c r="A285" s="99" t="n"/>
    </row>
    <row r="286" ht="30" customHeight="1">
      <c r="A286" s="2" t="inlineStr">
        <is>
          <t>Sell overweight and buy underweight within each IRA, 401k, Roth, and HSA. No capital gains tax on trades inside these accounts.</t>
        </is>
      </c>
      <c r="B286" s="3" t="n"/>
      <c r="C286" s="3" t="n"/>
      <c r="D286" s="3" t="n"/>
      <c r="E286" s="3" t="n"/>
      <c r="F286" s="3" t="n"/>
      <c r="G286" s="3" t="n"/>
      <c r="H286" s="3" t="n"/>
      <c r="I286" s="3" t="n"/>
      <c r="J286" s="4" t="n"/>
    </row>
    <row r="287" ht="15" customHeight="1">
      <c r="A287" s="12" t="inlineStr">
        <is>
          <t>This is the primary rebalancing mechanism — do these trades first.</t>
        </is>
      </c>
      <c r="B287" s="3" t="n"/>
      <c r="C287" s="3" t="n"/>
      <c r="D287" s="3" t="n"/>
      <c r="E287" s="3" t="n"/>
      <c r="F287" s="3" t="n"/>
      <c r="G287" s="3" t="n"/>
      <c r="H287" s="3" t="n"/>
      <c r="I287" s="3" t="n"/>
      <c r="J287" s="4" t="n"/>
    </row>
    <row r="288"/>
    <row r="289" ht="30" customHeight="1">
      <c r="A289" s="2" t="inlineStr">
        <is>
          <t>Reinvest dividends into underweight buckets rather than the same fund. Over time this naturally rebalances without selling.</t>
        </is>
      </c>
      <c r="B289" s="3" t="n"/>
      <c r="C289" s="3" t="n"/>
      <c r="D289" s="3" t="n"/>
      <c r="E289" s="3" t="n"/>
      <c r="F289" s="3" t="n"/>
      <c r="G289" s="3" t="n"/>
      <c r="H289" s="3" t="n"/>
      <c r="I289" s="3" t="n"/>
      <c r="J289" s="4" t="n"/>
    </row>
    <row r="290" ht="15" customHeight="1">
      <c r="A290" s="12" t="inlineStr">
        <is>
          <t>Turn off auto-reinvest in overweight funds; redirect to underweight funds in the same account.</t>
        </is>
      </c>
      <c r="B290" s="3" t="n"/>
      <c r="C290" s="3" t="n"/>
      <c r="D290" s="3" t="n"/>
      <c r="E290" s="3" t="n"/>
      <c r="F290" s="3" t="n"/>
      <c r="G290" s="3" t="n"/>
      <c r="H290" s="3" t="n"/>
      <c r="I290" s="3" t="n"/>
      <c r="J290" s="4" t="n"/>
    </row>
    <row r="291"/>
    <row r="292" ht="30" customHeight="1">
      <c r="A292" s="2" t="inlineStr">
        <is>
          <t>If a taxable holding has unrealized losses, sell it and buy a similar (not "substantially identical") fund in the target bucket.</t>
        </is>
      </c>
      <c r="B292" s="3" t="n"/>
      <c r="C292" s="3" t="n"/>
      <c r="D292" s="3" t="n"/>
      <c r="E292" s="3" t="n"/>
      <c r="F292" s="3" t="n"/>
      <c r="G292" s="3" t="n"/>
      <c r="H292" s="3" t="n"/>
      <c r="I292" s="3" t="n"/>
      <c r="J292" s="4" t="n"/>
    </row>
    <row r="293" ht="15" customHeight="1">
      <c r="A293" s="12" t="inlineStr">
        <is>
          <t>Example: sell ITOT (at a loss) and buy VTI — both are US Large but not identical. Harvest the loss.</t>
        </is>
      </c>
      <c r="B293" s="3" t="n"/>
      <c r="C293" s="3" t="n"/>
      <c r="D293" s="3" t="n"/>
      <c r="E293" s="3" t="n"/>
      <c r="F293" s="3" t="n"/>
      <c r="G293" s="3" t="n"/>
      <c r="H293" s="3" t="n"/>
      <c r="I293" s="3" t="n"/>
      <c r="J293" s="4" t="n"/>
    </row>
    <row r="294"/>
    <row r="295" ht="15" customHeight="1">
      <c r="A295" s="2" t="inlineStr">
        <is>
          <t>If the above steps don't close the gap, sell overweight positions in taxable accounts. LTCG tax applies.</t>
        </is>
      </c>
      <c r="B295" s="3" t="n"/>
      <c r="C295" s="3" t="n"/>
      <c r="D295" s="3" t="n"/>
      <c r="E295" s="3" t="n"/>
      <c r="F295" s="3" t="n"/>
      <c r="G295" s="3" t="n"/>
      <c r="H295" s="3" t="n"/>
      <c r="I295" s="3" t="n"/>
      <c r="J295" s="4" t="n"/>
    </row>
    <row r="296" ht="15" customHeight="1">
      <c r="A296" s="12" t="inlineStr">
        <is>
          <t>Prioritize lots held &gt;1 year (LTCG rate 15-20%) over short-term lots (ordinary income rate).</t>
        </is>
      </c>
      <c r="B296" s="3" t="n"/>
      <c r="C296" s="3" t="n"/>
      <c r="D296" s="3" t="n"/>
      <c r="E296" s="3" t="n"/>
      <c r="F296" s="3" t="n"/>
      <c r="G296" s="3" t="n"/>
      <c r="H296" s="3" t="n"/>
      <c r="I296" s="3" t="n"/>
      <c r="J296" s="4" t="n"/>
    </row>
    <row r="297"/>
    <row r="298" ht="15" customHeight="1">
      <c r="A298" s="2" t="inlineStr">
        <is>
          <t>You don't need to reach target in one trade. Spread rebalancing over 2-3 years to smooth tax impact.</t>
        </is>
      </c>
      <c r="B298" s="3" t="n"/>
      <c r="C298" s="3" t="n"/>
      <c r="D298" s="3" t="n"/>
      <c r="E298" s="3" t="n"/>
      <c r="F298" s="3" t="n"/>
      <c r="G298" s="3" t="n"/>
      <c r="H298" s="3" t="n"/>
      <c r="I298" s="3" t="n"/>
      <c r="J298" s="4" t="n"/>
    </row>
    <row r="299" ht="15" customHeight="1">
      <c r="A299" s="12" t="inlineStr">
        <is>
          <t>Each year: execute steps 1-4, then reassess. Only do step 5 if significantly out of band (&gt;5% delta).</t>
        </is>
      </c>
      <c r="B299" s="3" t="n"/>
      <c r="C299" s="3" t="n"/>
      <c r="D299" s="3" t="n"/>
      <c r="E299" s="3" t="n"/>
      <c r="F299" s="3" t="n"/>
      <c r="G299" s="3" t="n"/>
      <c r="H299" s="3" t="n"/>
      <c r="I299" s="3" t="n"/>
      <c r="J299" s="4" t="n"/>
    </row>
    <row r="300"/>
    <row r="301"/>
    <row r="302" ht="15" customHeight="1">
      <c r="A302" s="9" t="inlineStr">
        <is>
          <t>ASSET-LOCATION OPTIMIZER</t>
        </is>
      </c>
    </row>
    <row r="303"/>
    <row r="304" ht="60" customHeight="1">
      <c r="A304" s="12" t="inlineStr">
        <is>
          <t>Tax-efficient asset placement: same overall allocation, but assets held in their most tax-advantaged account. Equities (growth + qualified dividends/LTCG) favor Roth and taxable; bonds/REITs (ordinary income) favor IRA.</t>
        </is>
      </c>
      <c r="B304" s="3" t="n"/>
      <c r="C304" s="3" t="n"/>
      <c r="D304" s="3" t="n"/>
      <c r="E304" s="3" t="n"/>
      <c r="F304" s="3" t="n"/>
      <c r="G304" s="4" t="n"/>
    </row>
    <row r="305"/>
    <row r="306" ht="15" customHeight="1">
      <c r="A306" s="13" t="inlineStr">
        <is>
          <t>Current Account Balances</t>
        </is>
      </c>
      <c r="B306" s="3" t="n"/>
      <c r="C306" s="4" t="n"/>
    </row>
    <row r="307" ht="30" customHeight="1">
      <c r="A307" s="12" t="inlineStr">
        <is>
          <t>Tax-Deferred (IRA/401k)</t>
        </is>
      </c>
      <c r="B307" s="105" t="n">
        <v>1779166.543371</v>
      </c>
      <c r="C307" s="106" t="inlineStr">
        <is>
          <t>67%</t>
        </is>
      </c>
    </row>
    <row r="308" ht="30" customHeight="1">
      <c r="A308" s="12" t="inlineStr">
        <is>
          <t>Tax-Free (Roth)</t>
        </is>
      </c>
      <c r="B308" s="105" t="n">
        <v>341344.3594930001</v>
      </c>
      <c r="C308" s="106" t="inlineStr">
        <is>
          <t>13%</t>
        </is>
      </c>
    </row>
    <row r="309" ht="30" customHeight="1">
      <c r="A309" s="12" t="inlineStr">
        <is>
          <t>Taxable (Trust)</t>
        </is>
      </c>
      <c r="B309" s="105" t="n">
        <v>530495.270626</v>
      </c>
      <c r="C309" s="106" t="inlineStr">
        <is>
          <t>20%</t>
        </is>
      </c>
    </row>
    <row r="310" ht="30" customHeight="1">
      <c r="A310" s="2" t="inlineStr">
        <is>
          <t>Total Investable</t>
        </is>
      </c>
      <c r="B310" s="107" t="n">
        <v>2651006.17349</v>
      </c>
      <c r="C310" s="106" t="inlineStr">
        <is>
          <t>100%</t>
        </is>
      </c>
    </row>
    <row r="311"/>
    <row r="312" ht="15" customHeight="1">
      <c r="A312" s="13" t="inlineStr">
        <is>
          <t>Annual Tax Drag by Placement</t>
        </is>
      </c>
      <c r="B312" s="3" t="n"/>
      <c r="C312" s="3" t="n"/>
      <c r="D312" s="4" t="n"/>
    </row>
    <row r="313" ht="30" customHeight="1">
      <c r="A313" s="35" t="inlineStr">
        <is>
          <t>Scenario</t>
        </is>
      </c>
      <c r="B313" s="35" t="inlineStr">
        <is>
          <t>Bond Tax Drag/yr</t>
        </is>
      </c>
      <c r="C313" s="35" t="inlineStr">
        <is>
          <t>Equity Tax Drag/yr</t>
        </is>
      </c>
      <c r="D313" s="35" t="inlineStr">
        <is>
          <t>Total/yr</t>
        </is>
      </c>
    </row>
    <row r="314" ht="45" customHeight="1">
      <c r="A314" s="12" t="inlineStr">
        <is>
          <t>Naive (blended mix in every account)</t>
        </is>
      </c>
      <c r="B314" s="78" t="n">
        <v>763.91318970144</v>
      </c>
      <c r="C314" s="78" t="n">
        <v>1623.31552811556</v>
      </c>
      <c r="D314" s="78" t="n">
        <v>2387.228717817</v>
      </c>
    </row>
    <row r="315" ht="60" customHeight="1">
      <c r="A315" s="2" t="inlineStr">
        <is>
          <t>Optimized (bonds→IRA, equities→Roth/taxable)</t>
        </is>
      </c>
      <c r="B315" s="84" t="n">
        <v>0</v>
      </c>
      <c r="C315" s="84" t="n">
        <v>1909.782974253601</v>
      </c>
      <c r="D315" s="84" t="n">
        <v>1909.782974253601</v>
      </c>
    </row>
    <row r="316"/>
    <row r="317" ht="15" customHeight="1">
      <c r="A317" s="20" t="inlineStr">
        <is>
          <t>Estimated Savings</t>
        </is>
      </c>
      <c r="B317" s="3" t="n"/>
      <c r="C317" s="4" t="n"/>
    </row>
    <row r="318" ht="30" customHeight="1">
      <c r="A318" s="2" t="inlineStr">
        <is>
          <t>Annual tax drag reduction</t>
        </is>
      </c>
      <c r="B318" s="107" t="n">
        <v>477.445743563399</v>
      </c>
    </row>
    <row r="319" ht="45" customHeight="1">
      <c r="A319" s="2" t="inlineStr">
        <is>
          <t>Compounded over 30 years (at 6.0%)</t>
        </is>
      </c>
      <c r="B319" s="108" t="n">
        <v>40010.75417243778</v>
      </c>
    </row>
    <row r="320"/>
    <row r="321" ht="15" customHeight="1">
      <c r="A321" s="13" t="inlineStr">
        <is>
          <t>Placement Recommendations</t>
        </is>
      </c>
      <c r="B321" s="3" t="n"/>
      <c r="C321" s="3" t="n"/>
      <c r="D321" s="3" t="n"/>
      <c r="E321" s="4" t="n"/>
    </row>
    <row r="322" ht="30" customHeight="1">
      <c r="A322" s="12" t="inlineStr">
        <is>
          <t>• Hold all bond/income assets ($397,651) inside the IRA — ordinary-income yield is sheltered from annual tax.</t>
        </is>
      </c>
      <c r="B322" s="3" t="n"/>
      <c r="C322" s="3" t="n"/>
      <c r="D322" s="3" t="n"/>
      <c r="E322" s="3" t="n"/>
      <c r="F322" s="3" t="n"/>
      <c r="G322" s="4" t="n"/>
    </row>
    <row r="323" ht="30" customHeight="1">
      <c r="A323" s="12" t="inlineStr">
        <is>
          <t>• Hold the highest-growth equities ($341,344) in the Roth — all future appreciation is permanently tax-free.</t>
        </is>
      </c>
      <c r="B323" s="3" t="n"/>
      <c r="C323" s="3" t="n"/>
      <c r="D323" s="3" t="n"/>
      <c r="E323" s="3" t="n"/>
      <c r="F323" s="3" t="n"/>
      <c r="G323" s="4" t="n"/>
    </row>
    <row r="324" ht="45" customHeight="1">
      <c r="A324" s="12" t="inlineStr">
        <is>
          <t>• Hold remaining equities in the taxable Trust — qualified dividends and LTCG are taxed at preferential rates, and heirs receive a stepped-up basis at death.</t>
        </is>
      </c>
      <c r="B324" s="3" t="n"/>
      <c r="C324" s="3" t="n"/>
      <c r="D324" s="3" t="n"/>
      <c r="E324" s="3" t="n"/>
      <c r="F324" s="3" t="n"/>
      <c r="G324" s="4" t="n"/>
    </row>
    <row r="325" ht="30" customHeight="1">
      <c r="A325" s="12" t="inlineStr">
        <is>
          <t>• Avoid holding bonds in the taxable Trust — their ordinary-income yield is the least tax-efficient use of taxable space.</t>
        </is>
      </c>
      <c r="B325" s="3" t="n"/>
      <c r="C325" s="3" t="n"/>
      <c r="D325" s="3" t="n"/>
      <c r="E325" s="3" t="n"/>
      <c r="F325" s="3" t="n"/>
      <c r="G325" s="4" t="n"/>
    </row>
    <row r="326" ht="30" customHeight="1">
      <c r="A326" s="12" t="inlineStr">
        <is>
          <t>• Re-evaluate placement after large Roth conversions, which shift the IRA/Roth balance.</t>
        </is>
      </c>
      <c r="B326" s="3" t="n"/>
      <c r="C326" s="3" t="n"/>
      <c r="D326" s="3" t="n"/>
      <c r="E326" s="3" t="n"/>
      <c r="F326" s="3" t="n"/>
      <c r="G326" s="4" t="n"/>
    </row>
    <row r="327"/>
    <row r="328" ht="30" customHeight="1">
      <c r="A328" s="109" t="inlineStr">
        <is>
          <t>Note: estimate uses marginal ordinary rate 24%% and LTCG 15%%; actual savings depend on realized turnover and bracket in each year.</t>
        </is>
      </c>
      <c r="B328" s="3" t="n"/>
      <c r="C328" s="3" t="n"/>
      <c r="D328" s="3" t="n"/>
      <c r="E328" s="3" t="n"/>
      <c r="F328" s="3" t="n"/>
      <c r="G328" s="4" t="n"/>
    </row>
  </sheetData>
  <mergeCells count="119">
    <mergeCell ref="B91:C91"/>
    <mergeCell ref="A7:I7"/>
    <mergeCell ref="C61:F61"/>
    <mergeCell ref="A234:J234"/>
    <mergeCell ref="A324:G324"/>
    <mergeCell ref="D84:E84"/>
    <mergeCell ref="A156:J156"/>
    <mergeCell ref="C32:F32"/>
    <mergeCell ref="A121:D121"/>
    <mergeCell ref="C197:J197"/>
    <mergeCell ref="A299:J299"/>
    <mergeCell ref="E51:F51"/>
    <mergeCell ref="A293:J293"/>
    <mergeCell ref="D86:E86"/>
    <mergeCell ref="A220:J220"/>
    <mergeCell ref="C196:J196"/>
    <mergeCell ref="C62:F62"/>
    <mergeCell ref="D92:F92"/>
    <mergeCell ref="B3:H3"/>
    <mergeCell ref="A284:J284"/>
    <mergeCell ref="A322:G322"/>
    <mergeCell ref="A38:F38"/>
    <mergeCell ref="C198:J198"/>
    <mergeCell ref="A28:I28"/>
    <mergeCell ref="E49:F49"/>
    <mergeCell ref="A31:F31"/>
    <mergeCell ref="A64:F64"/>
    <mergeCell ref="A108:D108"/>
    <mergeCell ref="C56:F56"/>
    <mergeCell ref="A302:G302"/>
    <mergeCell ref="A248:J248"/>
    <mergeCell ref="A126:D126"/>
    <mergeCell ref="B90:C90"/>
    <mergeCell ref="A290:J290"/>
    <mergeCell ref="A317:C317"/>
    <mergeCell ref="C195:J195"/>
    <mergeCell ref="A209:J209"/>
    <mergeCell ref="A265:J265"/>
    <mergeCell ref="E48:F48"/>
    <mergeCell ref="D91:F91"/>
    <mergeCell ref="A147:J147"/>
    <mergeCell ref="A170:J170"/>
    <mergeCell ref="A289:J289"/>
    <mergeCell ref="A202:J202"/>
    <mergeCell ref="A328:G328"/>
    <mergeCell ref="A257:J257"/>
    <mergeCell ref="E40:F40"/>
    <mergeCell ref="A325:G325"/>
    <mergeCell ref="A2:H2"/>
    <mergeCell ref="A146:J146"/>
    <mergeCell ref="A321:E321"/>
    <mergeCell ref="A292:J292"/>
    <mergeCell ref="A286:J286"/>
    <mergeCell ref="A326:G326"/>
    <mergeCell ref="A149:J149"/>
    <mergeCell ref="A139:D139"/>
    <mergeCell ref="B89:C89"/>
    <mergeCell ref="A88:F88"/>
    <mergeCell ref="C199:J199"/>
    <mergeCell ref="G204:J204"/>
    <mergeCell ref="A213:J213"/>
    <mergeCell ref="E50:F50"/>
    <mergeCell ref="A54:F54"/>
    <mergeCell ref="A100:D100"/>
    <mergeCell ref="C191:J191"/>
    <mergeCell ref="E52:F52"/>
    <mergeCell ref="A190:J190"/>
    <mergeCell ref="A306:C306"/>
    <mergeCell ref="C57:F57"/>
    <mergeCell ref="B5:H5"/>
    <mergeCell ref="E39:F39"/>
    <mergeCell ref="A115:D115"/>
    <mergeCell ref="E44:F44"/>
    <mergeCell ref="C34:F34"/>
    <mergeCell ref="C58:F58"/>
    <mergeCell ref="A98:J98"/>
    <mergeCell ref="A225:J225"/>
    <mergeCell ref="E46:F46"/>
    <mergeCell ref="A298:J298"/>
    <mergeCell ref="A83:F83"/>
    <mergeCell ref="A133:D133"/>
    <mergeCell ref="A283:J283"/>
    <mergeCell ref="B92:C92"/>
    <mergeCell ref="A164:J164"/>
    <mergeCell ref="E41:F41"/>
    <mergeCell ref="A104:D104"/>
    <mergeCell ref="D85:E85"/>
    <mergeCell ref="A242:J242"/>
    <mergeCell ref="C60:F60"/>
    <mergeCell ref="A65:F65"/>
    <mergeCell ref="E43:F43"/>
    <mergeCell ref="A312:D312"/>
    <mergeCell ref="E42:F42"/>
    <mergeCell ref="A1:H1"/>
    <mergeCell ref="A323:G323"/>
    <mergeCell ref="C200:J200"/>
    <mergeCell ref="A295:J295"/>
    <mergeCell ref="A304:G304"/>
    <mergeCell ref="C33:F33"/>
    <mergeCell ref="C193:J193"/>
    <mergeCell ref="A29:I29"/>
    <mergeCell ref="D89:F89"/>
    <mergeCell ref="A287:J287"/>
    <mergeCell ref="C192:J192"/>
    <mergeCell ref="A296:J296"/>
    <mergeCell ref="E45:F45"/>
    <mergeCell ref="C55:F55"/>
    <mergeCell ref="C194:J194"/>
    <mergeCell ref="A4:H4"/>
    <mergeCell ref="D90:F90"/>
    <mergeCell ref="A282:J282"/>
    <mergeCell ref="C59:F59"/>
    <mergeCell ref="E37:F37"/>
    <mergeCell ref="G205:J205"/>
    <mergeCell ref="A272:J272"/>
    <mergeCell ref="A210:J210"/>
    <mergeCell ref="A179:J179"/>
    <mergeCell ref="E47:F47"/>
    <mergeCell ref="B35:F35"/>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5" t="n">
        <v>266239.88</v>
      </c>
      <c r="C4" s="109" t="inlineStr">
        <is>
          <t>Taxable in all states with income tax</t>
        </is>
      </c>
    </row>
    <row r="5" ht="45" customHeight="1">
      <c r="A5" s="12" t="inlineStr">
        <is>
          <t>Qualified Retirement Distributions</t>
        </is>
      </c>
      <c r="B5" s="105" t="n">
        <v>2683245.678486436</v>
      </c>
      <c r="C5" s="109" t="inlineStr">
        <is>
          <t>IRA/401k/pension/qualified annuity — exempt in IL</t>
        </is>
      </c>
    </row>
    <row r="6" ht="45" customHeight="1">
      <c r="A6" s="12" t="inlineStr">
        <is>
          <t>Non-Qualified Annuity Income</t>
        </is>
      </c>
      <c r="B6" s="105" t="n">
        <v>257592.8344499338</v>
      </c>
      <c r="C6" s="109" t="inlineStr">
        <is>
          <t>Personal market annuities — taxable in IL</t>
        </is>
      </c>
    </row>
    <row r="7" ht="30" customHeight="1">
      <c r="A7" s="12" t="inlineStr">
        <is>
          <t>Social Security (fed taxable)</t>
        </is>
      </c>
      <c r="B7" s="105" t="n">
        <v>2195917.533958432</v>
      </c>
      <c r="C7" s="109" t="inlineStr">
        <is>
          <t>Exempt in most states</t>
        </is>
      </c>
    </row>
    <row r="8" ht="30" customHeight="1">
      <c r="A8" s="12" t="inlineStr">
        <is>
          <t>Investment Income</t>
        </is>
      </c>
      <c r="B8" s="105" t="n">
        <v>161613.78</v>
      </c>
      <c r="C8" s="109" t="inlineStr">
        <is>
          <t>Note interest, capital gains</t>
        </is>
      </c>
    </row>
    <row r="9" ht="30" customHeight="1">
      <c r="A9" s="12" t="inlineStr">
        <is>
          <t>Roth Conversions</t>
        </is>
      </c>
      <c r="B9" s="105" t="n">
        <v>1215428.94834529</v>
      </c>
      <c r="C9" s="109" t="inlineStr">
        <is>
          <t>Exempt in IL (retirement distribution)</t>
        </is>
      </c>
    </row>
    <row r="10" ht="30" customHeight="1">
      <c r="A10" s="2" t="inlineStr">
        <is>
          <t>Total AGI</t>
        </is>
      </c>
      <c r="B10" s="107" t="n">
        <v>6796536.800892284</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7" t="n">
        <v>33929.60147527172</v>
      </c>
      <c r="D14" s="107" t="n">
        <v>1331692.90291592</v>
      </c>
      <c r="E14" s="107" t="n">
        <v>218732.1304958794</v>
      </c>
      <c r="F14" s="107" t="n">
        <v>21379.14624640271</v>
      </c>
      <c r="G14" s="107" t="n">
        <v>1605733.781133474</v>
      </c>
      <c r="H14" s="2" t="inlineStr">
        <is>
          <t>Baseline</t>
        </is>
      </c>
      <c r="I14" s="2" t="inlineStr">
        <is>
          <t>Exempt</t>
        </is>
      </c>
    </row>
    <row r="15" ht="30" customHeight="1">
      <c r="A15" s="12" t="inlineStr">
        <is>
          <t>New York</t>
        </is>
      </c>
      <c r="B15" s="12" t="inlineStr">
        <is>
          <t>6.9%</t>
        </is>
      </c>
      <c r="C15" s="105" t="n">
        <v>212249.2399726182</v>
      </c>
      <c r="D15" s="110" t="n">
        <v>1030988.053870389</v>
      </c>
      <c r="E15" s="110" t="n">
        <v>199983.6621676612</v>
      </c>
      <c r="F15" s="110" t="n">
        <v>0</v>
      </c>
      <c r="G15" s="111" t="n">
        <v>1443220.956010669</v>
      </c>
      <c r="H15" s="111" t="n">
        <v>-162512.8251228046</v>
      </c>
      <c r="I15" s="112" t="n">
        <v>3898674.626831727</v>
      </c>
    </row>
    <row r="16" ht="15" customHeight="1">
      <c r="A16" s="12" t="inlineStr">
        <is>
          <t>Texas</t>
        </is>
      </c>
      <c r="B16" s="12" t="inlineStr">
        <is>
          <t>None</t>
        </is>
      </c>
      <c r="C16" s="105" t="n">
        <v>0</v>
      </c>
      <c r="D16" s="110" t="n">
        <v>1104630.057718274</v>
      </c>
      <c r="E16" s="110" t="n">
        <v>204983.2537218528</v>
      </c>
      <c r="F16" s="110" t="n">
        <v>0</v>
      </c>
      <c r="G16" s="111" t="n">
        <v>1309613.311440127</v>
      </c>
      <c r="H16" s="111" t="n">
        <v>-296120.4696933464</v>
      </c>
      <c r="I16" s="75" t="inlineStr">
        <is>
          <t>Exempt</t>
        </is>
      </c>
    </row>
    <row r="17" ht="30" customHeight="1">
      <c r="A17" s="12" t="inlineStr">
        <is>
          <t>North Carolina</t>
        </is>
      </c>
      <c r="B17" s="12" t="inlineStr">
        <is>
          <t>4.5%</t>
        </is>
      </c>
      <c r="C17" s="105" t="n">
        <v>206285.4504576747</v>
      </c>
      <c r="D17" s="110" t="n">
        <v>521630.8605891851</v>
      </c>
      <c r="E17" s="110" t="n">
        <v>174985.7043967036</v>
      </c>
      <c r="F17" s="110" t="n">
        <v>0</v>
      </c>
      <c r="G17" s="111" t="n">
        <v>902902.0154435636</v>
      </c>
      <c r="H17" s="111" t="n">
        <v>-702831.76568991</v>
      </c>
      <c r="I17" s="112" t="n">
        <v>3898674.626831727</v>
      </c>
    </row>
    <row r="18" ht="30" customHeight="1">
      <c r="A18" s="12" t="inlineStr">
        <is>
          <t>California</t>
        </is>
      </c>
      <c r="B18" s="12" t="inlineStr">
        <is>
          <t>9.3%</t>
        </is>
      </c>
      <c r="C18" s="105" t="n">
        <v>228846.2809997174</v>
      </c>
      <c r="D18" s="110" t="n">
        <v>447988.8567413002</v>
      </c>
      <c r="E18" s="110" t="n">
        <v>218732.1304958794</v>
      </c>
      <c r="F18" s="110" t="n">
        <v>0</v>
      </c>
      <c r="G18" s="111" t="n">
        <v>895567.2682368971</v>
      </c>
      <c r="H18" s="111" t="n">
        <v>-710166.5128965765</v>
      </c>
      <c r="I18" s="112" t="n">
        <v>3898674.626831727</v>
      </c>
    </row>
    <row r="19" ht="30" customHeight="1">
      <c r="A19" s="12" t="inlineStr">
        <is>
          <t>Indiana</t>
        </is>
      </c>
      <c r="B19" s="12" t="inlineStr">
        <is>
          <t>3.0%</t>
        </is>
      </c>
      <c r="C19" s="105" t="n">
        <v>139815.6941990906</v>
      </c>
      <c r="D19" s="110" t="n">
        <v>533904.5278971659</v>
      </c>
      <c r="E19" s="110" t="n">
        <v>174985.7043967036</v>
      </c>
      <c r="F19" s="110" t="n">
        <v>0</v>
      </c>
      <c r="G19" s="111" t="n">
        <v>848705.9264929601</v>
      </c>
      <c r="H19" s="111" t="n">
        <v>-757027.8546405135</v>
      </c>
      <c r="I19" s="112" t="n">
        <v>3898674.626831727</v>
      </c>
    </row>
    <row r="20" ht="30" customHeight="1">
      <c r="A20" s="12" t="inlineStr">
        <is>
          <t>Arizona</t>
        </is>
      </c>
      <c r="B20" s="12" t="inlineStr">
        <is>
          <t>2.5%</t>
        </is>
      </c>
      <c r="C20" s="105" t="n">
        <v>114603.0280320415</v>
      </c>
      <c r="D20" s="110" t="n">
        <v>386620.520201396</v>
      </c>
      <c r="E20" s="110" t="n">
        <v>209982.8452760443</v>
      </c>
      <c r="F20" s="110" t="n">
        <v>0</v>
      </c>
      <c r="G20" s="111" t="n">
        <v>711206.3935094818</v>
      </c>
      <c r="H20" s="111" t="n">
        <v>-894527.3876239918</v>
      </c>
      <c r="I20" s="112" t="n">
        <v>3898674.626831727</v>
      </c>
    </row>
    <row r="21" ht="30" customHeight="1">
      <c r="A21" s="12" t="inlineStr">
        <is>
          <t>Colorado</t>
        </is>
      </c>
      <c r="B21" s="12" t="inlineStr">
        <is>
          <t>4.4%</t>
        </is>
      </c>
      <c r="C21" s="105" t="n">
        <v>169822.801336393</v>
      </c>
      <c r="D21" s="110" t="n">
        <v>337525.8509694727</v>
      </c>
      <c r="E21" s="110" t="n">
        <v>192484.2748363739</v>
      </c>
      <c r="F21" s="110" t="n">
        <v>0</v>
      </c>
      <c r="G21" s="111" t="n">
        <v>699832.9271422396</v>
      </c>
      <c r="H21" s="111" t="n">
        <v>-905900.853991234</v>
      </c>
      <c r="I21" s="112" t="n">
        <v>3174162.626831727</v>
      </c>
    </row>
    <row r="22" ht="15" customHeight="1">
      <c r="A22" s="12" t="inlineStr">
        <is>
          <t>Florida</t>
        </is>
      </c>
      <c r="B22" s="12" t="inlineStr">
        <is>
          <t>None</t>
        </is>
      </c>
      <c r="C22" s="105" t="n">
        <v>0</v>
      </c>
      <c r="D22" s="110" t="n">
        <v>509357.1932812044</v>
      </c>
      <c r="E22" s="110" t="n">
        <v>176735.5614406706</v>
      </c>
      <c r="F22" s="110" t="n">
        <v>0</v>
      </c>
      <c r="G22" s="111" t="n">
        <v>686092.754721875</v>
      </c>
      <c r="H22" s="111" t="n">
        <v>-919641.0264115987</v>
      </c>
      <c r="I22" s="75" t="inlineStr">
        <is>
          <t>Exempt</t>
        </is>
      </c>
    </row>
    <row r="23" ht="15" customHeight="1">
      <c r="A23" s="12" t="inlineStr">
        <is>
          <t>Tennessee</t>
        </is>
      </c>
      <c r="B23" s="12" t="inlineStr">
        <is>
          <t>None</t>
        </is>
      </c>
      <c r="C23" s="105" t="n">
        <v>0</v>
      </c>
      <c r="D23" s="110" t="n">
        <v>435715.1894333194</v>
      </c>
      <c r="E23" s="110" t="n">
        <v>238730.4967126456</v>
      </c>
      <c r="F23" s="110" t="n">
        <v>0</v>
      </c>
      <c r="G23" s="111" t="n">
        <v>674445.686145965</v>
      </c>
      <c r="H23" s="111" t="n">
        <v>-931288.0949875086</v>
      </c>
      <c r="I23" s="75" t="inlineStr">
        <is>
          <t>Exempt</t>
        </is>
      </c>
    </row>
    <row r="24" ht="15" customHeight="1">
      <c r="A24" s="12" t="inlineStr">
        <is>
          <t>Nevada</t>
        </is>
      </c>
      <c r="B24" s="12" t="inlineStr">
        <is>
          <t>None</t>
        </is>
      </c>
      <c r="C24" s="105" t="n">
        <v>0</v>
      </c>
      <c r="D24" s="110" t="n">
        <v>337525.8509694727</v>
      </c>
      <c r="E24" s="110" t="n">
        <v>205733.1924549815</v>
      </c>
      <c r="F24" s="110" t="n">
        <v>0</v>
      </c>
      <c r="G24" s="111" t="n">
        <v>543259.0434244542</v>
      </c>
      <c r="H24" s="111" t="n">
        <v>-1062474.737709019</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9"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5" t="n">
        <v>3726783.342743917</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5" t="n">
        <v>314227.9005662762</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3" t="n">
        <v>10653583.88740991</v>
      </c>
      <c r="E12" s="113" t="n">
        <v>8027531.57857301</v>
      </c>
      <c r="F12" s="113" t="n">
        <v>3760292.250492976</v>
      </c>
      <c r="G12" s="113" t="n">
        <v>3861406.753164189</v>
      </c>
      <c r="H12" s="113" t="n">
        <v>1143284.257048528</v>
      </c>
      <c r="I12" s="113" t="n">
        <v>1181325.644327289</v>
      </c>
      <c r="J12" s="113" t="n">
        <v>54028.8</v>
      </c>
    </row>
    <row r="13" ht="15" customHeight="1">
      <c r="A13" s="12" t="n">
        <v>2</v>
      </c>
      <c r="B13" s="12" t="n">
        <v>62</v>
      </c>
      <c r="C13" s="12" t="n">
        <v>63</v>
      </c>
      <c r="D13" s="110" t="n">
        <v>10571551.67970041</v>
      </c>
      <c r="E13" s="110" t="n">
        <v>7964510.347906511</v>
      </c>
      <c r="F13" s="110" t="n">
        <v>3697271.019826477</v>
      </c>
      <c r="G13" s="110" t="n">
        <v>3828424.589535601</v>
      </c>
      <c r="H13" s="110" t="n">
        <v>1110302.09341994</v>
      </c>
      <c r="I13" s="110" t="n">
        <v>1167354.457741699</v>
      </c>
      <c r="J13" s="110" t="n">
        <v>54028.8</v>
      </c>
    </row>
    <row r="14" ht="15" customHeight="1">
      <c r="A14" s="12" t="n">
        <v>3</v>
      </c>
      <c r="B14" s="12" t="n">
        <v>63</v>
      </c>
      <c r="C14" s="12" t="n">
        <v>62</v>
      </c>
      <c r="D14" s="110" t="n">
        <v>10546042.28360598</v>
      </c>
      <c r="E14" s="110" t="n">
        <v>7944994.440394402</v>
      </c>
      <c r="F14" s="110" t="n">
        <v>3677755.112314369</v>
      </c>
      <c r="G14" s="110" t="n">
        <v>3818675.058887597</v>
      </c>
      <c r="H14" s="110" t="n">
        <v>1100552.562771935</v>
      </c>
      <c r="I14" s="110" t="n">
        <v>1163598.415676014</v>
      </c>
      <c r="J14" s="110" t="n">
        <v>54028.8</v>
      </c>
    </row>
    <row r="15" ht="15" customHeight="1">
      <c r="A15" s="12" t="n">
        <v>4</v>
      </c>
      <c r="B15" s="12" t="n">
        <v>62</v>
      </c>
      <c r="C15" s="12" t="n">
        <v>64</v>
      </c>
      <c r="D15" s="110" t="n">
        <v>10484384.43077852</v>
      </c>
      <c r="E15" s="110" t="n">
        <v>7887096.199531456</v>
      </c>
      <c r="F15" s="110" t="n">
        <v>3619856.871451423</v>
      </c>
      <c r="G15" s="110" t="n">
        <v>3796089.134997769</v>
      </c>
      <c r="H15" s="110" t="n">
        <v>1077966.638882108</v>
      </c>
      <c r="I15" s="110" t="n">
        <v>1149106.503750702</v>
      </c>
      <c r="J15" s="110" t="n">
        <v>49694.4</v>
      </c>
    </row>
    <row r="16" ht="15" customHeight="1">
      <c r="A16" s="12" t="n">
        <v>5</v>
      </c>
      <c r="B16" s="12" t="n">
        <v>63</v>
      </c>
      <c r="C16" s="12" t="n">
        <v>63</v>
      </c>
      <c r="D16" s="110" t="n">
        <v>10452170.87290729</v>
      </c>
      <c r="E16" s="110" t="n">
        <v>7862421.836338505</v>
      </c>
      <c r="F16" s="110" t="n">
        <v>3595182.508258471</v>
      </c>
      <c r="G16" s="110" t="n">
        <v>3785692.895259009</v>
      </c>
      <c r="H16" s="110" t="n">
        <v>1067570.399143348</v>
      </c>
      <c r="I16" s="110" t="n">
        <v>1146249.458690219</v>
      </c>
      <c r="J16" s="110" t="n">
        <v>49694.4</v>
      </c>
    </row>
    <row r="17" ht="15" customHeight="1">
      <c r="A17" s="12" t="n">
        <v>6</v>
      </c>
      <c r="B17" s="12" t="n">
        <v>64</v>
      </c>
      <c r="C17" s="12" t="n">
        <v>62</v>
      </c>
      <c r="D17" s="110" t="n">
        <v>10430734.72278133</v>
      </c>
      <c r="E17" s="110" t="n">
        <v>7846505.040987896</v>
      </c>
      <c r="F17" s="110" t="n">
        <v>3579265.712907862</v>
      </c>
      <c r="G17" s="110" t="n">
        <v>3776781.240969369</v>
      </c>
      <c r="H17" s="110" t="n">
        <v>1058658.744853708</v>
      </c>
      <c r="I17" s="110" t="n">
        <v>1142857.159175933</v>
      </c>
      <c r="J17" s="110" t="n">
        <v>49694.4</v>
      </c>
    </row>
    <row r="18" ht="15" customHeight="1">
      <c r="A18" s="12" t="n">
        <v>7</v>
      </c>
      <c r="B18" s="12" t="n">
        <v>62</v>
      </c>
      <c r="C18" s="12" t="n">
        <v>65</v>
      </c>
      <c r="D18" s="110" t="n">
        <v>10406407.09113688</v>
      </c>
      <c r="E18" s="110" t="n">
        <v>7828964.91440755</v>
      </c>
      <c r="F18" s="110" t="n">
        <v>3561725.586327516</v>
      </c>
      <c r="G18" s="110" t="n">
        <v>3764387.708980287</v>
      </c>
      <c r="H18" s="110" t="n">
        <v>1046265.212864626</v>
      </c>
      <c r="I18" s="110" t="n">
        <v>1137251.132250959</v>
      </c>
      <c r="J18" s="110" t="n">
        <v>49694.4</v>
      </c>
    </row>
    <row r="19" ht="15" customHeight="1">
      <c r="A19" s="12" t="n">
        <v>8</v>
      </c>
      <c r="B19" s="12" t="n">
        <v>63</v>
      </c>
      <c r="C19" s="12" t="n">
        <v>64</v>
      </c>
      <c r="D19" s="110" t="n">
        <v>10374674.52449681</v>
      </c>
      <c r="E19" s="110" t="n">
        <v>7804836.529184773</v>
      </c>
      <c r="F19" s="110" t="n">
        <v>3537597.201104739</v>
      </c>
      <c r="G19" s="110" t="n">
        <v>3753357.440721177</v>
      </c>
      <c r="H19" s="110" t="n">
        <v>1035234.944605516</v>
      </c>
      <c r="I19" s="110" t="n">
        <v>1133825.045409136</v>
      </c>
      <c r="J19" s="110" t="n">
        <v>49694.4</v>
      </c>
    </row>
    <row r="20" ht="15" customHeight="1">
      <c r="A20" s="12" t="n">
        <v>9</v>
      </c>
      <c r="B20" s="12" t="n">
        <v>64</v>
      </c>
      <c r="C20" s="12" t="n">
        <v>63</v>
      </c>
      <c r="D20" s="110" t="n">
        <v>10347780.83508187</v>
      </c>
      <c r="E20" s="110" t="n">
        <v>7784594.769690092</v>
      </c>
      <c r="F20" s="110" t="n">
        <v>3517355.441610058</v>
      </c>
      <c r="G20" s="110" t="n">
        <v>3743799.077340781</v>
      </c>
      <c r="H20" s="110" t="n">
        <v>1025676.58122512</v>
      </c>
      <c r="I20" s="110" t="n">
        <v>1130918.611948999</v>
      </c>
      <c r="J20" s="110" t="n">
        <v>49694.4</v>
      </c>
    </row>
    <row r="21" ht="15" customHeight="1">
      <c r="A21" s="12" t="n">
        <v>10</v>
      </c>
      <c r="B21" s="12" t="n">
        <v>63</v>
      </c>
      <c r="C21" s="12" t="n">
        <v>65</v>
      </c>
      <c r="D21" s="110" t="n">
        <v>10295085.4982041</v>
      </c>
      <c r="E21" s="110" t="n">
        <v>7738331.980089859</v>
      </c>
      <c r="F21" s="110" t="n">
        <v>3471092.652009825</v>
      </c>
      <c r="G21" s="110" t="n">
        <v>3721656.014703695</v>
      </c>
      <c r="H21" s="110" t="n">
        <v>1003533.518588034</v>
      </c>
      <c r="I21" s="110" t="n">
        <v>1120003.296589453</v>
      </c>
      <c r="J21" s="110" t="n">
        <v>44899.2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3" t="n">
        <v>10653583.88740991</v>
      </c>
      <c r="D26" s="113" t="n">
        <v>8027531.57857301</v>
      </c>
      <c r="E26" s="113" t="n">
        <v>3760292.250492976</v>
      </c>
      <c r="F26" s="113" t="n">
        <v>3861406.753164189</v>
      </c>
      <c r="G26" s="113" t="n">
        <v>1143284.257048528</v>
      </c>
      <c r="H26" s="113" t="n">
        <v>1181325.644327289</v>
      </c>
      <c r="I26" s="113" t="n">
        <v>54028.8</v>
      </c>
      <c r="J26" s="75" t="n">
        <v>2</v>
      </c>
    </row>
    <row r="27" ht="30" customHeight="1">
      <c r="A27" s="12" t="n">
        <v>62</v>
      </c>
      <c r="B27" s="12" t="n">
        <v>63</v>
      </c>
      <c r="C27" s="105" t="n">
        <v>10571551.67970041</v>
      </c>
      <c r="D27" s="110" t="n">
        <v>7964510.347906511</v>
      </c>
      <c r="E27" s="110" t="n">
        <v>3697271.019826477</v>
      </c>
      <c r="F27" s="110" t="n">
        <v>3828424.589535601</v>
      </c>
      <c r="G27" s="110" t="n">
        <v>1110302.09341994</v>
      </c>
      <c r="H27" s="110" t="n">
        <v>1167354.457741699</v>
      </c>
      <c r="I27" s="110" t="n">
        <v>54028.8</v>
      </c>
      <c r="J27" s="33" t="n">
        <v>2</v>
      </c>
    </row>
    <row r="28" ht="30" customHeight="1">
      <c r="A28" s="12" t="n">
        <v>62</v>
      </c>
      <c r="B28" s="12" t="n">
        <v>64</v>
      </c>
      <c r="C28" s="105" t="n">
        <v>10484384.43077852</v>
      </c>
      <c r="D28" s="110" t="n">
        <v>7887096.199531456</v>
      </c>
      <c r="E28" s="110" t="n">
        <v>3619856.871451423</v>
      </c>
      <c r="F28" s="110" t="n">
        <v>3796089.134997769</v>
      </c>
      <c r="G28" s="110" t="n">
        <v>1077966.638882108</v>
      </c>
      <c r="H28" s="110" t="n">
        <v>1149106.503750702</v>
      </c>
      <c r="I28" s="110" t="n">
        <v>49694.4</v>
      </c>
      <c r="J28" s="33" t="n">
        <v>2</v>
      </c>
    </row>
    <row r="29" ht="30" customHeight="1">
      <c r="A29" s="12" t="n">
        <v>62</v>
      </c>
      <c r="B29" s="12" t="n">
        <v>65</v>
      </c>
      <c r="C29" s="105" t="n">
        <v>10406407.09113688</v>
      </c>
      <c r="D29" s="110" t="n">
        <v>7828964.91440755</v>
      </c>
      <c r="E29" s="110" t="n">
        <v>3561725.586327516</v>
      </c>
      <c r="F29" s="110" t="n">
        <v>3764387.708980287</v>
      </c>
      <c r="G29" s="110" t="n">
        <v>1046265.212864626</v>
      </c>
      <c r="H29" s="110" t="n">
        <v>1137251.132250959</v>
      </c>
      <c r="I29" s="110" t="n">
        <v>49694.4</v>
      </c>
      <c r="J29" s="33" t="n">
        <v>2</v>
      </c>
    </row>
    <row r="30" ht="30" customHeight="1">
      <c r="A30" s="12" t="n">
        <v>62</v>
      </c>
      <c r="B30" s="12" t="n">
        <v>66</v>
      </c>
      <c r="C30" s="105" t="n">
        <v>10056318.34752469</v>
      </c>
      <c r="D30" s="110" t="n">
        <v>7505437.862370639</v>
      </c>
      <c r="E30" s="110" t="n">
        <v>3238198.534290605</v>
      </c>
      <c r="F30" s="110" t="n">
        <v>3684201.997198442</v>
      </c>
      <c r="G30" s="110" t="n">
        <v>966079.5010827812</v>
      </c>
      <c r="H30" s="110" t="n">
        <v>1089736.312044389</v>
      </c>
      <c r="I30" s="110" t="n">
        <v>43585.2</v>
      </c>
      <c r="J30" s="33" t="n">
        <v>3</v>
      </c>
    </row>
    <row r="31" ht="30" customHeight="1">
      <c r="A31" s="12" t="n">
        <v>62</v>
      </c>
      <c r="B31" s="12" t="n">
        <v>67</v>
      </c>
      <c r="C31" s="105" t="n">
        <v>9717562.827038061</v>
      </c>
      <c r="D31" s="110" t="n">
        <v>7207649.222462524</v>
      </c>
      <c r="E31" s="110" t="n">
        <v>2940409.89438249</v>
      </c>
      <c r="F31" s="110" t="n">
        <v>3605588.554275065</v>
      </c>
      <c r="G31" s="110" t="n">
        <v>887466.058159404</v>
      </c>
      <c r="H31" s="110" t="n">
        <v>1052089.749699529</v>
      </c>
      <c r="I31" s="110" t="n">
        <v>43585.2</v>
      </c>
      <c r="J31" s="33" t="n">
        <v>4</v>
      </c>
    </row>
    <row r="32" ht="30" customHeight="1">
      <c r="A32" s="12" t="n">
        <v>62</v>
      </c>
      <c r="B32" s="12" t="n">
        <v>68</v>
      </c>
      <c r="C32" s="105" t="n">
        <v>9411523.682154791</v>
      </c>
      <c r="D32" s="110" t="n">
        <v>6944576.320123669</v>
      </c>
      <c r="E32" s="110" t="n">
        <v>2677336.992043635</v>
      </c>
      <c r="F32" s="110" t="n">
        <v>3528516.551409009</v>
      </c>
      <c r="G32" s="110" t="n">
        <v>810394.0552933477</v>
      </c>
      <c r="H32" s="110" t="n">
        <v>1021267.189377887</v>
      </c>
      <c r="I32" s="110" t="n">
        <v>40302</v>
      </c>
      <c r="J32" s="33" t="n">
        <v>5</v>
      </c>
    </row>
    <row r="33" ht="30" customHeight="1">
      <c r="A33" s="12" t="n">
        <v>62</v>
      </c>
      <c r="B33" s="12" t="n">
        <v>69</v>
      </c>
      <c r="C33" s="105" t="n">
        <v>9094713.793545272</v>
      </c>
      <c r="D33" s="110" t="n">
        <v>6681317.395873218</v>
      </c>
      <c r="E33" s="110" t="n">
        <v>2414078.067793184</v>
      </c>
      <c r="F33" s="110" t="n">
        <v>3452955.764285424</v>
      </c>
      <c r="G33" s="110" t="n">
        <v>734833.268169763</v>
      </c>
      <c r="H33" s="110" t="n">
        <v>999257.3666133699</v>
      </c>
      <c r="I33" s="110" t="n">
        <v>40302</v>
      </c>
      <c r="J33" s="33" t="n">
        <v>6</v>
      </c>
    </row>
    <row r="34" ht="30" customHeight="1">
      <c r="A34" s="12" t="n">
        <v>62</v>
      </c>
      <c r="B34" s="12" t="n">
        <v>70</v>
      </c>
      <c r="C34" s="105" t="n">
        <v>8789832.617832789</v>
      </c>
      <c r="D34" s="110" t="n">
        <v>6433894.4677667</v>
      </c>
      <c r="E34" s="110" t="n">
        <v>2166655.139686666</v>
      </c>
      <c r="F34" s="110" t="n">
        <v>3378876.561223086</v>
      </c>
      <c r="G34" s="110" t="n">
        <v>660754.0651074252</v>
      </c>
      <c r="H34" s="110" t="n">
        <v>982636.4111569971</v>
      </c>
      <c r="I34" s="110" t="n">
        <v>40302</v>
      </c>
      <c r="J34" s="33" t="n">
        <v>7</v>
      </c>
    </row>
    <row r="35" ht="30" customHeight="1">
      <c r="A35" s="12" t="n">
        <v>63</v>
      </c>
      <c r="B35" s="12" t="n">
        <v>62</v>
      </c>
      <c r="C35" s="105" t="n">
        <v>10546042.28360598</v>
      </c>
      <c r="D35" s="110" t="n">
        <v>7944994.440394402</v>
      </c>
      <c r="E35" s="110" t="n">
        <v>3677755.112314369</v>
      </c>
      <c r="F35" s="110" t="n">
        <v>3818675.058887597</v>
      </c>
      <c r="G35" s="110" t="n">
        <v>1100552.562771935</v>
      </c>
      <c r="H35" s="110" t="n">
        <v>1163598.415676014</v>
      </c>
      <c r="I35" s="110" t="n">
        <v>54028.8</v>
      </c>
      <c r="J35" s="33" t="n">
        <v>2</v>
      </c>
    </row>
    <row r="36" ht="30" customHeight="1">
      <c r="A36" s="12" t="n">
        <v>63</v>
      </c>
      <c r="B36" s="12" t="n">
        <v>63</v>
      </c>
      <c r="C36" s="105" t="n">
        <v>10452170.87290729</v>
      </c>
      <c r="D36" s="110" t="n">
        <v>7862421.836338505</v>
      </c>
      <c r="E36" s="110" t="n">
        <v>3595182.508258471</v>
      </c>
      <c r="F36" s="110" t="n">
        <v>3785692.895259009</v>
      </c>
      <c r="G36" s="110" t="n">
        <v>1067570.399143348</v>
      </c>
      <c r="H36" s="110" t="n">
        <v>1146249.458690219</v>
      </c>
      <c r="I36" s="110" t="n">
        <v>49694.4</v>
      </c>
      <c r="J36" s="33" t="n">
        <v>2</v>
      </c>
    </row>
    <row r="37" ht="30" customHeight="1">
      <c r="A37" s="12" t="n">
        <v>63</v>
      </c>
      <c r="B37" s="12" t="n">
        <v>64</v>
      </c>
      <c r="C37" s="105" t="n">
        <v>10374674.52449681</v>
      </c>
      <c r="D37" s="110" t="n">
        <v>7804836.529184773</v>
      </c>
      <c r="E37" s="110" t="n">
        <v>3537597.201104739</v>
      </c>
      <c r="F37" s="110" t="n">
        <v>3753357.440721177</v>
      </c>
      <c r="G37" s="110" t="n">
        <v>1035234.944605516</v>
      </c>
      <c r="H37" s="110" t="n">
        <v>1133825.045409136</v>
      </c>
      <c r="I37" s="110" t="n">
        <v>49694.4</v>
      </c>
      <c r="J37" s="33" t="n">
        <v>2</v>
      </c>
    </row>
    <row r="38" ht="30" customHeight="1">
      <c r="A38" s="12" t="n">
        <v>63</v>
      </c>
      <c r="B38" s="12" t="n">
        <v>65</v>
      </c>
      <c r="C38" s="105" t="n">
        <v>10295085.4982041</v>
      </c>
      <c r="D38" s="110" t="n">
        <v>7738331.980089859</v>
      </c>
      <c r="E38" s="110" t="n">
        <v>3471092.652009825</v>
      </c>
      <c r="F38" s="110" t="n">
        <v>3721656.014703695</v>
      </c>
      <c r="G38" s="110" t="n">
        <v>1003533.518588034</v>
      </c>
      <c r="H38" s="110" t="n">
        <v>1120003.296589453</v>
      </c>
      <c r="I38" s="110" t="n">
        <v>44899.2</v>
      </c>
      <c r="J38" s="33" t="n">
        <v>2</v>
      </c>
    </row>
    <row r="39" ht="30" customHeight="1">
      <c r="A39" s="12" t="n">
        <v>63</v>
      </c>
      <c r="B39" s="12" t="n">
        <v>66</v>
      </c>
      <c r="C39" s="105" t="n">
        <v>9923903.188365623</v>
      </c>
      <c r="D39" s="110" t="n">
        <v>7403808.817809612</v>
      </c>
      <c r="E39" s="110" t="n">
        <v>3136569.489729578</v>
      </c>
      <c r="F39" s="110" t="n">
        <v>3641470.30292185</v>
      </c>
      <c r="G39" s="110" t="n">
        <v>923347.806806189</v>
      </c>
      <c r="H39" s="110" t="n">
        <v>1077790.73236584</v>
      </c>
      <c r="I39" s="110" t="n">
        <v>43585.2</v>
      </c>
      <c r="J39" s="33" t="n">
        <v>3</v>
      </c>
    </row>
    <row r="40" ht="30" customHeight="1">
      <c r="A40" s="12" t="n">
        <v>63</v>
      </c>
      <c r="B40" s="12" t="n">
        <v>67</v>
      </c>
      <c r="C40" s="105" t="n">
        <v>9585901.914802112</v>
      </c>
      <c r="D40" s="110" t="n">
        <v>7108689.118853489</v>
      </c>
      <c r="E40" s="110" t="n">
        <v>2841449.790773455</v>
      </c>
      <c r="F40" s="110" t="n">
        <v>3562856.859998473</v>
      </c>
      <c r="G40" s="110" t="n">
        <v>844734.3638828117</v>
      </c>
      <c r="H40" s="110" t="n">
        <v>1042058.864049853</v>
      </c>
      <c r="I40" s="110" t="n">
        <v>43585.2</v>
      </c>
      <c r="J40" s="33" t="n">
        <v>4</v>
      </c>
    </row>
    <row r="41" ht="30" customHeight="1">
      <c r="A41" s="12" t="n">
        <v>63</v>
      </c>
      <c r="B41" s="12" t="n">
        <v>68</v>
      </c>
      <c r="C41" s="105" t="n">
        <v>9278964.196145844</v>
      </c>
      <c r="D41" s="110" t="n">
        <v>6845854.148538319</v>
      </c>
      <c r="E41" s="110" t="n">
        <v>2578614.820458286</v>
      </c>
      <c r="F41" s="110" t="n">
        <v>3485784.857132417</v>
      </c>
      <c r="G41" s="110" t="n">
        <v>767662.3610167555</v>
      </c>
      <c r="H41" s="110" t="n">
        <v>1012372.809524892</v>
      </c>
      <c r="I41" s="110" t="n">
        <v>40302</v>
      </c>
      <c r="J41" s="33" t="n">
        <v>5</v>
      </c>
    </row>
    <row r="42" ht="30" customHeight="1">
      <c r="A42" s="12" t="n">
        <v>63</v>
      </c>
      <c r="B42" s="12" t="n">
        <v>69</v>
      </c>
      <c r="C42" s="105" t="n">
        <v>8961408.158324098</v>
      </c>
      <c r="D42" s="110" t="n">
        <v>6582580.258244054</v>
      </c>
      <c r="E42" s="110" t="n">
        <v>2315340.930164021</v>
      </c>
      <c r="F42" s="110" t="n">
        <v>3410224.070008832</v>
      </c>
      <c r="G42" s="110" t="n">
        <v>692101.5738931708</v>
      </c>
      <c r="H42" s="110" t="n">
        <v>991094.1699287874</v>
      </c>
      <c r="I42" s="110" t="n">
        <v>40302</v>
      </c>
      <c r="J42" s="33" t="n">
        <v>6</v>
      </c>
    </row>
    <row r="43" ht="30" customHeight="1">
      <c r="A43" s="12" t="n">
        <v>63</v>
      </c>
      <c r="B43" s="12" t="n">
        <v>70</v>
      </c>
      <c r="C43" s="105" t="n">
        <v>8655447.70885372</v>
      </c>
      <c r="D43" s="110" t="n">
        <v>6335045.791276697</v>
      </c>
      <c r="E43" s="110" t="n">
        <v>2067806.463196663</v>
      </c>
      <c r="F43" s="110" t="n">
        <v>3336144.866946495</v>
      </c>
      <c r="G43" s="110" t="n">
        <v>618022.3708308334</v>
      </c>
      <c r="H43" s="110" t="n">
        <v>975440.9493694712</v>
      </c>
      <c r="I43" s="110" t="n">
        <v>40302</v>
      </c>
      <c r="J43" s="33" t="n">
        <v>7</v>
      </c>
    </row>
    <row r="44" ht="30" customHeight="1">
      <c r="A44" s="12" t="n">
        <v>64</v>
      </c>
      <c r="B44" s="12" t="n">
        <v>62</v>
      </c>
      <c r="C44" s="105" t="n">
        <v>10430734.72278133</v>
      </c>
      <c r="D44" s="110" t="n">
        <v>7846505.040987896</v>
      </c>
      <c r="E44" s="110" t="n">
        <v>3579265.712907862</v>
      </c>
      <c r="F44" s="110" t="n">
        <v>3776781.240969369</v>
      </c>
      <c r="G44" s="110" t="n">
        <v>1058658.744853708</v>
      </c>
      <c r="H44" s="110" t="n">
        <v>1142857.159175933</v>
      </c>
      <c r="I44" s="110" t="n">
        <v>49694.4</v>
      </c>
      <c r="J44" s="33" t="n">
        <v>2</v>
      </c>
    </row>
    <row r="45" ht="30" customHeight="1">
      <c r="A45" s="12" t="n">
        <v>64</v>
      </c>
      <c r="B45" s="12" t="n">
        <v>63</v>
      </c>
      <c r="C45" s="105" t="n">
        <v>10347780.83508187</v>
      </c>
      <c r="D45" s="110" t="n">
        <v>7784594.769690092</v>
      </c>
      <c r="E45" s="110" t="n">
        <v>3517355.441610058</v>
      </c>
      <c r="F45" s="110" t="n">
        <v>3743799.077340781</v>
      </c>
      <c r="G45" s="110" t="n">
        <v>1025676.58122512</v>
      </c>
      <c r="H45" s="110" t="n">
        <v>1130918.611948999</v>
      </c>
      <c r="I45" s="110" t="n">
        <v>49694.4</v>
      </c>
      <c r="J45" s="33" t="n">
        <v>2</v>
      </c>
    </row>
    <row r="46" ht="30" customHeight="1">
      <c r="A46" s="12" t="n">
        <v>64</v>
      </c>
      <c r="B46" s="12" t="n">
        <v>64</v>
      </c>
      <c r="C46" s="105" t="n">
        <v>10269545.55005788</v>
      </c>
      <c r="D46" s="110" t="n">
        <v>7718887.530649861</v>
      </c>
      <c r="E46" s="110" t="n">
        <v>3451648.202569827</v>
      </c>
      <c r="F46" s="110" t="n">
        <v>3711463.62280295</v>
      </c>
      <c r="G46" s="110" t="n">
        <v>993341.1266872883</v>
      </c>
      <c r="H46" s="110" t="n">
        <v>1115906.403394931</v>
      </c>
      <c r="I46" s="110" t="n">
        <v>44899.2</v>
      </c>
      <c r="J46" s="33" t="n">
        <v>2</v>
      </c>
    </row>
    <row r="47" ht="30" customHeight="1">
      <c r="A47" s="12" t="n">
        <v>64</v>
      </c>
      <c r="B47" s="12" t="n">
        <v>65</v>
      </c>
      <c r="C47" s="105" t="n">
        <v>10159569.93522303</v>
      </c>
      <c r="D47" s="110" t="n">
        <v>7630205.39966625</v>
      </c>
      <c r="E47" s="110" t="n">
        <v>3362966.071586216</v>
      </c>
      <c r="F47" s="110" t="n">
        <v>3679762.196785468</v>
      </c>
      <c r="G47" s="110" t="n">
        <v>961639.7006698065</v>
      </c>
      <c r="H47" s="110" t="n">
        <v>1105498.461228689</v>
      </c>
      <c r="I47" s="110" t="n">
        <v>44899.2</v>
      </c>
      <c r="J47" s="33" t="n">
        <v>2</v>
      </c>
    </row>
    <row r="48" ht="30" customHeight="1">
      <c r="A48" s="12" t="n">
        <v>64</v>
      </c>
      <c r="B48" s="12" t="n">
        <v>66</v>
      </c>
      <c r="C48" s="105" t="n">
        <v>9798032.731136739</v>
      </c>
      <c r="D48" s="110" t="n">
        <v>7307602.961724469</v>
      </c>
      <c r="E48" s="110" t="n">
        <v>3040363.633644436</v>
      </c>
      <c r="F48" s="110" t="n">
        <v>3599576.485003623</v>
      </c>
      <c r="G48" s="110" t="n">
        <v>881453.9888879615</v>
      </c>
      <c r="H48" s="110" t="n">
        <v>1065561.515591353</v>
      </c>
      <c r="I48" s="110" t="n">
        <v>43585.2</v>
      </c>
      <c r="J48" s="33" t="n">
        <v>3</v>
      </c>
    </row>
    <row r="49" ht="30" customHeight="1">
      <c r="A49" s="12" t="n">
        <v>64</v>
      </c>
      <c r="B49" s="12" t="n">
        <v>67</v>
      </c>
      <c r="C49" s="105" t="n">
        <v>9457161.374128757</v>
      </c>
      <c r="D49" s="110" t="n">
        <v>7012113.28816516</v>
      </c>
      <c r="E49" s="110" t="n">
        <v>2744873.960085126</v>
      </c>
      <c r="F49" s="110" t="n">
        <v>3520963.042080245</v>
      </c>
      <c r="G49" s="110" t="n">
        <v>802840.5459645842</v>
      </c>
      <c r="H49" s="110" t="n">
        <v>1032329.75611665</v>
      </c>
      <c r="I49" s="110" t="n">
        <v>43585.2</v>
      </c>
      <c r="J49" s="33" t="n">
        <v>4</v>
      </c>
    </row>
    <row r="50" ht="30" customHeight="1">
      <c r="A50" s="12" t="n">
        <v>64</v>
      </c>
      <c r="B50" s="12" t="n">
        <v>68</v>
      </c>
      <c r="C50" s="105" t="n">
        <v>9149366.115404228</v>
      </c>
      <c r="D50" s="110" t="n">
        <v>6749300.079358706</v>
      </c>
      <c r="E50" s="110" t="n">
        <v>2482060.751278672</v>
      </c>
      <c r="F50" s="110" t="n">
        <v>3443891.039214189</v>
      </c>
      <c r="G50" s="110" t="n">
        <v>725768.5430985279</v>
      </c>
      <c r="H50" s="110" t="n">
        <v>1003523.003168667</v>
      </c>
      <c r="I50" s="110" t="n">
        <v>40302</v>
      </c>
      <c r="J50" s="33" t="n">
        <v>5</v>
      </c>
    </row>
    <row r="51" ht="30" customHeight="1">
      <c r="A51" s="12" t="n">
        <v>64</v>
      </c>
      <c r="B51" s="12" t="n">
        <v>69</v>
      </c>
      <c r="C51" s="105" t="n">
        <v>8835136.608575596</v>
      </c>
      <c r="D51" s="110" t="n">
        <v>6489874.861054795</v>
      </c>
      <c r="E51" s="110" t="n">
        <v>2222635.532974761</v>
      </c>
      <c r="F51" s="110" t="n">
        <v>3368330.252090605</v>
      </c>
      <c r="G51" s="110" t="n">
        <v>650207.7559749437</v>
      </c>
      <c r="H51" s="110" t="n">
        <v>982766.504569805</v>
      </c>
      <c r="I51" s="110" t="n">
        <v>40302</v>
      </c>
      <c r="J51" s="33" t="n">
        <v>6</v>
      </c>
    </row>
    <row r="52" ht="30" customHeight="1">
      <c r="A52" s="12" t="n">
        <v>64</v>
      </c>
      <c r="B52" s="12" t="n">
        <v>70</v>
      </c>
      <c r="C52" s="105" t="n">
        <v>8523360.833539588</v>
      </c>
      <c r="D52" s="110" t="n">
        <v>6238135.252547491</v>
      </c>
      <c r="E52" s="110" t="n">
        <v>1970895.924467457</v>
      </c>
      <c r="F52" s="110" t="n">
        <v>3294251.049028267</v>
      </c>
      <c r="G52" s="110" t="n">
        <v>576128.5529126055</v>
      </c>
      <c r="H52" s="110" t="n">
        <v>968723.4680361688</v>
      </c>
      <c r="I52" s="110" t="n">
        <v>40302</v>
      </c>
      <c r="J52" s="33" t="n">
        <v>7</v>
      </c>
    </row>
    <row r="53" ht="30" customHeight="1">
      <c r="A53" s="12" t="n">
        <v>65</v>
      </c>
      <c r="B53" s="12" t="n">
        <v>62</v>
      </c>
      <c r="C53" s="105" t="n">
        <v>10021220.75441102</v>
      </c>
      <c r="D53" s="110" t="n">
        <v>7473637.613395609</v>
      </c>
      <c r="E53" s="110" t="n">
        <v>3206398.285315575</v>
      </c>
      <c r="F53" s="110" t="n">
        <v>3675944.16457895</v>
      </c>
      <c r="G53" s="110" t="n">
        <v>957821.6684632888</v>
      </c>
      <c r="H53" s="110" t="n">
        <v>1084775.823563537</v>
      </c>
      <c r="I53" s="110" t="n">
        <v>43585.2</v>
      </c>
      <c r="J53" s="33" t="n">
        <v>3</v>
      </c>
    </row>
    <row r="54" ht="30" customHeight="1">
      <c r="A54" s="12" t="n">
        <v>65</v>
      </c>
      <c r="B54" s="12" t="n">
        <v>63</v>
      </c>
      <c r="C54" s="105" t="n">
        <v>9917594.779812753</v>
      </c>
      <c r="D54" s="110" t="n">
        <v>7393381.423652416</v>
      </c>
      <c r="E54" s="110" t="n">
        <v>3126142.095572382</v>
      </c>
      <c r="F54" s="110" t="n">
        <v>3642962.000950362</v>
      </c>
      <c r="G54" s="110" t="n">
        <v>924839.5048347008</v>
      </c>
      <c r="H54" s="110" t="n">
        <v>1075163.444790026</v>
      </c>
      <c r="I54" s="110" t="n">
        <v>43585.2</v>
      </c>
      <c r="J54" s="33" t="n">
        <v>3</v>
      </c>
    </row>
    <row r="55" ht="30" customHeight="1">
      <c r="A55" s="12" t="n">
        <v>65</v>
      </c>
      <c r="B55" s="12" t="n">
        <v>64</v>
      </c>
      <c r="C55" s="105" t="n">
        <v>9816000.525651556</v>
      </c>
      <c r="D55" s="110" t="n">
        <v>7314698.754631795</v>
      </c>
      <c r="E55" s="110" t="n">
        <v>3047459.426551761</v>
      </c>
      <c r="F55" s="110" t="n">
        <v>3610626.54641253</v>
      </c>
      <c r="G55" s="110" t="n">
        <v>892504.0502968691</v>
      </c>
      <c r="H55" s="110" t="n">
        <v>1065739.575392772</v>
      </c>
      <c r="I55" s="110" t="n">
        <v>43585.2</v>
      </c>
      <c r="J55" s="33" t="n">
        <v>3</v>
      </c>
    </row>
    <row r="56" ht="30" customHeight="1">
      <c r="A56" s="12" t="n">
        <v>65</v>
      </c>
      <c r="B56" s="12" t="n">
        <v>65</v>
      </c>
      <c r="C56" s="105" t="n">
        <v>9712513.964991128</v>
      </c>
      <c r="D56" s="110" t="n">
        <v>7234868.690238774</v>
      </c>
      <c r="E56" s="110" t="n">
        <v>2967629.36215874</v>
      </c>
      <c r="F56" s="110" t="n">
        <v>3578925.120395049</v>
      </c>
      <c r="G56" s="110" t="n">
        <v>860802.6242793873</v>
      </c>
      <c r="H56" s="110" t="n">
        <v>1057694.645642695</v>
      </c>
      <c r="I56" s="110" t="n">
        <v>43585.2</v>
      </c>
      <c r="J56" s="33" t="n">
        <v>3</v>
      </c>
    </row>
    <row r="57" ht="30" customHeight="1">
      <c r="A57" s="12" t="n">
        <v>65</v>
      </c>
      <c r="B57" s="12" t="n">
        <v>66</v>
      </c>
      <c r="C57" s="105" t="n">
        <v>9380102.119170718</v>
      </c>
      <c r="D57" s="110" t="n">
        <v>6943490.604680324</v>
      </c>
      <c r="E57" s="110" t="n">
        <v>2676251.27660029</v>
      </c>
      <c r="F57" s="110" t="n">
        <v>3498739.408613204</v>
      </c>
      <c r="G57" s="110" t="n">
        <v>780616.9124975423</v>
      </c>
      <c r="H57" s="110" t="n">
        <v>1022430.69412281</v>
      </c>
      <c r="I57" s="110" t="n">
        <v>39697.2</v>
      </c>
      <c r="J57" s="33" t="n">
        <v>2</v>
      </c>
    </row>
    <row r="58" ht="30" customHeight="1">
      <c r="A58" s="12" t="n">
        <v>65</v>
      </c>
      <c r="B58" s="12" t="n">
        <v>67</v>
      </c>
      <c r="C58" s="105" t="n">
        <v>9033527.031732569</v>
      </c>
      <c r="D58" s="110" t="n">
        <v>6647256.348107203</v>
      </c>
      <c r="E58" s="110" t="n">
        <v>2380017.020027169</v>
      </c>
      <c r="F58" s="110" t="n">
        <v>3420125.965689826</v>
      </c>
      <c r="G58" s="110" t="n">
        <v>702003.4695741651</v>
      </c>
      <c r="H58" s="110" t="n">
        <v>994158.0820644606</v>
      </c>
      <c r="I58" s="110" t="n">
        <v>39697.2</v>
      </c>
      <c r="J58" s="33" t="n">
        <v>3</v>
      </c>
    </row>
    <row r="59" ht="30" customHeight="1">
      <c r="A59" s="12" t="n">
        <v>65</v>
      </c>
      <c r="B59" s="12" t="n">
        <v>68</v>
      </c>
      <c r="C59" s="105" t="n">
        <v>8727695.868003104</v>
      </c>
      <c r="D59" s="110" t="n">
        <v>6389059.307420056</v>
      </c>
      <c r="E59" s="110" t="n">
        <v>2121819.979340022</v>
      </c>
      <c r="F59" s="110" t="n">
        <v>3343053.96282377</v>
      </c>
      <c r="G59" s="110" t="n">
        <v>624931.4667081088</v>
      </c>
      <c r="H59" s="110" t="n">
        <v>968003.4022407234</v>
      </c>
      <c r="I59" s="110" t="n">
        <v>36414</v>
      </c>
      <c r="J59" s="33" t="n">
        <v>4</v>
      </c>
    </row>
    <row r="60" ht="30" customHeight="1">
      <c r="A60" s="12" t="n">
        <v>65</v>
      </c>
      <c r="B60" s="12" t="n">
        <v>69</v>
      </c>
      <c r="C60" s="105" t="n">
        <v>8400046.772046041</v>
      </c>
      <c r="D60" s="110" t="n">
        <v>6121435.137607205</v>
      </c>
      <c r="E60" s="110" t="n">
        <v>1854195.809527171</v>
      </c>
      <c r="F60" s="110" t="n">
        <v>3267493.175700185</v>
      </c>
      <c r="G60" s="110" t="n">
        <v>549370.6795845241</v>
      </c>
      <c r="H60" s="110" t="n">
        <v>952467.5412613492</v>
      </c>
      <c r="I60" s="110" t="n">
        <v>36414</v>
      </c>
      <c r="J60" s="33" t="n">
        <v>5</v>
      </c>
    </row>
    <row r="61" ht="30" customHeight="1">
      <c r="A61" s="12" t="n">
        <v>65</v>
      </c>
      <c r="B61" s="12" t="n">
        <v>70</v>
      </c>
      <c r="C61" s="105" t="n">
        <v>8085610.030572899</v>
      </c>
      <c r="D61" s="110" t="n">
        <v>5869695.529099899</v>
      </c>
      <c r="E61" s="110" t="n">
        <v>1602456.201019865</v>
      </c>
      <c r="F61" s="110" t="n">
        <v>3193413.972637848</v>
      </c>
      <c r="G61" s="110" t="n">
        <v>475291.4765221863</v>
      </c>
      <c r="H61" s="110" t="n">
        <v>941085.4711648488</v>
      </c>
      <c r="I61" s="110" t="n">
        <v>36414</v>
      </c>
      <c r="J61" s="33" t="n">
        <v>6</v>
      </c>
    </row>
    <row r="62" ht="30" customHeight="1">
      <c r="A62" s="12" t="n">
        <v>66</v>
      </c>
      <c r="B62" s="12" t="n">
        <v>62</v>
      </c>
      <c r="C62" s="105" t="n">
        <v>9603620.483523192</v>
      </c>
      <c r="D62" s="110" t="n">
        <v>7110533.943901602</v>
      </c>
      <c r="E62" s="110" t="n">
        <v>2843294.615821568</v>
      </c>
      <c r="F62" s="110" t="n">
        <v>3577084.285764813</v>
      </c>
      <c r="G62" s="110" t="n">
        <v>858961.7896491522</v>
      </c>
      <c r="H62" s="110" t="n">
        <v>1040412.546143224</v>
      </c>
      <c r="I62" s="110" t="n">
        <v>43585.2</v>
      </c>
      <c r="J62" s="33" t="n">
        <v>4</v>
      </c>
    </row>
    <row r="63" ht="30" customHeight="1">
      <c r="A63" s="12" t="n">
        <v>66</v>
      </c>
      <c r="B63" s="12" t="n">
        <v>63</v>
      </c>
      <c r="C63" s="105" t="n">
        <v>9497782.673971832</v>
      </c>
      <c r="D63" s="110" t="n">
        <v>7030058.631453058</v>
      </c>
      <c r="E63" s="110" t="n">
        <v>2762819.303373024</v>
      </c>
      <c r="F63" s="110" t="n">
        <v>3544102.122136225</v>
      </c>
      <c r="G63" s="110" t="n">
        <v>825979.6260205642</v>
      </c>
      <c r="H63" s="110" t="n">
        <v>1032792.879617452</v>
      </c>
      <c r="I63" s="110" t="n">
        <v>43585.2</v>
      </c>
      <c r="J63" s="33" t="n">
        <v>4</v>
      </c>
    </row>
    <row r="64" ht="30" customHeight="1">
      <c r="A64" s="12" t="n">
        <v>66</v>
      </c>
      <c r="B64" s="12" t="n">
        <v>64</v>
      </c>
      <c r="C64" s="105" t="n">
        <v>9394298.525644701</v>
      </c>
      <c r="D64" s="110" t="n">
        <v>6951365.008547992</v>
      </c>
      <c r="E64" s="110" t="n">
        <v>2684125.680467959</v>
      </c>
      <c r="F64" s="110" t="n">
        <v>3511766.667598394</v>
      </c>
      <c r="G64" s="110" t="n">
        <v>793644.1714827325</v>
      </c>
      <c r="H64" s="110" t="n">
        <v>1025247.950501686</v>
      </c>
      <c r="I64" s="110" t="n">
        <v>43585.2</v>
      </c>
      <c r="J64" s="33" t="n">
        <v>4</v>
      </c>
    </row>
    <row r="65" ht="30" customHeight="1">
      <c r="A65" s="12" t="n">
        <v>66</v>
      </c>
      <c r="B65" s="12" t="n">
        <v>65</v>
      </c>
      <c r="C65" s="105" t="n">
        <v>9292547.296847343</v>
      </c>
      <c r="D65" s="110" t="n">
        <v>6874260.366007742</v>
      </c>
      <c r="E65" s="110" t="n">
        <v>2607021.037927708</v>
      </c>
      <c r="F65" s="110" t="n">
        <v>3480065.241580912</v>
      </c>
      <c r="G65" s="110" t="n">
        <v>761942.7454652512</v>
      </c>
      <c r="H65" s="110" t="n">
        <v>1018193.110741311</v>
      </c>
      <c r="I65" s="110" t="n">
        <v>43585.2</v>
      </c>
      <c r="J65" s="33" t="n">
        <v>4</v>
      </c>
    </row>
    <row r="66" ht="30" customHeight="1">
      <c r="A66" s="12" t="n">
        <v>66</v>
      </c>
      <c r="B66" s="12" t="n">
        <v>66</v>
      </c>
      <c r="C66" s="105" t="n">
        <v>8955480.622083059</v>
      </c>
      <c r="D66" s="110" t="n">
        <v>6582890.232083818</v>
      </c>
      <c r="E66" s="110" t="n">
        <v>2315650.904003784</v>
      </c>
      <c r="F66" s="110" t="n">
        <v>3399879.529799067</v>
      </c>
      <c r="G66" s="110" t="n">
        <v>681757.0336834057</v>
      </c>
      <c r="H66" s="110" t="n">
        <v>987591.9397998259</v>
      </c>
      <c r="I66" s="110" t="n">
        <v>39697.2</v>
      </c>
      <c r="J66" s="33" t="n">
        <v>3</v>
      </c>
    </row>
    <row r="67" ht="30" customHeight="1">
      <c r="A67" s="12" t="n">
        <v>66</v>
      </c>
      <c r="B67" s="12" t="n">
        <v>67</v>
      </c>
      <c r="C67" s="105" t="n">
        <v>8649059.144112369</v>
      </c>
      <c r="D67" s="110" t="n">
        <v>6321163.02772555</v>
      </c>
      <c r="E67" s="110" t="n">
        <v>2053923.699645516</v>
      </c>
      <c r="F67" s="110" t="n">
        <v>3321266.08687569</v>
      </c>
      <c r="G67" s="110" t="n">
        <v>603143.5907600285</v>
      </c>
      <c r="H67" s="110" t="n">
        <v>960239.1704888695</v>
      </c>
      <c r="I67" s="110" t="n">
        <v>33130.8</v>
      </c>
      <c r="J67" s="33" t="n">
        <v>2</v>
      </c>
    </row>
    <row r="68" ht="30" customHeight="1">
      <c r="A68" s="12" t="n">
        <v>66</v>
      </c>
      <c r="B68" s="12" t="n">
        <v>68</v>
      </c>
      <c r="C68" s="105" t="n">
        <v>8340822.471282306</v>
      </c>
      <c r="D68" s="110" t="n">
        <v>6064226.453735988</v>
      </c>
      <c r="E68" s="110" t="n">
        <v>1796987.125655954</v>
      </c>
      <c r="F68" s="110" t="n">
        <v>3244194.084009633</v>
      </c>
      <c r="G68" s="110" t="n">
        <v>526071.5878939722</v>
      </c>
      <c r="H68" s="110" t="n">
        <v>937750.4664633155</v>
      </c>
      <c r="I68" s="110" t="n">
        <v>29847.6</v>
      </c>
      <c r="J68" s="33" t="n">
        <v>3</v>
      </c>
    </row>
    <row r="69" ht="30" customHeight="1">
      <c r="A69" s="12" t="n">
        <v>66</v>
      </c>
      <c r="B69" s="12" t="n">
        <v>69</v>
      </c>
      <c r="C69" s="105" t="n">
        <v>8007967.235992778</v>
      </c>
      <c r="D69" s="110" t="n">
        <v>5795288.269140169</v>
      </c>
      <c r="E69" s="110" t="n">
        <v>1528048.941060135</v>
      </c>
      <c r="F69" s="110" t="n">
        <v>3168633.296886049</v>
      </c>
      <c r="G69" s="110" t="n">
        <v>450510.8007703875</v>
      </c>
      <c r="H69" s="110" t="n">
        <v>926106.7300334409</v>
      </c>
      <c r="I69" s="110" t="n">
        <v>29847.6</v>
      </c>
      <c r="J69" s="33" t="n">
        <v>4</v>
      </c>
    </row>
    <row r="70" ht="30" customHeight="1">
      <c r="A70" s="12" t="n">
        <v>66</v>
      </c>
      <c r="B70" s="12" t="n">
        <v>70</v>
      </c>
      <c r="C70" s="105" t="n">
        <v>7690258.554631773</v>
      </c>
      <c r="D70" s="110" t="n">
        <v>5543548.660632866</v>
      </c>
      <c r="E70" s="110" t="n">
        <v>1276309.332552832</v>
      </c>
      <c r="F70" s="110" t="n">
        <v>3094554.093823711</v>
      </c>
      <c r="G70" s="110" t="n">
        <v>376431.5977080502</v>
      </c>
      <c r="H70" s="110" t="n">
        <v>917996.5998248026</v>
      </c>
      <c r="I70" s="110" t="n">
        <v>29847.6</v>
      </c>
      <c r="J70" s="33" t="n">
        <v>5</v>
      </c>
    </row>
    <row r="71" ht="30" customHeight="1">
      <c r="A71" s="12" t="n">
        <v>67</v>
      </c>
      <c r="B71" s="12" t="n">
        <v>62</v>
      </c>
      <c r="C71" s="105" t="n">
        <v>9219187.306744099</v>
      </c>
      <c r="D71" s="110" t="n">
        <v>6784171.207780275</v>
      </c>
      <c r="E71" s="110" t="n">
        <v>2516931.879700241</v>
      </c>
      <c r="F71" s="110" t="n">
        <v>3480162.835947033</v>
      </c>
      <c r="G71" s="110" t="n">
        <v>762040.3398313713</v>
      </c>
      <c r="H71" s="110" t="n">
        <v>1004844.736983208</v>
      </c>
      <c r="I71" s="110" t="n">
        <v>40302</v>
      </c>
      <c r="J71" s="33" t="n">
        <v>5</v>
      </c>
    </row>
    <row r="72" ht="30" customHeight="1">
      <c r="A72" s="12" t="n">
        <v>67</v>
      </c>
      <c r="B72" s="12" t="n">
        <v>63</v>
      </c>
      <c r="C72" s="105" t="n">
        <v>9115105.782023368</v>
      </c>
      <c r="D72" s="110" t="n">
        <v>6705967.625297766</v>
      </c>
      <c r="E72" s="110" t="n">
        <v>2438728.297217732</v>
      </c>
      <c r="F72" s="110" t="n">
        <v>3447180.672318445</v>
      </c>
      <c r="G72" s="110" t="n">
        <v>729058.1762027834</v>
      </c>
      <c r="H72" s="110" t="n">
        <v>997740.5155928407</v>
      </c>
      <c r="I72" s="110" t="n">
        <v>40302</v>
      </c>
      <c r="J72" s="33" t="n">
        <v>5</v>
      </c>
    </row>
    <row r="73" ht="30" customHeight="1">
      <c r="A73" s="12" t="n">
        <v>67</v>
      </c>
      <c r="B73" s="12" t="n">
        <v>64</v>
      </c>
      <c r="C73" s="105" t="n">
        <v>9010112.312719665</v>
      </c>
      <c r="D73" s="110" t="n">
        <v>6627148.549670668</v>
      </c>
      <c r="E73" s="110" t="n">
        <v>2359909.221590634</v>
      </c>
      <c r="F73" s="110" t="n">
        <v>3414845.217780613</v>
      </c>
      <c r="G73" s="110" t="n">
        <v>696722.7216649521</v>
      </c>
      <c r="H73" s="110" t="n">
        <v>991579.4547316181</v>
      </c>
      <c r="I73" s="110" t="n">
        <v>40302</v>
      </c>
      <c r="J73" s="33" t="n">
        <v>5</v>
      </c>
    </row>
    <row r="74" ht="30" customHeight="1">
      <c r="A74" s="12" t="n">
        <v>67</v>
      </c>
      <c r="B74" s="12" t="n">
        <v>65</v>
      </c>
      <c r="C74" s="105" t="n">
        <v>8907217.349081254</v>
      </c>
      <c r="D74" s="110" t="n">
        <v>6549900.468189294</v>
      </c>
      <c r="E74" s="110" t="n">
        <v>2282661.140109261</v>
      </c>
      <c r="F74" s="110" t="n">
        <v>3383143.791763131</v>
      </c>
      <c r="G74" s="110" t="n">
        <v>665021.2956474698</v>
      </c>
      <c r="H74" s="110" t="n">
        <v>985524.9108711724</v>
      </c>
      <c r="I74" s="110" t="n">
        <v>40302</v>
      </c>
      <c r="J74" s="33" t="n">
        <v>5</v>
      </c>
    </row>
    <row r="75" ht="30" customHeight="1">
      <c r="A75" s="12" t="n">
        <v>67</v>
      </c>
      <c r="B75" s="12" t="n">
        <v>66</v>
      </c>
      <c r="C75" s="105" t="n">
        <v>8566389.993327558</v>
      </c>
      <c r="D75" s="110" t="n">
        <v>6258123.228628118</v>
      </c>
      <c r="E75" s="110" t="n">
        <v>1990883.900548084</v>
      </c>
      <c r="F75" s="110" t="n">
        <v>3302958.079981287</v>
      </c>
      <c r="G75" s="110" t="n">
        <v>584835.5838656253</v>
      </c>
      <c r="H75" s="110" t="n">
        <v>958277.315281846</v>
      </c>
      <c r="I75" s="110" t="n">
        <v>36414</v>
      </c>
      <c r="J75" s="33" t="n">
        <v>4</v>
      </c>
    </row>
    <row r="76" ht="30" customHeight="1">
      <c r="A76" s="12" t="n">
        <v>67</v>
      </c>
      <c r="B76" s="12" t="n">
        <v>67</v>
      </c>
      <c r="C76" s="105" t="n">
        <v>8261055.276484022</v>
      </c>
      <c r="D76" s="110" t="n">
        <v>6000316.090608248</v>
      </c>
      <c r="E76" s="110" t="n">
        <v>1733076.762528215</v>
      </c>
      <c r="F76" s="110" t="n">
        <v>3224344.637057909</v>
      </c>
      <c r="G76" s="110" t="n">
        <v>506222.1409422476</v>
      </c>
      <c r="H76" s="110" t="n">
        <v>933757.8511821363</v>
      </c>
      <c r="I76" s="110" t="n">
        <v>29847.6</v>
      </c>
      <c r="J76" s="33" t="n">
        <v>3</v>
      </c>
    </row>
    <row r="77" ht="30" customHeight="1">
      <c r="A77" s="12" t="n">
        <v>67</v>
      </c>
      <c r="B77" s="12" t="n">
        <v>68</v>
      </c>
      <c r="C77" s="105" t="n">
        <v>7910304.305561157</v>
      </c>
      <c r="D77" s="110" t="n">
        <v>5714957.543238726</v>
      </c>
      <c r="E77" s="110" t="n">
        <v>1447718.215158693</v>
      </c>
      <c r="F77" s="110" t="n">
        <v>3147272.634191853</v>
      </c>
      <c r="G77" s="110" t="n">
        <v>429150.1380761913</v>
      </c>
      <c r="H77" s="110" t="n">
        <v>922078.2718694231</v>
      </c>
      <c r="I77" s="110" t="n">
        <v>29847.6</v>
      </c>
      <c r="J77" s="33" t="n">
        <v>2</v>
      </c>
    </row>
    <row r="78" ht="30" customHeight="1">
      <c r="A78" s="12" t="n">
        <v>67</v>
      </c>
      <c r="B78" s="12" t="n">
        <v>69</v>
      </c>
      <c r="C78" s="105" t="n">
        <v>7579497.007485566</v>
      </c>
      <c r="D78" s="110" t="n">
        <v>5451244.866423108</v>
      </c>
      <c r="E78" s="110" t="n">
        <v>1184005.538343074</v>
      </c>
      <c r="F78" s="110" t="n">
        <v>3071711.847068268</v>
      </c>
      <c r="G78" s="110" t="n">
        <v>353589.3509526071</v>
      </c>
      <c r="H78" s="110" t="n">
        <v>913612.1060058112</v>
      </c>
      <c r="I78" s="110" t="n">
        <v>29847.6</v>
      </c>
      <c r="J78" s="33" t="n">
        <v>3</v>
      </c>
    </row>
    <row r="79" ht="30" customHeight="1">
      <c r="A79" s="12" t="n">
        <v>67</v>
      </c>
      <c r="B79" s="12" t="n">
        <v>70</v>
      </c>
      <c r="C79" s="105" t="n">
        <v>7258492.165099929</v>
      </c>
      <c r="D79" s="110" t="n">
        <v>5199505.257915807</v>
      </c>
      <c r="E79" s="110" t="n">
        <v>932265.9298357731</v>
      </c>
      <c r="F79" s="110" t="n">
        <v>2997632.644005931</v>
      </c>
      <c r="G79" s="110" t="n">
        <v>279510.1478902693</v>
      </c>
      <c r="H79" s="110" t="n">
        <v>908798.136821809</v>
      </c>
      <c r="I79" s="110" t="n">
        <v>29847.6</v>
      </c>
      <c r="J79" s="33" t="n">
        <v>4</v>
      </c>
    </row>
    <row r="80" ht="30" customHeight="1">
      <c r="A80" s="12" t="n">
        <v>68</v>
      </c>
      <c r="B80" s="12" t="n">
        <v>62</v>
      </c>
      <c r="C80" s="105" t="n">
        <v>8827295.050472695</v>
      </c>
      <c r="D80" s="110" t="n">
        <v>6462802.172748376</v>
      </c>
      <c r="E80" s="110" t="n">
        <v>2195562.844668342</v>
      </c>
      <c r="F80" s="110" t="n">
        <v>3385141.806713914</v>
      </c>
      <c r="G80" s="110" t="n">
        <v>667019.3105982528</v>
      </c>
      <c r="H80" s="110" t="n">
        <v>980346.9289895942</v>
      </c>
      <c r="I80" s="110" t="n">
        <v>40302</v>
      </c>
      <c r="J80" s="33" t="n">
        <v>6</v>
      </c>
    </row>
    <row r="81" ht="30" customHeight="1">
      <c r="A81" s="12" t="n">
        <v>68</v>
      </c>
      <c r="B81" s="12" t="n">
        <v>63</v>
      </c>
      <c r="C81" s="105" t="n">
        <v>8719462.120317597</v>
      </c>
      <c r="D81" s="110" t="n">
        <v>6382281.634371208</v>
      </c>
      <c r="E81" s="110" t="n">
        <v>2115042.306291174</v>
      </c>
      <c r="F81" s="110" t="n">
        <v>3352159.643085326</v>
      </c>
      <c r="G81" s="110" t="n">
        <v>634037.1469696648</v>
      </c>
      <c r="H81" s="110" t="n">
        <v>974677.1571389358</v>
      </c>
      <c r="I81" s="110" t="n">
        <v>40302</v>
      </c>
      <c r="J81" s="33" t="n">
        <v>6</v>
      </c>
    </row>
    <row r="82" ht="30" customHeight="1">
      <c r="A82" s="12" t="n">
        <v>68</v>
      </c>
      <c r="B82" s="12" t="n">
        <v>64</v>
      </c>
      <c r="C82" s="105" t="n">
        <v>8613757.968211178</v>
      </c>
      <c r="D82" s="110" t="n">
        <v>6303349.159133811</v>
      </c>
      <c r="E82" s="110" t="n">
        <v>2036109.831053778</v>
      </c>
      <c r="F82" s="110" t="n">
        <v>3319824.188547494</v>
      </c>
      <c r="G82" s="110" t="n">
        <v>601701.6924318331</v>
      </c>
      <c r="H82" s="110" t="n">
        <v>969113.3794701295</v>
      </c>
      <c r="I82" s="110" t="n">
        <v>40302</v>
      </c>
      <c r="J82" s="33" t="n">
        <v>6</v>
      </c>
    </row>
    <row r="83" ht="30" customHeight="1">
      <c r="A83" s="12" t="n">
        <v>68</v>
      </c>
      <c r="B83" s="12" t="n">
        <v>65</v>
      </c>
      <c r="C83" s="105" t="n">
        <v>8504763.725462407</v>
      </c>
      <c r="D83" s="110" t="n">
        <v>6221877.932117228</v>
      </c>
      <c r="E83" s="110" t="n">
        <v>1954638.604037195</v>
      </c>
      <c r="F83" s="110" t="n">
        <v>3288122.762530013</v>
      </c>
      <c r="G83" s="110" t="n">
        <v>570000.2664143518</v>
      </c>
      <c r="H83" s="110" t="n">
        <v>964934.9691848347</v>
      </c>
      <c r="I83" s="110" t="n">
        <v>40302</v>
      </c>
      <c r="J83" s="33" t="n">
        <v>6</v>
      </c>
    </row>
    <row r="84" ht="30" customHeight="1">
      <c r="A84" s="12" t="n">
        <v>68</v>
      </c>
      <c r="B84" s="12" t="n">
        <v>66</v>
      </c>
      <c r="C84" s="105" t="n">
        <v>8165794.492379809</v>
      </c>
      <c r="D84" s="110" t="n">
        <v>5934082.704709554</v>
      </c>
      <c r="E84" s="110" t="n">
        <v>1666843.37662952</v>
      </c>
      <c r="F84" s="110" t="n">
        <v>3207937.050748168</v>
      </c>
      <c r="G84" s="110" t="n">
        <v>489814.5546325068</v>
      </c>
      <c r="H84" s="110" t="n">
        <v>939811.2630779126</v>
      </c>
      <c r="I84" s="110" t="n">
        <v>36414</v>
      </c>
      <c r="J84" s="33" t="n">
        <v>5</v>
      </c>
    </row>
    <row r="85" ht="30" customHeight="1">
      <c r="A85" s="12" t="n">
        <v>68</v>
      </c>
      <c r="B85" s="12" t="n">
        <v>67</v>
      </c>
      <c r="C85" s="105" t="n">
        <v>7849383.580268901</v>
      </c>
      <c r="D85" s="110" t="n">
        <v>5670287.305606198</v>
      </c>
      <c r="E85" s="110" t="n">
        <v>1403047.977526164</v>
      </c>
      <c r="F85" s="110" t="n">
        <v>3129323.60782479</v>
      </c>
      <c r="G85" s="110" t="n">
        <v>411201.1117091291</v>
      </c>
      <c r="H85" s="110" t="n">
        <v>920379.7331620883</v>
      </c>
      <c r="I85" s="110" t="n">
        <v>29847.6</v>
      </c>
      <c r="J85" s="33" t="n">
        <v>4</v>
      </c>
    </row>
    <row r="86" ht="30" customHeight="1">
      <c r="A86" s="12" t="n">
        <v>68</v>
      </c>
      <c r="B86" s="12" t="n">
        <v>68</v>
      </c>
      <c r="C86" s="105" t="n">
        <v>7500862.384487033</v>
      </c>
      <c r="D86" s="110" t="n">
        <v>5390154.266016874</v>
      </c>
      <c r="E86" s="110" t="n">
        <v>1122914.937936841</v>
      </c>
      <c r="F86" s="110" t="n">
        <v>3052251.604958734</v>
      </c>
      <c r="G86" s="110" t="n">
        <v>334129.1088430728</v>
      </c>
      <c r="H86" s="110" t="n">
        <v>911695.886488575</v>
      </c>
      <c r="I86" s="110" t="n">
        <v>29847.6</v>
      </c>
      <c r="J86" s="33" t="n">
        <v>3</v>
      </c>
    </row>
    <row r="87" ht="30" customHeight="1">
      <c r="A87" s="12" t="n">
        <v>68</v>
      </c>
      <c r="B87" s="12" t="n">
        <v>69</v>
      </c>
      <c r="C87" s="105" t="n">
        <v>7160748.350558641</v>
      </c>
      <c r="D87" s="110" t="n">
        <v>5121216.081421057</v>
      </c>
      <c r="E87" s="110" t="n">
        <v>853976.7533410229</v>
      </c>
      <c r="F87" s="110" t="n">
        <v>2976690.81783515</v>
      </c>
      <c r="G87" s="110" t="n">
        <v>258568.3217194886</v>
      </c>
      <c r="H87" s="110" t="n">
        <v>907310.9486975663</v>
      </c>
      <c r="I87" s="110" t="n">
        <v>29847.6</v>
      </c>
      <c r="J87" s="33" t="n">
        <v>2</v>
      </c>
    </row>
    <row r="88" ht="30" customHeight="1">
      <c r="A88" s="12" t="n">
        <v>68</v>
      </c>
      <c r="B88" s="12" t="n">
        <v>70</v>
      </c>
      <c r="C88" s="105" t="n">
        <v>6841083.292352648</v>
      </c>
      <c r="D88" s="110" t="n">
        <v>4873051.69515699</v>
      </c>
      <c r="E88" s="110" t="n">
        <v>605812.3670769557</v>
      </c>
      <c r="F88" s="110" t="n">
        <v>2902611.614772812</v>
      </c>
      <c r="G88" s="110" t="n">
        <v>184489.1186571508</v>
      </c>
      <c r="H88" s="110" t="n">
        <v>904732.4175771542</v>
      </c>
      <c r="I88" s="110" t="n">
        <v>29847.6</v>
      </c>
      <c r="J88" s="33" t="n">
        <v>3</v>
      </c>
    </row>
    <row r="89" ht="30" customHeight="1">
      <c r="A89" s="12" t="n">
        <v>69</v>
      </c>
      <c r="B89" s="12" t="n">
        <v>62</v>
      </c>
      <c r="C89" s="105" t="n">
        <v>8441877.657228583</v>
      </c>
      <c r="D89" s="110" t="n">
        <v>6153851.6339038</v>
      </c>
      <c r="E89" s="110" t="n">
        <v>1886612.305823766</v>
      </c>
      <c r="F89" s="110" t="n">
        <v>3292103.233900905</v>
      </c>
      <c r="G89" s="110" t="n">
        <v>573980.7377852439</v>
      </c>
      <c r="H89" s="110" t="n">
        <v>963775.2105761213</v>
      </c>
      <c r="I89" s="110" t="n">
        <v>40302</v>
      </c>
      <c r="J89" s="33" t="n">
        <v>7</v>
      </c>
    </row>
    <row r="90" ht="30" customHeight="1">
      <c r="A90" s="12" t="n">
        <v>69</v>
      </c>
      <c r="B90" s="12" t="n">
        <v>63</v>
      </c>
      <c r="C90" s="105" t="n">
        <v>8332929.87700888</v>
      </c>
      <c r="D90" s="110" t="n">
        <v>6073237.757173136</v>
      </c>
      <c r="E90" s="110" t="n">
        <v>1805998.429093102</v>
      </c>
      <c r="F90" s="110" t="n">
        <v>3259001.771288151</v>
      </c>
      <c r="G90" s="110" t="n">
        <v>540879.2751724902</v>
      </c>
      <c r="H90" s="110" t="n">
        <v>959007.6514524074</v>
      </c>
      <c r="I90" s="110" t="n">
        <v>40302</v>
      </c>
      <c r="J90" s="33" t="n">
        <v>7</v>
      </c>
    </row>
    <row r="91" ht="30" customHeight="1">
      <c r="A91" s="12" t="n">
        <v>69</v>
      </c>
      <c r="B91" s="12" t="n">
        <v>64</v>
      </c>
      <c r="C91" s="105" t="n">
        <v>8226245.269669264</v>
      </c>
      <c r="D91" s="110" t="n">
        <v>5994305.281935738</v>
      </c>
      <c r="E91" s="110" t="n">
        <v>1727065.953855705</v>
      </c>
      <c r="F91" s="110" t="n">
        <v>3226666.31675032</v>
      </c>
      <c r="G91" s="110" t="n">
        <v>508543.8206346589</v>
      </c>
      <c r="H91" s="110" t="n">
        <v>954424.3290167948</v>
      </c>
      <c r="I91" s="110" t="n">
        <v>40302</v>
      </c>
      <c r="J91" s="33" t="n">
        <v>7</v>
      </c>
    </row>
    <row r="92" ht="30" customHeight="1">
      <c r="A92" s="12" t="n">
        <v>69</v>
      </c>
      <c r="B92" s="12" t="n">
        <v>65</v>
      </c>
      <c r="C92" s="105" t="n">
        <v>8121652.457762664</v>
      </c>
      <c r="D92" s="110" t="n">
        <v>5916920.447901776</v>
      </c>
      <c r="E92" s="110" t="n">
        <v>1649681.119821742</v>
      </c>
      <c r="F92" s="110" t="n">
        <v>3194964.890732838</v>
      </c>
      <c r="G92" s="110" t="n">
        <v>476842.3946171771</v>
      </c>
      <c r="H92" s="110" t="n">
        <v>949930.8808719502</v>
      </c>
      <c r="I92" s="110" t="n">
        <v>40302</v>
      </c>
      <c r="J92" s="33" t="n">
        <v>7</v>
      </c>
    </row>
    <row r="93" ht="30" customHeight="1">
      <c r="A93" s="12" t="n">
        <v>69</v>
      </c>
      <c r="B93" s="12" t="n">
        <v>66</v>
      </c>
      <c r="C93" s="105" t="n">
        <v>7775219.579937185</v>
      </c>
      <c r="D93" s="110" t="n">
        <v>5625038.827511482</v>
      </c>
      <c r="E93" s="110" t="n">
        <v>1357799.499431448</v>
      </c>
      <c r="F93" s="110" t="n">
        <v>3114779.178950993</v>
      </c>
      <c r="G93" s="110" t="n">
        <v>396656.6828353321</v>
      </c>
      <c r="H93" s="110" t="n">
        <v>928184.4265252899</v>
      </c>
      <c r="I93" s="110" t="n">
        <v>36414</v>
      </c>
      <c r="J93" s="33" t="n">
        <v>6</v>
      </c>
    </row>
    <row r="94" ht="30" customHeight="1">
      <c r="A94" s="12" t="n">
        <v>69</v>
      </c>
      <c r="B94" s="12" t="n">
        <v>67</v>
      </c>
      <c r="C94" s="105" t="n">
        <v>7450951.0361188</v>
      </c>
      <c r="D94" s="110" t="n">
        <v>5357157.035425503</v>
      </c>
      <c r="E94" s="110" t="n">
        <v>1089917.707345469</v>
      </c>
      <c r="F94" s="110" t="n">
        <v>3036165.736027616</v>
      </c>
      <c r="G94" s="110" t="n">
        <v>318043.2399119544</v>
      </c>
      <c r="H94" s="110" t="n">
        <v>912524.1353343189</v>
      </c>
      <c r="I94" s="110" t="n">
        <v>29847.6</v>
      </c>
      <c r="J94" s="33" t="n">
        <v>5</v>
      </c>
    </row>
    <row r="95" ht="30" customHeight="1">
      <c r="A95" s="12" t="n">
        <v>69</v>
      </c>
      <c r="B95" s="12" t="n">
        <v>68</v>
      </c>
      <c r="C95" s="105" t="n">
        <v>7104114.541326134</v>
      </c>
      <c r="D95" s="110" t="n">
        <v>5081110.388818804</v>
      </c>
      <c r="E95" s="110" t="n">
        <v>813871.0607387703</v>
      </c>
      <c r="F95" s="110" t="n">
        <v>2959093.73316156</v>
      </c>
      <c r="G95" s="110" t="n">
        <v>240971.2370458986</v>
      </c>
      <c r="H95" s="110" t="n">
        <v>906241.9806542299</v>
      </c>
      <c r="I95" s="110" t="n">
        <v>29847.6</v>
      </c>
      <c r="J95" s="33" t="n">
        <v>4</v>
      </c>
    </row>
    <row r="96" ht="30" customHeight="1">
      <c r="A96" s="12" t="n">
        <v>69</v>
      </c>
      <c r="B96" s="12" t="n">
        <v>69</v>
      </c>
      <c r="C96" s="105" t="n">
        <v>6763399.456907333</v>
      </c>
      <c r="D96" s="110" t="n">
        <v>4814201.188397331</v>
      </c>
      <c r="E96" s="110" t="n">
        <v>546961.8603172973</v>
      </c>
      <c r="F96" s="110" t="n">
        <v>2883532.946037975</v>
      </c>
      <c r="G96" s="110" t="n">
        <v>165410.4499223139</v>
      </c>
      <c r="H96" s="110" t="n">
        <v>904487.0775279737</v>
      </c>
      <c r="I96" s="110" t="n">
        <v>29847.6</v>
      </c>
      <c r="J96" s="33" t="n">
        <v>3</v>
      </c>
    </row>
    <row r="97" ht="30" customHeight="1">
      <c r="A97" s="12" t="n">
        <v>69</v>
      </c>
      <c r="B97" s="12" t="n">
        <v>70</v>
      </c>
      <c r="C97" s="105" t="n">
        <v>6479288.741028417</v>
      </c>
      <c r="D97" s="110" t="n">
        <v>4581802.33385753</v>
      </c>
      <c r="E97" s="110" t="n">
        <v>314563.0057774959</v>
      </c>
      <c r="F97" s="110" t="n">
        <v>2809453.742975637</v>
      </c>
      <c r="G97" s="110" t="n">
        <v>91331.24685997609</v>
      </c>
      <c r="H97" s="110" t="n">
        <v>884286.9358047496</v>
      </c>
      <c r="I97" s="110" t="n">
        <v>27680.4</v>
      </c>
      <c r="J97" s="33" t="n">
        <v>2</v>
      </c>
    </row>
    <row r="98" ht="30" customHeight="1">
      <c r="A98" s="12" t="n">
        <v>70</v>
      </c>
      <c r="B98" s="12" t="n">
        <v>62</v>
      </c>
      <c r="C98" s="105" t="n">
        <v>8075226.210189905</v>
      </c>
      <c r="D98" s="110" t="n">
        <v>5865933.483603242</v>
      </c>
      <c r="E98" s="110" t="n">
        <v>1598694.155523208</v>
      </c>
      <c r="F98" s="110" t="n">
        <v>3202359.136392723</v>
      </c>
      <c r="G98" s="110" t="n">
        <v>484236.6402770616</v>
      </c>
      <c r="H98" s="110" t="n">
        <v>952764.4098060594</v>
      </c>
      <c r="I98" s="110" t="n">
        <v>40302</v>
      </c>
      <c r="J98" s="33" t="n">
        <v>8</v>
      </c>
    </row>
    <row r="99" ht="30" customHeight="1">
      <c r="A99" s="12" t="n">
        <v>70</v>
      </c>
      <c r="B99" s="12" t="n">
        <v>63</v>
      </c>
      <c r="C99" s="105" t="n">
        <v>7963327.306841257</v>
      </c>
      <c r="D99" s="110" t="n">
        <v>5784046.579294249</v>
      </c>
      <c r="E99" s="110" t="n">
        <v>1516807.251214216</v>
      </c>
      <c r="F99" s="110" t="n">
        <v>3167787.484216573</v>
      </c>
      <c r="G99" s="110" t="n">
        <v>449664.988100912</v>
      </c>
      <c r="H99" s="110" t="n">
        <v>948204.7566695653</v>
      </c>
      <c r="I99" s="110" t="n">
        <v>40302</v>
      </c>
      <c r="J99" s="33" t="n">
        <v>8</v>
      </c>
    </row>
    <row r="100" ht="30" customHeight="1">
      <c r="A100" s="12" t="n">
        <v>70</v>
      </c>
      <c r="B100" s="12" t="n">
        <v>64</v>
      </c>
      <c r="C100" s="105" t="n">
        <v>7856042.332407989</v>
      </c>
      <c r="D100" s="110" t="n">
        <v>5705013.310450407</v>
      </c>
      <c r="E100" s="110" t="n">
        <v>1437773.982370373</v>
      </c>
      <c r="F100" s="110" t="n">
        <v>3135335.069890344</v>
      </c>
      <c r="G100" s="110" t="n">
        <v>417212.5737746828</v>
      </c>
      <c r="H100" s="110" t="n">
        <v>944004.0479327625</v>
      </c>
      <c r="I100" s="110" t="n">
        <v>40302</v>
      </c>
      <c r="J100" s="33" t="n">
        <v>8</v>
      </c>
    </row>
    <row r="101" ht="30" customHeight="1">
      <c r="A101" s="12" t="n">
        <v>70</v>
      </c>
      <c r="B101" s="12" t="n">
        <v>65</v>
      </c>
      <c r="C101" s="105" t="n">
        <v>7750823.487918755</v>
      </c>
      <c r="D101" s="110" t="n">
        <v>5627628.476416446</v>
      </c>
      <c r="E101" s="110" t="n">
        <v>1360389.148336412</v>
      </c>
      <c r="F101" s="110" t="n">
        <v>3103633.643872862</v>
      </c>
      <c r="G101" s="110" t="n">
        <v>385511.147757201</v>
      </c>
      <c r="H101" s="110" t="n">
        <v>940136.6323705543</v>
      </c>
      <c r="I101" s="110" t="n">
        <v>40302</v>
      </c>
      <c r="J101" s="33" t="n">
        <v>8</v>
      </c>
    </row>
    <row r="102" ht="30" customHeight="1">
      <c r="A102" s="12" t="n">
        <v>70</v>
      </c>
      <c r="B102" s="12" t="n">
        <v>66</v>
      </c>
      <c r="C102" s="105" t="n">
        <v>7402486.205650543</v>
      </c>
      <c r="D102" s="110" t="n">
        <v>5335746.85602615</v>
      </c>
      <c r="E102" s="110" t="n">
        <v>1068507.527946116</v>
      </c>
      <c r="F102" s="110" t="n">
        <v>3023447.932091017</v>
      </c>
      <c r="G102" s="110" t="n">
        <v>305325.435975356</v>
      </c>
      <c r="H102" s="110" t="n">
        <v>920294.582466625</v>
      </c>
      <c r="I102" s="110" t="n">
        <v>36414</v>
      </c>
      <c r="J102" s="33" t="n">
        <v>7</v>
      </c>
    </row>
    <row r="103" ht="30" customHeight="1">
      <c r="A103" s="12" t="n">
        <v>70</v>
      </c>
      <c r="B103" s="12" t="n">
        <v>67</v>
      </c>
      <c r="C103" s="105" t="n">
        <v>7072544.924414732</v>
      </c>
      <c r="D103" s="110" t="n">
        <v>5065498.627602994</v>
      </c>
      <c r="E103" s="110" t="n">
        <v>798259.2995229596</v>
      </c>
      <c r="F103" s="110" t="n">
        <v>2944834.48916764</v>
      </c>
      <c r="G103" s="110" t="n">
        <v>226711.9930519788</v>
      </c>
      <c r="H103" s="110" t="n">
        <v>907940.592355902</v>
      </c>
      <c r="I103" s="110" t="n">
        <v>29847.6</v>
      </c>
      <c r="J103" s="33" t="n">
        <v>6</v>
      </c>
    </row>
    <row r="104" ht="30" customHeight="1">
      <c r="A104" s="12" t="n">
        <v>70</v>
      </c>
      <c r="B104" s="12" t="n">
        <v>68</v>
      </c>
      <c r="C104" s="105" t="n">
        <v>6733737.297241938</v>
      </c>
      <c r="D104" s="110" t="n">
        <v>4798437.852588547</v>
      </c>
      <c r="E104" s="110" t="n">
        <v>531198.5245085135</v>
      </c>
      <c r="F104" s="110" t="n">
        <v>2867762.486301584</v>
      </c>
      <c r="G104" s="110" t="n">
        <v>149639.9901859225</v>
      </c>
      <c r="H104" s="110" t="n">
        <v>902615.4416481939</v>
      </c>
      <c r="I104" s="110" t="n">
        <v>29847.6</v>
      </c>
      <c r="J104" s="33" t="n">
        <v>5</v>
      </c>
    </row>
    <row r="105" ht="30" customHeight="1">
      <c r="A105" s="12" t="n">
        <v>70</v>
      </c>
      <c r="B105" s="12" t="n">
        <v>69</v>
      </c>
      <c r="C105" s="105" t="n">
        <v>6425318.54460316</v>
      </c>
      <c r="D105" s="110" t="n">
        <v>4540179.073135396</v>
      </c>
      <c r="E105" s="110" t="n">
        <v>272939.7450553626</v>
      </c>
      <c r="F105" s="110" t="n">
        <v>2792201.699177999</v>
      </c>
      <c r="G105" s="110" t="n">
        <v>74079.20306233782</v>
      </c>
      <c r="H105" s="110" t="n">
        <v>879381.8277102354</v>
      </c>
      <c r="I105" s="110" t="n">
        <v>27680.4</v>
      </c>
      <c r="J105" s="33" t="n">
        <v>4</v>
      </c>
    </row>
    <row r="106" ht="30" customHeight="1">
      <c r="A106" s="114" t="n">
        <v>70</v>
      </c>
      <c r="B106" s="114" t="n">
        <v>70</v>
      </c>
      <c r="C106" s="115" t="n">
        <v>6124092.588183741</v>
      </c>
      <c r="D106" s="115" t="n">
        <v>4300748.235829093</v>
      </c>
      <c r="E106" s="115" t="n">
        <v>33508.90774905868</v>
      </c>
      <c r="F106" s="115" t="n">
        <v>2718122.496115661</v>
      </c>
      <c r="G106" s="115" t="n">
        <v>0</v>
      </c>
      <c r="H106" s="115" t="n">
        <v>867097.7437610126</v>
      </c>
      <c r="I106" s="115" t="n">
        <v>27680.4</v>
      </c>
      <c r="J106" s="114" t="n">
        <v>3</v>
      </c>
    </row>
    <row r="107"/>
    <row r="108" ht="60" customHeight="1">
      <c r="A108" s="114"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8" t="inlineStr">
        <is>
          <t>Salary only ($60,000/yr)</t>
        </is>
      </c>
      <c r="E3" s="3" t="n"/>
      <c r="F3" s="4" t="n"/>
      <c r="G3" s="98"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8" t="inlineStr">
        <is>
          <t>20% of W-2 wages + allocable basis</t>
        </is>
      </c>
      <c r="E5" s="3" t="n"/>
      <c r="F5" s="4" t="n"/>
      <c r="G5" s="98"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8" t="inlineStr">
        <is>
          <t>$1,500–$3,000/yr (payroll, returns)</t>
        </is>
      </c>
      <c r="E7" s="3" t="n"/>
      <c r="F7" s="4" t="n"/>
      <c r="G7" s="98"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8" t="inlineStr">
        <is>
          <t>Added to W-2 box 1; deducted via Sch 1</t>
        </is>
      </c>
      <c r="E9" s="3" t="n"/>
      <c r="F9" s="4" t="n"/>
      <c r="G9" s="98"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8" t="inlineStr">
        <is>
          <t>Moderate (reasonable salary scrutiny)</t>
        </is>
      </c>
      <c r="E11" s="3" t="n"/>
      <c r="F11" s="4" t="n"/>
      <c r="G11" s="98" t="inlineStr">
        <is>
          <t>Higher SE income triggers</t>
        </is>
      </c>
      <c r="H11" s="4" t="n"/>
    </row>
    <row r="12" ht="30" customHeight="1">
      <c r="A12" s="93"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4"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6" t="inlineStr">
        <is>
          <t>TRUE</t>
        </is>
      </c>
      <c r="D20" s="75" t="inlineStr">
        <is>
          <t>False</t>
        </is>
      </c>
      <c r="E20" s="12" t="inlineStr">
        <is>
          <t>Enable DAF in Plan Data / System</t>
        </is>
      </c>
      <c r="F20" s="4" t="n"/>
    </row>
    <row r="21" ht="30" customHeight="1">
      <c r="A21" s="11" t="inlineStr">
        <is>
          <t>Contribution Year</t>
        </is>
      </c>
      <c r="B21" s="4" t="n"/>
      <c r="C21" s="116" t="inlineStr">
        <is>
          <t>2026</t>
        </is>
      </c>
      <c r="D21" s="114" t="inlineStr">
        <is>
          <t>2026</t>
        </is>
      </c>
      <c r="E21" s="12" t="inlineStr">
        <is>
          <t>Highest income year; max SALT headroom</t>
        </is>
      </c>
      <c r="F21" s="4" t="n"/>
    </row>
    <row r="22" ht="30" customHeight="1">
      <c r="A22" s="11" t="inlineStr">
        <is>
          <t>Contribution Amount</t>
        </is>
      </c>
      <c r="B22" s="4" t="n"/>
      <c r="C22" s="116" t="inlineStr">
        <is>
          <t>$20,000</t>
        </is>
      </c>
      <c r="D22" s="114" t="inlineStr">
        <is>
          <t>$20,000</t>
        </is>
      </c>
      <c r="E22" s="12" t="inlineStr">
        <is>
          <t>5 yrs × $4,000/yr avg; ≤ 60% AGI limit $156,600</t>
        </is>
      </c>
      <c r="F22" s="4" t="n"/>
    </row>
    <row r="23" ht="30" customHeight="1">
      <c r="A23" s="11" t="inlineStr">
        <is>
          <t>Est. Tax Savings</t>
        </is>
      </c>
      <c r="B23" s="4" t="n"/>
      <c r="C23" s="116" t="inlineStr">
        <is>
          <t>$4,800</t>
        </is>
      </c>
      <c r="D23" s="75" t="inlineStr">
        <is>
          <t>N/A</t>
        </is>
      </c>
      <c r="E23" s="12" t="inlineStr">
        <is>
          <t>At 24% marginal rate; actual depends on final AGI</t>
        </is>
      </c>
      <c r="F23" s="4" t="n"/>
    </row>
    <row r="24" ht="30" customHeight="1">
      <c r="A24" s="11" t="inlineStr">
        <is>
          <t>Annual Grant Amount</t>
        </is>
      </c>
      <c r="B24" s="4" t="n"/>
      <c r="C24" s="116" t="inlineStr">
        <is>
          <t>$4,000/yr</t>
        </is>
      </c>
      <c r="D24" s="114" t="inlineStr">
        <is>
          <t>$4,000/yr</t>
        </is>
      </c>
      <c r="E24" s="12" t="inlineStr">
        <is>
          <t>Replace ongoing charitable cash spending from DAF</t>
        </is>
      </c>
      <c r="F24" s="4" t="n"/>
    </row>
    <row r="25" ht="30" customHeight="1">
      <c r="A25" s="11" t="inlineStr">
        <is>
          <t>Grant Start Year</t>
        </is>
      </c>
      <c r="B25" s="4" t="n"/>
      <c r="C25" s="116" t="inlineStr">
        <is>
          <t>2027</t>
        </is>
      </c>
      <c r="D25" s="114" t="inlineStr">
        <is>
          <t>2027</t>
        </is>
      </c>
      <c r="E25" s="12" t="inlineStr">
        <is>
          <t>Begin distributing year after contribution</t>
        </is>
      </c>
      <c r="F25" s="4" t="n"/>
    </row>
    <row r="26" ht="15" customHeight="1">
      <c r="A26" s="11" t="inlineStr">
        <is>
          <t>Grant End Year</t>
        </is>
      </c>
      <c r="B26" s="4" t="n"/>
      <c r="C26" s="116" t="inlineStr">
        <is>
          <t>2031</t>
        </is>
      </c>
      <c r="D26" s="114" t="inlineStr">
        <is>
          <t>2031</t>
        </is>
      </c>
      <c r="E26" s="12" t="inlineStr">
        <is>
          <t>Spread over 5 years</t>
        </is>
      </c>
      <c r="F26" s="4" t="n"/>
    </row>
    <row r="27"/>
    <row r="28" ht="45" customHeight="1">
      <c r="A28" s="117"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7" t="n">
        <v>4519256.050424207</v>
      </c>
    </row>
    <row r="5" ht="30" customHeight="1">
      <c r="A5" s="11" t="inlineStr">
        <is>
          <t>At Second Death (2056)</t>
        </is>
      </c>
      <c r="B5" s="107" t="n">
        <v>4267239.328080034</v>
      </c>
    </row>
    <row r="6"/>
    <row r="7" ht="15" customHeight="1">
      <c r="A7" s="10" t="inlineStr">
        <is>
          <t>Federal Estate Tax</t>
        </is>
      </c>
      <c r="B7" s="3" t="n"/>
      <c r="C7" s="3" t="n"/>
      <c r="D7" s="4" t="n"/>
    </row>
    <row r="8" ht="30" customHeight="1">
      <c r="A8" s="12" t="inlineStr">
        <is>
          <t>Federal Exemption (MFJ, OBBBA)</t>
        </is>
      </c>
      <c r="B8" s="105" t="n">
        <v>30000000</v>
      </c>
    </row>
    <row r="9" ht="30" customHeight="1">
      <c r="A9" s="12" t="inlineStr">
        <is>
          <t>Projected Estate at Second Death</t>
        </is>
      </c>
      <c r="B9" s="105" t="n">
        <v>4267239.328080034</v>
      </c>
    </row>
    <row r="10" ht="30" customHeight="1">
      <c r="A10" s="2" t="inlineStr">
        <is>
          <t>Est. Federal Estate Tax</t>
        </is>
      </c>
      <c r="B10" s="107"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5" t="n">
        <v>4000000</v>
      </c>
    </row>
    <row r="15" ht="30" customHeight="1">
      <c r="A15" s="12" t="inlineStr">
        <is>
          <t>Estate over IL Exemption</t>
        </is>
      </c>
      <c r="B15" s="105" t="n">
        <v>267239.3280800339</v>
      </c>
    </row>
    <row r="16" ht="45" customHeight="1">
      <c r="A16" s="2" t="inlineStr">
        <is>
          <t>Est. IL Estate Tax (cliff/interrelated calc)</t>
        </is>
      </c>
      <c r="B16" s="118" t="n">
        <v>284812.4402509184</v>
      </c>
    </row>
    <row r="17" ht="90" customHeight="1">
      <c r="A17" s="119"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20" t="inlineStr">
        <is>
          <t>Status</t>
        </is>
      </c>
      <c r="B26" s="114" t="inlineStr">
        <is>
          <t>DISABLED — consider enabling</t>
        </is>
      </c>
      <c r="C26" s="3" t="n"/>
      <c r="D26" s="4" t="n"/>
    </row>
    <row r="27" ht="15" customHeight="1">
      <c r="A27" s="120" t="inlineStr">
        <is>
          <t>Funding Amount</t>
        </is>
      </c>
      <c r="B27" s="114" t="inlineStr">
        <is>
          <t>All remaining marital assets</t>
        </is>
      </c>
      <c r="C27" s="3" t="n"/>
      <c r="D27" s="4" t="n"/>
    </row>
    <row r="28" ht="45" customHeight="1">
      <c r="A28" s="120" t="inlineStr">
        <is>
          <t>Purpose</t>
        </is>
      </c>
      <c r="B28" s="114" t="inlineStr">
        <is>
          <t>Qualifies for unlimited marital deduction; surviving spouse receives all income; executor controls remainder beneficiaries</t>
        </is>
      </c>
      <c r="C28" s="3" t="n"/>
      <c r="D28" s="4" t="n"/>
    </row>
    <row r="29" ht="30" customHeight="1">
      <c r="A29" s="120" t="inlineStr">
        <is>
          <t>Manages Annuity</t>
        </is>
      </c>
      <c r="B29" s="114" t="inlineStr">
        <is>
          <t>YES — annuity income flows to QTIP trustee after first death</t>
        </is>
      </c>
      <c r="C29" s="3" t="n"/>
      <c r="D29" s="4" t="n"/>
    </row>
    <row r="30" ht="45" customHeight="1">
      <c r="A30" s="120" t="inlineStr">
        <is>
          <t>Tax Effect</t>
        </is>
      </c>
      <c r="B30" s="114" t="inlineStr">
        <is>
          <t>Defers estate tax on marital share to second death; QTIP assets included in survivor's gross estate</t>
        </is>
      </c>
      <c r="C30" s="3" t="n"/>
      <c r="D30" s="4" t="n"/>
    </row>
    <row r="31" ht="30" customHeight="1">
      <c r="A31" s="120" t="inlineStr">
        <is>
          <t>Key Requirement</t>
        </is>
      </c>
      <c r="B31" s="114" t="inlineStr">
        <is>
          <t>Executor must file QTIP election on Form 706 by estate tax return due date</t>
        </is>
      </c>
      <c r="C31" s="3" t="n"/>
      <c r="D31" s="4" t="n"/>
    </row>
    <row r="32" ht="15" customHeight="1">
      <c r="A32" s="120" t="inlineStr">
        <is>
          <t>Cost</t>
        </is>
      </c>
      <c r="B32" s="114" t="inlineStr">
        <is>
          <t>$3,000–$5,000 drafting; $1,000–$2,000/yr admin</t>
        </is>
      </c>
      <c r="C32" s="3" t="n"/>
      <c r="D32" s="4" t="n"/>
    </row>
    <row r="33"/>
    <row r="34" ht="15" customHeight="1">
      <c r="A34" s="20" t="inlineStr">
        <is>
          <t>Credit Shelter Trust (Bypass Trust)  [ENABLED]</t>
        </is>
      </c>
      <c r="B34" s="3" t="n"/>
      <c r="C34" s="3" t="n"/>
      <c r="D34" s="4" t="n"/>
    </row>
    <row r="35" ht="15" customHeight="1">
      <c r="A35" s="93" t="inlineStr">
        <is>
          <t>Status</t>
        </is>
      </c>
      <c r="B35" s="75" t="inlineStr">
        <is>
          <t>ENABLED — Credit Shelter Trust in place</t>
        </is>
      </c>
      <c r="C35" s="3" t="n"/>
      <c r="D35" s="4" t="n"/>
    </row>
    <row r="36" ht="15" customHeight="1">
      <c r="A36" s="93" t="inlineStr">
        <is>
          <t>Funding Amount</t>
        </is>
      </c>
      <c r="B36" s="75" t="inlineStr">
        <is>
          <t>$4,000,000 (= IL exemption amount)</t>
        </is>
      </c>
      <c r="C36" s="3" t="n"/>
      <c r="D36" s="4" t="n"/>
    </row>
    <row r="37" ht="30" customHeight="1">
      <c r="A37" s="93" t="inlineStr">
        <is>
          <t>Purpose</t>
        </is>
      </c>
      <c r="B37" s="75" t="inlineStr">
        <is>
          <t>Assets bypass survivor estate for IL purposes. Preserves the $4,000,000 IL exemption.</t>
        </is>
      </c>
      <c r="C37" s="3" t="n"/>
      <c r="D37" s="4" t="n"/>
    </row>
    <row r="38" ht="30" customHeight="1">
      <c r="A38" s="93" t="inlineStr">
        <is>
          <t>Projected IL Tax Saved</t>
        </is>
      </c>
      <c r="B38" s="75" t="inlineStr">
        <is>
          <t>~$320,000 (approx 8% avg rate on $4,000,000 bypass amount)</t>
        </is>
      </c>
      <c r="C38" s="3" t="n"/>
      <c r="D38" s="4" t="n"/>
    </row>
    <row r="39" ht="45" customHeight="1">
      <c r="A39" s="93" t="inlineStr">
        <is>
          <t>Mechanism</t>
        </is>
      </c>
      <c r="B39" s="75" t="inlineStr">
        <is>
          <t>First-to-die funds trust up to IL exemption; survivor has limited access (income, HEMS); remainder passes to heirs free of IL estate tax</t>
        </is>
      </c>
      <c r="C39" s="3" t="n"/>
      <c r="D39" s="4" t="n"/>
    </row>
    <row r="40" ht="30" customHeight="1">
      <c r="A40" s="93" t="inlineStr">
        <is>
          <t>Federal Effect</t>
        </is>
      </c>
      <c r="B40" s="75" t="inlineStr">
        <is>
          <t>No federal benefit (OBBBA $30M exemption covers this estate); pure IL tax play</t>
        </is>
      </c>
      <c r="C40" s="3" t="n"/>
      <c r="D40" s="4" t="n"/>
    </row>
    <row r="41" ht="30" customHeight="1">
      <c r="A41" s="93" t="inlineStr">
        <is>
          <t>Portability</t>
        </is>
      </c>
      <c r="B41" s="75" t="inlineStr">
        <is>
          <t>Illinois has NO portability — unused exemption at first death is LOST without this trust</t>
        </is>
      </c>
      <c r="C41" s="3" t="n"/>
      <c r="D41" s="4" t="n"/>
    </row>
    <row r="42" ht="30" customHeight="1">
      <c r="A42" s="93" t="inlineStr">
        <is>
          <t>Cost</t>
        </is>
      </c>
      <c r="B42" s="75" t="inlineStr">
        <is>
          <t>$3,000–$5,000 drafting; trustee fees ~0.5%/yr on trust assets</t>
        </is>
      </c>
      <c r="C42" s="3" t="n"/>
      <c r="D42" s="4" t="n"/>
    </row>
    <row r="43" ht="30" customHeight="1">
      <c r="A43" s="121" t="inlineStr">
        <is>
          <t>Recommendation</t>
        </is>
      </c>
      <c r="B43" s="121"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2"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3" t="inlineStr">
        <is>
          <t>Terminal net worth</t>
        </is>
      </c>
      <c r="B6" s="105" t="n">
        <v>4267239.328080034</v>
      </c>
    </row>
    <row r="7" ht="30" customHeight="1">
      <c r="A7" s="123" t="inlineStr">
        <is>
          <t>Monte Carlo success</t>
        </is>
      </c>
      <c r="B7" s="70" t="n">
        <v>0.3125</v>
      </c>
    </row>
    <row r="8" ht="30" customHeight="1">
      <c r="A8" s="123" t="inlineStr">
        <is>
          <t>Core annual spending</t>
        </is>
      </c>
      <c r="B8" s="105" t="n">
        <v>154158</v>
      </c>
    </row>
    <row r="9" ht="30" customHeight="1">
      <c r="A9" s="123" t="inlineStr">
        <is>
          <t>Earned income assumption</t>
        </is>
      </c>
      <c r="B9" s="105" t="n">
        <v>290000</v>
      </c>
    </row>
    <row r="10" ht="30" customHeight="1">
      <c r="A10" s="123" t="inlineStr">
        <is>
          <t>Remaining plan years</t>
        </is>
      </c>
      <c r="B10" s="124"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5" t="n">
        <v>10000</v>
      </c>
      <c r="E13" s="12" t="inlineStr">
        <is>
          <t>$/year</t>
        </is>
      </c>
      <c r="F13" s="105">
        <f>D13*$B$10*0.55</f>
        <v/>
      </c>
      <c r="G13" s="70">
        <f>MIN(0.30,MAX(-0.30,(D13/MAX(1,$B$8))*0.25))</f>
        <v/>
      </c>
      <c r="H13" s="124">
        <f>RANK.EQ(F13,$F$13:$F$22,0)</f>
        <v/>
      </c>
      <c r="I13" s="124">
        <f>RANK.EQ(G13,$G$13:$G$22,0)</f>
        <v/>
      </c>
      <c r="J13" s="126" t="inlineStr">
        <is>
          <t>Improves both TNW and success by lowering annual withdrawals.</t>
        </is>
      </c>
    </row>
    <row r="14" ht="75" customHeight="1">
      <c r="A14" s="12" t="inlineStr">
        <is>
          <t>TNW</t>
        </is>
      </c>
      <c r="B14" s="2" t="inlineStr">
        <is>
          <t>Work longer / retire later</t>
        </is>
      </c>
      <c r="C14" s="12" t="inlineStr">
        <is>
          <t>Retirement Timing</t>
        </is>
      </c>
      <c r="D14" s="127" t="n">
        <v>1</v>
      </c>
      <c r="E14" s="12" t="inlineStr">
        <is>
          <t>years</t>
        </is>
      </c>
      <c r="F14" s="105">
        <f>D14*($B$9*0.45+$B$8*0.25)</f>
        <v/>
      </c>
      <c r="G14" s="70">
        <f>MIN(0.30,MAX(-0.30,D14*0.08))</f>
        <v/>
      </c>
      <c r="H14" s="124">
        <f>RANK.EQ(F14,$F$13:$F$22,0)</f>
        <v/>
      </c>
      <c r="I14" s="124">
        <f>RANK.EQ(G14,$G$13:$G$22,0)</f>
        <v/>
      </c>
      <c r="J14" s="126"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5" t="n">
        <v>25000</v>
      </c>
      <c r="E15" s="12" t="inlineStr">
        <is>
          <t>$ one-time</t>
        </is>
      </c>
      <c r="F15" s="105">
        <f>D15</f>
        <v/>
      </c>
      <c r="G15" s="70">
        <f>MIN(0.30,MAX(-0.30,(D15/MAX(1,$B$8))*0.04))</f>
        <v/>
      </c>
      <c r="H15" s="124">
        <f>RANK.EQ(F15,$F$13:$F$22,0)</f>
        <v/>
      </c>
      <c r="I15" s="124">
        <f>RANK.EQ(G15,$G$13:$G$22,0)</f>
        <v/>
      </c>
      <c r="J15" s="126" t="inlineStr">
        <is>
          <t>Directly preserves liquidity and compounding capital.</t>
        </is>
      </c>
    </row>
    <row r="16" ht="75" customHeight="1">
      <c r="A16" s="12" t="inlineStr">
        <is>
          <t>TNW</t>
        </is>
      </c>
      <c r="B16" s="2" t="inlineStr">
        <is>
          <t>Preserve annual S-Corp tax advantage</t>
        </is>
      </c>
      <c r="C16" s="12" t="inlineStr">
        <is>
          <t>Entity &amp; Charitable</t>
        </is>
      </c>
      <c r="D16" s="125" t="n">
        <v>29000</v>
      </c>
      <c r="E16" s="12" t="inlineStr">
        <is>
          <t>$/year</t>
        </is>
      </c>
      <c r="F16" s="105">
        <f>D16*MIN(5,$B$10)*0.9</f>
        <v/>
      </c>
      <c r="G16" s="70">
        <f>MIN(0.30,MAX(-0.30,(D16/MAX(1,$B$8))*0.03))</f>
        <v/>
      </c>
      <c r="H16" s="124">
        <f>RANK.EQ(F16,$F$13:$F$22,0)</f>
        <v/>
      </c>
      <c r="I16" s="124">
        <f>RANK.EQ(G16,$G$13:$G$22,0)</f>
        <v/>
      </c>
      <c r="J16" s="126" t="inlineStr">
        <is>
          <t>Use the S-Corp vs LLC optimizer result if the actual benefit differs.</t>
        </is>
      </c>
    </row>
    <row r="17" ht="75" customHeight="1">
      <c r="A17" s="12" t="inlineStr">
        <is>
          <t>TNW</t>
        </is>
      </c>
      <c r="B17" s="2" t="inlineStr">
        <is>
          <t>Roth/tax optimization savings</t>
        </is>
      </c>
      <c r="C17" s="12" t="inlineStr">
        <is>
          <t>Roth Conversion</t>
        </is>
      </c>
      <c r="D17" s="125" t="n">
        <v>50000</v>
      </c>
      <c r="E17" s="12" t="inlineStr">
        <is>
          <t>$ total</t>
        </is>
      </c>
      <c r="F17" s="105">
        <f>D17</f>
        <v/>
      </c>
      <c r="G17" s="70">
        <f>0</f>
        <v/>
      </c>
      <c r="H17" s="124">
        <f>RANK.EQ(F17,$F$13:$F$22,0)</f>
        <v/>
      </c>
      <c r="I17" s="124">
        <f>RANK.EQ(G17,$G$13:$G$22,0)</f>
        <v/>
      </c>
      <c r="J17" s="126"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7" t="n">
        <v>25</v>
      </c>
      <c r="E18" s="12" t="inlineStr">
        <is>
          <t>bps/year</t>
        </is>
      </c>
      <c r="F18" s="105">
        <f>$B$6*(D18/10000)*$B$10*0.35</f>
        <v/>
      </c>
      <c r="G18" s="70">
        <f>MIN(0.30,MAX(-0.30,(D18/25)*0.01))</f>
        <v/>
      </c>
      <c r="H18" s="124">
        <f>RANK.EQ(F18,$F$13:$F$22,0)</f>
        <v/>
      </c>
      <c r="I18" s="124">
        <f>RANK.EQ(G18,$G$13:$G$22,0)</f>
        <v/>
      </c>
      <c r="J18" s="126" t="inlineStr">
        <is>
          <t>Only positive if volatility does not rise enough to reduce success.</t>
        </is>
      </c>
    </row>
    <row r="19" ht="75" customHeight="1">
      <c r="A19" s="12" t="inlineStr">
        <is>
          <t>Success</t>
        </is>
      </c>
      <c r="B19" s="2" t="inlineStr">
        <is>
          <t>Dedicated liquidity reserve</t>
        </is>
      </c>
      <c r="C19" s="12" t="inlineStr">
        <is>
          <t>Cash Reserves</t>
        </is>
      </c>
      <c r="D19" s="125" t="n">
        <v>50000</v>
      </c>
      <c r="E19" s="12" t="inlineStr">
        <is>
          <t>$ reserve</t>
        </is>
      </c>
      <c r="F19" s="105">
        <f>0</f>
        <v/>
      </c>
      <c r="G19" s="70">
        <f>MIN(0.30,MAX(-0.30,(D19/MAX(1,$B$8))*0.08))</f>
        <v/>
      </c>
      <c r="H19" s="124">
        <f>RANK.EQ(F19,$F$13:$F$22,0)</f>
        <v/>
      </c>
      <c r="I19" s="124">
        <f>RANK.EQ(G19,$G$13:$G$22,0)</f>
        <v/>
      </c>
      <c r="J19" s="126" t="inlineStr">
        <is>
          <t>Reduces forced selling after poor early returns.</t>
        </is>
      </c>
    </row>
    <row r="20" ht="75" customHeight="1">
      <c r="A20" s="12" t="inlineStr">
        <is>
          <t>Success</t>
        </is>
      </c>
      <c r="B20" s="2" t="inlineStr">
        <is>
          <t>Home-equity backstop</t>
        </is>
      </c>
      <c r="C20" s="12" t="inlineStr">
        <is>
          <t>Housing</t>
        </is>
      </c>
      <c r="D20" s="125" t="n">
        <v>250000</v>
      </c>
      <c r="E20" s="12" t="inlineStr">
        <is>
          <t>$ available</t>
        </is>
      </c>
      <c r="F20" s="105">
        <f>0</f>
        <v/>
      </c>
      <c r="G20" s="70">
        <f>MIN(0.30,MAX(-0.30,(D20/MAX(1,$B$8))*0.06))</f>
        <v/>
      </c>
      <c r="H20" s="124">
        <f>RANK.EQ(F20,$F$13:$F$22,0)</f>
        <v/>
      </c>
      <c r="I20" s="124">
        <f>RANK.EQ(G20,$G$13:$G$22,0)</f>
        <v/>
      </c>
      <c r="J20" s="126" t="inlineStr">
        <is>
          <t>Improves success only if there is a real access plan.</t>
        </is>
      </c>
    </row>
    <row r="21" ht="75" customHeight="1">
      <c r="A21" s="12" t="inlineStr">
        <is>
          <t>Success</t>
        </is>
      </c>
      <c r="B21" s="2" t="inlineStr">
        <is>
          <t>Dynamic spending guardrail</t>
        </is>
      </c>
      <c r="C21" s="12" t="inlineStr">
        <is>
          <t>Spending Categories</t>
        </is>
      </c>
      <c r="D21" s="127" t="n">
        <v>10</v>
      </c>
      <c r="E21" s="12" t="inlineStr">
        <is>
          <t>% cut in bad markets</t>
        </is>
      </c>
      <c r="F21" s="105">
        <f>$B$8*(D21/100)*$B$10*0.25</f>
        <v/>
      </c>
      <c r="G21" s="70">
        <f>MIN(0.30,MAX(-0.30,D21*0.006))</f>
        <v/>
      </c>
      <c r="H21" s="124">
        <f>RANK.EQ(F21,$F$13:$F$22,0)</f>
        <v/>
      </c>
      <c r="I21" s="124">
        <f>RANK.EQ(G21,$G$13:$G$22,0)</f>
        <v/>
      </c>
      <c r="J21" s="126"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5" t="n">
        <v>250000</v>
      </c>
      <c r="E22" s="12" t="inlineStr">
        <is>
          <t>$ coverage</t>
        </is>
      </c>
      <c r="F22" s="105">
        <f>-D22*0.05</f>
        <v/>
      </c>
      <c r="G22" s="70">
        <f>MIN(0.30,MAX(-0.30,(D22/MAX(1,$B$8))*0.04))</f>
        <v/>
      </c>
      <c r="H22" s="124">
        <f>RANK.EQ(F22,$F$13:$F$22,0)</f>
        <v/>
      </c>
      <c r="I22" s="124">
        <f>RANK.EQ(G22,$G$13:$G$22,0)</f>
        <v/>
      </c>
      <c r="J22" s="126" t="inlineStr">
        <is>
          <t>May lower expected TNW slightly, but protects downside paths.</t>
        </is>
      </c>
    </row>
    <row r="23"/>
    <row r="24"/>
    <row r="25" ht="15" customHeight="1">
      <c r="A25" s="69" t="inlineStr">
        <is>
          <t>HOW TO USE</t>
        </is>
      </c>
    </row>
    <row r="26" ht="15" customHeight="1">
      <c r="A26" s="128" t="inlineStr">
        <is>
          <t>1. Change a yellow test amount to screen sensitivity.</t>
        </is>
      </c>
    </row>
    <row r="27" ht="15" customHeight="1">
      <c r="A27" s="128" t="inlineStr">
        <is>
          <t>2. If the lever looks material, change the actual Plan Data or Optimizer input in the UI.</t>
        </is>
      </c>
    </row>
    <row r="28" ht="15" customHeight="1">
      <c r="A28" s="128" t="inlineStr">
        <is>
          <t>3. Rebuild outputs and compare measured Δ TNW and Δ success in Build Impact.</t>
        </is>
      </c>
    </row>
    <row r="29" ht="30" customHeight="1">
      <c r="A29" s="128"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5.5" customWidth="1" min="1" max="1"/>
    <col width="15.5" customWidth="1" min="2" max="2"/>
    <col width="16.8" customWidth="1" min="3" max="3"/>
    <col width="9.4" customWidth="1" min="4" max="4"/>
    <col width="9.4" customWidth="1" min="5" max="5"/>
    <col width="9.4" customWidth="1" min="6" max="6"/>
    <col width="16.8" customWidth="1" min="7" max="7"/>
    <col width="9.4" customWidth="1" min="8" max="8"/>
    <col width="9.4" customWidth="1" min="9" max="9"/>
    <col width="6.2"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6.8%  (arithmetic expected return used in simulations)</t>
        </is>
      </c>
      <c r="E9" s="3" t="n"/>
      <c r="F9" s="3" t="n"/>
      <c r="G9" s="3" t="n"/>
      <c r="H9" s="3" t="n"/>
      <c r="I9" s="3" t="n"/>
      <c r="J9" s="4" t="n"/>
    </row>
    <row r="10" ht="15" customHeight="1">
      <c r="A10" s="11" t="inlineStr">
        <is>
          <t>Sampled Arithmetic Mean Return</t>
        </is>
      </c>
      <c r="B10" s="3" t="n"/>
      <c r="C10" s="4" t="n"/>
      <c r="D10" s="12" t="inlineStr">
        <is>
          <t>6.1% across simulated years</t>
        </is>
      </c>
      <c r="E10" s="3" t="n"/>
      <c r="F10" s="3" t="n"/>
      <c r="G10" s="3" t="n"/>
      <c r="H10" s="3" t="n"/>
      <c r="I10" s="3" t="n"/>
      <c r="J10" s="4" t="n"/>
    </row>
    <row r="11" ht="15" customHeight="1">
      <c r="A11" s="11" t="inlineStr">
        <is>
          <t>Sampled Geometric Mean Return</t>
        </is>
      </c>
      <c r="B11" s="3" t="n"/>
      <c r="C11" s="4" t="n"/>
      <c r="D11" s="12" t="inlineStr">
        <is>
          <t>5.3% compounded across simulated years</t>
        </is>
      </c>
      <c r="E11" s="3" t="n"/>
      <c r="F11" s="3" t="n"/>
      <c r="G11" s="3" t="n"/>
      <c r="H11" s="3" t="n"/>
      <c r="I11" s="3" t="n"/>
      <c r="J11" s="4" t="n"/>
    </row>
    <row r="12" ht="15" customHeight="1">
      <c r="A12" s="11" t="inlineStr">
        <is>
          <t>Annual Return Std Dev σ</t>
        </is>
      </c>
      <c r="B12" s="3" t="n"/>
      <c r="C12" s="4" t="n"/>
      <c r="D12" s="12" t="inlineStr">
        <is>
          <t>11.6%</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$218,143</t>
        </is>
      </c>
      <c r="E16" s="3" t="n"/>
      <c r="F16" s="3" t="n"/>
      <c r="G16" s="3" t="n"/>
      <c r="H16" s="3" t="n"/>
      <c r="I16" s="3" t="n"/>
      <c r="J16" s="4" t="n"/>
    </row>
    <row r="17" ht="15" customHeight="1">
      <c r="A17" s="11" t="inlineStr">
        <is>
          <t>Starting Liquid Assets</t>
        </is>
      </c>
      <c r="B17" s="3" t="n"/>
      <c r="C17" s="4" t="n"/>
      <c r="D17" s="12" t="inlineStr">
        <is>
          <t>$2,825,603</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14.2%–55.6%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5" t="n">
        <v>0.3125</v>
      </c>
      <c r="G28" s="4" t="n"/>
      <c r="H28" s="129" t="inlineStr">
        <is>
          <t>Review</t>
        </is>
      </c>
      <c r="I28" s="3" t="n"/>
      <c r="J28" s="4" t="n"/>
    </row>
    <row r="29" ht="15" customHeight="1">
      <c r="A29" s="11" t="inlineStr">
        <is>
          <t>Success Rate CI Low (95%)</t>
        </is>
      </c>
      <c r="B29" s="3" t="n"/>
      <c r="C29" s="3" t="n"/>
      <c r="D29" s="3" t="n"/>
      <c r="E29" s="4" t="n"/>
      <c r="F29" s="85" t="n">
        <v>0.1416443505196105</v>
      </c>
      <c r="G29" s="4" t="n"/>
      <c r="H29" s="129" t="inlineStr">
        <is>
          <t>Review</t>
        </is>
      </c>
      <c r="I29" s="3" t="n"/>
      <c r="J29" s="4" t="n"/>
    </row>
    <row r="30" ht="15" customHeight="1">
      <c r="A30" s="11" t="inlineStr">
        <is>
          <t>Success Rate CI High (95%)</t>
        </is>
      </c>
      <c r="B30" s="3" t="n"/>
      <c r="C30" s="3" t="n"/>
      <c r="D30" s="3" t="n"/>
      <c r="E30" s="4" t="n"/>
      <c r="F30" s="85" t="n">
        <v>0.5559606813326594</v>
      </c>
      <c r="G30" s="4" t="n"/>
      <c r="H30" s="130" t="inlineStr">
        <is>
          <t>On Track</t>
        </is>
      </c>
      <c r="I30" s="3" t="n"/>
      <c r="J30" s="4" t="n"/>
    </row>
    <row r="31" ht="15" customHeight="1">
      <c r="A31" s="11" t="inlineStr">
        <is>
          <t>Median Terminal Liquid Assets (P50)</t>
        </is>
      </c>
      <c r="B31" s="3" t="n"/>
      <c r="C31" s="3" t="n"/>
      <c r="D31" s="3" t="n"/>
      <c r="E31" s="4" t="n"/>
      <c r="F31" s="84" t="n">
        <v>0</v>
      </c>
      <c r="G31" s="4" t="n"/>
      <c r="H31" s="129" t="inlineStr">
        <is>
          <t>Review</t>
        </is>
      </c>
      <c r="I31" s="3" t="n"/>
      <c r="J31" s="4" t="n"/>
    </row>
    <row r="32" ht="15" customHeight="1">
      <c r="A32" s="11" t="inlineStr">
        <is>
          <t>P10 Terminal Liquid Assets</t>
        </is>
      </c>
      <c r="B32" s="3" t="n"/>
      <c r="C32" s="3" t="n"/>
      <c r="D32" s="3" t="n"/>
      <c r="E32" s="4" t="n"/>
      <c r="F32" s="84" t="n">
        <v>0</v>
      </c>
      <c r="G32" s="4" t="n"/>
      <c r="H32" s="129" t="inlineStr">
        <is>
          <t>Review</t>
        </is>
      </c>
      <c r="I32" s="3" t="n"/>
      <c r="J32" s="4" t="n"/>
    </row>
    <row r="33" ht="15" customHeight="1">
      <c r="A33" s="11" t="inlineStr">
        <is>
          <t>P25 Terminal Liquid Assets</t>
        </is>
      </c>
      <c r="B33" s="3" t="n"/>
      <c r="C33" s="3" t="n"/>
      <c r="D33" s="3" t="n"/>
      <c r="E33" s="4" t="n"/>
      <c r="F33" s="84" t="n">
        <v>0</v>
      </c>
      <c r="G33" s="4" t="n"/>
      <c r="H33" s="129" t="inlineStr">
        <is>
          <t>Review</t>
        </is>
      </c>
      <c r="I33" s="3" t="n"/>
      <c r="J33" s="4" t="n"/>
    </row>
    <row r="34" ht="15" customHeight="1">
      <c r="A34" s="11" t="inlineStr">
        <is>
          <t>P75 Terminal Liquid Assets</t>
        </is>
      </c>
      <c r="B34" s="3" t="n"/>
      <c r="C34" s="3" t="n"/>
      <c r="D34" s="3" t="n"/>
      <c r="E34" s="4" t="n"/>
      <c r="F34" s="84" t="n">
        <v>425715.3545522712</v>
      </c>
      <c r="G34" s="4" t="n"/>
      <c r="H34" s="130" t="inlineStr">
        <is>
          <t>On Track</t>
        </is>
      </c>
      <c r="I34" s="3" t="n"/>
      <c r="J34" s="4" t="n"/>
    </row>
    <row r="35" ht="15" customHeight="1">
      <c r="A35" s="11" t="inlineStr">
        <is>
          <t>P90 Terminal Liquid Assets</t>
        </is>
      </c>
      <c r="B35" s="3" t="n"/>
      <c r="C35" s="3" t="n"/>
      <c r="D35" s="3" t="n"/>
      <c r="E35" s="4" t="n"/>
      <c r="F35" s="84" t="n">
        <v>4406403.242008173</v>
      </c>
      <c r="G35" s="4" t="n"/>
      <c r="H35" s="130" t="inlineStr">
        <is>
          <t>On Track</t>
        </is>
      </c>
      <c r="I35" s="3" t="n"/>
      <c r="J35" s="4" t="n"/>
    </row>
    <row r="36" ht="15" customHeight="1">
      <c r="A36" s="11" t="inlineStr">
        <is>
          <t>Mean Terminal Liquid Assets</t>
        </is>
      </c>
      <c r="B36" s="3" t="n"/>
      <c r="C36" s="3" t="n"/>
      <c r="D36" s="3" t="n"/>
      <c r="E36" s="4" t="n"/>
      <c r="F36" s="84" t="n">
        <v>2609116.757721555</v>
      </c>
      <c r="G36" s="4" t="n"/>
      <c r="H36" s="130" t="inlineStr">
        <is>
          <t>On Track</t>
        </is>
      </c>
      <c r="I36" s="3" t="n"/>
      <c r="J36" s="4" t="n"/>
    </row>
    <row r="37" ht="15" customHeight="1">
      <c r="A37" s="11" t="inlineStr">
        <is>
          <t>Median Terminal Total Net Worth</t>
        </is>
      </c>
      <c r="B37" s="3" t="n"/>
      <c r="C37" s="3" t="n"/>
      <c r="D37" s="3" t="n"/>
      <c r="E37" s="4" t="n"/>
      <c r="F37" s="84" t="n">
        <v>3390274.137803574</v>
      </c>
      <c r="G37" s="4" t="n"/>
      <c r="H37" s="130" t="inlineStr">
        <is>
          <t>On Track</t>
        </is>
      </c>
      <c r="I37" s="3" t="n"/>
      <c r="J37" s="4" t="n"/>
    </row>
    <row r="38"/>
    <row r="39" ht="15" customHeight="1">
      <c r="A39" s="131"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4" t="n">
        <v>4267239.328080034</v>
      </c>
      <c r="D41" s="4" t="n"/>
      <c r="E41" s="78" t="n">
        <v>3390274.137803574</v>
      </c>
      <c r="F41" s="84" t="n">
        <v>3390274.137803574</v>
      </c>
      <c r="G41" s="78" t="n">
        <v>7827126.088299667</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4" t="n">
        <v>876965.1902764594</v>
      </c>
      <c r="D42" s="4" t="n"/>
      <c r="E42" s="78" t="n">
        <v>0</v>
      </c>
      <c r="F42" s="84" t="n">
        <v>0</v>
      </c>
      <c r="G42" s="78" t="n">
        <v>4406403.242008173</v>
      </c>
      <c r="H42" s="12" t="inlineStr">
        <is>
          <t>Spendable funding measure used for MC success.</t>
        </is>
      </c>
      <c r="I42" s="3" t="n"/>
      <c r="J42" s="4" t="n"/>
    </row>
    <row r="43" ht="60" customHeight="1">
      <c r="A43" s="11" t="inlineStr">
        <is>
          <t>Success Liquidity Floor</t>
        </is>
      </c>
      <c r="B43" s="4" t="n"/>
      <c r="C43" s="84"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0</v>
      </c>
      <c r="F47" s="4" t="n"/>
      <c r="G47" s="12" t="inlineStr">
        <is>
          <t>Catastrophic — total portfolio loss</t>
        </is>
      </c>
      <c r="H47" s="3" t="n"/>
      <c r="I47" s="3" t="n"/>
      <c r="J47" s="4" t="n"/>
    </row>
    <row r="48" ht="15" customHeight="1">
      <c r="A48" s="41" t="inlineStr">
        <is>
          <t>P5</t>
        </is>
      </c>
      <c r="B48" s="78" t="n">
        <v>0</v>
      </c>
      <c r="C48" s="3" t="n"/>
      <c r="D48" s="4" t="n"/>
      <c r="E48" s="27" t="n">
        <v>0</v>
      </c>
      <c r="F48" s="4" t="n"/>
      <c r="G48" s="12" t="inlineStr">
        <is>
          <t>Very bad luck — significant shortfall</t>
        </is>
      </c>
      <c r="H48" s="3" t="n"/>
      <c r="I48" s="3" t="n"/>
      <c r="J48" s="4" t="n"/>
    </row>
    <row r="49" ht="15" customHeight="1">
      <c r="A49" s="41" t="inlineStr">
        <is>
          <t>P10</t>
        </is>
      </c>
      <c r="B49" s="78" t="n">
        <v>0</v>
      </c>
      <c r="C49" s="3" t="n"/>
      <c r="D49" s="4" t="n"/>
      <c r="E49" s="27" t="n">
        <v>0</v>
      </c>
      <c r="F49" s="4" t="n"/>
      <c r="G49" s="12" t="inlineStr">
        <is>
          <t>Poor sequence — stress-test floor</t>
        </is>
      </c>
      <c r="H49" s="3" t="n"/>
      <c r="I49" s="3" t="n"/>
      <c r="J49" s="4" t="n"/>
    </row>
    <row r="50" ht="15" customHeight="1">
      <c r="A50" s="132" t="inlineStr">
        <is>
          <t>P25</t>
        </is>
      </c>
      <c r="B50" s="133" t="n">
        <v>0</v>
      </c>
      <c r="C50" s="3" t="n"/>
      <c r="D50" s="4" t="n"/>
      <c r="E50" s="133" t="n">
        <v>0</v>
      </c>
      <c r="F50" s="4" t="n"/>
      <c r="G50" s="98" t="inlineStr">
        <is>
          <t>1-in-4 downside scenario</t>
        </is>
      </c>
      <c r="H50" s="3" t="n"/>
      <c r="I50" s="3" t="n"/>
      <c r="J50" s="4" t="n"/>
    </row>
    <row r="51" ht="15" customHeight="1">
      <c r="A51" s="134" t="inlineStr">
        <is>
          <t>P50</t>
        </is>
      </c>
      <c r="B51" s="135" t="n">
        <v>0</v>
      </c>
      <c r="C51" s="3" t="n"/>
      <c r="D51" s="4" t="n"/>
      <c r="E51" s="136" t="n">
        <v>0</v>
      </c>
      <c r="F51" s="4" t="n"/>
      <c r="G51" s="19" t="inlineStr">
        <is>
          <t>Base case — median outcome</t>
        </is>
      </c>
      <c r="H51" s="3" t="n"/>
      <c r="I51" s="3" t="n"/>
      <c r="J51" s="4" t="n"/>
    </row>
    <row r="52" ht="15" customHeight="1">
      <c r="A52" s="132" t="inlineStr">
        <is>
          <t>P75</t>
        </is>
      </c>
      <c r="B52" s="133" t="n">
        <v>425715.3545522712</v>
      </c>
      <c r="C52" s="3" t="n"/>
      <c r="D52" s="4" t="n"/>
      <c r="E52" s="133" t="n">
        <v>425715.3545522712</v>
      </c>
      <c r="F52" s="4" t="n"/>
      <c r="G52" s="98" t="inlineStr">
        <is>
          <t>3-in-4 scenarios end above this</t>
        </is>
      </c>
      <c r="H52" s="3" t="n"/>
      <c r="I52" s="3" t="n"/>
      <c r="J52" s="4" t="n"/>
    </row>
    <row r="53" ht="15" customHeight="1">
      <c r="A53" s="41" t="inlineStr">
        <is>
          <t>P90</t>
        </is>
      </c>
      <c r="B53" s="78" t="n">
        <v>4406403.242008173</v>
      </c>
      <c r="C53" s="3" t="n"/>
      <c r="D53" s="4" t="n"/>
      <c r="E53" s="27" t="n">
        <v>4406403.242008173</v>
      </c>
      <c r="F53" s="4" t="n"/>
      <c r="G53" s="12" t="inlineStr">
        <is>
          <t>Good sequence — upside scenario</t>
        </is>
      </c>
      <c r="H53" s="3" t="n"/>
      <c r="I53" s="3" t="n"/>
      <c r="J53" s="4" t="n"/>
    </row>
    <row r="54" ht="15" customHeight="1">
      <c r="A54" s="41" t="inlineStr">
        <is>
          <t>P95</t>
        </is>
      </c>
      <c r="B54" s="78" t="n">
        <v>13031661.86705979</v>
      </c>
      <c r="C54" s="3" t="n"/>
      <c r="D54" s="4" t="n"/>
      <c r="E54" s="27" t="n">
        <v>13031661.86705979</v>
      </c>
      <c r="F54" s="4" t="n"/>
      <c r="G54" s="12" t="inlineStr">
        <is>
          <t>Very good luck</t>
        </is>
      </c>
      <c r="H54" s="3" t="n"/>
      <c r="I54" s="3" t="n"/>
      <c r="J54" s="4" t="n"/>
    </row>
    <row r="55" ht="15" customHeight="1">
      <c r="A55" s="41" t="inlineStr">
        <is>
          <t>P99</t>
        </is>
      </c>
      <c r="B55" s="78" t="n">
        <v>27943060.76331593</v>
      </c>
      <c r="C55" s="3" t="n"/>
      <c r="D55" s="4" t="n"/>
      <c r="E55" s="27" t="n">
        <v>27943060.76331593</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7" t="n">
        <v>2026</v>
      </c>
      <c r="B59" s="137" t="n">
        <v>64</v>
      </c>
      <c r="C59" s="137" t="n">
        <v>65</v>
      </c>
      <c r="D59" s="110" t="n">
        <v>2509854.709117759</v>
      </c>
      <c r="E59" s="110" t="n">
        <v>2743313.33369627</v>
      </c>
      <c r="F59" s="138" t="n">
        <v>2895600.756135173</v>
      </c>
      <c r="G59" s="105" t="n">
        <v>3036209.987030129</v>
      </c>
      <c r="H59" s="110" t="n">
        <v>3129119.149236437</v>
      </c>
      <c r="I59" s="110" t="n">
        <v>2824481.446833021</v>
      </c>
      <c r="J59" s="139" t="n">
        <v>1</v>
      </c>
    </row>
    <row r="60" ht="30" customHeight="1">
      <c r="A60" s="137" t="n">
        <v>2027</v>
      </c>
      <c r="B60" s="137" t="n">
        <v>65</v>
      </c>
      <c r="C60" s="137" t="n">
        <v>66</v>
      </c>
      <c r="D60" s="110" t="n">
        <v>2164695.401715989</v>
      </c>
      <c r="E60" s="110" t="n">
        <v>2342050.829641467</v>
      </c>
      <c r="F60" s="138" t="n">
        <v>2721737.586779402</v>
      </c>
      <c r="G60" s="105" t="n">
        <v>2869445.131120495</v>
      </c>
      <c r="H60" s="110" t="n">
        <v>3135355.731756733</v>
      </c>
      <c r="I60" s="110" t="n">
        <v>2598459.886581094</v>
      </c>
      <c r="J60" s="139" t="n">
        <v>1</v>
      </c>
    </row>
    <row r="61" ht="30" customHeight="1">
      <c r="A61" s="137" t="n">
        <v>2028</v>
      </c>
      <c r="B61" s="137" t="n">
        <v>66</v>
      </c>
      <c r="C61" s="137" t="n">
        <v>67</v>
      </c>
      <c r="D61" s="110" t="n">
        <v>1941919.992079988</v>
      </c>
      <c r="E61" s="110" t="n">
        <v>2309135.206950895</v>
      </c>
      <c r="F61" s="138" t="n">
        <v>2537774.526297333</v>
      </c>
      <c r="G61" s="105" t="n">
        <v>2989639.486657013</v>
      </c>
      <c r="H61" s="110" t="n">
        <v>3299312.198132642</v>
      </c>
      <c r="I61" s="110" t="n">
        <v>2604101.775413839</v>
      </c>
      <c r="J61" s="139" t="n">
        <v>1</v>
      </c>
    </row>
    <row r="62" ht="30" customHeight="1">
      <c r="A62" s="137" t="n">
        <v>2029</v>
      </c>
      <c r="B62" s="137" t="n">
        <v>67</v>
      </c>
      <c r="C62" s="137" t="n">
        <v>68</v>
      </c>
      <c r="D62" s="110" t="n">
        <v>1412513.068114983</v>
      </c>
      <c r="E62" s="110" t="n">
        <v>1983527.174273547</v>
      </c>
      <c r="F62" s="138" t="n">
        <v>2512188.070215533</v>
      </c>
      <c r="G62" s="105" t="n">
        <v>2998516.223850003</v>
      </c>
      <c r="H62" s="110" t="n">
        <v>3161646.327080743</v>
      </c>
      <c r="I62" s="110" t="n">
        <v>2391924.38174806</v>
      </c>
      <c r="J62" s="139" t="n">
        <v>1</v>
      </c>
    </row>
    <row r="63" ht="30" customHeight="1">
      <c r="A63" s="137" t="n">
        <v>2030</v>
      </c>
      <c r="B63" s="137" t="n">
        <v>68</v>
      </c>
      <c r="C63" s="137" t="n">
        <v>69</v>
      </c>
      <c r="D63" s="110" t="n">
        <v>1243903.172825842</v>
      </c>
      <c r="E63" s="110" t="n">
        <v>1793943.170082914</v>
      </c>
      <c r="F63" s="138" t="n">
        <v>2490993.953958059</v>
      </c>
      <c r="G63" s="105" t="n">
        <v>3028003.780135913</v>
      </c>
      <c r="H63" s="110" t="n">
        <v>3285169.809534367</v>
      </c>
      <c r="I63" s="110" t="n">
        <v>2396076.274621491</v>
      </c>
      <c r="J63" s="139" t="n">
        <v>1</v>
      </c>
    </row>
    <row r="64" ht="30" customHeight="1">
      <c r="A64" s="137" t="n">
        <v>2031</v>
      </c>
      <c r="B64" s="137" t="n">
        <v>69</v>
      </c>
      <c r="C64" s="137" t="n">
        <v>70</v>
      </c>
      <c r="D64" s="110" t="n">
        <v>1088735.140907011</v>
      </c>
      <c r="E64" s="110" t="n">
        <v>1890552.390920037</v>
      </c>
      <c r="F64" s="138" t="n">
        <v>2307561.575804805</v>
      </c>
      <c r="G64" s="105" t="n">
        <v>2888138.639958754</v>
      </c>
      <c r="H64" s="110" t="n">
        <v>3486289.958530249</v>
      </c>
      <c r="I64" s="110" t="n">
        <v>2371511.492847046</v>
      </c>
      <c r="J64" s="139" t="n">
        <v>1</v>
      </c>
    </row>
    <row r="65" ht="30" customHeight="1">
      <c r="A65" s="137" t="n">
        <v>2032</v>
      </c>
      <c r="B65" s="137" t="n">
        <v>70</v>
      </c>
      <c r="C65" s="137" t="n">
        <v>71</v>
      </c>
      <c r="D65" s="110" t="n">
        <v>718338.9935275655</v>
      </c>
      <c r="E65" s="110" t="n">
        <v>1816357.808999795</v>
      </c>
      <c r="F65" s="138" t="n">
        <v>2247998.6628179</v>
      </c>
      <c r="G65" s="105" t="n">
        <v>2936465.145954032</v>
      </c>
      <c r="H65" s="110" t="n">
        <v>3200584.45565364</v>
      </c>
      <c r="I65" s="110" t="n">
        <v>2209767.2199752</v>
      </c>
      <c r="J65" s="139" t="n">
        <v>1</v>
      </c>
    </row>
    <row r="66" ht="30" customHeight="1">
      <c r="A66" s="137" t="n">
        <v>2033</v>
      </c>
      <c r="B66" s="137" t="n">
        <v>71</v>
      </c>
      <c r="C66" s="137" t="n">
        <v>72</v>
      </c>
      <c r="D66" s="110" t="n">
        <v>544787.139668191</v>
      </c>
      <c r="E66" s="110" t="n">
        <v>1604815.991985446</v>
      </c>
      <c r="F66" s="138" t="n">
        <v>1918257.760144053</v>
      </c>
      <c r="G66" s="105" t="n">
        <v>2953587.10406852</v>
      </c>
      <c r="H66" s="110" t="n">
        <v>3379800.251228308</v>
      </c>
      <c r="I66" s="110" t="n">
        <v>2096074.80588813</v>
      </c>
      <c r="J66" s="139" t="n">
        <v>0.9375</v>
      </c>
    </row>
    <row r="67" ht="30" customHeight="1">
      <c r="A67" s="137" t="n">
        <v>2034</v>
      </c>
      <c r="B67" s="137" t="n">
        <v>72</v>
      </c>
      <c r="C67" s="137" t="n">
        <v>73</v>
      </c>
      <c r="D67" s="110" t="n">
        <v>370912.5593059661</v>
      </c>
      <c r="E67" s="110" t="n">
        <v>1261734.570250778</v>
      </c>
      <c r="F67" s="138" t="n">
        <v>1734859.374443736</v>
      </c>
      <c r="G67" s="105" t="n">
        <v>2743859.880585839</v>
      </c>
      <c r="H67" s="110" t="n">
        <v>3871830.236516966</v>
      </c>
      <c r="I67" s="110" t="n">
        <v>2021647.485453742</v>
      </c>
      <c r="J67" s="139" t="n">
        <v>0.9375</v>
      </c>
    </row>
    <row r="68" ht="30" customHeight="1">
      <c r="A68" s="140" t="n">
        <v>2035</v>
      </c>
      <c r="B68" s="140" t="n">
        <v>73</v>
      </c>
      <c r="C68" s="140" t="n">
        <v>74</v>
      </c>
      <c r="D68" s="141" t="n">
        <v>308511.8055966204</v>
      </c>
      <c r="E68" s="141" t="n">
        <v>1107236.599446745</v>
      </c>
      <c r="F68" s="76" t="n">
        <v>1531120.883473196</v>
      </c>
      <c r="G68" s="141" t="n">
        <v>2636651.285832079</v>
      </c>
      <c r="H68" s="141" t="n">
        <v>4154001.799251147</v>
      </c>
      <c r="I68" s="141" t="n">
        <v>2116273.027759966</v>
      </c>
      <c r="J68" s="142" t="n">
        <v>0.875</v>
      </c>
    </row>
    <row r="69" ht="30" customHeight="1">
      <c r="A69" s="140" t="n">
        <v>2036</v>
      </c>
      <c r="B69" s="140" t="n">
        <v>74</v>
      </c>
      <c r="C69" s="140" t="n">
        <v>75</v>
      </c>
      <c r="D69" s="141" t="n">
        <v>280948.74245115</v>
      </c>
      <c r="E69" s="141" t="n">
        <v>931234.7807084968</v>
      </c>
      <c r="F69" s="76" t="n">
        <v>1515578.001904478</v>
      </c>
      <c r="G69" s="141" t="n">
        <v>2590528.518152408</v>
      </c>
      <c r="H69" s="141" t="n">
        <v>3058932.695795396</v>
      </c>
      <c r="I69" s="141" t="n">
        <v>2039938.603358947</v>
      </c>
      <c r="J69" s="142" t="n">
        <v>0.875</v>
      </c>
    </row>
    <row r="70" ht="30" customHeight="1">
      <c r="A70" s="140" t="n">
        <v>2037</v>
      </c>
      <c r="B70" s="140" t="n">
        <v>75</v>
      </c>
      <c r="C70" s="140" t="n">
        <v>76</v>
      </c>
      <c r="D70" s="141" t="n">
        <v>212155.5798368899</v>
      </c>
      <c r="E70" s="141" t="n">
        <v>949831.9576330902</v>
      </c>
      <c r="F70" s="76" t="n">
        <v>1368313.179887966</v>
      </c>
      <c r="G70" s="141" t="n">
        <v>2368301.313579364</v>
      </c>
      <c r="H70" s="141" t="n">
        <v>3313048.061931862</v>
      </c>
      <c r="I70" s="141" t="n">
        <v>2062047.478867177</v>
      </c>
      <c r="J70" s="142" t="n">
        <v>0.875</v>
      </c>
    </row>
    <row r="71" ht="30" customHeight="1">
      <c r="A71" s="140" t="n">
        <v>2038</v>
      </c>
      <c r="B71" s="140" t="n">
        <v>76</v>
      </c>
      <c r="C71" s="140" t="n">
        <v>77</v>
      </c>
      <c r="D71" s="141" t="n">
        <v>161365.2595759896</v>
      </c>
      <c r="E71" s="141" t="n">
        <v>874773.9649346808</v>
      </c>
      <c r="F71" s="76" t="n">
        <v>1449554.079845103</v>
      </c>
      <c r="G71" s="141" t="n">
        <v>2471181.958048268</v>
      </c>
      <c r="H71" s="141" t="n">
        <v>3582729.62507867</v>
      </c>
      <c r="I71" s="141" t="n">
        <v>2289716.41964464</v>
      </c>
      <c r="J71" s="142" t="n">
        <v>0.875</v>
      </c>
    </row>
    <row r="72" ht="30" customHeight="1">
      <c r="A72" s="140" t="n">
        <v>2039</v>
      </c>
      <c r="B72" s="140" t="n">
        <v>77</v>
      </c>
      <c r="C72" s="140" t="n">
        <v>78</v>
      </c>
      <c r="D72" s="141" t="n">
        <v>101704.5374036171</v>
      </c>
      <c r="E72" s="141" t="n">
        <v>750711.0344846366</v>
      </c>
      <c r="F72" s="76" t="n">
        <v>1375237.879356712</v>
      </c>
      <c r="G72" s="141" t="n">
        <v>2106628.276057162</v>
      </c>
      <c r="H72" s="141" t="n">
        <v>3718265.518725672</v>
      </c>
      <c r="I72" s="141" t="n">
        <v>2225769.438950883</v>
      </c>
      <c r="J72" s="142" t="n">
        <v>0.875</v>
      </c>
    </row>
    <row r="73" ht="30" customHeight="1">
      <c r="A73" s="140" t="n">
        <v>2040</v>
      </c>
      <c r="B73" s="140" t="n">
        <v>78</v>
      </c>
      <c r="C73" s="140" t="n">
        <v>79</v>
      </c>
      <c r="D73" s="141" t="n">
        <v>21917.15104462605</v>
      </c>
      <c r="E73" s="141" t="n">
        <v>601723.973252723</v>
      </c>
      <c r="F73" s="76" t="n">
        <v>1332719.647668119</v>
      </c>
      <c r="G73" s="141" t="n">
        <v>1939910.721042513</v>
      </c>
      <c r="H73" s="141" t="n">
        <v>3504170.154675189</v>
      </c>
      <c r="I73" s="141" t="n">
        <v>2148992.205847387</v>
      </c>
      <c r="J73" s="142" t="n">
        <v>0.875</v>
      </c>
    </row>
    <row r="74" ht="30" customHeight="1">
      <c r="A74" s="140" t="n">
        <v>2041</v>
      </c>
      <c r="B74" s="140" t="n">
        <v>79</v>
      </c>
      <c r="C74" s="140" t="n">
        <v>80</v>
      </c>
      <c r="D74" s="141" t="n">
        <v>0</v>
      </c>
      <c r="E74" s="141" t="n">
        <v>426415.2979220932</v>
      </c>
      <c r="F74" s="76" t="n">
        <v>1303483.788508261</v>
      </c>
      <c r="G74" s="141" t="n">
        <v>1670153.247242064</v>
      </c>
      <c r="H74" s="141" t="n">
        <v>3661152.895229406</v>
      </c>
      <c r="I74" s="141" t="n">
        <v>2250153.555281878</v>
      </c>
      <c r="J74" s="142" t="n">
        <v>0.8125</v>
      </c>
    </row>
    <row r="75" ht="30" customHeight="1">
      <c r="A75" s="140" t="n">
        <v>2042</v>
      </c>
      <c r="B75" s="140" t="n">
        <v>80</v>
      </c>
      <c r="C75" s="140" t="n">
        <v>81</v>
      </c>
      <c r="D75" s="141" t="n">
        <v>0</v>
      </c>
      <c r="E75" s="141" t="n">
        <v>251682.1073859316</v>
      </c>
      <c r="F75" s="76" t="n">
        <v>1164945.637864198</v>
      </c>
      <c r="G75" s="141" t="n">
        <v>1472840.655903877</v>
      </c>
      <c r="H75" s="141" t="n">
        <v>3502877.843748646</v>
      </c>
      <c r="I75" s="141" t="n">
        <v>2045437.708920489</v>
      </c>
      <c r="J75" s="142" t="n">
        <v>0.8125</v>
      </c>
    </row>
    <row r="76" ht="30" customHeight="1">
      <c r="A76" s="140" t="n">
        <v>2043</v>
      </c>
      <c r="B76" s="140" t="n">
        <v>81</v>
      </c>
      <c r="C76" s="140" t="n">
        <v>82</v>
      </c>
      <c r="D76" s="141" t="n">
        <v>0</v>
      </c>
      <c r="E76" s="141" t="n">
        <v>140009.0545274497</v>
      </c>
      <c r="F76" s="76" t="n">
        <v>990794.7622680017</v>
      </c>
      <c r="G76" s="141" t="n">
        <v>1423815.188053798</v>
      </c>
      <c r="H76" s="141" t="n">
        <v>3182688.773511047</v>
      </c>
      <c r="I76" s="141" t="n">
        <v>1899914.484851141</v>
      </c>
      <c r="J76" s="142" t="n">
        <v>0.75</v>
      </c>
    </row>
    <row r="77" ht="30" customHeight="1">
      <c r="A77" s="143" t="n">
        <v>2044</v>
      </c>
      <c r="B77" s="143" t="n">
        <v>82</v>
      </c>
      <c r="C77" s="143" t="n">
        <v>83</v>
      </c>
      <c r="D77" s="144" t="n">
        <v>0</v>
      </c>
      <c r="E77" s="144" t="n">
        <v>0</v>
      </c>
      <c r="F77" s="118" t="n">
        <v>875226.9491088504</v>
      </c>
      <c r="G77" s="144" t="n">
        <v>1480274.908525613</v>
      </c>
      <c r="H77" s="144" t="n">
        <v>3401144.267925436</v>
      </c>
      <c r="I77" s="144" t="n">
        <v>1644076.232449135</v>
      </c>
      <c r="J77" s="145" t="n">
        <v>0.6875</v>
      </c>
    </row>
    <row r="78" ht="30" customHeight="1">
      <c r="A78" s="143" t="n">
        <v>2045</v>
      </c>
      <c r="B78" s="143" t="n">
        <v>83</v>
      </c>
      <c r="C78" s="143" t="n">
        <v>84</v>
      </c>
      <c r="D78" s="144" t="n">
        <v>0</v>
      </c>
      <c r="E78" s="144" t="n">
        <v>0</v>
      </c>
      <c r="F78" s="118" t="n">
        <v>660126.2844111838</v>
      </c>
      <c r="G78" s="144" t="n">
        <v>1383421.014993342</v>
      </c>
      <c r="H78" s="144" t="n">
        <v>3615081.697015173</v>
      </c>
      <c r="I78" s="144" t="n">
        <v>1554488.838058352</v>
      </c>
      <c r="J78" s="145" t="n">
        <v>0.5625</v>
      </c>
    </row>
    <row r="79" ht="30" customHeight="1">
      <c r="A79" s="143" t="n">
        <v>2046</v>
      </c>
      <c r="B79" s="143" t="n">
        <v>84</v>
      </c>
      <c r="C79" s="143" t="n">
        <v>85</v>
      </c>
      <c r="D79" s="144" t="n">
        <v>0</v>
      </c>
      <c r="E79" s="144" t="n">
        <v>0</v>
      </c>
      <c r="F79" s="118" t="n">
        <v>545798.5925679996</v>
      </c>
      <c r="G79" s="144" t="n">
        <v>1268101.934620649</v>
      </c>
      <c r="H79" s="144" t="n">
        <v>3634829.280544928</v>
      </c>
      <c r="I79" s="144" t="n">
        <v>1556184.838385979</v>
      </c>
      <c r="J79" s="145" t="n">
        <v>0.5625</v>
      </c>
    </row>
    <row r="80" ht="30" customHeight="1">
      <c r="A80" s="143" t="n">
        <v>2047</v>
      </c>
      <c r="B80" s="143" t="n">
        <v>85</v>
      </c>
      <c r="C80" s="143" t="n">
        <v>86</v>
      </c>
      <c r="D80" s="144" t="n">
        <v>0</v>
      </c>
      <c r="E80" s="144" t="n">
        <v>0</v>
      </c>
      <c r="F80" s="118" t="n">
        <v>379172.9858185842</v>
      </c>
      <c r="G80" s="144" t="n">
        <v>1261072.842005833</v>
      </c>
      <c r="H80" s="144" t="n">
        <v>3669003.088529863</v>
      </c>
      <c r="I80" s="144" t="n">
        <v>1501071.008265106</v>
      </c>
      <c r="J80" s="145" t="n">
        <v>0.5625</v>
      </c>
    </row>
    <row r="81" ht="30" customHeight="1">
      <c r="A81" s="143" t="n">
        <v>2048</v>
      </c>
      <c r="B81" s="143" t="n">
        <v>86</v>
      </c>
      <c r="C81" s="143" t="n">
        <v>87</v>
      </c>
      <c r="D81" s="144" t="n">
        <v>0</v>
      </c>
      <c r="E81" s="144" t="n">
        <v>0</v>
      </c>
      <c r="F81" s="118" t="n">
        <v>182954.0669515795</v>
      </c>
      <c r="G81" s="144" t="n">
        <v>1201304.921371009</v>
      </c>
      <c r="H81" s="144" t="n">
        <v>3426726.866435204</v>
      </c>
      <c r="I81" s="144" t="n">
        <v>1510197.472973368</v>
      </c>
      <c r="J81" s="145" t="n">
        <v>0.5625</v>
      </c>
    </row>
    <row r="82" ht="30" customHeight="1">
      <c r="A82" s="143" t="n">
        <v>2049</v>
      </c>
      <c r="B82" s="143" t="n">
        <v>87</v>
      </c>
      <c r="C82" s="143" t="n">
        <v>88</v>
      </c>
      <c r="D82" s="144" t="n">
        <v>0</v>
      </c>
      <c r="E82" s="144" t="n">
        <v>0</v>
      </c>
      <c r="F82" s="118" t="n">
        <v>59832.23680394309</v>
      </c>
      <c r="G82" s="144" t="n">
        <v>1181567.665221625</v>
      </c>
      <c r="H82" s="144" t="n">
        <v>3953841.422415853</v>
      </c>
      <c r="I82" s="144" t="n">
        <v>1661623.864603488</v>
      </c>
      <c r="J82" s="145" t="n">
        <v>0.5</v>
      </c>
    </row>
    <row r="83" ht="30" customHeight="1">
      <c r="A83" s="143" t="n">
        <v>2050</v>
      </c>
      <c r="B83" s="143" t="n">
        <v>88</v>
      </c>
      <c r="C83" s="143" t="n">
        <v>89</v>
      </c>
      <c r="D83" s="144" t="n">
        <v>0</v>
      </c>
      <c r="E83" s="144" t="n">
        <v>0</v>
      </c>
      <c r="F83" s="118" t="n">
        <v>0</v>
      </c>
      <c r="G83" s="144" t="n">
        <v>1099391.903520061</v>
      </c>
      <c r="H83" s="144" t="n">
        <v>3156461.164021075</v>
      </c>
      <c r="I83" s="144" t="n">
        <v>1721195.586684077</v>
      </c>
      <c r="J83" s="145" t="n">
        <v>0.4375</v>
      </c>
    </row>
    <row r="84" ht="30" customHeight="1">
      <c r="A84" s="143" t="n">
        <v>2051</v>
      </c>
      <c r="B84" s="143" t="n">
        <v>89</v>
      </c>
      <c r="C84" s="143" t="n">
        <v>90</v>
      </c>
      <c r="D84" s="144" t="n">
        <v>0</v>
      </c>
      <c r="E84" s="144" t="n">
        <v>0</v>
      </c>
      <c r="F84" s="118" t="n">
        <v>0</v>
      </c>
      <c r="G84" s="144" t="n">
        <v>1029480.967156013</v>
      </c>
      <c r="H84" s="144" t="n">
        <v>3102192.199348603</v>
      </c>
      <c r="I84" s="144" t="n">
        <v>1694729.126670533</v>
      </c>
      <c r="J84" s="145" t="n">
        <v>0.4375</v>
      </c>
    </row>
    <row r="85" ht="30" customHeight="1">
      <c r="A85" s="143" t="n">
        <v>2052</v>
      </c>
      <c r="B85" s="143" t="n">
        <v>90</v>
      </c>
      <c r="C85" s="143" t="n">
        <v>91</v>
      </c>
      <c r="D85" s="144" t="n">
        <v>0</v>
      </c>
      <c r="E85" s="144" t="n">
        <v>0</v>
      </c>
      <c r="F85" s="118" t="n">
        <v>0</v>
      </c>
      <c r="G85" s="144" t="n">
        <v>876154.2482099767</v>
      </c>
      <c r="H85" s="144" t="n">
        <v>3290262.076531984</v>
      </c>
      <c r="I85" s="144" t="n">
        <v>1800304.011221035</v>
      </c>
      <c r="J85" s="145" t="n">
        <v>0.4375</v>
      </c>
    </row>
    <row r="86" ht="30" customHeight="1">
      <c r="A86" s="143" t="n">
        <v>2053</v>
      </c>
      <c r="B86" s="143" t="n">
        <v>91</v>
      </c>
      <c r="C86" s="143" t="n">
        <v>92</v>
      </c>
      <c r="D86" s="144" t="n">
        <v>0</v>
      </c>
      <c r="E86" s="144" t="n">
        <v>0</v>
      </c>
      <c r="F86" s="118" t="n">
        <v>0</v>
      </c>
      <c r="G86" s="144" t="n">
        <v>825606.7246898474</v>
      </c>
      <c r="H86" s="144" t="n">
        <v>3390868.321306232</v>
      </c>
      <c r="I86" s="144" t="n">
        <v>2134240.730143889</v>
      </c>
      <c r="J86" s="145" t="n">
        <v>0.375</v>
      </c>
    </row>
    <row r="87" ht="30" customHeight="1">
      <c r="A87" s="143" t="n">
        <v>2054</v>
      </c>
      <c r="B87" s="143" t="n">
        <v>92</v>
      </c>
      <c r="C87" s="143" t="n">
        <v>93</v>
      </c>
      <c r="D87" s="144" t="n">
        <v>0</v>
      </c>
      <c r="E87" s="144" t="n">
        <v>0</v>
      </c>
      <c r="F87" s="118" t="n">
        <v>0</v>
      </c>
      <c r="G87" s="144" t="n">
        <v>705084.8205025627</v>
      </c>
      <c r="H87" s="144" t="n">
        <v>3547564.162571766</v>
      </c>
      <c r="I87" s="144" t="n">
        <v>2530346.040907484</v>
      </c>
      <c r="J87" s="145" t="n">
        <v>0.375</v>
      </c>
    </row>
    <row r="88" ht="30" customHeight="1">
      <c r="A88" s="143" t="n">
        <v>2055</v>
      </c>
      <c r="B88" s="143" t="n">
        <v>93</v>
      </c>
      <c r="C88" s="143" t="n">
        <v>94</v>
      </c>
      <c r="D88" s="144" t="n">
        <v>0</v>
      </c>
      <c r="E88" s="144" t="n">
        <v>0</v>
      </c>
      <c r="F88" s="118" t="n">
        <v>0</v>
      </c>
      <c r="G88" s="144" t="n">
        <v>747029.022816646</v>
      </c>
      <c r="H88" s="144" t="n">
        <v>3592378.649181001</v>
      </c>
      <c r="I88" s="144" t="n">
        <v>2257361.66128219</v>
      </c>
      <c r="J88" s="145" t="n">
        <v>0.3125</v>
      </c>
    </row>
    <row r="89" ht="30" customHeight="1">
      <c r="A89" s="143" t="n">
        <v>2056</v>
      </c>
      <c r="B89" s="143" t="n">
        <v>94</v>
      </c>
      <c r="C89" s="143" t="n">
        <v>95</v>
      </c>
      <c r="D89" s="144" t="n">
        <v>0</v>
      </c>
      <c r="E89" s="144" t="n">
        <v>0</v>
      </c>
      <c r="F89" s="118" t="n">
        <v>0</v>
      </c>
      <c r="G89" s="144" t="n">
        <v>425715.3545522712</v>
      </c>
      <c r="H89" s="144" t="n">
        <v>4406403.242008173</v>
      </c>
      <c r="I89" s="144" t="n">
        <v>2609116.757721555</v>
      </c>
      <c r="J89" s="145" t="n">
        <v>0.3125</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6" t="inlineStr">
        <is>
          <t>Q1 — Worst 20%</t>
        </is>
      </c>
      <c r="B93" s="91" t="n">
        <v>-0.02605645661329565</v>
      </c>
      <c r="C93" s="146" t="n">
        <v>0</v>
      </c>
      <c r="D93" s="147" t="n">
        <v>0</v>
      </c>
      <c r="E93" s="146" t="n">
        <v>0</v>
      </c>
      <c r="F93" s="146" t="n">
        <v>0</v>
      </c>
      <c r="G93" s="148" t="n">
        <v>0</v>
      </c>
      <c r="H93" s="74" t="inlineStr">
        <is>
          <t>Retire into a bear market: portfolio may not recover</t>
        </is>
      </c>
      <c r="I93" s="3" t="n"/>
      <c r="J93" s="4" t="n"/>
    </row>
    <row r="94" ht="30" customHeight="1">
      <c r="A94" s="149" t="inlineStr">
        <is>
          <t>Q2</t>
        </is>
      </c>
      <c r="B94" s="150" t="n">
        <v>0.02548566378640984</v>
      </c>
      <c r="C94" s="151" t="n">
        <v>0</v>
      </c>
      <c r="D94" s="152" t="n">
        <v>0</v>
      </c>
      <c r="E94" s="151" t="n">
        <v>0</v>
      </c>
      <c r="F94" s="151" t="n">
        <v>0</v>
      </c>
      <c r="G94" s="153" t="n">
        <v>0</v>
      </c>
      <c r="H94" s="82" t="inlineStr">
        <is>
          <t>Below-avg early returns: monitor spending levels</t>
        </is>
      </c>
      <c r="I94" s="3" t="n"/>
      <c r="J94" s="4" t="n"/>
    </row>
    <row r="95" ht="30" customHeight="1">
      <c r="A95" s="120" t="inlineStr">
        <is>
          <t>Q3 — Middle 20%</t>
        </is>
      </c>
      <c r="B95" s="154" t="n">
        <v>0.06255680966019032</v>
      </c>
      <c r="C95" s="155" t="n">
        <v>208359.2038236566</v>
      </c>
      <c r="D95" s="156" t="n">
        <v>1041796.019118283</v>
      </c>
      <c r="E95" s="155" t="n">
        <v>5663222.398719436</v>
      </c>
      <c r="F95" s="155" t="n">
        <v>2620125.004246003</v>
      </c>
      <c r="G95" s="157" t="n">
        <v>0.6666666666666666</v>
      </c>
      <c r="H95" s="114" t="inlineStr">
        <is>
          <t>Middle outcome: plan as modeled</t>
        </is>
      </c>
      <c r="I95" s="3" t="n"/>
      <c r="J95" s="4" t="n"/>
    </row>
    <row r="96" ht="30" customHeight="1">
      <c r="A96" s="93" t="inlineStr">
        <is>
          <t>Q4</t>
        </is>
      </c>
      <c r="B96" s="81" t="n">
        <v>0.09672547555561362</v>
      </c>
      <c r="C96" s="80" t="n">
        <v>0</v>
      </c>
      <c r="D96" s="94" t="n">
        <v>0</v>
      </c>
      <c r="E96" s="80" t="n">
        <v>1595381.992317297</v>
      </c>
      <c r="F96" s="80" t="n">
        <v>664742.496798874</v>
      </c>
      <c r="G96" s="158" t="n">
        <v>0.3333333333333333</v>
      </c>
      <c r="H96" s="75" t="inlineStr">
        <is>
          <t>Above-avg early returns: strong buffer builds fast</t>
        </is>
      </c>
      <c r="I96" s="3" t="n"/>
      <c r="J96" s="4" t="n"/>
    </row>
    <row r="97" ht="30" customHeight="1">
      <c r="A97" s="121" t="inlineStr">
        <is>
          <t>Q5 — Best 20%</t>
        </is>
      </c>
      <c r="B97" s="159" t="n">
        <v>0.1235492118835551</v>
      </c>
      <c r="C97" s="160" t="n">
        <v>0</v>
      </c>
      <c r="D97" s="161" t="n">
        <v>0</v>
      </c>
      <c r="E97" s="160" t="n">
        <v>176284.1064242139</v>
      </c>
      <c r="F97" s="160" t="n">
        <v>73451.71101008912</v>
      </c>
      <c r="G97" s="162" t="n">
        <v>0.3333333333333333</v>
      </c>
      <c r="H97" s="116" t="inlineStr">
        <is>
          <t>Bull market at retirement: large bequest potential</t>
        </is>
      </c>
      <c r="I97" s="3" t="n"/>
      <c r="J97" s="4" t="n"/>
    </row>
    <row r="98"/>
    <row r="99" ht="45" customHeight="1">
      <c r="A99" s="98"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3"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2" t="inlineStr">
        <is>
          <t>μ=4%</t>
        </is>
      </c>
      <c r="B103" s="164" t="n">
        <v>0.3333333333333333</v>
      </c>
      <c r="C103" s="164" t="n">
        <v>0</v>
      </c>
      <c r="D103" s="164" t="n">
        <v>0</v>
      </c>
      <c r="E103" s="164" t="n">
        <v>0</v>
      </c>
      <c r="F103" s="164" t="n">
        <v>0.3333333333333333</v>
      </c>
      <c r="G103" s="158" t="n">
        <v>0.3333333333333333</v>
      </c>
    </row>
    <row r="104" ht="30" customHeight="1">
      <c r="A104" s="132" t="inlineStr">
        <is>
          <t>μ=5%</t>
        </is>
      </c>
      <c r="B104" s="164" t="n">
        <v>0.3333333333333333</v>
      </c>
      <c r="C104" s="159" t="n">
        <v>1</v>
      </c>
      <c r="D104" s="164" t="n">
        <v>0.6666666666666666</v>
      </c>
      <c r="E104" s="164" t="n">
        <v>0.3333333333333333</v>
      </c>
      <c r="F104" s="164" t="n">
        <v>0.6666666666666666</v>
      </c>
      <c r="G104" s="158" t="n">
        <v>1</v>
      </c>
    </row>
    <row r="105" ht="30" customHeight="1">
      <c r="A105" s="165" t="inlineStr">
        <is>
          <t>μ=6%</t>
        </is>
      </c>
      <c r="B105" s="164" t="n">
        <v>0.6666666666666666</v>
      </c>
      <c r="C105" s="164" t="n">
        <v>0.6666666666666666</v>
      </c>
      <c r="D105" s="166" t="n">
        <v>0</v>
      </c>
      <c r="E105" s="164" t="n">
        <v>0</v>
      </c>
      <c r="F105" s="164" t="n">
        <v>0.3333333333333333</v>
      </c>
      <c r="G105" s="158" t="n">
        <v>0.6666666666666666</v>
      </c>
    </row>
    <row r="106" ht="30" customHeight="1">
      <c r="A106" s="132" t="inlineStr">
        <is>
          <t>μ=7%</t>
        </is>
      </c>
      <c r="B106" s="164" t="n">
        <v>0</v>
      </c>
      <c r="C106" s="164" t="n">
        <v>0.3333333333333333</v>
      </c>
      <c r="D106" s="164" t="n">
        <v>0.3333333333333333</v>
      </c>
      <c r="E106" s="164" t="n">
        <v>0.3333333333333333</v>
      </c>
      <c r="F106" s="164" t="n">
        <v>0.6666666666666666</v>
      </c>
      <c r="G106" s="158" t="n">
        <v>0.6666666666666666</v>
      </c>
    </row>
    <row r="107" ht="30" customHeight="1">
      <c r="A107" s="132" t="inlineStr">
        <is>
          <t>μ=8%</t>
        </is>
      </c>
      <c r="B107" s="164" t="n">
        <v>0.6666666666666666</v>
      </c>
      <c r="C107" s="159" t="n">
        <v>1</v>
      </c>
      <c r="D107" s="164" t="n">
        <v>0.3333333333333333</v>
      </c>
      <c r="E107" s="164" t="n">
        <v>0.3333333333333333</v>
      </c>
      <c r="F107" s="164" t="n">
        <v>0.6666666666666666</v>
      </c>
      <c r="G107" s="158" t="n">
        <v>1</v>
      </c>
    </row>
    <row r="108"/>
    <row r="109" ht="15" customHeight="1">
      <c r="A109" s="167" t="inlineStr"/>
      <c r="B109" s="114" t="inlineStr">
        <is>
          <t>Base case (μ=6%, σ=12%)</t>
        </is>
      </c>
      <c r="C109" s="3" t="n"/>
      <c r="D109" s="3" t="n"/>
      <c r="E109" s="3" t="n"/>
      <c r="F109" s="4" t="n"/>
    </row>
    <row r="110" ht="15" customHeight="1">
      <c r="A110" s="168" t="inlineStr"/>
      <c r="B110" s="114" t="inlineStr">
        <is>
          <t>Success ≥ 90%  — plan highly resilient</t>
        </is>
      </c>
      <c r="C110" s="3" t="n"/>
      <c r="D110" s="3" t="n"/>
      <c r="E110" s="3" t="n"/>
      <c r="F110" s="4" t="n"/>
    </row>
    <row r="111" ht="15" customHeight="1">
      <c r="A111" s="169" t="inlineStr"/>
      <c r="B111" s="114" t="inlineStr">
        <is>
          <t>Success 70–89%  — monitor; consider adjustments</t>
        </is>
      </c>
      <c r="C111" s="3" t="n"/>
      <c r="D111" s="3" t="n"/>
      <c r="E111" s="3" t="n"/>
      <c r="F111" s="4" t="n"/>
    </row>
    <row r="112" ht="15" customHeight="1">
      <c r="A112" s="170" t="inlineStr"/>
      <c r="B112" s="114"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31% liquid-funding success rate — marginal by institutional planning standards. Median terminal liquid assets of $0 and median total net worth of $3,390,274 are shown separately so illiquid wealth does not mask spending shortfalls. The sampled arithmetic/geometric returns were 6.1%/5.3%;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0%–67%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40" t="n">
        <v>2054</v>
      </c>
      <c r="C5" s="140" t="n">
        <v>2056</v>
      </c>
      <c r="D5" s="140" t="n">
        <v>2056</v>
      </c>
      <c r="E5" s="76" t="n">
        <v>4267239.328080034</v>
      </c>
      <c r="F5" s="98" t="inlineStr">
        <is>
          <t>Baseline</t>
        </is>
      </c>
      <c r="G5" s="141" t="n">
        <v>873087.3914096972</v>
      </c>
      <c r="H5" s="98" t="inlineStr">
        <is>
          <t>Baseline</t>
        </is>
      </c>
      <c r="I5" s="98" t="inlineStr">
        <is>
          <t>H dies 2054 (age 92), W dies 2056 (age 95)</t>
        </is>
      </c>
    </row>
    <row r="6" ht="90" customHeight="1">
      <c r="A6" s="2" t="inlineStr">
        <is>
          <t>H dies at 65 (before SS &amp; annuities)</t>
        </is>
      </c>
      <c r="B6" s="137" t="n">
        <v>2027</v>
      </c>
      <c r="C6" s="171" t="n">
        <v>2056</v>
      </c>
      <c r="D6" s="171" t="n">
        <v>2056</v>
      </c>
      <c r="E6" s="172" t="n">
        <v>7420763.565512538</v>
      </c>
      <c r="F6" s="111" t="n">
        <v>3153524.237432504</v>
      </c>
      <c r="G6" s="110" t="n">
        <v>796065.3580427308</v>
      </c>
      <c r="H6" s="110" t="n">
        <v>-77022.03336696641</v>
      </c>
      <c r="I6" s="12" t="inlineStr">
        <is>
          <t>Husband dies 2027. No SS claimed yet. Joint annuity income continues to wife at 100%. H single annuity stops. Wife files Single.</t>
        </is>
      </c>
    </row>
    <row r="7" ht="90" customHeight="1">
      <c r="A7" s="2" t="inlineStr">
        <is>
          <t>H dies at 72 (early retirement)</t>
        </is>
      </c>
      <c r="B7" s="137" t="n">
        <v>2034</v>
      </c>
      <c r="C7" s="171" t="n">
        <v>2056</v>
      </c>
      <c r="D7" s="171" t="n">
        <v>2056</v>
      </c>
      <c r="E7" s="138" t="n">
        <v>3776012.540813134</v>
      </c>
      <c r="F7" s="110" t="n">
        <v>-491226.7872668998</v>
      </c>
      <c r="G7" s="110" t="n">
        <v>865045.6923164389</v>
      </c>
      <c r="H7" s="110" t="n">
        <v>-8041.699093258358</v>
      </c>
      <c r="I7" s="12" t="inlineStr">
        <is>
          <t>Husband dies 2034. SS claimed but only 8 years of benefits. Joint annuities continue. Wife survives 22 more years as Single filer.</t>
        </is>
      </c>
    </row>
    <row r="8" ht="90" customHeight="1">
      <c r="A8" s="2" t="inlineStr">
        <is>
          <t>W dies at 65 (pension &amp; annuities lost early)</t>
        </is>
      </c>
      <c r="B8" s="137" t="n">
        <v>2054</v>
      </c>
      <c r="C8" s="171" t="n">
        <v>2026</v>
      </c>
      <c r="D8" s="171" t="n">
        <v>2054</v>
      </c>
      <c r="E8" s="172" t="n">
        <v>6155918.467668513</v>
      </c>
      <c r="F8" s="111" t="n">
        <v>1888679.139588479</v>
      </c>
      <c r="G8" s="110" t="n">
        <v>803009.9788814486</v>
      </c>
      <c r="H8" s="110" t="n">
        <v>-70077.41252824862</v>
      </c>
      <c r="I8" s="12" t="inlineStr">
        <is>
          <t>Member death scenario: pension/single-life income stops immediately. Joint annuities continue to husband. H files Single.</t>
        </is>
      </c>
    </row>
    <row r="9" ht="90" customHeight="1">
      <c r="A9" s="2" t="inlineStr">
        <is>
          <t>W dies at 72 (early retirement)</t>
        </is>
      </c>
      <c r="B9" s="137" t="n">
        <v>2054</v>
      </c>
      <c r="C9" s="171" t="n">
        <v>2033</v>
      </c>
      <c r="D9" s="171" t="n">
        <v>2054</v>
      </c>
      <c r="E9" s="173" t="n">
        <v>3516824.352347114</v>
      </c>
      <c r="F9" s="174" t="n">
        <v>-750414.9757329198</v>
      </c>
      <c r="G9" s="110" t="n">
        <v>884357.4771280973</v>
      </c>
      <c r="H9" s="110" t="n">
        <v>11270.08571840008</v>
      </c>
      <c r="I9" s="12" t="inlineStr">
        <is>
          <t>Wife dies 2033. Pension stops. W single annuity stops after ~4 years. Joint annuities continue. Husband survives as Single filer.</t>
        </is>
      </c>
    </row>
    <row r="10" ht="75" customHeight="1">
      <c r="A10" s="2" t="inlineStr">
        <is>
          <t>Both die at 75 (shortened plan)</t>
        </is>
      </c>
      <c r="B10" s="137" t="n">
        <v>2037</v>
      </c>
      <c r="C10" s="171" t="n">
        <v>2036</v>
      </c>
      <c r="D10" s="171" t="n">
        <v>2037</v>
      </c>
      <c r="E10" s="172" t="n">
        <v>4686862.726743185</v>
      </c>
      <c r="F10" s="111" t="n">
        <v>419623.3986631511</v>
      </c>
      <c r="G10" s="110" t="n">
        <v>535690.040768779</v>
      </c>
      <c r="H10" s="110" t="n">
        <v>-337397.3506409182</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7" t="n">
        <v>2026</v>
      </c>
      <c r="B5" s="105" t="n">
        <v>54811</v>
      </c>
      <c r="C5" s="105" t="n">
        <v>355000</v>
      </c>
      <c r="D5" s="105" t="n">
        <v>93041</v>
      </c>
      <c r="E5" s="105" t="n">
        <v>860000</v>
      </c>
      <c r="F5" s="105" t="n">
        <v>1362852</v>
      </c>
    </row>
    <row r="6" ht="15" customHeight="1">
      <c r="A6" s="137" t="n">
        <v>2027</v>
      </c>
      <c r="B6" s="105" t="n">
        <v>57527</v>
      </c>
      <c r="C6" s="105" t="n">
        <v>355000</v>
      </c>
      <c r="D6" s="105" t="n">
        <v>98029</v>
      </c>
      <c r="E6" s="105" t="n">
        <v>860000</v>
      </c>
      <c r="F6" s="105" t="n">
        <v>1370556</v>
      </c>
    </row>
    <row r="7" ht="15" customHeight="1">
      <c r="A7" s="137" t="n">
        <v>2028</v>
      </c>
      <c r="B7" s="105" t="n">
        <v>60381</v>
      </c>
      <c r="C7" s="105" t="n">
        <v>353868</v>
      </c>
      <c r="D7" s="105" t="n">
        <v>103285</v>
      </c>
      <c r="E7" s="105" t="n">
        <v>887765</v>
      </c>
      <c r="F7" s="105" t="n">
        <v>1405299</v>
      </c>
    </row>
    <row r="8" ht="15" customHeight="1">
      <c r="A8" s="137" t="n">
        <v>2029</v>
      </c>
      <c r="B8" s="105" t="n">
        <v>67377</v>
      </c>
      <c r="C8" s="105" t="n">
        <v>324660</v>
      </c>
      <c r="D8" s="105" t="n">
        <v>108826</v>
      </c>
      <c r="E8" s="105" t="n">
        <v>936024</v>
      </c>
      <c r="F8" s="105" t="n">
        <v>1436887</v>
      </c>
    </row>
    <row r="9" ht="15" customHeight="1">
      <c r="A9" s="137" t="n">
        <v>2030</v>
      </c>
      <c r="B9" s="105" t="n">
        <v>0</v>
      </c>
      <c r="C9" s="105" t="n">
        <v>295406</v>
      </c>
      <c r="D9" s="105" t="n">
        <v>0</v>
      </c>
      <c r="E9" s="105" t="n">
        <v>869290</v>
      </c>
      <c r="F9" s="105" t="n">
        <v>1164696</v>
      </c>
    </row>
    <row r="10" ht="15" customHeight="1">
      <c r="A10" s="137" t="n">
        <v>2031</v>
      </c>
      <c r="B10" s="105" t="n">
        <v>0</v>
      </c>
      <c r="C10" s="105" t="n">
        <v>267026</v>
      </c>
      <c r="D10" s="105" t="n">
        <v>0</v>
      </c>
      <c r="E10" s="105" t="n">
        <v>793070</v>
      </c>
      <c r="F10" s="105" t="n">
        <v>1060096</v>
      </c>
    </row>
    <row r="11" ht="15" customHeight="1">
      <c r="A11" s="137" t="n">
        <v>2032</v>
      </c>
      <c r="B11" s="105" t="n">
        <v>0</v>
      </c>
      <c r="C11" s="105" t="n">
        <v>239467</v>
      </c>
      <c r="D11" s="105" t="n">
        <v>0</v>
      </c>
      <c r="E11" s="105" t="n">
        <v>717885</v>
      </c>
      <c r="F11" s="105" t="n">
        <v>957352</v>
      </c>
    </row>
    <row r="12" ht="15" customHeight="1">
      <c r="A12" s="137" t="n">
        <v>2033</v>
      </c>
      <c r="B12" s="105" t="n">
        <v>0</v>
      </c>
      <c r="C12" s="105" t="n">
        <v>212555</v>
      </c>
      <c r="D12" s="105" t="n">
        <v>0</v>
      </c>
      <c r="E12" s="105" t="n">
        <v>644998</v>
      </c>
      <c r="F12" s="105" t="n">
        <v>857553</v>
      </c>
    </row>
    <row r="13" ht="15" customHeight="1">
      <c r="A13" s="137" t="n">
        <v>2034</v>
      </c>
      <c r="B13" s="105" t="n">
        <v>0</v>
      </c>
      <c r="C13" s="105" t="n">
        <v>186153</v>
      </c>
      <c r="D13" s="105" t="n">
        <v>0</v>
      </c>
      <c r="E13" s="105" t="n">
        <v>574089</v>
      </c>
      <c r="F13" s="105" t="n">
        <v>760242</v>
      </c>
    </row>
    <row r="14" ht="15" customHeight="1">
      <c r="A14" s="137" t="n">
        <v>2035</v>
      </c>
      <c r="B14" s="105" t="n">
        <v>0</v>
      </c>
      <c r="C14" s="105" t="n">
        <v>160180</v>
      </c>
      <c r="D14" s="105" t="n">
        <v>0</v>
      </c>
      <c r="E14" s="105" t="n">
        <v>504776</v>
      </c>
      <c r="F14" s="105" t="n">
        <v>664956</v>
      </c>
    </row>
    <row r="15" ht="15" customHeight="1">
      <c r="A15" s="137" t="n">
        <v>2036</v>
      </c>
      <c r="B15" s="105" t="n">
        <v>0</v>
      </c>
      <c r="C15" s="105" t="n">
        <v>134626</v>
      </c>
      <c r="D15" s="105" t="n">
        <v>0</v>
      </c>
      <c r="E15" s="105" t="n">
        <v>436878</v>
      </c>
      <c r="F15" s="105" t="n">
        <v>571504</v>
      </c>
    </row>
    <row r="16" ht="15" customHeight="1">
      <c r="A16" s="137" t="n">
        <v>2037</v>
      </c>
      <c r="B16" s="105" t="n">
        <v>0</v>
      </c>
      <c r="C16" s="105" t="n">
        <v>109395</v>
      </c>
      <c r="D16" s="105" t="n">
        <v>0</v>
      </c>
      <c r="E16" s="105" t="n">
        <v>370076</v>
      </c>
      <c r="F16" s="105" t="n">
        <v>479471</v>
      </c>
    </row>
    <row r="17" ht="15" customHeight="1">
      <c r="A17" s="137" t="n">
        <v>2038</v>
      </c>
      <c r="B17" s="105" t="n">
        <v>0</v>
      </c>
      <c r="C17" s="105" t="n">
        <v>84451</v>
      </c>
      <c r="D17" s="105" t="n">
        <v>0</v>
      </c>
      <c r="E17" s="105" t="n">
        <v>304216</v>
      </c>
      <c r="F17" s="105" t="n">
        <v>388667</v>
      </c>
    </row>
    <row r="18" ht="15" customHeight="1">
      <c r="A18" s="137" t="n">
        <v>2039</v>
      </c>
      <c r="B18" s="105" t="n">
        <v>0</v>
      </c>
      <c r="C18" s="105" t="n">
        <v>59771</v>
      </c>
      <c r="D18" s="105" t="n">
        <v>0</v>
      </c>
      <c r="E18" s="105" t="n">
        <v>239205</v>
      </c>
      <c r="F18" s="105" t="n">
        <v>298976</v>
      </c>
    </row>
    <row r="19" ht="15" customHeight="1">
      <c r="A19" s="137" t="n">
        <v>2040</v>
      </c>
      <c r="B19" s="105" t="n">
        <v>0</v>
      </c>
      <c r="C19" s="105" t="n">
        <v>35209</v>
      </c>
      <c r="D19" s="105" t="n">
        <v>0</v>
      </c>
      <c r="E19" s="105" t="n">
        <v>173663</v>
      </c>
      <c r="F19" s="105" t="n">
        <v>208872</v>
      </c>
    </row>
    <row r="20" ht="15" customHeight="1">
      <c r="A20" s="137" t="n">
        <v>2041</v>
      </c>
      <c r="B20" s="105" t="n">
        <v>0</v>
      </c>
      <c r="C20" s="105" t="n">
        <v>10736</v>
      </c>
      <c r="D20" s="105" t="n">
        <v>0</v>
      </c>
      <c r="E20" s="105" t="n">
        <v>173663</v>
      </c>
      <c r="F20" s="105" t="n">
        <v>184399</v>
      </c>
    </row>
    <row r="21" ht="15" customHeight="1">
      <c r="A21" s="137" t="n">
        <v>2042</v>
      </c>
      <c r="B21" s="105" t="n">
        <v>0</v>
      </c>
      <c r="C21" s="105" t="n">
        <v>0</v>
      </c>
      <c r="D21" s="105" t="n">
        <v>0</v>
      </c>
      <c r="E21" s="105" t="n">
        <v>43892</v>
      </c>
      <c r="F21" s="105"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5" t="n">
        <v>2900000</v>
      </c>
      <c r="C26" s="105" t="n">
        <v>1362852</v>
      </c>
      <c r="D26" s="105" t="n">
        <v>2721607.96676</v>
      </c>
      <c r="E26" s="105" t="n">
        <v>0</v>
      </c>
      <c r="F26" s="75" t="inlineStr">
        <is>
          <t>Gap Covered</t>
        </is>
      </c>
    </row>
    <row r="27" ht="30" customHeight="1">
      <c r="A27" s="12" t="inlineStr">
        <is>
          <t>Mortgage Payoff</t>
        </is>
      </c>
      <c r="B27" s="105" t="n">
        <v>293284</v>
      </c>
      <c r="C27" s="105" t="n">
        <v>0</v>
      </c>
      <c r="D27" s="105" t="n">
        <v>2721607.96676</v>
      </c>
      <c r="E27" s="105" t="n">
        <v>0</v>
      </c>
      <c r="F27" s="75" t="inlineStr">
        <is>
          <t>Gap Covered</t>
        </is>
      </c>
    </row>
    <row r="28" ht="30" customHeight="1">
      <c r="A28" s="12" t="inlineStr">
        <is>
          <t>Estate Liquidity</t>
        </is>
      </c>
      <c r="B28" s="105" t="n">
        <v>500000</v>
      </c>
      <c r="C28" s="105" t="n">
        <v>1362852</v>
      </c>
      <c r="D28" s="105" t="n">
        <v>2721607.96676</v>
      </c>
      <c r="E28" s="105"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8" t="inlineStr">
        <is>
          <t>$250,000</t>
        </is>
      </c>
      <c r="B33" s="98" t="inlineStr">
        <is>
          <t>~$9,500/yr</t>
        </is>
      </c>
      <c r="C33" s="98" t="inlineStr">
        <is>
          <t>$137/day</t>
        </is>
      </c>
      <c r="D33" s="98" t="inlineStr">
        <is>
          <t>3 years</t>
        </is>
      </c>
      <c r="E33" s="98" t="inlineStr">
        <is>
          <t>~0.5 yrs into claim</t>
        </is>
      </c>
      <c r="F33" s="98" t="inlineStr">
        <is>
          <t>Light coverage — 3yr facility = $411K at today cost; covers moderate scenario</t>
        </is>
      </c>
    </row>
    <row r="34" ht="75" customHeight="1">
      <c r="A34" s="98" t="inlineStr">
        <is>
          <t>$350,000</t>
        </is>
      </c>
      <c r="B34" s="98" t="inlineStr">
        <is>
          <t>~$13,000/yr</t>
        </is>
      </c>
      <c r="C34" s="98" t="inlineStr">
        <is>
          <t>$192/day</t>
        </is>
      </c>
      <c r="D34" s="98" t="inlineStr">
        <is>
          <t>4 years</t>
        </is>
      </c>
      <c r="E34" s="98" t="inlineStr">
        <is>
          <t>~0.7 yrs into claim</t>
        </is>
      </c>
      <c r="F34" s="98" t="inlineStr">
        <is>
          <t>Moderate — 4yr = $412K home care / $549K facility coverage</t>
        </is>
      </c>
    </row>
    <row r="35" ht="90" customHeight="1">
      <c r="A35" s="121" t="inlineStr">
        <is>
          <t>$500,000</t>
        </is>
      </c>
      <c r="B35" s="121" t="inlineStr">
        <is>
          <t>~$18,500/yr</t>
        </is>
      </c>
      <c r="C35" s="116" t="inlineStr">
        <is>
          <t>$274/day</t>
        </is>
      </c>
      <c r="D35" s="116" t="inlineStr">
        <is>
          <t>5 years</t>
        </is>
      </c>
      <c r="E35" s="116" t="inlineStr">
        <is>
          <t>~1.1 yrs into claim</t>
        </is>
      </c>
      <c r="F35" s="121" t="inlineStr">
        <is>
          <t>★ OPTIMAL — 5yr facility covers worst-case; premium affordable vs estate risk</t>
        </is>
      </c>
    </row>
    <row r="36" ht="75" customHeight="1">
      <c r="A36" s="98" t="inlineStr">
        <is>
          <t>$750,000</t>
        </is>
      </c>
      <c r="B36" s="98" t="inlineStr">
        <is>
          <t>~$27,000/yr</t>
        </is>
      </c>
      <c r="C36" s="98" t="inlineStr">
        <is>
          <t>$411/day</t>
        </is>
      </c>
      <c r="D36" s="98" t="inlineStr">
        <is>
          <t>6 years</t>
        </is>
      </c>
      <c r="E36" s="98" t="inlineStr">
        <is>
          <t>~1.8 yrs into claim</t>
        </is>
      </c>
      <c r="F36" s="98" t="inlineStr">
        <is>
          <t>Premium — extensive coverage; premium ~1.8% of estate annually</t>
        </is>
      </c>
    </row>
    <row r="37"/>
    <row r="38" ht="45" customHeight="1">
      <c r="A38" s="114"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5" t="n">
        <v>35000</v>
      </c>
      <c r="C53" s="12" t="n">
        <v>3</v>
      </c>
      <c r="D53" s="105" t="n">
        <v>110880.8749999999</v>
      </c>
      <c r="E53" s="12" t="inlineStr">
        <is>
          <t>Trust / Roth</t>
        </is>
      </c>
      <c r="F53" s="75" t="inlineStr">
        <is>
          <t>YES</t>
        </is>
      </c>
    </row>
    <row r="54" ht="30" customHeight="1">
      <c r="A54" s="12" t="inlineStr">
        <is>
          <t>Severe Home Care</t>
        </is>
      </c>
      <c r="B54" s="105" t="n">
        <v>75000</v>
      </c>
      <c r="C54" s="12" t="n">
        <v>5</v>
      </c>
      <c r="D54" s="105" t="n">
        <v>418581.8269218746</v>
      </c>
      <c r="E54" s="12" t="inlineStr">
        <is>
          <t>Trust / IRA drawdown</t>
        </is>
      </c>
      <c r="F54" s="75" t="inlineStr">
        <is>
          <t>YES</t>
        </is>
      </c>
    </row>
    <row r="55" ht="30" customHeight="1">
      <c r="A55" s="12" t="inlineStr">
        <is>
          <t>Facility (Memory Care)</t>
        </is>
      </c>
      <c r="B55" s="105" t="n">
        <v>120000</v>
      </c>
      <c r="C55" s="12" t="n">
        <v>5</v>
      </c>
      <c r="D55" s="105" t="n">
        <v>669730.9230749994</v>
      </c>
      <c r="E55" s="12" t="inlineStr">
        <is>
          <t>IRA + Trust</t>
        </is>
      </c>
      <c r="F55" s="74" t="inlineStr">
        <is>
          <t>NO</t>
        </is>
      </c>
    </row>
    <row r="56" ht="30" customHeight="1">
      <c r="A56" s="12" t="inlineStr">
        <is>
          <t>Catastrophic (Both)</t>
        </is>
      </c>
      <c r="B56" s="105" t="n">
        <v>200000</v>
      </c>
      <c r="C56" s="12" t="n">
        <v>7</v>
      </c>
      <c r="D56" s="105"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5"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5" t="inlineStr">
        <is>
          <t>4A. Plan Data — PLAN DATA SNAPSHOT</t>
        </is>
      </c>
    </row>
    <row r="2"/>
    <row r="3" ht="30" customHeight="1">
      <c r="A3" s="122"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2026-06-30</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06/29/2026 09:35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70"/>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8" t="inlineStr">
        <is>
          <t>Time horizon</t>
        </is>
      </c>
      <c r="B4" s="176" t="inlineStr">
        <is>
          <t>2026–2056</t>
        </is>
      </c>
      <c r="C4" s="12" t="inlineStr">
        <is>
          <t>text</t>
        </is>
      </c>
      <c r="D4" s="12" t="inlineStr">
        <is>
          <t>Sets the years included in every income, tax, spending, and terminal-net-worth calculation.</t>
        </is>
      </c>
    </row>
    <row r="5" ht="90" customHeight="1">
      <c r="A5" s="98" t="inlineStr">
        <is>
          <t>Social Security income</t>
        </is>
      </c>
      <c r="B5" s="176"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8" t="inlineStr">
        <is>
          <t>Wellness cash flow</t>
        </is>
      </c>
      <c r="B6" s="176"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8" t="inlineStr">
        <is>
          <t>Taxable portfolio income</t>
        </is>
      </c>
      <c r="B7" s="176"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8" t="inlineStr">
        <is>
          <t>Roth / IRMAA guardrails</t>
        </is>
      </c>
      <c r="B8" s="176"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8" t="inlineStr">
        <is>
          <t>Estate and survivor treatment</t>
        </is>
      </c>
      <c r="B9" s="176"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8" t="inlineStr">
        <is>
          <t>Monte Carlo risk mode</t>
        </is>
      </c>
      <c r="B10" s="176"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8" t="inlineStr">
        <is>
          <t>Allocation and real-dollar reporting</t>
        </is>
      </c>
      <c r="B11" s="176"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8" t="inlineStr">
        <is>
          <t>Inflation (General)</t>
        </is>
      </c>
      <c r="B15" s="177" t="n">
        <v>0.025</v>
      </c>
      <c r="C15" s="12" t="inlineStr">
        <is>
          <t>decimal</t>
        </is>
      </c>
      <c r="D15" s="12" t="inlineStr">
        <is>
          <t>2.50% annual</t>
        </is>
      </c>
    </row>
    <row r="16" ht="15" customHeight="1">
      <c r="A16" s="98" t="inlineStr">
        <is>
          <t>SS COLA</t>
        </is>
      </c>
      <c r="B16" s="177" t="n">
        <v>0.02</v>
      </c>
      <c r="C16" s="12" t="inlineStr">
        <is>
          <t>decimal</t>
        </is>
      </c>
      <c r="D16" s="12" t="inlineStr">
        <is>
          <t>2.00% annual</t>
        </is>
      </c>
    </row>
    <row r="17" ht="30" customHeight="1">
      <c r="A17" s="98" t="inlineStr">
        <is>
          <t>Medicare Inflation</t>
        </is>
      </c>
      <c r="B17" s="177" t="n">
        <v>0.055</v>
      </c>
      <c r="C17" s="12" t="inlineStr">
        <is>
          <t>decimal</t>
        </is>
      </c>
      <c r="D17" s="12" t="inlineStr">
        <is>
          <t>5.50% annual</t>
        </is>
      </c>
    </row>
    <row r="18" ht="90" customHeight="1">
      <c r="A18" s="98" t="inlineStr">
        <is>
          <t>Portfolio Nominal Return</t>
        </is>
      </c>
      <c r="B18" s="177" t="n">
        <v>0.06</v>
      </c>
      <c r="C18" s="12" t="inlineStr">
        <is>
          <t>decimal</t>
        </is>
      </c>
      <c r="D18" s="12" t="inlineStr">
        <is>
          <t>No-volatility deterministic reference return; MC may use asset-class covariance and sampled geometric returns</t>
        </is>
      </c>
    </row>
    <row r="19" ht="30" customHeight="1">
      <c r="A19" s="98" t="inlineStr">
        <is>
          <t>Fed Bracket Inflator</t>
        </is>
      </c>
      <c r="B19" s="177" t="n">
        <v>0.02</v>
      </c>
      <c r="C19" s="12" t="inlineStr">
        <is>
          <t>decimal</t>
        </is>
      </c>
      <c r="D19" s="12" t="inlineStr">
        <is>
          <t>2.00%/yr</t>
        </is>
      </c>
    </row>
    <row r="20" ht="30" customHeight="1">
      <c r="A20" s="98" t="inlineStr">
        <is>
          <t>SS Taxable Fraction</t>
        </is>
      </c>
      <c r="B20" s="177" t="n">
        <v>0.85</v>
      </c>
      <c r="C20" s="12" t="inlineStr">
        <is>
          <t>decimal</t>
        </is>
      </c>
      <c r="D20" s="12" t="inlineStr">
        <is>
          <t>85%</t>
        </is>
      </c>
    </row>
    <row r="21" ht="90" customHeight="1">
      <c r="A21" s="98" t="inlineStr">
        <is>
          <t>Roth Conversion Target Bracket</t>
        </is>
      </c>
      <c r="B21" s="177" t="n">
        <v>0.22</v>
      </c>
      <c r="C21" s="12" t="inlineStr">
        <is>
          <t>decimal</t>
        </is>
      </c>
      <c r="D21" s="12" t="inlineStr">
        <is>
          <t>Configured target bracket used when the selected strategy fills bracket headroom.</t>
        </is>
      </c>
    </row>
    <row r="22" ht="90" customHeight="1">
      <c r="A22" s="98" t="inlineStr">
        <is>
          <t>Roth Legacy Objective Mode</t>
        </is>
      </c>
      <c r="B22" s="176" t="inlineStr">
        <is>
          <t>BALANCED</t>
        </is>
      </c>
      <c r="C22" s="12" t="inlineStr">
        <is>
          <t>text</t>
        </is>
      </c>
      <c r="D22" s="12" t="inlineStr">
        <is>
          <t>OFF, LOW, BALANCED, or STRONG; weights future tax-rate risk and inheritance tax burden in Roth conversion selection.</t>
        </is>
      </c>
    </row>
    <row r="23" ht="90" customHeight="1">
      <c r="A23" s="98" t="inlineStr">
        <is>
          <t>Roth Future Tax Stress</t>
        </is>
      </c>
      <c r="B23" s="177" t="n">
        <v>0.1</v>
      </c>
      <c r="C23" s="12" t="inlineStr">
        <is>
          <t>decimal</t>
        </is>
      </c>
      <c r="D23" s="12" t="inlineStr">
        <is>
          <t>Additional ordinary-tax-rate stress used only in the Roth conversion objective.</t>
        </is>
      </c>
    </row>
    <row r="24" ht="75" customHeight="1">
      <c r="A24" s="98" t="inlineStr">
        <is>
          <t>Heir Ordinary Tax Assumption</t>
        </is>
      </c>
      <c r="B24" s="177"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8" t="inlineStr">
        <is>
          <t>Capital Market Assumption Mode</t>
        </is>
      </c>
      <c r="B28" s="176" t="inlineStr">
        <is>
          <t>PRESET</t>
        </is>
      </c>
      <c r="C28" s="12" t="inlineStr">
        <is>
          <t>text</t>
        </is>
      </c>
      <c r="D28" s="12" t="inlineStr">
        <is>
          <t>PRESET uses built-in selectable horizon/preset assumptions; CUSTOM_FILE reads expert import assumptions.</t>
        </is>
      </c>
    </row>
    <row r="29" ht="90" customHeight="1">
      <c r="A29" s="98" t="inlineStr">
        <is>
          <t>Capital Market Horizon</t>
        </is>
      </c>
      <c r="B29" s="178" t="n">
        <v>30</v>
      </c>
      <c r="C29" s="12" t="inlineStr">
        <is>
          <t>years</t>
        </is>
      </c>
      <c r="D29" s="12" t="inlineStr">
        <is>
          <t>Supported horizons: 1, 3, 5, 10, 20, 25, 30 years. 30 is the long-term baseline.</t>
        </is>
      </c>
    </row>
    <row r="30" ht="90" customHeight="1">
      <c r="A30" s="98" t="inlineStr">
        <is>
          <t>Capital Market Preset</t>
        </is>
      </c>
      <c r="B30" s="176" t="inlineStr">
        <is>
          <t>BASELINE</t>
        </is>
      </c>
      <c r="C30" s="12" t="inlineStr">
        <is>
          <t>text</t>
        </is>
      </c>
      <c r="D30" s="12" t="inlineStr">
        <is>
          <t>CONSERVATIVE, BASELINE, or AGGRESSIVE. These are planning assumptions, not live forecasts.</t>
        </is>
      </c>
    </row>
    <row r="31" ht="90" customHeight="1">
      <c r="A31" s="98" t="inlineStr">
        <is>
          <t>Correlation Mode</t>
        </is>
      </c>
      <c r="B31" s="176" t="inlineStr">
        <is>
          <t>PRESET</t>
        </is>
      </c>
      <c r="C31" s="12" t="inlineStr">
        <is>
          <t>text</t>
        </is>
      </c>
      <c r="D31" s="12" t="inlineStr">
        <is>
          <t>PRESET, ADVANCED, or CUSTOM_FILE. Pairwise correlations affect diversification benefit.</t>
        </is>
      </c>
    </row>
    <row r="32" ht="75" customHeight="1">
      <c r="A32" s="98" t="inlineStr">
        <is>
          <t>Correlation Preset</t>
        </is>
      </c>
      <c r="B32" s="176" t="inlineStr">
        <is>
          <t>MODERATE</t>
        </is>
      </c>
      <c r="C32" s="12" t="inlineStr">
        <is>
          <t>text</t>
        </is>
      </c>
      <c r="D32" s="12" t="inlineStr">
        <is>
          <t>LOW, MODERATE, HIGH, or STRESS. Stress assumes weaker diversification.</t>
        </is>
      </c>
    </row>
    <row r="33" ht="90" customHeight="1">
      <c r="A33" s="98" t="inlineStr">
        <is>
          <t>Workbook Pricing Source</t>
        </is>
      </c>
      <c r="B33" s="176" t="inlineStr">
        <is>
          <t>CACHE — as of 06/29/2026 09:35 AM</t>
        </is>
      </c>
      <c r="C33" s="12" t="inlineStr">
        <is>
          <t>text</t>
        </is>
      </c>
      <c r="D33" s="12" t="inlineStr">
        <is>
          <t>Cached quotes were used as of 06/29/2026 09:35 AM; cache TTL is 24.0 hours. Some symbols used offline fallback pricing; see Holdings Detail by Account for ticker-level sources. Ticker-level source counts: cash: 1, fresh_cache_24h_from_fixture_cache: 7.</t>
        </is>
      </c>
    </row>
    <row r="34" ht="90" customHeight="1">
      <c r="A34" s="98" t="inlineStr">
        <is>
          <t>Asset Allocation Recommendation Source</t>
        </is>
      </c>
      <c r="B34" s="176"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8" t="inlineStr">
        <is>
          <t>Allocation Selection Mode</t>
        </is>
      </c>
      <c r="B35" s="176" t="inlineStr">
        <is>
          <t>Use user-specified allocation</t>
        </is>
      </c>
      <c r="C35" s="12" t="inlineStr">
        <is>
          <t>text</t>
        </is>
      </c>
      <c r="D35" s="12" t="inlineStr">
        <is>
          <t>UI toggle: use the optimizer recommendation or use the user-specified target_pct allocation.</t>
        </is>
      </c>
    </row>
    <row r="36" ht="90" customHeight="1">
      <c r="A36" s="98" t="inlineStr">
        <is>
          <t>Optimizer Recommendation Basis</t>
        </is>
      </c>
      <c r="B36" s="176"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8" t="inlineStr">
        <is>
          <t>User-Specified Allocation Total</t>
        </is>
      </c>
      <c r="B37" s="177" t="n">
        <v>1</v>
      </c>
      <c r="C37" s="12" t="inlineStr">
        <is>
          <t>decimal</t>
        </is>
      </c>
      <c r="D37" s="12" t="inlineStr">
        <is>
          <t>Must equal 100%. If selected as the allocation mode, these target_pct rows drive allocation recommendations.</t>
        </is>
      </c>
    </row>
    <row r="38" ht="90" customHeight="1">
      <c r="A38" s="98" t="inlineStr">
        <is>
          <t>Optimizer Override Total</t>
        </is>
      </c>
      <c r="B38" s="177" t="n">
        <v>0</v>
      </c>
      <c r="C38" s="12" t="inlineStr">
        <is>
          <t>decimal</t>
        </is>
      </c>
      <c r="D38" s="12" t="inlineStr">
        <is>
          <t>0% or blank means the computed optimizer target is used. If any optimizer override is entered, override percentages must total 100%.</t>
        </is>
      </c>
    </row>
    <row r="39" ht="90" customHeight="1">
      <c r="A39" s="98" t="inlineStr">
        <is>
          <t>Optimizer Override — US Large Cap</t>
        </is>
      </c>
      <c r="B39" s="177" t="n">
        <v>0</v>
      </c>
      <c r="C39" s="12" t="inlineStr">
        <is>
          <t>decimal</t>
        </is>
      </c>
      <c r="D39" s="12" t="inlineStr">
        <is>
          <t>Optional optimizer-mode override. If any override row is nonzero, the optimizer override replaces the computed optimizer target and must total 100%.</t>
        </is>
      </c>
    </row>
    <row r="40" ht="90" customHeight="1">
      <c r="A40" s="98" t="inlineStr">
        <is>
          <t>Optimizer Override — US Mid Cap</t>
        </is>
      </c>
      <c r="B40" s="177" t="n">
        <v>0</v>
      </c>
      <c r="C40" s="12" t="inlineStr">
        <is>
          <t>decimal</t>
        </is>
      </c>
      <c r="D40" s="12" t="inlineStr">
        <is>
          <t>Optional optimizer-mode override. If any override row is nonzero, the optimizer override replaces the computed optimizer target and must total 100%.</t>
        </is>
      </c>
    </row>
    <row r="41" ht="90" customHeight="1">
      <c r="A41" s="98" t="inlineStr">
        <is>
          <t>Optimizer Override — US Small Cap</t>
        </is>
      </c>
      <c r="B41" s="177" t="n">
        <v>0</v>
      </c>
      <c r="C41" s="12" t="inlineStr">
        <is>
          <t>decimal</t>
        </is>
      </c>
      <c r="D41" s="12" t="inlineStr">
        <is>
          <t>Optional optimizer-mode override. If any override row is nonzero, the optimizer override replaces the computed optimizer target and must total 100%.</t>
        </is>
      </c>
    </row>
    <row r="42" ht="90" customHeight="1">
      <c r="A42" s="98" t="inlineStr">
        <is>
          <t>Optimizer Override — International</t>
        </is>
      </c>
      <c r="B42" s="177" t="n">
        <v>0</v>
      </c>
      <c r="C42" s="12" t="inlineStr">
        <is>
          <t>decimal</t>
        </is>
      </c>
      <c r="D42" s="12" t="inlineStr">
        <is>
          <t>Optional optimizer-mode override. If any override row is nonzero, the optimizer override replaces the computed optimizer target and must total 100%.</t>
        </is>
      </c>
    </row>
    <row r="43" ht="90" customHeight="1">
      <c r="A43" s="98" t="inlineStr">
        <is>
          <t>Optimizer Override — Emerging Markets</t>
        </is>
      </c>
      <c r="B43" s="177" t="n">
        <v>0</v>
      </c>
      <c r="C43" s="12" t="inlineStr">
        <is>
          <t>decimal</t>
        </is>
      </c>
      <c r="D43" s="12" t="inlineStr">
        <is>
          <t>Optional optimizer-mode override. If any override row is nonzero, the optimizer override replaces the computed optimizer target and must total 100%.</t>
        </is>
      </c>
    </row>
    <row r="44" ht="90" customHeight="1">
      <c r="A44" s="98" t="inlineStr">
        <is>
          <t>Optimizer Override — Commodities</t>
        </is>
      </c>
      <c r="B44" s="177" t="n">
        <v>0</v>
      </c>
      <c r="C44" s="12" t="inlineStr">
        <is>
          <t>decimal</t>
        </is>
      </c>
      <c r="D44" s="12" t="inlineStr">
        <is>
          <t>Optional optimizer-mode override. If any override row is nonzero, the optimizer override replaces the computed optimizer target and must total 100%.</t>
        </is>
      </c>
    </row>
    <row r="45" ht="90" customHeight="1">
      <c r="A45" s="98" t="inlineStr">
        <is>
          <t>Optimizer Override — Bonds</t>
        </is>
      </c>
      <c r="B45" s="177" t="n">
        <v>0</v>
      </c>
      <c r="C45" s="12" t="inlineStr">
        <is>
          <t>decimal</t>
        </is>
      </c>
      <c r="D45" s="12" t="inlineStr">
        <is>
          <t>Optional optimizer-mode override. If any override row is nonzero, the optimizer override replaces the computed optimizer target and must total 100%.</t>
        </is>
      </c>
    </row>
    <row r="46" ht="90" customHeight="1">
      <c r="A46" s="98" t="inlineStr">
        <is>
          <t>Optimizer Override — Short-Term Bonds</t>
        </is>
      </c>
      <c r="B46" s="177" t="n">
        <v>0</v>
      </c>
      <c r="C46" s="12" t="inlineStr">
        <is>
          <t>decimal</t>
        </is>
      </c>
      <c r="D46" s="12" t="inlineStr">
        <is>
          <t>Optional optimizer-mode override. If any override row is nonzero, the optimizer override replaces the computed optimizer target and must total 100%.</t>
        </is>
      </c>
    </row>
    <row r="47" ht="90" customHeight="1">
      <c r="A47" s="98" t="inlineStr">
        <is>
          <t>Optimizer Override — TIPS</t>
        </is>
      </c>
      <c r="B47" s="177" t="n">
        <v>0</v>
      </c>
      <c r="C47" s="12" t="inlineStr">
        <is>
          <t>decimal</t>
        </is>
      </c>
      <c r="D47" s="12" t="inlineStr">
        <is>
          <t>Optional optimizer-mode override. If any override row is nonzero, the optimizer override replaces the computed optimizer target and must total 100%.</t>
        </is>
      </c>
    </row>
    <row r="48" ht="90" customHeight="1">
      <c r="A48" s="98" t="inlineStr">
        <is>
          <t>Optimizer Override — Municipal Bonds</t>
        </is>
      </c>
      <c r="B48" s="177" t="n">
        <v>0</v>
      </c>
      <c r="C48" s="12" t="inlineStr">
        <is>
          <t>decimal</t>
        </is>
      </c>
      <c r="D48" s="12" t="inlineStr">
        <is>
          <t>Optional optimizer-mode override. If any override row is nonzero, the optimizer override replaces the computed optimizer target and must total 100%.</t>
        </is>
      </c>
    </row>
    <row r="49" ht="90" customHeight="1">
      <c r="A49" s="98" t="inlineStr">
        <is>
          <t>Optimizer Override — Managed Futures</t>
        </is>
      </c>
      <c r="B49" s="177" t="n">
        <v>0</v>
      </c>
      <c r="C49" s="12" t="inlineStr">
        <is>
          <t>decimal</t>
        </is>
      </c>
      <c r="D49" s="12" t="inlineStr">
        <is>
          <t>Optional optimizer-mode override. If any override row is nonzero, the optimizer override replaces the computed optimizer target and must total 100%.</t>
        </is>
      </c>
    </row>
    <row r="50" ht="90" customHeight="1">
      <c r="A50" s="98" t="inlineStr">
        <is>
          <t>Optimizer Override — Private Credit</t>
        </is>
      </c>
      <c r="B50" s="177" t="n">
        <v>0</v>
      </c>
      <c r="C50" s="12" t="inlineStr">
        <is>
          <t>decimal</t>
        </is>
      </c>
      <c r="D50" s="12" t="inlineStr">
        <is>
          <t>Optional optimizer-mode override. If any override row is nonzero, the optimizer override replaces the computed optimizer target and must total 100%.</t>
        </is>
      </c>
    </row>
    <row r="51" ht="90" customHeight="1">
      <c r="A51" s="98" t="inlineStr">
        <is>
          <t>Optimizer Override — REITs</t>
        </is>
      </c>
      <c r="B51" s="177" t="n">
        <v>0</v>
      </c>
      <c r="C51" s="12" t="inlineStr">
        <is>
          <t>decimal</t>
        </is>
      </c>
      <c r="D51" s="12" t="inlineStr">
        <is>
          <t>Optional optimizer-mode override. If any override row is nonzero, the optimizer override replaces the computed optimizer target and must total 100%.</t>
        </is>
      </c>
    </row>
    <row r="52" ht="90" customHeight="1">
      <c r="A52" s="98" t="inlineStr">
        <is>
          <t>Optimizer Override — Cash</t>
        </is>
      </c>
      <c r="B52" s="177" t="n">
        <v>0</v>
      </c>
      <c r="C52" s="12" t="inlineStr">
        <is>
          <t>decimal</t>
        </is>
      </c>
      <c r="D52" s="12" t="inlineStr">
        <is>
          <t>Optional optimizer-mode override. If any override row is nonzero, the optimizer override replaces the computed optimizer target and must total 100%.</t>
        </is>
      </c>
    </row>
    <row r="53" ht="90" customHeight="1">
      <c r="A53" s="98" t="inlineStr">
        <is>
          <t>User Target — US Large Cap</t>
        </is>
      </c>
      <c r="B53" s="177" t="n">
        <v>0.4</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8" t="inlineStr">
        <is>
          <t>US Large Cap Example Vehicles</t>
        </is>
      </c>
      <c r="B54" s="176" t="inlineStr">
        <is>
          <t>VOO, IVV, SCHX</t>
        </is>
      </c>
      <c r="C54" s="12" t="inlineStr">
        <is>
          <t>text</t>
        </is>
      </c>
      <c r="D54" s="12" t="inlineStr">
        <is>
          <t>Three examples used when the class is recommended but not currently represented. These are examples, not personalized trade instructions.</t>
        </is>
      </c>
    </row>
    <row r="55" ht="90" customHeight="1">
      <c r="A55" s="98" t="inlineStr">
        <is>
          <t>User Target — US Mid Cap</t>
        </is>
      </c>
      <c r="B55" s="177"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8" t="inlineStr">
        <is>
          <t>US Mid Cap Example Vehicles</t>
        </is>
      </c>
      <c r="B56" s="176" t="inlineStr">
        <is>
          <t>VO, IJH, SCHM</t>
        </is>
      </c>
      <c r="C56" s="12" t="inlineStr">
        <is>
          <t>text</t>
        </is>
      </c>
      <c r="D56" s="12" t="inlineStr">
        <is>
          <t>Three examples used when the class is recommended but not currently represented. These are examples, not personalized trade instructions.</t>
        </is>
      </c>
    </row>
    <row r="57" ht="90" customHeight="1">
      <c r="A57" s="98" t="inlineStr">
        <is>
          <t>User Target — US Small Cap</t>
        </is>
      </c>
      <c r="B57" s="177"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8" t="inlineStr">
        <is>
          <t>US Small Cap Example Vehicles</t>
        </is>
      </c>
      <c r="B58" s="176" t="inlineStr">
        <is>
          <t>VB, IJR, SCHA</t>
        </is>
      </c>
      <c r="C58" s="12" t="inlineStr">
        <is>
          <t>text</t>
        </is>
      </c>
      <c r="D58" s="12" t="inlineStr">
        <is>
          <t>Three examples used when the class is recommended but not currently represented. These are examples, not personalized trade instructions.</t>
        </is>
      </c>
    </row>
    <row r="59" ht="90" customHeight="1">
      <c r="A59" s="98" t="inlineStr">
        <is>
          <t>User Target — International</t>
        </is>
      </c>
      <c r="B59" s="177"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8" t="inlineStr">
        <is>
          <t>International Example Vehicles</t>
        </is>
      </c>
      <c r="B60" s="176"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8" t="inlineStr">
        <is>
          <t>User Target — Emerging Markets</t>
        </is>
      </c>
      <c r="B61" s="177"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8" t="inlineStr">
        <is>
          <t>Emerging Markets Example Vehicles</t>
        </is>
      </c>
      <c r="B62" s="176" t="inlineStr">
        <is>
          <t>VWO, IEMG, EEM</t>
        </is>
      </c>
      <c r="C62" s="12" t="inlineStr">
        <is>
          <t>text</t>
        </is>
      </c>
      <c r="D62" s="12" t="inlineStr">
        <is>
          <t>Three examples used when the class is recommended but not currently represented. These are examples, not personalized trade instructions.</t>
        </is>
      </c>
    </row>
    <row r="63" ht="90" customHeight="1">
      <c r="A63" s="98" t="inlineStr">
        <is>
          <t>User Target — Commodities</t>
        </is>
      </c>
      <c r="B63" s="177" t="n">
        <v>0</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8" t="inlineStr">
        <is>
          <t>Commodities Example Vehicles</t>
        </is>
      </c>
      <c r="B64" s="176" t="inlineStr">
        <is>
          <t>PDBC, DJP, GSG</t>
        </is>
      </c>
      <c r="C64" s="12" t="inlineStr">
        <is>
          <t>text</t>
        </is>
      </c>
      <c r="D64" s="12" t="inlineStr">
        <is>
          <t>Three examples used when the class is recommended but not currently represented. These are examples, not personalized trade instructions.</t>
        </is>
      </c>
    </row>
    <row r="65" ht="90" customHeight="1">
      <c r="A65" s="98" t="inlineStr">
        <is>
          <t>User Target — Bonds</t>
        </is>
      </c>
      <c r="B65" s="177"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8" t="inlineStr">
        <is>
          <t>Bonds Example Vehicles</t>
        </is>
      </c>
      <c r="B66" s="176" t="inlineStr">
        <is>
          <t>BND, AGG, SCHZ</t>
        </is>
      </c>
      <c r="C66" s="12" t="inlineStr">
        <is>
          <t>text</t>
        </is>
      </c>
      <c r="D66" s="12" t="inlineStr">
        <is>
          <t>Three examples used when the class is recommended but not currently represented. These are examples, not personalized trade instructions.</t>
        </is>
      </c>
    </row>
    <row r="67" ht="90" customHeight="1">
      <c r="A67" s="98" t="inlineStr">
        <is>
          <t>User Target — Short-Term Bonds</t>
        </is>
      </c>
      <c r="B67" s="177"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8" t="inlineStr">
        <is>
          <t>Short-Term Bonds Example Vehicles</t>
        </is>
      </c>
      <c r="B68" s="176"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8" t="inlineStr">
        <is>
          <t>User Target — TIPS</t>
        </is>
      </c>
      <c r="B69" s="177"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8" t="inlineStr">
        <is>
          <t>TIPS Example Vehicles</t>
        </is>
      </c>
      <c r="B70" s="176"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8" t="inlineStr">
        <is>
          <t>User Target — Municipal Bonds</t>
        </is>
      </c>
      <c r="B71" s="177"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8" t="inlineStr">
        <is>
          <t>Municipal Bonds Example Vehicles</t>
        </is>
      </c>
      <c r="B72" s="176" t="inlineStr">
        <is>
          <t>MUB, VTEB, TFI</t>
        </is>
      </c>
      <c r="C72" s="12" t="inlineStr">
        <is>
          <t>text</t>
        </is>
      </c>
      <c r="D72" s="12" t="inlineStr">
        <is>
          <t>Three examples used when the class is recommended but not currently represented. These are examples, not personalized trade instructions.</t>
        </is>
      </c>
    </row>
    <row r="73" ht="90" customHeight="1">
      <c r="A73" s="98" t="inlineStr">
        <is>
          <t>User Target — Managed Futures</t>
        </is>
      </c>
      <c r="B73" s="177"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8" t="inlineStr">
        <is>
          <t>Managed Futures Example Vehicles</t>
        </is>
      </c>
      <c r="B74" s="176"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8" t="inlineStr">
        <is>
          <t>User Target — Private Credit</t>
        </is>
      </c>
      <c r="B75" s="177"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8" t="inlineStr">
        <is>
          <t>Private Credit Example Vehicles</t>
        </is>
      </c>
      <c r="B76" s="176"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8" t="inlineStr">
        <is>
          <t>User Target — REITs</t>
        </is>
      </c>
      <c r="B77" s="177"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8" t="inlineStr">
        <is>
          <t>REITs Example Vehicles</t>
        </is>
      </c>
      <c r="B78" s="176" t="inlineStr">
        <is>
          <t>VNQ, SCHH, IYR</t>
        </is>
      </c>
      <c r="C78" s="12" t="inlineStr">
        <is>
          <t>text</t>
        </is>
      </c>
      <c r="D78" s="12" t="inlineStr">
        <is>
          <t>Three examples used when the class is recommended but not currently represented. These are examples, not personalized trade instructions.</t>
        </is>
      </c>
    </row>
    <row r="79" ht="90" customHeight="1">
      <c r="A79" s="98" t="inlineStr">
        <is>
          <t>User Target — Cash</t>
        </is>
      </c>
      <c r="B79" s="177"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8" t="inlineStr">
        <is>
          <t>Cash Example Vehicles</t>
        </is>
      </c>
      <c r="B80" s="176"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8" t="inlineStr">
        <is>
          <t>Optimizer Target — US Large Cap</t>
        </is>
      </c>
      <c r="B81" s="177" t="n">
        <v>0.5756243318434298</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8" t="inlineStr">
        <is>
          <t>Optimizer Target — International</t>
        </is>
      </c>
      <c r="B82" s="177" t="n">
        <v>0.04652761453173576</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8" t="inlineStr">
        <is>
          <t>Optimizer Target — Commodities</t>
        </is>
      </c>
      <c r="B83" s="177" t="n">
        <v>0.1131185357045755</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8" t="inlineStr">
        <is>
          <t>Optimizer Target — Managed Futures</t>
        </is>
      </c>
      <c r="B84" s="177" t="n">
        <v>0.1131185357045755</v>
      </c>
      <c r="C84" s="12" t="inlineStr">
        <is>
          <t>decimal</t>
        </is>
      </c>
      <c r="D84" s="12" t="inlineStr">
        <is>
          <t>Computed recommendation using risk tolerance, withdrawal rate, guaranteed-income/home-equity coverage, capital-market assumptions, correlations, glide path, and inflation-sensitive spending.</t>
        </is>
      </c>
    </row>
    <row r="85" ht="90" customHeight="1">
      <c r="A85" s="98" t="inlineStr">
        <is>
          <t>Optimizer Target — Private Credit</t>
        </is>
      </c>
      <c r="B85" s="177" t="n">
        <v>0.09426544642047961</v>
      </c>
      <c r="C85" s="12" t="inlineStr">
        <is>
          <t>decimal</t>
        </is>
      </c>
      <c r="D85" s="12" t="inlineStr">
        <is>
          <t>Computed recommendation using risk tolerance, withdrawal rate, guaranteed-income/home-equity coverage, capital-market assumptions, correlations, glide path, and inflation-sensitive spending.</t>
        </is>
      </c>
    </row>
    <row r="86" ht="90" customHeight="1">
      <c r="A86" s="98" t="inlineStr">
        <is>
          <t>Optimizer Target — Cash</t>
        </is>
      </c>
      <c r="B86" s="177" t="n">
        <v>0.05734553579520389</v>
      </c>
      <c r="C86" s="12" t="inlineStr">
        <is>
          <t>decimal</t>
        </is>
      </c>
      <c r="D86" s="12" t="inlineStr">
        <is>
          <t>Computed recommendation using risk tolerance, withdrawal rate, guaranteed-income/home-equity coverage, capital-market assumptions, correlations, glide path, and inflation-sensitive spending.</t>
        </is>
      </c>
    </row>
    <row r="87"/>
    <row r="88" ht="15" customHeight="1">
      <c r="A88" s="10" t="inlineStr">
        <is>
          <t>Global Tax-Location Rebalancing Controls</t>
        </is>
      </c>
      <c r="B88" s="3" t="n"/>
      <c r="C88" s="3" t="n"/>
      <c r="D88" s="4" t="n"/>
    </row>
    <row r="89" ht="15" customHeight="1">
      <c r="A89" s="5" t="inlineStr">
        <is>
          <t>Parameter</t>
        </is>
      </c>
      <c r="B89" s="5" t="inlineStr">
        <is>
          <t>Value</t>
        </is>
      </c>
      <c r="C89" s="5" t="inlineStr">
        <is>
          <t>Units</t>
        </is>
      </c>
      <c r="D89" s="5" t="inlineStr">
        <is>
          <t>Note</t>
        </is>
      </c>
    </row>
    <row r="90" ht="90" customHeight="1">
      <c r="A90" s="98" t="inlineStr">
        <is>
          <t>Trade Optimizer Mode</t>
        </is>
      </c>
      <c r="B90" s="176" t="inlineStr">
        <is>
          <t>GLOBAL_TAX_AWARE</t>
        </is>
      </c>
      <c r="C90" s="12" t="inlineStr">
        <is>
          <t>text</t>
        </is>
      </c>
      <c r="D90" s="12" t="inlineStr">
        <is>
          <t>GLOBAL_TAX_AWARE solves household-level drift/tax/location tradeoffs; HEURISTIC uses the prior account-by-account engine.</t>
        </is>
      </c>
    </row>
    <row r="91" ht="90" customHeight="1">
      <c r="A91" s="98" t="inlineStr">
        <is>
          <t>Objective</t>
        </is>
      </c>
      <c r="B91" s="176" t="inlineStr">
        <is>
          <t>Minimize drift + tax cost + turnover + location inefficiency</t>
        </is>
      </c>
      <c r="C91" s="12" t="inlineStr">
        <is>
          <t>text</t>
        </is>
      </c>
      <c r="D91" s="12" t="inlineStr">
        <is>
          <t>A conservative linear objective balances diversification against taxes, turnover, and account-location fit.</t>
        </is>
      </c>
    </row>
    <row r="92" ht="90" customHeight="1">
      <c r="A92" s="98" t="inlineStr">
        <is>
          <t>Maximum Turnover</t>
        </is>
      </c>
      <c r="B92" s="177" t="n">
        <v>0.2</v>
      </c>
      <c r="C92" s="12" t="inlineStr">
        <is>
          <t>decimal</t>
        </is>
      </c>
      <c r="D92" s="12" t="inlineStr">
        <is>
          <t>Addresses unintended consequence: excessive turnover and noisy small improvements.</t>
        </is>
      </c>
    </row>
    <row r="93" ht="60" customHeight="1">
      <c r="A93" s="98" t="inlineStr">
        <is>
          <t>Minimum Trade Amount</t>
        </is>
      </c>
      <c r="B93" s="179" t="n">
        <v>500</v>
      </c>
      <c r="C93" s="12" t="inlineStr">
        <is>
          <t>USD</t>
        </is>
      </c>
      <c r="D93" s="12" t="inlineStr">
        <is>
          <t>Addresses false precision and operational burden.</t>
        </is>
      </c>
    </row>
    <row r="94" ht="90" customHeight="1">
      <c r="A94" s="98" t="inlineStr">
        <is>
          <t>Taxable Gain Policy</t>
        </is>
      </c>
      <c r="B94" s="176" t="inlineStr">
        <is>
          <t>DRIFT_THRESHOLD</t>
        </is>
      </c>
      <c r="C94" s="12" t="inlineStr">
        <is>
          <t>text</t>
        </is>
      </c>
      <c r="D94" s="12" t="inlineStr">
        <is>
          <t>NEVER, DRIFT_THRESHOLD, WITHIN_BUDGET, or ALWAYS; controls tax tail wagging the dog and income-timing effects.</t>
        </is>
      </c>
    </row>
    <row r="95" ht="90" customHeight="1">
      <c r="A95" s="98" t="inlineStr">
        <is>
          <t>Taxable Gain Budget</t>
        </is>
      </c>
      <c r="B95" s="179" t="n">
        <v>2500</v>
      </c>
      <c r="C95" s="12" t="inlineStr">
        <is>
          <t>USD</t>
        </is>
      </c>
      <c r="D95" s="12" t="inlineStr">
        <is>
          <t>Limits estimated tax cost from taxable gain sales in one workbook cycle.</t>
        </is>
      </c>
    </row>
    <row r="96" ht="75" customHeight="1">
      <c r="A96" s="98" t="inlineStr">
        <is>
          <t>Max Tax Cost</t>
        </is>
      </c>
      <c r="B96" s="176" t="n">
        <v>25</v>
      </c>
      <c r="C96" s="12" t="inlineStr">
        <is>
          <t>bps</t>
        </is>
      </c>
      <c r="D96" s="12" t="inlineStr">
        <is>
          <t>Basis-point tax-drag limit for taxable sales before deferral.</t>
        </is>
      </c>
    </row>
    <row r="97" ht="90" customHeight="1">
      <c r="A97" s="98" t="inlineStr">
        <is>
          <t>Asset Location Strength</t>
        </is>
      </c>
      <c r="B97" s="176" t="inlineStr">
        <is>
          <t>BALANCED</t>
        </is>
      </c>
      <c r="C97" s="12" t="inlineStr">
        <is>
          <t>text</t>
        </is>
      </c>
      <c r="D97" s="12" t="inlineStr">
        <is>
          <t>LIGHT/BALANCED/STRONG controls how hard the optimizer pushes Roth growth, pre-tax income assets, and taxable tax-efficient equity.</t>
        </is>
      </c>
    </row>
    <row r="98" ht="45" customHeight="1">
      <c r="A98" s="98" t="inlineStr">
        <is>
          <t>Max Account Single Asset</t>
        </is>
      </c>
      <c r="B98" s="177" t="n">
        <v>0.45</v>
      </c>
      <c r="C98" s="12" t="inlineStr">
        <is>
          <t>decimal</t>
        </is>
      </c>
      <c r="D98" s="12" t="inlineStr">
        <is>
          <t>Reduces account-level concentration risk.</t>
        </is>
      </c>
    </row>
    <row r="99" ht="75" customHeight="1">
      <c r="A99" s="98" t="inlineStr">
        <is>
          <t>Max Roth High-Growth Tilt</t>
        </is>
      </c>
      <c r="B99" s="177" t="n">
        <v>0.85</v>
      </c>
      <c r="C99" s="12" t="inlineStr">
        <is>
          <t>decimal</t>
        </is>
      </c>
      <c r="D99" s="12" t="inlineStr">
        <is>
          <t>Limits unintended high-volatility concentration in Roth accounts.</t>
        </is>
      </c>
    </row>
    <row r="100" ht="90" customHeight="1">
      <c r="A100" s="98" t="inlineStr">
        <is>
          <t>Annuity calibration dependency</t>
        </is>
      </c>
      <c r="B100" s="176" t="inlineStr">
        <is>
          <t>Carrier-illustration dependent</t>
        </is>
      </c>
      <c r="C100" s="12" t="inlineStr">
        <is>
          <t>text</t>
        </is>
      </c>
      <c r="D100" s="12" t="inlineStr">
        <is>
          <t>PV/reserve and death-benefit figures use editable calibration assumptions; refresh against current carrier illustrations before annuity sale, replacement, or valuation decisions.</t>
        </is>
      </c>
    </row>
    <row r="101" ht="90" customHeight="1">
      <c r="A101" s="98" t="inlineStr">
        <is>
          <t>Max Pre-Tax Fixed Income Tilt</t>
        </is>
      </c>
      <c r="B101" s="177" t="n">
        <v>0.85</v>
      </c>
      <c r="C101" s="12" t="inlineStr">
        <is>
          <t>decimal</t>
        </is>
      </c>
      <c r="D101" s="12" t="inlineStr">
        <is>
          <t>Limits unintended bond-heavy pre-tax allocation and future RMD concentration risk.</t>
        </is>
      </c>
    </row>
    <row r="102" ht="90" customHeight="1">
      <c r="A102" s="98" t="inlineStr">
        <is>
          <t>Wash-Sale Policy</t>
        </is>
      </c>
      <c r="B102" s="176" t="inlineStr">
        <is>
          <t>FLAG_ONLY</t>
        </is>
      </c>
      <c r="C102" s="12" t="inlineStr">
        <is>
          <t>text</t>
        </is>
      </c>
      <c r="D102" s="12" t="inlineStr">
        <is>
          <t>Workbook flags review items; it does not certify wash-sale compliance or see outside/spousal trades.</t>
        </is>
      </c>
    </row>
    <row r="103" ht="90" customHeight="1">
      <c r="A103" s="98" t="inlineStr">
        <is>
          <t>Solver Fallback Policy</t>
        </is>
      </c>
      <c r="B103" s="176" t="inlineStr">
        <is>
          <t>HEURISTIC</t>
        </is>
      </c>
      <c r="C103" s="12" t="inlineStr">
        <is>
          <t>text</t>
        </is>
      </c>
      <c r="D103" s="12" t="inlineStr">
        <is>
          <t>HEURISTIC keeps workbook usable if the global optimization problem is infeasible.</t>
        </is>
      </c>
    </row>
    <row r="104"/>
    <row r="105" ht="15" customHeight="1">
      <c r="A105" s="10" t="inlineStr">
        <is>
          <t>Federal Tax Brackets — Tax Reference Year</t>
        </is>
      </c>
      <c r="B105" s="3" t="n"/>
      <c r="C105" s="3" t="n"/>
      <c r="D105" s="4" t="n"/>
    </row>
    <row r="106" ht="15" customHeight="1">
      <c r="A106" s="5" t="inlineStr">
        <is>
          <t>Parameter</t>
        </is>
      </c>
      <c r="B106" s="5" t="inlineStr">
        <is>
          <t>Value</t>
        </is>
      </c>
      <c r="C106" s="5" t="inlineStr">
        <is>
          <t>Units</t>
        </is>
      </c>
      <c r="D106" s="5" t="inlineStr">
        <is>
          <t>Note</t>
        </is>
      </c>
    </row>
    <row r="107" ht="30" customHeight="1">
      <c r="A107" s="98" t="inlineStr">
        <is>
          <t>10% bracket top</t>
        </is>
      </c>
      <c r="B107" s="179" t="n">
        <v>23200</v>
      </c>
      <c r="C107" s="12" t="inlineStr">
        <is>
          <t>USD</t>
        </is>
      </c>
      <c r="D107" s="12" t="inlineStr">
        <is>
          <t>inflates at bracket inflator</t>
        </is>
      </c>
    </row>
    <row r="108" ht="30" customHeight="1">
      <c r="A108" s="98" t="inlineStr">
        <is>
          <t>12% bracket top</t>
        </is>
      </c>
      <c r="B108" s="179" t="n">
        <v>94300</v>
      </c>
      <c r="C108" s="12" t="inlineStr">
        <is>
          <t>USD</t>
        </is>
      </c>
      <c r="D108" s="33" t="inlineStr"/>
    </row>
    <row r="109" ht="30" customHeight="1">
      <c r="A109" s="98" t="inlineStr">
        <is>
          <t>22% bracket top</t>
        </is>
      </c>
      <c r="B109" s="179" t="n">
        <v>201050</v>
      </c>
      <c r="C109" s="12" t="inlineStr">
        <is>
          <t>USD</t>
        </is>
      </c>
      <c r="D109" s="33" t="inlineStr"/>
    </row>
    <row r="110" ht="30" customHeight="1">
      <c r="A110" s="98" t="inlineStr">
        <is>
          <t>24% bracket top</t>
        </is>
      </c>
      <c r="B110" s="179" t="n">
        <v>383900</v>
      </c>
      <c r="C110" s="12" t="inlineStr">
        <is>
          <t>USD</t>
        </is>
      </c>
      <c r="D110" s="33" t="inlineStr"/>
    </row>
    <row r="111" ht="30" customHeight="1">
      <c r="A111" s="98" t="inlineStr">
        <is>
          <t>32% bracket top</t>
        </is>
      </c>
      <c r="B111" s="179" t="n">
        <v>487450</v>
      </c>
      <c r="C111" s="12" t="inlineStr">
        <is>
          <t>USD</t>
        </is>
      </c>
      <c r="D111" s="33" t="inlineStr"/>
    </row>
    <row r="112" ht="30" customHeight="1">
      <c r="A112" s="98" t="inlineStr">
        <is>
          <t>35% bracket top</t>
        </is>
      </c>
      <c r="B112" s="179" t="n">
        <v>731200</v>
      </c>
      <c r="C112" s="12" t="inlineStr">
        <is>
          <t>USD</t>
        </is>
      </c>
      <c r="D112" s="33" t="inlineStr"/>
    </row>
    <row r="113" ht="15" customHeight="1">
      <c r="A113" s="98" t="inlineStr">
        <is>
          <t>37%+</t>
        </is>
      </c>
      <c r="B113" s="176" t="n">
        <v/>
      </c>
      <c r="C113" s="12" t="inlineStr">
        <is>
          <t>USD</t>
        </is>
      </c>
      <c r="D113" s="33" t="inlineStr"/>
    </row>
    <row r="114"/>
    <row r="115" ht="15" customHeight="1">
      <c r="A115" s="10" t="inlineStr">
        <is>
          <t>SALT Cap Schedule</t>
        </is>
      </c>
      <c r="B115" s="3" t="n"/>
      <c r="C115" s="3" t="n"/>
      <c r="D115" s="4" t="n"/>
    </row>
    <row r="116" ht="15" customHeight="1">
      <c r="A116" s="5" t="inlineStr">
        <is>
          <t>Parameter</t>
        </is>
      </c>
      <c r="B116" s="5" t="inlineStr">
        <is>
          <t>Value</t>
        </is>
      </c>
      <c r="C116" s="5" t="inlineStr">
        <is>
          <t>Units</t>
        </is>
      </c>
      <c r="D116" s="5" t="inlineStr">
        <is>
          <t>Note</t>
        </is>
      </c>
    </row>
    <row r="117" ht="60" customHeight="1">
      <c r="A117" s="98" t="inlineStr">
        <is>
          <t>2025 SALT Cap</t>
        </is>
      </c>
      <c r="B117" s="179" t="n">
        <v>40000</v>
      </c>
      <c r="C117" s="12" t="inlineStr">
        <is>
          <t>USD</t>
        </is>
      </c>
      <c r="D117" s="12" t="inlineStr">
        <is>
          <t>Phase-down: max(cap - 0.30×max(MAGI-500K,0), 10000)</t>
        </is>
      </c>
    </row>
    <row r="118" ht="45" customHeight="1">
      <c r="A118" s="98" t="inlineStr">
        <is>
          <t>Reference-Year SALT Cap</t>
        </is>
      </c>
      <c r="B118" s="179" t="n">
        <v>40400</v>
      </c>
      <c r="C118" s="12" t="inlineStr">
        <is>
          <t>USD</t>
        </is>
      </c>
      <c r="D118" s="33" t="inlineStr"/>
    </row>
    <row r="119" ht="30" customHeight="1">
      <c r="A119" s="98" t="inlineStr">
        <is>
          <t>2027 SALT Cap</t>
        </is>
      </c>
      <c r="B119" s="179" t="n">
        <v>40804</v>
      </c>
      <c r="C119" s="12" t="inlineStr">
        <is>
          <t>USD</t>
        </is>
      </c>
      <c r="D119" s="33" t="inlineStr"/>
    </row>
    <row r="120" ht="45" customHeight="1">
      <c r="A120" s="98" t="inlineStr">
        <is>
          <t>Reference-Year + 2 SALT Cap</t>
        </is>
      </c>
      <c r="B120" s="179" t="n">
        <v>41212</v>
      </c>
      <c r="C120" s="12" t="inlineStr">
        <is>
          <t>USD</t>
        </is>
      </c>
      <c r="D120" s="33" t="inlineStr"/>
    </row>
    <row r="121" ht="45" customHeight="1">
      <c r="A121" s="98" t="inlineStr">
        <is>
          <t>Reference-Year + 3 SALT Cap</t>
        </is>
      </c>
      <c r="B121" s="179" t="n">
        <v>41624</v>
      </c>
      <c r="C121" s="12" t="inlineStr">
        <is>
          <t>USD</t>
        </is>
      </c>
      <c r="D121" s="33" t="inlineStr"/>
    </row>
    <row r="122" ht="45" customHeight="1">
      <c r="A122" s="98" t="inlineStr">
        <is>
          <t>Post-Schedule SALT Cap</t>
        </is>
      </c>
      <c r="B122" s="179" t="n">
        <v>10000</v>
      </c>
      <c r="C122" s="12" t="inlineStr">
        <is>
          <t>USD</t>
        </is>
      </c>
      <c r="D122" s="12" t="inlineStr">
        <is>
          <t>REVERTS to $10K — model must honor this</t>
        </is>
      </c>
    </row>
    <row r="123"/>
    <row r="124" ht="15" customHeight="1">
      <c r="A124" s="10" t="inlineStr">
        <is>
          <t>Other Statutory Parameters</t>
        </is>
      </c>
      <c r="B124" s="3" t="n"/>
      <c r="C124" s="3" t="n"/>
      <c r="D124" s="4" t="n"/>
    </row>
    <row r="125" ht="15" customHeight="1">
      <c r="A125" s="5" t="inlineStr">
        <is>
          <t>Parameter</t>
        </is>
      </c>
      <c r="B125" s="5" t="inlineStr">
        <is>
          <t>Value</t>
        </is>
      </c>
      <c r="C125" s="5" t="inlineStr">
        <is>
          <t>Units</t>
        </is>
      </c>
      <c r="D125" s="5" t="inlineStr">
        <is>
          <t>Note</t>
        </is>
      </c>
    </row>
    <row r="126" ht="30" customHeight="1">
      <c r="A126" s="98" t="inlineStr">
        <is>
          <t>§121 Exclusion (MFJ)</t>
        </is>
      </c>
      <c r="B126" s="179" t="n">
        <v>500000</v>
      </c>
      <c r="C126" s="12" t="inlineStr">
        <is>
          <t>USD</t>
        </is>
      </c>
      <c r="D126" s="12" t="inlineStr">
        <is>
          <t>Home sale gain exclusion</t>
        </is>
      </c>
    </row>
    <row r="127" ht="45" customHeight="1">
      <c r="A127" s="98" t="inlineStr">
        <is>
          <t>QCD Annual Limit (per person)</t>
        </is>
      </c>
      <c r="B127" s="179" t="n">
        <v>108000</v>
      </c>
      <c r="C127" s="12" t="inlineStr">
        <is>
          <t>USD</t>
        </is>
      </c>
      <c r="D127" s="12" t="inlineStr">
        <is>
          <t>2025, indexed</t>
        </is>
      </c>
    </row>
    <row r="128" ht="45" customHeight="1">
      <c r="A128" s="98" t="inlineStr">
        <is>
          <t>Federal Estate Exemption (MFJ)</t>
        </is>
      </c>
      <c r="B128" s="179" t="n">
        <v>30000000</v>
      </c>
      <c r="C128" s="12" t="inlineStr">
        <is>
          <t>USD</t>
        </is>
      </c>
      <c r="D128" s="12" t="inlineStr">
        <is>
          <t>Indexed from the tax reference year</t>
        </is>
      </c>
    </row>
    <row r="129" ht="45" customHeight="1">
      <c r="A129" s="98" t="inlineStr">
        <is>
          <t>IL State Estate Exemption</t>
        </is>
      </c>
      <c r="B129" s="179" t="n">
        <v>4000000</v>
      </c>
      <c r="C129" s="12" t="inlineStr">
        <is>
          <t>USD</t>
        </is>
      </c>
      <c r="D129" s="12" t="inlineStr">
        <is>
          <t>With CST doubling, cliff structure</t>
        </is>
      </c>
    </row>
    <row r="130" ht="45" customHeight="1">
      <c r="A130" s="98" t="inlineStr">
        <is>
          <t>Annual Gift-Tax Exclusion</t>
        </is>
      </c>
      <c r="B130" s="179" t="n">
        <v>19000</v>
      </c>
      <c r="C130" s="12" t="inlineStr">
        <is>
          <t>USD</t>
        </is>
      </c>
      <c r="D130" s="12" t="inlineStr">
        <is>
          <t>tax reference year, per donee</t>
        </is>
      </c>
    </row>
    <row r="131" ht="30" customHeight="1">
      <c r="A131" s="98" t="inlineStr">
        <is>
          <t>RMD Start Age</t>
        </is>
      </c>
      <c r="B131" s="178" t="n">
        <v>75</v>
      </c>
      <c r="C131" s="12" t="inlineStr">
        <is>
          <t>years</t>
        </is>
      </c>
      <c r="D131" s="12" t="inlineStr">
        <is>
          <t>SECURE 2.0 §107 — born 1960+</t>
        </is>
      </c>
    </row>
    <row r="132" ht="45" customHeight="1">
      <c r="A132" s="98" t="inlineStr">
        <is>
          <t>NIIT Rate</t>
        </is>
      </c>
      <c r="B132" s="177" t="n">
        <v>0.038</v>
      </c>
      <c r="C132" s="12" t="inlineStr">
        <is>
          <t>decimal</t>
        </is>
      </c>
      <c r="D132" s="12" t="inlineStr">
        <is>
          <t>3.8% on NII above MAGI threshold</t>
        </is>
      </c>
    </row>
    <row r="133" ht="45" customHeight="1">
      <c r="A133" s="98" t="inlineStr">
        <is>
          <t>NIIT MAGI Threshold (MFJ)</t>
        </is>
      </c>
      <c r="B133" s="179" t="n">
        <v>250000</v>
      </c>
      <c r="C133" s="12" t="inlineStr">
        <is>
          <t>USD</t>
        </is>
      </c>
      <c r="D133" s="12" t="inlineStr">
        <is>
          <t>NOT indexed</t>
        </is>
      </c>
    </row>
    <row r="134" ht="60" customHeight="1">
      <c r="A134" s="98" t="inlineStr">
        <is>
          <t>Standard Deduction MFJ — Reference Year</t>
        </is>
      </c>
      <c r="B134" s="179" t="n">
        <v>31500</v>
      </c>
      <c r="C134" s="12" t="inlineStr">
        <is>
          <t>USD</t>
        </is>
      </c>
      <c r="D134" s="12" t="inlineStr">
        <is>
          <t>+ $1,650/spouse age 65+</t>
        </is>
      </c>
    </row>
    <row r="135" ht="60" customHeight="1">
      <c r="A135" s="98" t="inlineStr">
        <is>
          <t>IRMAA Tier 2 Threshold (MFJ)</t>
        </is>
      </c>
      <c r="B135" s="179" t="n">
        <v>268000</v>
      </c>
      <c r="C135" s="12" t="inlineStr">
        <is>
          <t>USD</t>
        </is>
      </c>
      <c r="D135" s="12" t="inlineStr">
        <is>
          <t>reference-year threshold, inflated annually</t>
        </is>
      </c>
    </row>
    <row r="136"/>
    <row r="137"/>
    <row r="138" ht="15" customHeight="1">
      <c r="A138" s="13" t="inlineStr">
        <is>
          <t>Projected Target-Bracket Reference — MFJ</t>
        </is>
      </c>
      <c r="B138" s="3" t="n"/>
      <c r="C138" s="3" t="n"/>
      <c r="D138" s="3" t="n"/>
      <c r="E138" s="3" t="n"/>
      <c r="F138" s="4" t="n"/>
    </row>
    <row r="139" ht="30" customHeight="1">
      <c r="A139" s="5" t="inlineStr">
        <is>
          <t>Year</t>
        </is>
      </c>
      <c r="B139" s="5" t="inlineStr">
        <is>
          <t>Reference Bracket Top</t>
        </is>
      </c>
    </row>
    <row r="140" ht="15" customHeight="1">
      <c r="A140" s="25" t="n">
        <v>2026</v>
      </c>
      <c r="B140" s="105" t="n">
        <v>201050</v>
      </c>
    </row>
    <row r="141" ht="15" customHeight="1">
      <c r="A141" s="25" t="n">
        <v>2027</v>
      </c>
      <c r="B141" s="105" t="n">
        <v>205071</v>
      </c>
    </row>
    <row r="142" ht="15" customHeight="1">
      <c r="A142" s="25" t="n">
        <v>2028</v>
      </c>
      <c r="B142" s="105" t="n">
        <v>209172.42</v>
      </c>
    </row>
    <row r="143" ht="30" customHeight="1">
      <c r="A143" s="25" t="n">
        <v>2029</v>
      </c>
      <c r="B143" s="105" t="n">
        <v>213355.8684</v>
      </c>
    </row>
    <row r="144" ht="30" customHeight="1">
      <c r="A144" s="25" t="n">
        <v>2030</v>
      </c>
      <c r="B144" s="105" t="n">
        <v>217622.985768</v>
      </c>
    </row>
    <row r="145" ht="30" customHeight="1">
      <c r="A145" s="25" t="n">
        <v>2031</v>
      </c>
      <c r="B145" s="105" t="n">
        <v>221975.44548336</v>
      </c>
    </row>
    <row r="146" ht="30" customHeight="1">
      <c r="A146" s="25" t="n">
        <v>2032</v>
      </c>
      <c r="B146" s="105" t="n">
        <v>226414.9543930272</v>
      </c>
    </row>
    <row r="147" ht="30" customHeight="1">
      <c r="A147" s="25" t="n">
        <v>2033</v>
      </c>
      <c r="B147" s="105" t="n">
        <v>230943.2534808877</v>
      </c>
    </row>
    <row r="148" ht="30" customHeight="1">
      <c r="A148" s="25" t="n">
        <v>2034</v>
      </c>
      <c r="B148" s="105" t="n">
        <v>235562.1185505055</v>
      </c>
    </row>
    <row r="149" ht="30" customHeight="1">
      <c r="A149" s="25" t="n">
        <v>2035</v>
      </c>
      <c r="B149" s="105" t="n">
        <v>240273.3609215156</v>
      </c>
    </row>
    <row r="150" ht="30" customHeight="1">
      <c r="A150" s="25" t="n">
        <v>2036</v>
      </c>
      <c r="B150" s="105" t="n">
        <v>245078.828139946</v>
      </c>
    </row>
    <row r="151" ht="30" customHeight="1">
      <c r="A151" s="25" t="n">
        <v>2037</v>
      </c>
      <c r="B151" s="105" t="n">
        <v>249980.4047027449</v>
      </c>
    </row>
    <row r="152" ht="30" customHeight="1">
      <c r="A152" s="25" t="n">
        <v>2038</v>
      </c>
      <c r="B152" s="105" t="n">
        <v>254980.0127967998</v>
      </c>
    </row>
    <row r="153" ht="30" customHeight="1">
      <c r="A153" s="25" t="n">
        <v>2039</v>
      </c>
      <c r="B153" s="105" t="n">
        <v>260079.6130527358</v>
      </c>
    </row>
    <row r="154" ht="30" customHeight="1">
      <c r="A154" s="25" t="n">
        <v>2040</v>
      </c>
      <c r="B154" s="105" t="n">
        <v>265281.2053137905</v>
      </c>
    </row>
    <row r="155" ht="30" customHeight="1">
      <c r="A155" s="25" t="n">
        <v>2041</v>
      </c>
      <c r="B155" s="105" t="n">
        <v>270586.8294200663</v>
      </c>
    </row>
    <row r="156" ht="30" customHeight="1">
      <c r="A156" s="25" t="n">
        <v>2042</v>
      </c>
      <c r="B156" s="105" t="n">
        <v>275998.5660084676</v>
      </c>
    </row>
    <row r="157" ht="30" customHeight="1">
      <c r="A157" s="25" t="n">
        <v>2043</v>
      </c>
      <c r="B157" s="105" t="n">
        <v>281518.537328637</v>
      </c>
    </row>
    <row r="158" ht="30" customHeight="1">
      <c r="A158" s="25" t="n">
        <v>2044</v>
      </c>
      <c r="B158" s="105" t="n">
        <v>287148.9080752098</v>
      </c>
    </row>
    <row r="159" ht="30" customHeight="1">
      <c r="A159" s="25" t="n">
        <v>2045</v>
      </c>
      <c r="B159" s="105" t="n">
        <v>292891.886236714</v>
      </c>
    </row>
    <row r="160" ht="30" customHeight="1">
      <c r="A160" s="25" t="n">
        <v>2046</v>
      </c>
      <c r="B160" s="105" t="n">
        <v>298749.7239614482</v>
      </c>
    </row>
    <row r="161" ht="30" customHeight="1">
      <c r="A161" s="25" t="n">
        <v>2047</v>
      </c>
      <c r="B161" s="105" t="n">
        <v>304724.7184406772</v>
      </c>
    </row>
    <row r="162" ht="30" customHeight="1">
      <c r="A162" s="25" t="n">
        <v>2048</v>
      </c>
      <c r="B162" s="105" t="n">
        <v>310819.2128094907</v>
      </c>
    </row>
    <row r="163" ht="30" customHeight="1">
      <c r="A163" s="25" t="n">
        <v>2049</v>
      </c>
      <c r="B163" s="105" t="n">
        <v>317035.5970656806</v>
      </c>
    </row>
    <row r="164" ht="30" customHeight="1">
      <c r="A164" s="25" t="n">
        <v>2050</v>
      </c>
      <c r="B164" s="105" t="n">
        <v>323376.3090069942</v>
      </c>
    </row>
    <row r="165" ht="30" customHeight="1">
      <c r="A165" s="25" t="n">
        <v>2051</v>
      </c>
      <c r="B165" s="105" t="n">
        <v>329843.8351871341</v>
      </c>
    </row>
    <row r="166" ht="30" customHeight="1">
      <c r="A166" s="25" t="n">
        <v>2052</v>
      </c>
      <c r="B166" s="105" t="n">
        <v>336440.7118908768</v>
      </c>
    </row>
    <row r="167" ht="30" customHeight="1">
      <c r="A167" s="25" t="n">
        <v>2053</v>
      </c>
      <c r="B167" s="105" t="n">
        <v>343169.5261286943</v>
      </c>
    </row>
    <row r="168" ht="30" customHeight="1">
      <c r="A168" s="25" t="n">
        <v>2054</v>
      </c>
      <c r="B168" s="105" t="n">
        <v>350032.9166512683</v>
      </c>
    </row>
    <row r="169" ht="30" customHeight="1">
      <c r="A169" s="25" t="n">
        <v>2055</v>
      </c>
      <c r="B169" s="105" t="n">
        <v>357033.5749842936</v>
      </c>
    </row>
    <row r="170" ht="30" customHeight="1">
      <c r="A170" s="25" t="n">
        <v>2056</v>
      </c>
      <c r="B170" s="105" t="n">
        <v>364174.2464839795</v>
      </c>
    </row>
  </sheetData>
  <mergeCells count="9">
    <mergeCell ref="A88:D88"/>
    <mergeCell ref="A105:D105"/>
    <mergeCell ref="A138:F138"/>
    <mergeCell ref="A26:D26"/>
    <mergeCell ref="A124:D124"/>
    <mergeCell ref="A2:D2"/>
    <mergeCell ref="A1:H1"/>
    <mergeCell ref="A115:D115"/>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8"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80"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80" t="inlineStr">
        <is>
          <t>Calculated Ending</t>
        </is>
      </c>
      <c r="O4" s="180" t="inlineStr">
        <is>
          <t>Reported Ending</t>
        </is>
      </c>
      <c r="P4" s="180"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Husband_HSA</t>
        </is>
      </c>
      <c r="C7" s="12" t="inlineStr">
        <is>
          <t>Matthew</t>
        </is>
      </c>
      <c r="D7" s="41" t="inlineStr">
        <is>
          <t>hsa</t>
        </is>
      </c>
      <c r="E7" s="12" t="inlineStr">
        <is>
          <t>hsa</t>
        </is>
      </c>
      <c r="F7" s="27" t="n">
        <v>70601.79327000001</v>
      </c>
      <c r="G7" s="27" t="n">
        <v>7575</v>
      </c>
      <c r="H7" s="27" t="n">
        <v>0</v>
      </c>
      <c r="I7" s="27" t="n">
        <v>0</v>
      </c>
      <c r="J7" s="27" t="n">
        <v>0</v>
      </c>
      <c r="K7" s="27" t="n">
        <v>0</v>
      </c>
      <c r="L7" s="27" t="n">
        <v>0</v>
      </c>
      <c r="M7" s="27" t="n">
        <v>4690.6075962</v>
      </c>
      <c r="N7" s="27" t="n">
        <v>82867.40086620001</v>
      </c>
      <c r="O7" s="27" t="n">
        <v>82867.40086620001</v>
      </c>
      <c r="P7" s="27" t="n">
        <v>0</v>
      </c>
      <c r="Q7" s="12" t="inlineStr">
        <is>
          <t>deposit</t>
        </is>
      </c>
    </row>
    <row r="8" ht="30" customHeight="1">
      <c r="A8" s="26" t="n">
        <v>2026</v>
      </c>
      <c r="B8" s="12" t="inlineStr">
        <is>
          <t>Husband_401k</t>
        </is>
      </c>
      <c r="C8" s="12" t="inlineStr">
        <is>
          <t>Matthew</t>
        </is>
      </c>
      <c r="D8" s="41" t="inlineStr">
        <is>
          <t>pre_tax</t>
        </is>
      </c>
      <c r="E8" s="12" t="inlineStr">
        <is>
          <t>401k</t>
        </is>
      </c>
      <c r="F8" s="27" t="n">
        <v>13021.25</v>
      </c>
      <c r="G8" s="27" t="n">
        <v>24000</v>
      </c>
      <c r="H8" s="27" t="n">
        <v>0</v>
      </c>
      <c r="I8" s="27" t="n">
        <v>0</v>
      </c>
      <c r="J8" s="27" t="n">
        <v>0</v>
      </c>
      <c r="K8" s="27" t="n">
        <v>0</v>
      </c>
      <c r="L8" s="27" t="n">
        <v>0</v>
      </c>
      <c r="M8" s="27" t="n">
        <v>2221.275</v>
      </c>
      <c r="N8" s="27" t="n">
        <v>39242.525</v>
      </c>
      <c r="O8" s="27" t="n">
        <v>39242.525</v>
      </c>
      <c r="P8" s="27" t="n">
        <v>0</v>
      </c>
      <c r="Q8" s="12" t="inlineStr">
        <is>
          <t>deposit</t>
        </is>
      </c>
    </row>
    <row r="9" ht="30" customHeight="1">
      <c r="A9" s="26" t="n">
        <v>2026</v>
      </c>
      <c r="B9" s="12" t="inlineStr">
        <is>
          <t>Husband_IRA</t>
        </is>
      </c>
      <c r="C9" s="12" t="inlineStr">
        <is>
          <t>Matthew</t>
        </is>
      </c>
      <c r="D9" s="41" t="inlineStr">
        <is>
          <t>pre_tax</t>
        </is>
      </c>
      <c r="E9" s="12" t="inlineStr">
        <is>
          <t>traditional_ira</t>
        </is>
      </c>
      <c r="F9" s="27" t="n">
        <v>1311283.78664</v>
      </c>
      <c r="G9" s="27" t="n">
        <v>0</v>
      </c>
      <c r="H9" s="27" t="n">
        <v>0</v>
      </c>
      <c r="I9" s="27" t="n">
        <v>0</v>
      </c>
      <c r="J9" s="27" t="n">
        <v>0</v>
      </c>
      <c r="K9" s="27" t="n">
        <v>0</v>
      </c>
      <c r="L9" s="27" t="n">
        <v>0</v>
      </c>
      <c r="M9" s="27" t="n">
        <v>78677.0271984</v>
      </c>
      <c r="N9" s="27" t="n">
        <v>1389960.8138384</v>
      </c>
      <c r="O9" s="27" t="n">
        <v>1389960.8138384</v>
      </c>
      <c r="P9" s="27" t="n">
        <v>0</v>
      </c>
      <c r="Q9" s="33" t="inlineStr"/>
    </row>
    <row r="10" ht="30" customHeight="1">
      <c r="A10" s="26" t="n">
        <v>2026</v>
      </c>
      <c r="B10" s="12" t="inlineStr">
        <is>
          <t>Husband_Roth</t>
        </is>
      </c>
      <c r="C10" s="12" t="inlineStr">
        <is>
          <t>Matthew</t>
        </is>
      </c>
      <c r="D10" s="41" t="inlineStr">
        <is>
          <t>roth</t>
        </is>
      </c>
      <c r="E10" s="12" t="inlineStr">
        <is>
          <t>roth_ira</t>
        </is>
      </c>
      <c r="F10" s="27" t="n">
        <v>137412.09985</v>
      </c>
      <c r="G10" s="27" t="n">
        <v>0</v>
      </c>
      <c r="H10" s="27" t="n">
        <v>0</v>
      </c>
      <c r="I10" s="27" t="n">
        <v>0</v>
      </c>
      <c r="J10" s="27" t="n">
        <v>0</v>
      </c>
      <c r="K10" s="27" t="n">
        <v>0</v>
      </c>
      <c r="L10" s="27" t="n">
        <v>0</v>
      </c>
      <c r="M10" s="27" t="n">
        <v>8244.725991000001</v>
      </c>
      <c r="N10" s="27" t="n">
        <v>145656.825841</v>
      </c>
      <c r="O10" s="27" t="n">
        <v>145656.825841</v>
      </c>
      <c r="P10" s="27" t="n">
        <v>0</v>
      </c>
      <c r="Q10" s="33" t="inlineStr"/>
    </row>
    <row r="11" ht="30" customHeight="1">
      <c r="A11" s="26" t="n">
        <v>2026</v>
      </c>
      <c r="B11" s="12" t="inlineStr">
        <is>
          <t>Husband_Trust</t>
        </is>
      </c>
      <c r="C11" s="12" t="inlineStr">
        <is>
          <t>Matthew</t>
        </is>
      </c>
      <c r="D11" s="41" t="inlineStr">
        <is>
          <t>taxable</t>
        </is>
      </c>
      <c r="E11" s="12" t="inlineStr">
        <is>
          <t>trust</t>
        </is>
      </c>
      <c r="F11" s="27" t="n">
        <v>204048.53501</v>
      </c>
      <c r="G11" s="27" t="n">
        <v>48995.95721714926</v>
      </c>
      <c r="H11" s="27" t="n">
        <v>0</v>
      </c>
      <c r="I11" s="27" t="n">
        <v>0</v>
      </c>
      <c r="J11" s="27" t="n">
        <v>0</v>
      </c>
      <c r="K11" s="27" t="n">
        <v>0</v>
      </c>
      <c r="L11" s="27" t="n">
        <v>0</v>
      </c>
      <c r="M11" s="27" t="n">
        <v>9781.140826759365</v>
      </c>
      <c r="N11" s="27" t="n">
        <v>262825.6330539086</v>
      </c>
      <c r="O11" s="27" t="n">
        <v>262825.6330539086</v>
      </c>
      <c r="P11" s="27" t="n">
        <v>0</v>
      </c>
      <c r="Q11" s="12" t="inlineStr">
        <is>
          <t>deposit</t>
        </is>
      </c>
    </row>
    <row r="12" ht="30" customHeight="1">
      <c r="A12" s="26" t="n">
        <v>2026</v>
      </c>
      <c r="B12" s="12" t="inlineStr">
        <is>
          <t>Wife_IRA</t>
        </is>
      </c>
      <c r="C12" s="12" t="inlineStr">
        <is>
          <t>Patricia</t>
        </is>
      </c>
      <c r="D12" s="41" t="inlineStr">
        <is>
          <t>pre_tax</t>
        </is>
      </c>
      <c r="E12" s="12" t="inlineStr">
        <is>
          <t>traditional_ira</t>
        </is>
      </c>
      <c r="F12" s="27" t="n">
        <v>454861.506731</v>
      </c>
      <c r="G12" s="27" t="n">
        <v>0</v>
      </c>
      <c r="H12" s="27" t="n">
        <v>0</v>
      </c>
      <c r="I12" s="27" t="n">
        <v>0</v>
      </c>
      <c r="J12" s="27" t="n">
        <v>0</v>
      </c>
      <c r="K12" s="27" t="n">
        <v>0</v>
      </c>
      <c r="L12" s="27" t="n">
        <v>0</v>
      </c>
      <c r="M12" s="27" t="n">
        <v>27291.69040386</v>
      </c>
      <c r="N12" s="27" t="n">
        <v>482153.19713486</v>
      </c>
      <c r="O12" s="27" t="n">
        <v>482153.19713486</v>
      </c>
      <c r="P12" s="27" t="n">
        <v>0</v>
      </c>
      <c r="Q12" s="33" t="inlineStr"/>
    </row>
    <row r="13" ht="30" customHeight="1">
      <c r="A13" s="26" t="n">
        <v>2026</v>
      </c>
      <c r="B13" s="12" t="inlineStr">
        <is>
          <t>Wife_Roth</t>
        </is>
      </c>
      <c r="C13" s="12" t="inlineStr">
        <is>
          <t>Patricia</t>
        </is>
      </c>
      <c r="D13" s="41" t="inlineStr">
        <is>
          <t>roth</t>
        </is>
      </c>
      <c r="E13" s="12" t="inlineStr">
        <is>
          <t>roth_ira</t>
        </is>
      </c>
      <c r="F13" s="27" t="n">
        <v>203932.259643</v>
      </c>
      <c r="G13" s="27" t="n">
        <v>0</v>
      </c>
      <c r="H13" s="27" t="n">
        <v>0</v>
      </c>
      <c r="I13" s="27" t="n">
        <v>0</v>
      </c>
      <c r="J13" s="27" t="n">
        <v>0</v>
      </c>
      <c r="K13" s="27" t="n">
        <v>0</v>
      </c>
      <c r="L13" s="27" t="n">
        <v>0</v>
      </c>
      <c r="M13" s="27" t="n">
        <v>12235.93557858</v>
      </c>
      <c r="N13" s="27" t="n">
        <v>216168.19522158</v>
      </c>
      <c r="O13" s="27" t="n">
        <v>216168.19522158</v>
      </c>
      <c r="P13" s="27" t="n">
        <v>0</v>
      </c>
      <c r="Q13" s="33" t="inlineStr"/>
    </row>
    <row r="14" ht="30" customHeight="1">
      <c r="A14" s="26" t="n">
        <v>2026</v>
      </c>
      <c r="B14" s="12" t="inlineStr">
        <is>
          <t>Wife_Trust</t>
        </is>
      </c>
      <c r="C14" s="12" t="inlineStr">
        <is>
          <t>Patricia</t>
        </is>
      </c>
      <c r="D14" s="41" t="inlineStr">
        <is>
          <t>taxable</t>
        </is>
      </c>
      <c r="E14" s="12" t="inlineStr">
        <is>
          <t>trust</t>
        </is>
      </c>
      <c r="F14" s="27" t="n">
        <v>326446.735616</v>
      </c>
      <c r="G14" s="27" t="n">
        <v>0</v>
      </c>
      <c r="H14" s="27" t="n">
        <v>0</v>
      </c>
      <c r="I14" s="27" t="n">
        <v>0</v>
      </c>
      <c r="J14" s="27" t="n">
        <v>0</v>
      </c>
      <c r="K14" s="27" t="n">
        <v>0</v>
      </c>
      <c r="L14" s="27" t="n">
        <v>0</v>
      </c>
      <c r="M14" s="27" t="n">
        <v>13756.63138976</v>
      </c>
      <c r="N14" s="27" t="n">
        <v>340203.36700576</v>
      </c>
      <c r="O14" s="27" t="n">
        <v>340203.36700576</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Husband_HSA</t>
        </is>
      </c>
      <c r="C17" s="12" t="inlineStr">
        <is>
          <t>Matthew</t>
        </is>
      </c>
      <c r="D17" s="41" t="inlineStr">
        <is>
          <t>hsa</t>
        </is>
      </c>
      <c r="E17" s="12" t="inlineStr">
        <is>
          <t>hsa</t>
        </is>
      </c>
      <c r="F17" s="27" t="n">
        <v>82867.40086620001</v>
      </c>
      <c r="G17" s="27" t="n">
        <v>0</v>
      </c>
      <c r="H17" s="27" t="n">
        <v>0</v>
      </c>
      <c r="I17" s="27" t="n">
        <v>0</v>
      </c>
      <c r="J17" s="27" t="n">
        <v>0</v>
      </c>
      <c r="K17" s="27" t="n">
        <v>0</v>
      </c>
      <c r="L17" s="27" t="n">
        <v>0</v>
      </c>
      <c r="M17" s="27" t="n">
        <v>4972.044051972</v>
      </c>
      <c r="N17" s="27" t="n">
        <v>87839.44491817201</v>
      </c>
      <c r="O17" s="27" t="n">
        <v>87839.44491817201</v>
      </c>
      <c r="P17" s="27" t="n">
        <v>0</v>
      </c>
      <c r="Q17" s="33" t="inlineStr"/>
    </row>
    <row r="18" ht="30" customHeight="1">
      <c r="A18" s="26" t="n">
        <v>2027</v>
      </c>
      <c r="B18" s="12" t="inlineStr">
        <is>
          <t>Husband_401k</t>
        </is>
      </c>
      <c r="C18" s="12" t="inlineStr">
        <is>
          <t>Matthew</t>
        </is>
      </c>
      <c r="D18" s="41" t="inlineStr">
        <is>
          <t>pre_tax</t>
        </is>
      </c>
      <c r="E18" s="12" t="inlineStr">
        <is>
          <t>401k</t>
        </is>
      </c>
      <c r="F18" s="27" t="n">
        <v>39242.525</v>
      </c>
      <c r="G18" s="27" t="n">
        <v>0</v>
      </c>
      <c r="H18" s="27" t="n">
        <v>0</v>
      </c>
      <c r="I18" s="27" t="n">
        <v>0</v>
      </c>
      <c r="J18" s="27" t="n">
        <v>0</v>
      </c>
      <c r="K18" s="27" t="n">
        <v>0</v>
      </c>
      <c r="L18" s="27" t="n">
        <v>0.0002444693996706824</v>
      </c>
      <c r="M18" s="27" t="n">
        <v>2354.551485331836</v>
      </c>
      <c r="N18" s="27" t="n">
        <v>41597.07624086244</v>
      </c>
      <c r="O18" s="27" t="n">
        <v>41597.07624086244</v>
      </c>
      <c r="P18" s="27" t="n">
        <v>0</v>
      </c>
      <c r="Q18" s="12" t="inlineStr">
        <is>
          <t>withdrawal</t>
        </is>
      </c>
    </row>
    <row r="19" ht="30" customHeight="1">
      <c r="A19" s="26" t="n">
        <v>2027</v>
      </c>
      <c r="B19" s="12" t="inlineStr">
        <is>
          <t>Husband_IRA</t>
        </is>
      </c>
      <c r="C19" s="12" t="inlineStr">
        <is>
          <t>Matthew</t>
        </is>
      </c>
      <c r="D19" s="41" t="inlineStr">
        <is>
          <t>pre_tax</t>
        </is>
      </c>
      <c r="E19" s="12" t="inlineStr">
        <is>
          <t>traditional_ira</t>
        </is>
      </c>
      <c r="F19" s="27" t="n">
        <v>1389960.8138384</v>
      </c>
      <c r="G19" s="27" t="n">
        <v>0</v>
      </c>
      <c r="H19" s="27" t="n">
        <v>0</v>
      </c>
      <c r="I19" s="27" t="n">
        <v>0</v>
      </c>
      <c r="J19" s="27" t="n">
        <v>0</v>
      </c>
      <c r="K19" s="27" t="n">
        <v>0</v>
      </c>
      <c r="L19" s="27" t="n">
        <v>0.008659047442152278</v>
      </c>
      <c r="M19" s="27" t="n">
        <v>83397.64831076114</v>
      </c>
      <c r="N19" s="27" t="n">
        <v>1473358.453490114</v>
      </c>
      <c r="O19" s="27" t="n">
        <v>1473358.453490114</v>
      </c>
      <c r="P19" s="27" t="n">
        <v>0</v>
      </c>
      <c r="Q19" s="12" t="inlineStr">
        <is>
          <t>withdrawal</t>
        </is>
      </c>
    </row>
    <row r="20" ht="30" customHeight="1">
      <c r="A20" s="26" t="n">
        <v>2027</v>
      </c>
      <c r="B20" s="12" t="inlineStr">
        <is>
          <t>Husband_Roth</t>
        </is>
      </c>
      <c r="C20" s="12" t="inlineStr">
        <is>
          <t>Matthew</t>
        </is>
      </c>
      <c r="D20" s="41" t="inlineStr">
        <is>
          <t>roth</t>
        </is>
      </c>
      <c r="E20" s="12" t="inlineStr">
        <is>
          <t>roth_ira</t>
        </is>
      </c>
      <c r="F20" s="27" t="n">
        <v>145656.825841</v>
      </c>
      <c r="G20" s="27" t="n">
        <v>0</v>
      </c>
      <c r="H20" s="27" t="n">
        <v>0</v>
      </c>
      <c r="I20" s="27" t="n">
        <v>0</v>
      </c>
      <c r="J20" s="27" t="n">
        <v>0</v>
      </c>
      <c r="K20" s="27" t="n">
        <v>0</v>
      </c>
      <c r="L20" s="27" t="n">
        <v>0</v>
      </c>
      <c r="M20" s="27" t="n">
        <v>8739.409550460003</v>
      </c>
      <c r="N20" s="27" t="n">
        <v>154396.23539146</v>
      </c>
      <c r="O20" s="27" t="n">
        <v>154396.23539146</v>
      </c>
      <c r="P20" s="27" t="n">
        <v>0</v>
      </c>
      <c r="Q20" s="33" t="inlineStr"/>
    </row>
    <row r="21" ht="30" customHeight="1">
      <c r="A21" s="26" t="n">
        <v>2027</v>
      </c>
      <c r="B21" s="12" t="inlineStr">
        <is>
          <t>Husband_Trust</t>
        </is>
      </c>
      <c r="C21" s="12" t="inlineStr">
        <is>
          <t>Matthew</t>
        </is>
      </c>
      <c r="D21" s="41" t="inlineStr">
        <is>
          <t>taxable</t>
        </is>
      </c>
      <c r="E21" s="12" t="inlineStr">
        <is>
          <t>trust</t>
        </is>
      </c>
      <c r="F21" s="27" t="n">
        <v>262825.6330539086</v>
      </c>
      <c r="G21" s="27" t="n">
        <v>0</v>
      </c>
      <c r="H21" s="27" t="n">
        <v>0</v>
      </c>
      <c r="I21" s="27" t="n">
        <v>0</v>
      </c>
      <c r="J21" s="27" t="n">
        <v>0</v>
      </c>
      <c r="K21" s="27" t="n">
        <v>0</v>
      </c>
      <c r="L21" s="27" t="n">
        <v>150807.9492800262</v>
      </c>
      <c r="M21" s="27" t="n">
        <v>4329.913409441863</v>
      </c>
      <c r="N21" s="27" t="n">
        <v>116347.5971833243</v>
      </c>
      <c r="O21" s="27" t="n">
        <v>116347.5971833243</v>
      </c>
      <c r="P21" s="27" t="n">
        <v>-4.365574568510056e-11</v>
      </c>
      <c r="Q21" s="12" t="inlineStr">
        <is>
          <t>withdrawal</t>
        </is>
      </c>
    </row>
    <row r="22" ht="60" customHeight="1">
      <c r="A22" s="26" t="n">
        <v>2027</v>
      </c>
      <c r="B22" s="12" t="inlineStr">
        <is>
          <t>Wife_IRA</t>
        </is>
      </c>
      <c r="C22" s="12" t="inlineStr">
        <is>
          <t>Patricia</t>
        </is>
      </c>
      <c r="D22" s="41" t="inlineStr">
        <is>
          <t>pre_tax</t>
        </is>
      </c>
      <c r="E22" s="12" t="inlineStr">
        <is>
          <t>traditional_ira</t>
        </is>
      </c>
      <c r="F22" s="27" t="n">
        <v>482153.19713486</v>
      </c>
      <c r="G22" s="27" t="n">
        <v>0</v>
      </c>
      <c r="H22" s="27" t="n">
        <v>0</v>
      </c>
      <c r="I22" s="27" t="n">
        <v>0</v>
      </c>
      <c r="J22" s="27" t="n">
        <v>0</v>
      </c>
      <c r="K22" s="27" t="n">
        <v>224997.8222866051</v>
      </c>
      <c r="L22" s="27" t="n">
        <v>0.001602002422403813</v>
      </c>
      <c r="M22" s="27" t="n">
        <v>15429.32239477515</v>
      </c>
      <c r="N22" s="27" t="n">
        <v>272584.6956410276</v>
      </c>
      <c r="O22" s="27" t="n">
        <v>272584.6956410276</v>
      </c>
      <c r="P22" s="27" t="n">
        <v>0</v>
      </c>
      <c r="Q22" s="12" t="inlineStr">
        <is>
          <t>Roth conversion; withdrawal</t>
        </is>
      </c>
    </row>
    <row r="23" ht="30" customHeight="1">
      <c r="A23" s="26" t="n">
        <v>2027</v>
      </c>
      <c r="B23" s="12" t="inlineStr">
        <is>
          <t>Wife_Roth</t>
        </is>
      </c>
      <c r="C23" s="12" t="inlineStr">
        <is>
          <t>Patricia</t>
        </is>
      </c>
      <c r="D23" s="41" t="inlineStr">
        <is>
          <t>roth</t>
        </is>
      </c>
      <c r="E23" s="12" t="inlineStr">
        <is>
          <t>roth_ira</t>
        </is>
      </c>
      <c r="F23" s="27" t="n">
        <v>216168.19522158</v>
      </c>
      <c r="G23" s="27" t="n">
        <v>0</v>
      </c>
      <c r="H23" s="27" t="n">
        <v>0</v>
      </c>
      <c r="I23" s="27" t="n">
        <v>0</v>
      </c>
      <c r="J23" s="27" t="n">
        <v>224997.8222866051</v>
      </c>
      <c r="K23" s="27" t="n">
        <v>0</v>
      </c>
      <c r="L23" s="27" t="n">
        <v>0</v>
      </c>
      <c r="M23" s="27" t="n">
        <v>26469.96105049111</v>
      </c>
      <c r="N23" s="27" t="n">
        <v>467635.9785586763</v>
      </c>
      <c r="O23" s="27" t="n">
        <v>467635.9785586763</v>
      </c>
      <c r="P23" s="27" t="n">
        <v>0</v>
      </c>
      <c r="Q23" s="12" t="inlineStr">
        <is>
          <t>Roth conversion</t>
        </is>
      </c>
    </row>
    <row r="24" ht="30" customHeight="1">
      <c r="A24" s="26" t="n">
        <v>2027</v>
      </c>
      <c r="B24" s="12" t="inlineStr">
        <is>
          <t>Wife_Trust</t>
        </is>
      </c>
      <c r="C24" s="12" t="inlineStr">
        <is>
          <t>Patricia</t>
        </is>
      </c>
      <c r="D24" s="41" t="inlineStr">
        <is>
          <t>taxable</t>
        </is>
      </c>
      <c r="E24" s="12" t="inlineStr">
        <is>
          <t>trust</t>
        </is>
      </c>
      <c r="F24" s="27" t="n">
        <v>340203.36700576</v>
      </c>
      <c r="G24" s="27" t="n">
        <v>0</v>
      </c>
      <c r="H24" s="27" t="n">
        <v>0</v>
      </c>
      <c r="I24" s="27" t="n">
        <v>0</v>
      </c>
      <c r="J24" s="27" t="n">
        <v>0</v>
      </c>
      <c r="K24" s="27" t="n">
        <v>0</v>
      </c>
      <c r="L24" s="27" t="n">
        <v>195206.8811559771</v>
      </c>
      <c r="M24" s="27" t="n">
        <v>6110.225623430159</v>
      </c>
      <c r="N24" s="27" t="n">
        <v>151106.711473213</v>
      </c>
      <c r="O24" s="27" t="n">
        <v>151106.711473213</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Husband_HSA</t>
        </is>
      </c>
      <c r="C27" s="12" t="inlineStr">
        <is>
          <t>Matthew</t>
        </is>
      </c>
      <c r="D27" s="41" t="inlineStr">
        <is>
          <t>hsa</t>
        </is>
      </c>
      <c r="E27" s="12" t="inlineStr">
        <is>
          <t>hsa</t>
        </is>
      </c>
      <c r="F27" s="27" t="n">
        <v>87839.44491817201</v>
      </c>
      <c r="G27" s="27" t="n">
        <v>0</v>
      </c>
      <c r="H27" s="27" t="n">
        <v>0</v>
      </c>
      <c r="I27" s="27" t="n">
        <v>0</v>
      </c>
      <c r="J27" s="27" t="n">
        <v>0</v>
      </c>
      <c r="K27" s="27" t="n">
        <v>0</v>
      </c>
      <c r="L27" s="27" t="n">
        <v>0</v>
      </c>
      <c r="M27" s="27" t="n">
        <v>5270.366695090321</v>
      </c>
      <c r="N27" s="27" t="n">
        <v>93109.81161326234</v>
      </c>
      <c r="O27" s="27" t="n">
        <v>93109.81161326234</v>
      </c>
      <c r="P27" s="27" t="n">
        <v>0</v>
      </c>
      <c r="Q27" s="33" t="inlineStr"/>
    </row>
    <row r="28" ht="30" customHeight="1">
      <c r="A28" s="26" t="n">
        <v>2028</v>
      </c>
      <c r="B28" s="12" t="inlineStr">
        <is>
          <t>Husband_401k</t>
        </is>
      </c>
      <c r="C28" s="12" t="inlineStr">
        <is>
          <t>Matthew</t>
        </is>
      </c>
      <c r="D28" s="41" t="inlineStr">
        <is>
          <t>pre_tax</t>
        </is>
      </c>
      <c r="E28" s="12" t="inlineStr">
        <is>
          <t>401k</t>
        </is>
      </c>
      <c r="F28" s="27" t="n">
        <v>41597.07624086244</v>
      </c>
      <c r="G28" s="27" t="n">
        <v>0</v>
      </c>
      <c r="H28" s="27" t="n">
        <v>0</v>
      </c>
      <c r="I28" s="27" t="n">
        <v>0</v>
      </c>
      <c r="J28" s="27" t="n">
        <v>0</v>
      </c>
      <c r="K28" s="27" t="n">
        <v>0</v>
      </c>
      <c r="L28" s="27" t="n">
        <v>787.2008849901252</v>
      </c>
      <c r="M28" s="27" t="n">
        <v>2448.592521352339</v>
      </c>
      <c r="N28" s="27" t="n">
        <v>43258.46787722466</v>
      </c>
      <c r="O28" s="27" t="n">
        <v>43258.46787722466</v>
      </c>
      <c r="P28" s="27" t="n">
        <v>0</v>
      </c>
      <c r="Q28" s="12" t="inlineStr">
        <is>
          <t>withdrawal</t>
        </is>
      </c>
    </row>
    <row r="29" ht="30" customHeight="1">
      <c r="A29" s="26" t="n">
        <v>2028</v>
      </c>
      <c r="B29" s="12" t="inlineStr">
        <is>
          <t>Husband_IRA</t>
        </is>
      </c>
      <c r="C29" s="12" t="inlineStr">
        <is>
          <t>Matthew</t>
        </is>
      </c>
      <c r="D29" s="41" t="inlineStr">
        <is>
          <t>pre_tax</t>
        </is>
      </c>
      <c r="E29" s="12" t="inlineStr">
        <is>
          <t>traditional_ira</t>
        </is>
      </c>
      <c r="F29" s="27" t="n">
        <v>1473358.453490114</v>
      </c>
      <c r="G29" s="27" t="n">
        <v>0</v>
      </c>
      <c r="H29" s="27" t="n">
        <v>0</v>
      </c>
      <c r="I29" s="27" t="n">
        <v>0</v>
      </c>
      <c r="J29" s="27" t="n">
        <v>0</v>
      </c>
      <c r="K29" s="27" t="n">
        <v>0</v>
      </c>
      <c r="L29" s="27" t="n">
        <v>27882.46634881886</v>
      </c>
      <c r="M29" s="27" t="n">
        <v>86728.55922847768</v>
      </c>
      <c r="N29" s="27" t="n">
        <v>1532204.546369772</v>
      </c>
      <c r="O29" s="27" t="n">
        <v>1532204.546369772</v>
      </c>
      <c r="P29" s="27" t="n">
        <v>0</v>
      </c>
      <c r="Q29" s="12" t="inlineStr">
        <is>
          <t>withdrawal</t>
        </is>
      </c>
    </row>
    <row r="30" ht="30" customHeight="1">
      <c r="A30" s="26" t="n">
        <v>2028</v>
      </c>
      <c r="B30" s="12" t="inlineStr">
        <is>
          <t>Husband_Roth</t>
        </is>
      </c>
      <c r="C30" s="12" t="inlineStr">
        <is>
          <t>Matthew</t>
        </is>
      </c>
      <c r="D30" s="41" t="inlineStr">
        <is>
          <t>roth</t>
        </is>
      </c>
      <c r="E30" s="12" t="inlineStr">
        <is>
          <t>roth_ira</t>
        </is>
      </c>
      <c r="F30" s="27" t="n">
        <v>154396.23539146</v>
      </c>
      <c r="G30" s="27" t="n">
        <v>0</v>
      </c>
      <c r="H30" s="27" t="n">
        <v>0</v>
      </c>
      <c r="I30" s="27" t="n">
        <v>0</v>
      </c>
      <c r="J30" s="27" t="n">
        <v>0</v>
      </c>
      <c r="K30" s="27" t="n">
        <v>0</v>
      </c>
      <c r="L30" s="27" t="n">
        <v>0</v>
      </c>
      <c r="M30" s="27" t="n">
        <v>9263.774123487601</v>
      </c>
      <c r="N30" s="27" t="n">
        <v>163660.0095149477</v>
      </c>
      <c r="O30" s="27" t="n">
        <v>163660.0095149477</v>
      </c>
      <c r="P30" s="27" t="n">
        <v>0</v>
      </c>
      <c r="Q30" s="33" t="inlineStr"/>
    </row>
    <row r="31" ht="30" customHeight="1">
      <c r="A31" s="26" t="n">
        <v>2028</v>
      </c>
      <c r="B31" s="12" t="inlineStr">
        <is>
          <t>Husband_Trust</t>
        </is>
      </c>
      <c r="C31" s="12" t="inlineStr">
        <is>
          <t>Matthew</t>
        </is>
      </c>
      <c r="D31" s="41" t="inlineStr">
        <is>
          <t>taxable</t>
        </is>
      </c>
      <c r="E31" s="12" t="inlineStr">
        <is>
          <t>trust</t>
        </is>
      </c>
      <c r="F31" s="27" t="n">
        <v>116347.5971833243</v>
      </c>
      <c r="G31" s="27" t="n">
        <v>0</v>
      </c>
      <c r="H31" s="27" t="n">
        <v>0</v>
      </c>
      <c r="I31" s="27" t="n">
        <v>0</v>
      </c>
      <c r="J31" s="27" t="n">
        <v>0</v>
      </c>
      <c r="K31" s="27" t="n">
        <v>0</v>
      </c>
      <c r="L31" s="27" t="n">
        <v>116347.5971833243</v>
      </c>
      <c r="M31" s="27" t="n">
        <v>0</v>
      </c>
      <c r="N31" s="27" t="n">
        <v>0</v>
      </c>
      <c r="O31" s="27" t="n">
        <v>0</v>
      </c>
      <c r="P31" s="27" t="n">
        <v>0</v>
      </c>
      <c r="Q31" s="12" t="inlineStr">
        <is>
          <t>withdrawal</t>
        </is>
      </c>
    </row>
    <row r="32" ht="60" customHeight="1">
      <c r="A32" s="26" t="n">
        <v>2028</v>
      </c>
      <c r="B32" s="12" t="inlineStr">
        <is>
          <t>Wife_IRA</t>
        </is>
      </c>
      <c r="C32" s="12" t="inlineStr">
        <is>
          <t>Patricia</t>
        </is>
      </c>
      <c r="D32" s="41" t="inlineStr">
        <is>
          <t>pre_tax</t>
        </is>
      </c>
      <c r="E32" s="12" t="inlineStr">
        <is>
          <t>traditional_ira</t>
        </is>
      </c>
      <c r="F32" s="27" t="n">
        <v>272584.6956410276</v>
      </c>
      <c r="G32" s="27" t="n">
        <v>0</v>
      </c>
      <c r="H32" s="27" t="n">
        <v>0</v>
      </c>
      <c r="I32" s="27" t="n">
        <v>0</v>
      </c>
      <c r="J32" s="27" t="n">
        <v>0</v>
      </c>
      <c r="K32" s="27" t="n">
        <v>214071.4890613275</v>
      </c>
      <c r="L32" s="27" t="n">
        <v>1107.328979960899</v>
      </c>
      <c r="M32" s="27" t="n">
        <v>3444.352655984354</v>
      </c>
      <c r="N32" s="27" t="n">
        <v>60850.2302557236</v>
      </c>
      <c r="O32" s="27" t="n">
        <v>60850.2302557236</v>
      </c>
      <c r="P32" s="27" t="n">
        <v>0</v>
      </c>
      <c r="Q32" s="12" t="inlineStr">
        <is>
          <t>Roth conversion; withdrawal</t>
        </is>
      </c>
    </row>
    <row r="33" ht="30" customHeight="1">
      <c r="A33" s="26" t="n">
        <v>2028</v>
      </c>
      <c r="B33" s="12" t="inlineStr">
        <is>
          <t>Wife_Roth</t>
        </is>
      </c>
      <c r="C33" s="12" t="inlineStr">
        <is>
          <t>Patricia</t>
        </is>
      </c>
      <c r="D33" s="41" t="inlineStr">
        <is>
          <t>roth</t>
        </is>
      </c>
      <c r="E33" s="12" t="inlineStr">
        <is>
          <t>roth_ira</t>
        </is>
      </c>
      <c r="F33" s="27" t="n">
        <v>467635.9785586763</v>
      </c>
      <c r="G33" s="27" t="n">
        <v>0</v>
      </c>
      <c r="H33" s="27" t="n">
        <v>0</v>
      </c>
      <c r="I33" s="27" t="n">
        <v>0</v>
      </c>
      <c r="J33" s="27" t="n">
        <v>214071.4890613275</v>
      </c>
      <c r="K33" s="27" t="n">
        <v>0</v>
      </c>
      <c r="L33" s="27" t="n">
        <v>0</v>
      </c>
      <c r="M33" s="27" t="n">
        <v>40902.44805720023</v>
      </c>
      <c r="N33" s="27" t="n">
        <v>722609.915677204</v>
      </c>
      <c r="O33" s="27" t="n">
        <v>722609.915677204</v>
      </c>
      <c r="P33" s="27" t="n">
        <v>0</v>
      </c>
      <c r="Q33" s="12" t="inlineStr">
        <is>
          <t>Roth conversion</t>
        </is>
      </c>
    </row>
    <row r="34" ht="30" customHeight="1">
      <c r="A34" s="26" t="n">
        <v>2028</v>
      </c>
      <c r="B34" s="12" t="inlineStr">
        <is>
          <t>Wife_Trust</t>
        </is>
      </c>
      <c r="C34" s="12" t="inlineStr">
        <is>
          <t>Patricia</t>
        </is>
      </c>
      <c r="D34" s="41" t="inlineStr">
        <is>
          <t>taxable</t>
        </is>
      </c>
      <c r="E34" s="12" t="inlineStr">
        <is>
          <t>trust</t>
        </is>
      </c>
      <c r="F34" s="27" t="n">
        <v>151106.711473213</v>
      </c>
      <c r="G34" s="27" t="n">
        <v>0</v>
      </c>
      <c r="H34" s="27" t="n">
        <v>0</v>
      </c>
      <c r="I34" s="27" t="n">
        <v>0</v>
      </c>
      <c r="J34" s="27" t="n">
        <v>0</v>
      </c>
      <c r="K34" s="27" t="n">
        <v>0</v>
      </c>
      <c r="L34" s="27" t="n">
        <v>151106.711473213</v>
      </c>
      <c r="M34" s="27" t="n">
        <v>0</v>
      </c>
      <c r="N34" s="27" t="n">
        <v>0</v>
      </c>
      <c r="O34" s="27" t="n">
        <v>0</v>
      </c>
      <c r="P34" s="27" t="n">
        <v>0</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Husband_HSA</t>
        </is>
      </c>
      <c r="C37" s="12" t="inlineStr">
        <is>
          <t>Matthew</t>
        </is>
      </c>
      <c r="D37" s="41" t="inlineStr">
        <is>
          <t>hsa</t>
        </is>
      </c>
      <c r="E37" s="12" t="inlineStr">
        <is>
          <t>hsa</t>
        </is>
      </c>
      <c r="F37" s="27" t="n">
        <v>93109.81161326234</v>
      </c>
      <c r="G37" s="27" t="n">
        <v>0</v>
      </c>
      <c r="H37" s="27" t="n">
        <v>0</v>
      </c>
      <c r="I37" s="27" t="n">
        <v>0</v>
      </c>
      <c r="J37" s="27" t="n">
        <v>0</v>
      </c>
      <c r="K37" s="27" t="n">
        <v>0</v>
      </c>
      <c r="L37" s="27" t="n">
        <v>0</v>
      </c>
      <c r="M37" s="27" t="n">
        <v>5586.58869679574</v>
      </c>
      <c r="N37" s="27" t="n">
        <v>98696.40031005807</v>
      </c>
      <c r="O37" s="27" t="n">
        <v>98696.40031005807</v>
      </c>
      <c r="P37" s="27" t="n">
        <v>0</v>
      </c>
      <c r="Q37" s="33" t="inlineStr"/>
    </row>
    <row r="38" ht="30" customHeight="1">
      <c r="A38" s="26" t="n">
        <v>2029</v>
      </c>
      <c r="B38" s="12" t="inlineStr">
        <is>
          <t>Husband_401k</t>
        </is>
      </c>
      <c r="C38" s="12" t="inlineStr">
        <is>
          <t>Matthew</t>
        </is>
      </c>
      <c r="D38" s="41" t="inlineStr">
        <is>
          <t>pre_tax</t>
        </is>
      </c>
      <c r="E38" s="12" t="inlineStr">
        <is>
          <t>401k</t>
        </is>
      </c>
      <c r="F38" s="27" t="n">
        <v>43258.46787722466</v>
      </c>
      <c r="G38" s="27" t="n">
        <v>0</v>
      </c>
      <c r="H38" s="27" t="n">
        <v>0</v>
      </c>
      <c r="I38" s="27" t="n">
        <v>0</v>
      </c>
      <c r="J38" s="27" t="n">
        <v>0</v>
      </c>
      <c r="K38" s="27" t="n">
        <v>43258.46787722466</v>
      </c>
      <c r="L38" s="27" t="n">
        <v>0</v>
      </c>
      <c r="M38" s="27" t="n">
        <v>0</v>
      </c>
      <c r="N38" s="27" t="n">
        <v>0</v>
      </c>
      <c r="O38" s="27" t="n">
        <v>0</v>
      </c>
      <c r="P38" s="27" t="n">
        <v>0</v>
      </c>
      <c r="Q38" s="12" t="inlineStr">
        <is>
          <t>Roth conversion</t>
        </is>
      </c>
    </row>
    <row r="39" ht="60" customHeight="1">
      <c r="A39" s="26" t="n">
        <v>2029</v>
      </c>
      <c r="B39" s="12" t="inlineStr">
        <is>
          <t>Husband_IRA</t>
        </is>
      </c>
      <c r="C39" s="12" t="inlineStr">
        <is>
          <t>Matthew</t>
        </is>
      </c>
      <c r="D39" s="41" t="inlineStr">
        <is>
          <t>pre_tax</t>
        </is>
      </c>
      <c r="E39" s="12" t="inlineStr">
        <is>
          <t>traditional_ira</t>
        </is>
      </c>
      <c r="F39" s="27" t="n">
        <v>1532204.546369772</v>
      </c>
      <c r="G39" s="27" t="n">
        <v>0</v>
      </c>
      <c r="H39" s="27" t="n">
        <v>0</v>
      </c>
      <c r="I39" s="27" t="n">
        <v>0</v>
      </c>
      <c r="J39" s="27" t="n">
        <v>0</v>
      </c>
      <c r="K39" s="27" t="n">
        <v>41551.97686408821</v>
      </c>
      <c r="L39" s="27" t="n">
        <v>220371.3084805095</v>
      </c>
      <c r="M39" s="27" t="n">
        <v>76216.87566151046</v>
      </c>
      <c r="N39" s="27" t="n">
        <v>1346498.136686685</v>
      </c>
      <c r="O39" s="27" t="n">
        <v>1346498.136686685</v>
      </c>
      <c r="P39" s="27" t="n">
        <v>0</v>
      </c>
      <c r="Q39" s="12" t="inlineStr">
        <is>
          <t>Roth conversion; withdrawal</t>
        </is>
      </c>
    </row>
    <row r="40" ht="30" customHeight="1">
      <c r="A40" s="26" t="n">
        <v>2029</v>
      </c>
      <c r="B40" s="12" t="inlineStr">
        <is>
          <t>Husband_Roth</t>
        </is>
      </c>
      <c r="C40" s="12" t="inlineStr">
        <is>
          <t>Matthew</t>
        </is>
      </c>
      <c r="D40" s="41" t="inlineStr">
        <is>
          <t>roth</t>
        </is>
      </c>
      <c r="E40" s="12" t="inlineStr">
        <is>
          <t>roth_ira</t>
        </is>
      </c>
      <c r="F40" s="27" t="n">
        <v>163660.0095149477</v>
      </c>
      <c r="G40" s="27" t="n">
        <v>0</v>
      </c>
      <c r="H40" s="27" t="n">
        <v>0</v>
      </c>
      <c r="I40" s="27" t="n">
        <v>0</v>
      </c>
      <c r="J40" s="27" t="n">
        <v>84810.44474131287</v>
      </c>
      <c r="K40" s="27" t="n">
        <v>0</v>
      </c>
      <c r="L40" s="27" t="n">
        <v>0</v>
      </c>
      <c r="M40" s="27" t="n">
        <v>14908.22725537563</v>
      </c>
      <c r="N40" s="27" t="n">
        <v>263378.6815116362</v>
      </c>
      <c r="O40" s="27" t="n">
        <v>263378.6815116362</v>
      </c>
      <c r="P40" s="27" t="n">
        <v>0</v>
      </c>
      <c r="Q40" s="12" t="inlineStr">
        <is>
          <t>Roth conversion</t>
        </is>
      </c>
    </row>
    <row r="41" ht="30" customHeight="1">
      <c r="A41" s="26" t="n">
        <v>2029</v>
      </c>
      <c r="B41" s="12" t="inlineStr">
        <is>
          <t>Husband_Trust</t>
        </is>
      </c>
      <c r="C41" s="12" t="inlineStr">
        <is>
          <t>Matthew</t>
        </is>
      </c>
      <c r="D41" s="41" t="inlineStr">
        <is>
          <t>taxable</t>
        </is>
      </c>
      <c r="E41" s="12" t="inlineStr">
        <is>
          <t>trust</t>
        </is>
      </c>
      <c r="F41" s="27" t="n">
        <v>0</v>
      </c>
      <c r="G41" s="27" t="n">
        <v>0</v>
      </c>
      <c r="H41" s="27" t="n">
        <v>0</v>
      </c>
      <c r="I41" s="27" t="n">
        <v>0</v>
      </c>
      <c r="J41" s="27" t="n">
        <v>0</v>
      </c>
      <c r="K41" s="27" t="n">
        <v>0</v>
      </c>
      <c r="L41" s="27" t="n">
        <v>0</v>
      </c>
      <c r="M41" s="27" t="n">
        <v>0</v>
      </c>
      <c r="N41" s="27" t="n">
        <v>0</v>
      </c>
      <c r="O41" s="27" t="n">
        <v>0</v>
      </c>
      <c r="P41" s="27" t="n">
        <v>0</v>
      </c>
      <c r="Q41" s="33" t="inlineStr"/>
    </row>
    <row r="42" ht="30" customHeight="1">
      <c r="A42" s="26" t="n">
        <v>2029</v>
      </c>
      <c r="B42" s="12" t="inlineStr">
        <is>
          <t>Wife_IRA</t>
        </is>
      </c>
      <c r="C42" s="12" t="inlineStr">
        <is>
          <t>Patricia</t>
        </is>
      </c>
      <c r="D42" s="41" t="inlineStr">
        <is>
          <t>pre_tax</t>
        </is>
      </c>
      <c r="E42" s="12" t="inlineStr">
        <is>
          <t>traditional_ira</t>
        </is>
      </c>
      <c r="F42" s="27" t="n">
        <v>60850.2302557236</v>
      </c>
      <c r="G42" s="27" t="n">
        <v>0</v>
      </c>
      <c r="H42" s="27" t="n">
        <v>0</v>
      </c>
      <c r="I42" s="27" t="n">
        <v>0</v>
      </c>
      <c r="J42" s="27" t="n">
        <v>0</v>
      </c>
      <c r="K42" s="27" t="n">
        <v>60850.2302557236</v>
      </c>
      <c r="L42" s="27" t="n">
        <v>0</v>
      </c>
      <c r="M42" s="27" t="n">
        <v>0</v>
      </c>
      <c r="N42" s="27" t="n">
        <v>0</v>
      </c>
      <c r="O42" s="27" t="n">
        <v>0</v>
      </c>
      <c r="P42" s="27" t="n">
        <v>0</v>
      </c>
      <c r="Q42" s="12" t="inlineStr">
        <is>
          <t>Roth conversion</t>
        </is>
      </c>
    </row>
    <row r="43" ht="30" customHeight="1">
      <c r="A43" s="26" t="n">
        <v>2029</v>
      </c>
      <c r="B43" s="12" t="inlineStr">
        <is>
          <t>Wife_Roth</t>
        </is>
      </c>
      <c r="C43" s="12" t="inlineStr">
        <is>
          <t>Patricia</t>
        </is>
      </c>
      <c r="D43" s="41" t="inlineStr">
        <is>
          <t>roth</t>
        </is>
      </c>
      <c r="E43" s="12" t="inlineStr">
        <is>
          <t>roth_ira</t>
        </is>
      </c>
      <c r="F43" s="27" t="n">
        <v>722609.915677204</v>
      </c>
      <c r="G43" s="27" t="n">
        <v>0</v>
      </c>
      <c r="H43" s="27" t="n">
        <v>0</v>
      </c>
      <c r="I43" s="27" t="n">
        <v>0</v>
      </c>
      <c r="J43" s="27" t="n">
        <v>60850.2302557236</v>
      </c>
      <c r="K43" s="27" t="n">
        <v>0</v>
      </c>
      <c r="L43" s="27" t="n">
        <v>0</v>
      </c>
      <c r="M43" s="27" t="n">
        <v>47007.60875597566</v>
      </c>
      <c r="N43" s="27" t="n">
        <v>830467.7546889032</v>
      </c>
      <c r="O43" s="27" t="n">
        <v>830467.7546889032</v>
      </c>
      <c r="P43" s="27" t="n">
        <v>0</v>
      </c>
      <c r="Q43" s="12" t="inlineStr">
        <is>
          <t>Roth conversion</t>
        </is>
      </c>
    </row>
    <row r="44" ht="30" customHeight="1">
      <c r="A44" s="26" t="n">
        <v>2029</v>
      </c>
      <c r="B44" s="12" t="inlineStr">
        <is>
          <t>Wife_Trust</t>
        </is>
      </c>
      <c r="C44" s="12" t="inlineStr">
        <is>
          <t>Patricia</t>
        </is>
      </c>
      <c r="D44" s="41" t="inlineStr">
        <is>
          <t>taxable</t>
        </is>
      </c>
      <c r="E44" s="12" t="inlineStr">
        <is>
          <t>trust</t>
        </is>
      </c>
      <c r="F44" s="27" t="n">
        <v>0</v>
      </c>
      <c r="G44" s="27" t="n">
        <v>0</v>
      </c>
      <c r="H44" s="27" t="n">
        <v>0</v>
      </c>
      <c r="I44" s="27" t="n">
        <v>0</v>
      </c>
      <c r="J44" s="27" t="n">
        <v>0</v>
      </c>
      <c r="K44" s="27" t="n">
        <v>0</v>
      </c>
      <c r="L44" s="27" t="n">
        <v>0</v>
      </c>
      <c r="M44" s="27" t="n">
        <v>0</v>
      </c>
      <c r="N44" s="27" t="n">
        <v>0</v>
      </c>
      <c r="O44" s="27" t="n">
        <v>0</v>
      </c>
      <c r="P44" s="27" t="n">
        <v>0</v>
      </c>
      <c r="Q44" s="33" t="inlineStr"/>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Husband_HSA</t>
        </is>
      </c>
      <c r="C47" s="12" t="inlineStr">
        <is>
          <t>Matthew</t>
        </is>
      </c>
      <c r="D47" s="41" t="inlineStr">
        <is>
          <t>hsa</t>
        </is>
      </c>
      <c r="E47" s="12" t="inlineStr">
        <is>
          <t>hsa</t>
        </is>
      </c>
      <c r="F47" s="27" t="n">
        <v>98696.40031005807</v>
      </c>
      <c r="G47" s="27" t="n">
        <v>0</v>
      </c>
      <c r="H47" s="27" t="n">
        <v>0</v>
      </c>
      <c r="I47" s="27" t="n">
        <v>0</v>
      </c>
      <c r="J47" s="27" t="n">
        <v>0</v>
      </c>
      <c r="K47" s="27" t="n">
        <v>0</v>
      </c>
      <c r="L47" s="27" t="n">
        <v>0</v>
      </c>
      <c r="M47" s="27" t="n">
        <v>5921.784018603485</v>
      </c>
      <c r="N47" s="27" t="n">
        <v>104618.1843286616</v>
      </c>
      <c r="O47" s="27" t="n">
        <v>104618.1843286616</v>
      </c>
      <c r="P47" s="27" t="n">
        <v>0</v>
      </c>
      <c r="Q47" s="33" t="inlineStr"/>
    </row>
    <row r="48" ht="30" customHeight="1">
      <c r="A48" s="26" t="n">
        <v>2030</v>
      </c>
      <c r="B48" s="12" t="inlineStr">
        <is>
          <t>Husband_401k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Husband_IRA</t>
        </is>
      </c>
      <c r="C49" s="12" t="inlineStr">
        <is>
          <t>Matthew</t>
        </is>
      </c>
      <c r="D49" s="41" t="inlineStr">
        <is>
          <t>pre_tax</t>
        </is>
      </c>
      <c r="E49" s="12" t="inlineStr">
        <is>
          <t>traditional_ira</t>
        </is>
      </c>
      <c r="F49" s="27" t="n">
        <v>1346498.136686685</v>
      </c>
      <c r="G49" s="27" t="n">
        <v>0</v>
      </c>
      <c r="H49" s="27" t="n">
        <v>0</v>
      </c>
      <c r="I49" s="27" t="n">
        <v>0</v>
      </c>
      <c r="J49" s="27" t="n">
        <v>0</v>
      </c>
      <c r="K49" s="27" t="n">
        <v>156705.6369264646</v>
      </c>
      <c r="L49" s="27" t="n">
        <v>239811.5024621645</v>
      </c>
      <c r="M49" s="27" t="n">
        <v>56998.85983788335</v>
      </c>
      <c r="N49" s="27" t="n">
        <v>1006979.857135939</v>
      </c>
      <c r="O49" s="27" t="n">
        <v>1006979.857135939</v>
      </c>
      <c r="P49" s="27" t="n">
        <v>0</v>
      </c>
      <c r="Q49" s="12" t="inlineStr">
        <is>
          <t>Roth conversion; withdrawal</t>
        </is>
      </c>
    </row>
    <row r="50" ht="30" customHeight="1">
      <c r="A50" s="26" t="n">
        <v>2030</v>
      </c>
      <c r="B50" s="12" t="inlineStr">
        <is>
          <t>Husband_Roth</t>
        </is>
      </c>
      <c r="C50" s="12" t="inlineStr">
        <is>
          <t>Matthew</t>
        </is>
      </c>
      <c r="D50" s="41" t="inlineStr">
        <is>
          <t>roth</t>
        </is>
      </c>
      <c r="E50" s="12" t="inlineStr">
        <is>
          <t>roth_ira</t>
        </is>
      </c>
      <c r="F50" s="27" t="n">
        <v>263378.6815116362</v>
      </c>
      <c r="G50" s="27" t="n">
        <v>0</v>
      </c>
      <c r="H50" s="27" t="n">
        <v>0</v>
      </c>
      <c r="I50" s="27" t="n">
        <v>0</v>
      </c>
      <c r="J50" s="27" t="n">
        <v>156705.6369264646</v>
      </c>
      <c r="K50" s="27" t="n">
        <v>0</v>
      </c>
      <c r="L50" s="27" t="n">
        <v>0</v>
      </c>
      <c r="M50" s="27" t="n">
        <v>25205.05910628605</v>
      </c>
      <c r="N50" s="27" t="n">
        <v>445289.3775443868</v>
      </c>
      <c r="O50" s="27" t="n">
        <v>445289.3775443868</v>
      </c>
      <c r="P50" s="27" t="n">
        <v>0</v>
      </c>
      <c r="Q50" s="12" t="inlineStr">
        <is>
          <t>Roth conversion</t>
        </is>
      </c>
    </row>
    <row r="51" ht="30" customHeight="1">
      <c r="A51" s="26" t="n">
        <v>2030</v>
      </c>
      <c r="B51" s="12" t="inlineStr">
        <is>
          <t>Husband_Trust</t>
        </is>
      </c>
      <c r="C51" s="12" t="inlineStr">
        <is>
          <t>Matthew</t>
        </is>
      </c>
      <c r="D51" s="41" t="inlineStr">
        <is>
          <t>taxable</t>
        </is>
      </c>
      <c r="E51" s="12" t="inlineStr">
        <is>
          <t>trust</t>
        </is>
      </c>
      <c r="F51" s="27" t="n">
        <v>0</v>
      </c>
      <c r="G51" s="27" t="n">
        <v>0</v>
      </c>
      <c r="H51" s="27" t="n">
        <v>0</v>
      </c>
      <c r="I51" s="27" t="n">
        <v>0</v>
      </c>
      <c r="J51" s="27" t="n">
        <v>0</v>
      </c>
      <c r="K51" s="27" t="n">
        <v>0</v>
      </c>
      <c r="L51" s="27" t="n">
        <v>0</v>
      </c>
      <c r="M51" s="27" t="n">
        <v>0</v>
      </c>
      <c r="N51" s="27" t="n">
        <v>0</v>
      </c>
      <c r="O51" s="27" t="n">
        <v>0</v>
      </c>
      <c r="P51" s="27" t="n">
        <v>0</v>
      </c>
      <c r="Q51" s="33" t="inlineStr"/>
    </row>
    <row r="52" ht="30" customHeight="1">
      <c r="A52" s="26" t="n">
        <v>2030</v>
      </c>
      <c r="B52" s="12" t="inlineStr">
        <is>
          <t>Wife_IRA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Wife_Roth</t>
        </is>
      </c>
      <c r="C53" s="12" t="inlineStr">
        <is>
          <t>Patricia</t>
        </is>
      </c>
      <c r="D53" s="41" t="inlineStr">
        <is>
          <t>roth</t>
        </is>
      </c>
      <c r="E53" s="12" t="inlineStr">
        <is>
          <t>roth_ira</t>
        </is>
      </c>
      <c r="F53" s="27" t="n">
        <v>830467.7546889032</v>
      </c>
      <c r="G53" s="27" t="n">
        <v>0</v>
      </c>
      <c r="H53" s="27" t="n">
        <v>0</v>
      </c>
      <c r="I53" s="27" t="n">
        <v>0</v>
      </c>
      <c r="J53" s="27" t="n">
        <v>0</v>
      </c>
      <c r="K53" s="27" t="n">
        <v>0</v>
      </c>
      <c r="L53" s="27" t="n">
        <v>0</v>
      </c>
      <c r="M53" s="27" t="n">
        <v>49828.06528133419</v>
      </c>
      <c r="N53" s="27" t="n">
        <v>880295.8199702374</v>
      </c>
      <c r="O53" s="27" t="n">
        <v>880295.8199702374</v>
      </c>
      <c r="P53" s="27" t="n">
        <v>0</v>
      </c>
      <c r="Q53" s="33" t="inlineStr"/>
    </row>
    <row r="54" ht="30" customHeight="1">
      <c r="A54" s="26" t="n">
        <v>2030</v>
      </c>
      <c r="B54" s="12" t="inlineStr">
        <is>
          <t>Wife_Trust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Husband_HSA</t>
        </is>
      </c>
      <c r="C57" s="12" t="inlineStr">
        <is>
          <t>Matthew</t>
        </is>
      </c>
      <c r="D57" s="41" t="inlineStr">
        <is>
          <t>hsa</t>
        </is>
      </c>
      <c r="E57" s="12" t="inlineStr">
        <is>
          <t>hsa</t>
        </is>
      </c>
      <c r="F57" s="27" t="n">
        <v>104618.1843286616</v>
      </c>
      <c r="G57" s="27" t="n">
        <v>0</v>
      </c>
      <c r="H57" s="27" t="n">
        <v>0</v>
      </c>
      <c r="I57" s="27" t="n">
        <v>0</v>
      </c>
      <c r="J57" s="27" t="n">
        <v>0</v>
      </c>
      <c r="K57" s="27" t="n">
        <v>0</v>
      </c>
      <c r="L57" s="27" t="n">
        <v>10461.81843286616</v>
      </c>
      <c r="M57" s="27" t="n">
        <v>5649.381953747724</v>
      </c>
      <c r="N57" s="27" t="n">
        <v>99805.74784954313</v>
      </c>
      <c r="O57" s="27" t="n">
        <v>99805.74784954313</v>
      </c>
      <c r="P57" s="27" t="n">
        <v>0</v>
      </c>
      <c r="Q57" s="12" t="inlineStr">
        <is>
          <t>withdrawal</t>
        </is>
      </c>
    </row>
    <row r="58" ht="30" customHeight="1">
      <c r="A58" s="26" t="n">
        <v>2031</v>
      </c>
      <c r="B58" s="12" t="inlineStr">
        <is>
          <t>Husband_401k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Husband_IRA</t>
        </is>
      </c>
      <c r="C59" s="12" t="inlineStr">
        <is>
          <t>Matthew</t>
        </is>
      </c>
      <c r="D59" s="41" t="inlineStr">
        <is>
          <t>pre_tax</t>
        </is>
      </c>
      <c r="E59" s="12" t="inlineStr">
        <is>
          <t>traditional_ira</t>
        </is>
      </c>
      <c r="F59" s="27" t="n">
        <v>1006979.857135939</v>
      </c>
      <c r="G59" s="27" t="n">
        <v>0</v>
      </c>
      <c r="H59" s="27" t="n">
        <v>0</v>
      </c>
      <c r="I59" s="27" t="n">
        <v>0</v>
      </c>
      <c r="J59" s="27" t="n">
        <v>0</v>
      </c>
      <c r="K59" s="27" t="n">
        <v>125267.2076368838</v>
      </c>
      <c r="L59" s="27" t="n">
        <v>141757.2185283533</v>
      </c>
      <c r="M59" s="27" t="n">
        <v>44397.32585824213</v>
      </c>
      <c r="N59" s="27" t="n">
        <v>784352.7568289442</v>
      </c>
      <c r="O59" s="27" t="n">
        <v>784352.7568289442</v>
      </c>
      <c r="P59" s="27" t="n">
        <v>0</v>
      </c>
      <c r="Q59" s="12" t="inlineStr">
        <is>
          <t>Roth conversion; withdrawal</t>
        </is>
      </c>
    </row>
    <row r="60" ht="30" customHeight="1">
      <c r="A60" s="26" t="n">
        <v>2031</v>
      </c>
      <c r="B60" s="12" t="inlineStr">
        <is>
          <t>Husband_Roth</t>
        </is>
      </c>
      <c r="C60" s="12" t="inlineStr">
        <is>
          <t>Matthew</t>
        </is>
      </c>
      <c r="D60" s="41" t="inlineStr">
        <is>
          <t>roth</t>
        </is>
      </c>
      <c r="E60" s="12" t="inlineStr">
        <is>
          <t>roth_ira</t>
        </is>
      </c>
      <c r="F60" s="27" t="n">
        <v>445289.3775443868</v>
      </c>
      <c r="G60" s="27" t="n">
        <v>0</v>
      </c>
      <c r="H60" s="27" t="n">
        <v>0</v>
      </c>
      <c r="I60" s="27" t="n">
        <v>0</v>
      </c>
      <c r="J60" s="27" t="n">
        <v>125267.2076368838</v>
      </c>
      <c r="K60" s="27" t="n">
        <v>0</v>
      </c>
      <c r="L60" s="27" t="n">
        <v>0</v>
      </c>
      <c r="M60" s="27" t="n">
        <v>34233.39511087623</v>
      </c>
      <c r="N60" s="27" t="n">
        <v>604789.9802921468</v>
      </c>
      <c r="O60" s="27" t="n">
        <v>604789.9802921468</v>
      </c>
      <c r="P60" s="27" t="n">
        <v>0</v>
      </c>
      <c r="Q60" s="12" t="inlineStr">
        <is>
          <t>Roth conversion</t>
        </is>
      </c>
    </row>
    <row r="61" ht="30" customHeight="1">
      <c r="A61" s="26" t="n">
        <v>2031</v>
      </c>
      <c r="B61" s="12" t="inlineStr">
        <is>
          <t>Husband_Trust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Wife_IRA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Wife_Roth</t>
        </is>
      </c>
      <c r="C63" s="12" t="inlineStr">
        <is>
          <t>Patricia</t>
        </is>
      </c>
      <c r="D63" s="41" t="inlineStr">
        <is>
          <t>roth</t>
        </is>
      </c>
      <c r="E63" s="12" t="inlineStr">
        <is>
          <t>roth_ira</t>
        </is>
      </c>
      <c r="F63" s="27" t="n">
        <v>880295.8199702374</v>
      </c>
      <c r="G63" s="27" t="n">
        <v>0</v>
      </c>
      <c r="H63" s="27" t="n">
        <v>0</v>
      </c>
      <c r="I63" s="27" t="n">
        <v>0</v>
      </c>
      <c r="J63" s="27" t="n">
        <v>0</v>
      </c>
      <c r="K63" s="27" t="n">
        <v>0</v>
      </c>
      <c r="L63" s="27" t="n">
        <v>0</v>
      </c>
      <c r="M63" s="27" t="n">
        <v>52817.74919821425</v>
      </c>
      <c r="N63" s="27" t="n">
        <v>933113.5691684517</v>
      </c>
      <c r="O63" s="27" t="n">
        <v>933113.5691684517</v>
      </c>
      <c r="P63" s="27" t="n">
        <v>0</v>
      </c>
      <c r="Q63" s="33" t="inlineStr"/>
    </row>
    <row r="64" ht="30" customHeight="1">
      <c r="A64" s="26" t="n">
        <v>2031</v>
      </c>
      <c r="B64" s="12" t="inlineStr">
        <is>
          <t>Wife_Trust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Husband_HSA</t>
        </is>
      </c>
      <c r="C67" s="12" t="inlineStr">
        <is>
          <t>Matthew</t>
        </is>
      </c>
      <c r="D67" s="41" t="inlineStr">
        <is>
          <t>hsa</t>
        </is>
      </c>
      <c r="E67" s="12" t="inlineStr">
        <is>
          <t>hsa</t>
        </is>
      </c>
      <c r="F67" s="27" t="n">
        <v>99805.74784954313</v>
      </c>
      <c r="G67" s="27" t="n">
        <v>0</v>
      </c>
      <c r="H67" s="27" t="n">
        <v>0</v>
      </c>
      <c r="I67" s="27" t="n">
        <v>0</v>
      </c>
      <c r="J67" s="27" t="n">
        <v>0</v>
      </c>
      <c r="K67" s="27" t="n">
        <v>0</v>
      </c>
      <c r="L67" s="27" t="n">
        <v>11089.52753883813</v>
      </c>
      <c r="M67" s="27" t="n">
        <v>5322.9732186423</v>
      </c>
      <c r="N67" s="27" t="n">
        <v>94039.19352934731</v>
      </c>
      <c r="O67" s="27" t="n">
        <v>94039.19352934731</v>
      </c>
      <c r="P67" s="27" t="n">
        <v>0</v>
      </c>
      <c r="Q67" s="12" t="inlineStr">
        <is>
          <t>withdrawal</t>
        </is>
      </c>
    </row>
    <row r="68" ht="30" customHeight="1">
      <c r="A68" s="26" t="n">
        <v>2032</v>
      </c>
      <c r="B68" s="12" t="inlineStr">
        <is>
          <t>Husband_401k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Husband_IRA</t>
        </is>
      </c>
      <c r="C69" s="12" t="inlineStr">
        <is>
          <t>Matthew</t>
        </is>
      </c>
      <c r="D69" s="41" t="inlineStr">
        <is>
          <t>pre_tax</t>
        </is>
      </c>
      <c r="E69" s="12" t="inlineStr">
        <is>
          <t>traditional_ira</t>
        </is>
      </c>
      <c r="F69" s="27" t="n">
        <v>784352.7568289442</v>
      </c>
      <c r="G69" s="27" t="n">
        <v>0</v>
      </c>
      <c r="H69" s="27" t="n">
        <v>0</v>
      </c>
      <c r="I69" s="27" t="n">
        <v>0</v>
      </c>
      <c r="J69" s="27" t="n">
        <v>0</v>
      </c>
      <c r="K69" s="27" t="n">
        <v>108908.4900564799</v>
      </c>
      <c r="L69" s="27" t="n">
        <v>246824.4644747482</v>
      </c>
      <c r="M69" s="27" t="n">
        <v>25717.18813786296</v>
      </c>
      <c r="N69" s="27" t="n">
        <v>454336.990435579</v>
      </c>
      <c r="O69" s="27" t="n">
        <v>454336.990435579</v>
      </c>
      <c r="P69" s="27" t="n">
        <v>0</v>
      </c>
      <c r="Q69" s="12" t="inlineStr">
        <is>
          <t>Roth conversion; withdrawal</t>
        </is>
      </c>
    </row>
    <row r="70" ht="30" customHeight="1">
      <c r="A70" s="26" t="n">
        <v>2032</v>
      </c>
      <c r="B70" s="12" t="inlineStr">
        <is>
          <t>Husband_Roth</t>
        </is>
      </c>
      <c r="C70" s="12" t="inlineStr">
        <is>
          <t>Matthew</t>
        </is>
      </c>
      <c r="D70" s="41" t="inlineStr">
        <is>
          <t>roth</t>
        </is>
      </c>
      <c r="E70" s="12" t="inlineStr">
        <is>
          <t>roth_ira</t>
        </is>
      </c>
      <c r="F70" s="27" t="n">
        <v>604789.9802921468</v>
      </c>
      <c r="G70" s="27" t="n">
        <v>0</v>
      </c>
      <c r="H70" s="27" t="n">
        <v>0</v>
      </c>
      <c r="I70" s="27" t="n">
        <v>0</v>
      </c>
      <c r="J70" s="27" t="n">
        <v>108908.4900564799</v>
      </c>
      <c r="K70" s="27" t="n">
        <v>0</v>
      </c>
      <c r="L70" s="27" t="n">
        <v>0</v>
      </c>
      <c r="M70" s="27" t="n">
        <v>42821.9082209176</v>
      </c>
      <c r="N70" s="27" t="n">
        <v>756520.3785695443</v>
      </c>
      <c r="O70" s="27" t="n">
        <v>756520.3785695443</v>
      </c>
      <c r="P70" s="27" t="n">
        <v>0</v>
      </c>
      <c r="Q70" s="12" t="inlineStr">
        <is>
          <t>Roth conversion</t>
        </is>
      </c>
    </row>
    <row r="71" ht="30" customHeight="1">
      <c r="A71" s="26" t="n">
        <v>2032</v>
      </c>
      <c r="B71" s="12" t="inlineStr">
        <is>
          <t>Husband_Trust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Wife_IRA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Wife_Roth</t>
        </is>
      </c>
      <c r="C73" s="12" t="inlineStr">
        <is>
          <t>Patricia</t>
        </is>
      </c>
      <c r="D73" s="41" t="inlineStr">
        <is>
          <t>roth</t>
        </is>
      </c>
      <c r="E73" s="12" t="inlineStr">
        <is>
          <t>roth_ira</t>
        </is>
      </c>
      <c r="F73" s="27" t="n">
        <v>933113.5691684517</v>
      </c>
      <c r="G73" s="27" t="n">
        <v>0</v>
      </c>
      <c r="H73" s="27" t="n">
        <v>0</v>
      </c>
      <c r="I73" s="27" t="n">
        <v>0</v>
      </c>
      <c r="J73" s="27" t="n">
        <v>0</v>
      </c>
      <c r="K73" s="27" t="n">
        <v>0</v>
      </c>
      <c r="L73" s="27" t="n">
        <v>0</v>
      </c>
      <c r="M73" s="27" t="n">
        <v>55986.8141501071</v>
      </c>
      <c r="N73" s="27" t="n">
        <v>989100.3833185588</v>
      </c>
      <c r="O73" s="27" t="n">
        <v>989100.3833185588</v>
      </c>
      <c r="P73" s="27" t="n">
        <v>0</v>
      </c>
      <c r="Q73" s="33" t="inlineStr"/>
    </row>
    <row r="74" ht="30" customHeight="1">
      <c r="A74" s="26" t="n">
        <v>2032</v>
      </c>
      <c r="B74" s="12" t="inlineStr">
        <is>
          <t>Wife_Trust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Husband_HSA</t>
        </is>
      </c>
      <c r="C77" s="12" t="inlineStr">
        <is>
          <t>Matthew</t>
        </is>
      </c>
      <c r="D77" s="41" t="inlineStr">
        <is>
          <t>hsa</t>
        </is>
      </c>
      <c r="E77" s="12" t="inlineStr">
        <is>
          <t>hsa</t>
        </is>
      </c>
      <c r="F77" s="27" t="n">
        <v>94039.19352934731</v>
      </c>
      <c r="G77" s="27" t="n">
        <v>0</v>
      </c>
      <c r="H77" s="27" t="n">
        <v>0</v>
      </c>
      <c r="I77" s="27" t="n">
        <v>0</v>
      </c>
      <c r="J77" s="27" t="n">
        <v>0</v>
      </c>
      <c r="K77" s="27" t="n">
        <v>0</v>
      </c>
      <c r="L77" s="27" t="n">
        <v>11754.89919116841</v>
      </c>
      <c r="M77" s="27" t="n">
        <v>4937.057660290733</v>
      </c>
      <c r="N77" s="27" t="n">
        <v>87221.35199846963</v>
      </c>
      <c r="O77" s="27" t="n">
        <v>87221.35199846963</v>
      </c>
      <c r="P77" s="27" t="n">
        <v>0</v>
      </c>
      <c r="Q77" s="12" t="inlineStr">
        <is>
          <t>withdrawal</t>
        </is>
      </c>
    </row>
    <row r="78" ht="30" customHeight="1">
      <c r="A78" s="26" t="n">
        <v>2033</v>
      </c>
      <c r="B78" s="12" t="inlineStr">
        <is>
          <t>Husband_401k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Husband_IRA</t>
        </is>
      </c>
      <c r="C79" s="12" t="inlineStr">
        <is>
          <t>Matthew</t>
        </is>
      </c>
      <c r="D79" s="41" t="inlineStr">
        <is>
          <t>pre_tax</t>
        </is>
      </c>
      <c r="E79" s="12" t="inlineStr">
        <is>
          <t>traditional_ira</t>
        </is>
      </c>
      <c r="F79" s="27" t="n">
        <v>454336.990435579</v>
      </c>
      <c r="G79" s="27" t="n">
        <v>0</v>
      </c>
      <c r="H79" s="27" t="n">
        <v>0</v>
      </c>
      <c r="I79" s="27" t="n">
        <v>0</v>
      </c>
      <c r="J79" s="27" t="n">
        <v>0</v>
      </c>
      <c r="K79" s="27" t="n">
        <v>116223.4463601649</v>
      </c>
      <c r="L79" s="27" t="n">
        <v>127434.1749286419</v>
      </c>
      <c r="M79" s="27" t="n">
        <v>12640.76214880633</v>
      </c>
      <c r="N79" s="27" t="n">
        <v>223320.1312955785</v>
      </c>
      <c r="O79" s="27" t="n">
        <v>223320.1312955785</v>
      </c>
      <c r="P79" s="27" t="n">
        <v>0</v>
      </c>
      <c r="Q79" s="12" t="inlineStr">
        <is>
          <t>Roth conversion; withdrawal</t>
        </is>
      </c>
    </row>
    <row r="80" ht="30" customHeight="1">
      <c r="A80" s="26" t="n">
        <v>2033</v>
      </c>
      <c r="B80" s="12" t="inlineStr">
        <is>
          <t>Husband_Roth</t>
        </is>
      </c>
      <c r="C80" s="12" t="inlineStr">
        <is>
          <t>Matthew</t>
        </is>
      </c>
      <c r="D80" s="41" t="inlineStr">
        <is>
          <t>roth</t>
        </is>
      </c>
      <c r="E80" s="12" t="inlineStr">
        <is>
          <t>roth_ira</t>
        </is>
      </c>
      <c r="F80" s="27" t="n">
        <v>756520.3785695443</v>
      </c>
      <c r="G80" s="27" t="n">
        <v>0</v>
      </c>
      <c r="H80" s="27" t="n">
        <v>0</v>
      </c>
      <c r="I80" s="27" t="n">
        <v>0</v>
      </c>
      <c r="J80" s="27" t="n">
        <v>116223.4463601649</v>
      </c>
      <c r="K80" s="27" t="n">
        <v>0</v>
      </c>
      <c r="L80" s="27" t="n">
        <v>0</v>
      </c>
      <c r="M80" s="27" t="n">
        <v>52364.62949578255</v>
      </c>
      <c r="N80" s="27" t="n">
        <v>925108.4544254917</v>
      </c>
      <c r="O80" s="27" t="n">
        <v>925108.4544254917</v>
      </c>
      <c r="P80" s="27" t="n">
        <v>0</v>
      </c>
      <c r="Q80" s="12" t="inlineStr">
        <is>
          <t>Roth conversion</t>
        </is>
      </c>
    </row>
    <row r="81" ht="30" customHeight="1">
      <c r="A81" s="26" t="n">
        <v>2033</v>
      </c>
      <c r="B81" s="12" t="inlineStr">
        <is>
          <t>Husband_Trust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Wife_IRA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Wife_Roth</t>
        </is>
      </c>
      <c r="C83" s="12" t="inlineStr">
        <is>
          <t>Patricia</t>
        </is>
      </c>
      <c r="D83" s="41" t="inlineStr">
        <is>
          <t>roth</t>
        </is>
      </c>
      <c r="E83" s="12" t="inlineStr">
        <is>
          <t>roth_ira</t>
        </is>
      </c>
      <c r="F83" s="27" t="n">
        <v>989100.3833185588</v>
      </c>
      <c r="G83" s="27" t="n">
        <v>0</v>
      </c>
      <c r="H83" s="27" t="n">
        <v>0</v>
      </c>
      <c r="I83" s="27" t="n">
        <v>0</v>
      </c>
      <c r="J83" s="27" t="n">
        <v>0</v>
      </c>
      <c r="K83" s="27" t="n">
        <v>0</v>
      </c>
      <c r="L83" s="27" t="n">
        <v>0</v>
      </c>
      <c r="M83" s="27" t="n">
        <v>59346.02299911353</v>
      </c>
      <c r="N83" s="27" t="n">
        <v>1048446.406317672</v>
      </c>
      <c r="O83" s="27" t="n">
        <v>1048446.406317672</v>
      </c>
      <c r="P83" s="27" t="n">
        <v>0</v>
      </c>
      <c r="Q83" s="33" t="inlineStr"/>
    </row>
    <row r="84" ht="30" customHeight="1">
      <c r="A84" s="26" t="n">
        <v>2033</v>
      </c>
      <c r="B84" s="12" t="inlineStr">
        <is>
          <t>Wife_Trust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Husband_HSA</t>
        </is>
      </c>
      <c r="C87" s="12" t="inlineStr">
        <is>
          <t>Matthew</t>
        </is>
      </c>
      <c r="D87" s="41" t="inlineStr">
        <is>
          <t>hsa</t>
        </is>
      </c>
      <c r="E87" s="12" t="inlineStr">
        <is>
          <t>hsa</t>
        </is>
      </c>
      <c r="F87" s="27" t="n">
        <v>87221.35199846963</v>
      </c>
      <c r="G87" s="27" t="n">
        <v>0</v>
      </c>
      <c r="H87" s="27" t="n">
        <v>0</v>
      </c>
      <c r="I87" s="27" t="n">
        <v>0</v>
      </c>
      <c r="J87" s="27" t="n">
        <v>0</v>
      </c>
      <c r="K87" s="27" t="n">
        <v>0</v>
      </c>
      <c r="L87" s="27" t="n">
        <v>87221.35199846963</v>
      </c>
      <c r="M87" s="27" t="n">
        <v>0</v>
      </c>
      <c r="N87" s="27" t="n">
        <v>0</v>
      </c>
      <c r="O87" s="27" t="n">
        <v>0</v>
      </c>
      <c r="P87" s="27" t="n">
        <v>0</v>
      </c>
      <c r="Q87" s="12" t="inlineStr">
        <is>
          <t>withdrawal</t>
        </is>
      </c>
    </row>
    <row r="88" ht="30" customHeight="1">
      <c r="A88" s="26" t="n">
        <v>2034</v>
      </c>
      <c r="B88" s="12" t="inlineStr">
        <is>
          <t>Husband_401k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Husband_IRA</t>
        </is>
      </c>
      <c r="C89" s="12" t="inlineStr">
        <is>
          <t>Matthew</t>
        </is>
      </c>
      <c r="D89" s="41" t="inlineStr">
        <is>
          <t>pre_tax</t>
        </is>
      </c>
      <c r="E89" s="12" t="inlineStr">
        <is>
          <t>traditional_ira</t>
        </is>
      </c>
      <c r="F89" s="27" t="n">
        <v>223320.1312955785</v>
      </c>
      <c r="G89" s="27" t="n">
        <v>0</v>
      </c>
      <c r="H89" s="27" t="n">
        <v>0</v>
      </c>
      <c r="I89" s="27" t="n">
        <v>0</v>
      </c>
      <c r="J89" s="27" t="n">
        <v>0</v>
      </c>
      <c r="K89" s="27" t="n">
        <v>123594.1810203279</v>
      </c>
      <c r="L89" s="27" t="n">
        <v>99725.95027525057</v>
      </c>
      <c r="M89" s="27" t="n">
        <v>0</v>
      </c>
      <c r="N89" s="27" t="n">
        <v>0</v>
      </c>
      <c r="O89" s="27" t="n">
        <v>0</v>
      </c>
      <c r="P89" s="27" t="n">
        <v>0</v>
      </c>
      <c r="Q89" s="12" t="inlineStr">
        <is>
          <t>Roth conversion; withdrawal</t>
        </is>
      </c>
    </row>
    <row r="90" ht="60" customHeight="1">
      <c r="A90" s="26" t="n">
        <v>2034</v>
      </c>
      <c r="B90" s="12" t="inlineStr">
        <is>
          <t>Husband_Roth</t>
        </is>
      </c>
      <c r="C90" s="12" t="inlineStr">
        <is>
          <t>Matthew</t>
        </is>
      </c>
      <c r="D90" s="41" t="inlineStr">
        <is>
          <t>roth</t>
        </is>
      </c>
      <c r="E90" s="12" t="inlineStr">
        <is>
          <t>roth_ira</t>
        </is>
      </c>
      <c r="F90" s="27" t="n">
        <v>925108.4544254917</v>
      </c>
      <c r="G90" s="27" t="n">
        <v>0</v>
      </c>
      <c r="H90" s="27" t="n">
        <v>0</v>
      </c>
      <c r="I90" s="27" t="n">
        <v>0</v>
      </c>
      <c r="J90" s="27" t="n">
        <v>123594.1810203279</v>
      </c>
      <c r="K90" s="27" t="n">
        <v>0</v>
      </c>
      <c r="L90" s="27" t="n">
        <v>7556.742360066041</v>
      </c>
      <c r="M90" s="27" t="n">
        <v>62468.75358514522</v>
      </c>
      <c r="N90" s="27" t="n">
        <v>1103614.646670899</v>
      </c>
      <c r="O90" s="27" t="n">
        <v>1103614.646670899</v>
      </c>
      <c r="P90" s="27" t="n">
        <v>0</v>
      </c>
      <c r="Q90" s="12" t="inlineStr">
        <is>
          <t>Roth conversion; withdrawal</t>
        </is>
      </c>
    </row>
    <row r="91" ht="30" customHeight="1">
      <c r="A91" s="26" t="n">
        <v>2034</v>
      </c>
      <c r="B91" s="12" t="inlineStr">
        <is>
          <t>Husband_Trust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Wife_IRA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Wife_Roth</t>
        </is>
      </c>
      <c r="C93" s="12" t="inlineStr">
        <is>
          <t>Patricia</t>
        </is>
      </c>
      <c r="D93" s="41" t="inlineStr">
        <is>
          <t>roth</t>
        </is>
      </c>
      <c r="E93" s="12" t="inlineStr">
        <is>
          <t>roth_ira</t>
        </is>
      </c>
      <c r="F93" s="27" t="n">
        <v>1048446.406317672</v>
      </c>
      <c r="G93" s="27" t="n">
        <v>0</v>
      </c>
      <c r="H93" s="27" t="n">
        <v>0</v>
      </c>
      <c r="I93" s="27" t="n">
        <v>0</v>
      </c>
      <c r="J93" s="27" t="n">
        <v>0</v>
      </c>
      <c r="K93" s="27" t="n">
        <v>0</v>
      </c>
      <c r="L93" s="27" t="n">
        <v>7554.896023992202</v>
      </c>
      <c r="M93" s="27" t="n">
        <v>62453.4906176208</v>
      </c>
      <c r="N93" s="27" t="n">
        <v>1103345.000911301</v>
      </c>
      <c r="O93" s="27" t="n">
        <v>1103345.000911301</v>
      </c>
      <c r="P93" s="27" t="n">
        <v>0</v>
      </c>
      <c r="Q93" s="12" t="inlineStr">
        <is>
          <t>withdrawal</t>
        </is>
      </c>
    </row>
    <row r="94" ht="30" customHeight="1">
      <c r="A94" s="26" t="n">
        <v>2034</v>
      </c>
      <c r="B94" s="12" t="inlineStr">
        <is>
          <t>Wife_Trust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Husband_HSA</t>
        </is>
      </c>
      <c r="C97" s="12" t="inlineStr">
        <is>
          <t>Matthew</t>
        </is>
      </c>
      <c r="D97" s="41" t="inlineStr">
        <is>
          <t>hsa</t>
        </is>
      </c>
      <c r="E97" s="12" t="inlineStr">
        <is>
          <t>hsa</t>
        </is>
      </c>
      <c r="F97" s="27" t="n">
        <v>0</v>
      </c>
      <c r="G97" s="27" t="n">
        <v>0</v>
      </c>
      <c r="H97" s="27" t="n">
        <v>0</v>
      </c>
      <c r="I97" s="27" t="n">
        <v>0</v>
      </c>
      <c r="J97" s="27" t="n">
        <v>0</v>
      </c>
      <c r="K97" s="27" t="n">
        <v>0</v>
      </c>
      <c r="L97" s="27" t="n">
        <v>0</v>
      </c>
      <c r="M97" s="27" t="n">
        <v>0</v>
      </c>
      <c r="N97" s="27" t="n">
        <v>0</v>
      </c>
      <c r="O97" s="27" t="n">
        <v>0</v>
      </c>
      <c r="P97" s="27" t="n">
        <v>0</v>
      </c>
      <c r="Q97" s="33" t="inlineStr"/>
    </row>
    <row r="98" ht="30" customHeight="1">
      <c r="A98" s="26" t="n">
        <v>2035</v>
      </c>
      <c r="B98" s="12" t="inlineStr">
        <is>
          <t>Husband_401k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30" customHeight="1">
      <c r="A99" s="26" t="n">
        <v>2035</v>
      </c>
      <c r="B99" s="12" t="inlineStr">
        <is>
          <t>Husband_IRA</t>
        </is>
      </c>
      <c r="C99" s="12" t="inlineStr">
        <is>
          <t>Matthew</t>
        </is>
      </c>
      <c r="D99" s="41" t="inlineStr">
        <is>
          <t>pre_tax</t>
        </is>
      </c>
      <c r="E99" s="12" t="inlineStr">
        <is>
          <t>traditional_ira</t>
        </is>
      </c>
      <c r="F99" s="27" t="n">
        <v>0</v>
      </c>
      <c r="G99" s="27" t="n">
        <v>0</v>
      </c>
      <c r="H99" s="27" t="n">
        <v>0</v>
      </c>
      <c r="I99" s="27" t="n">
        <v>0</v>
      </c>
      <c r="J99" s="27" t="n">
        <v>0</v>
      </c>
      <c r="K99" s="27" t="n">
        <v>0</v>
      </c>
      <c r="L99" s="27" t="n">
        <v>0</v>
      </c>
      <c r="M99" s="27" t="n">
        <v>0</v>
      </c>
      <c r="N99" s="27" t="n">
        <v>0</v>
      </c>
      <c r="O99" s="27" t="n">
        <v>0</v>
      </c>
      <c r="P99" s="27" t="n">
        <v>0</v>
      </c>
      <c r="Q99" s="33" t="inlineStr"/>
    </row>
    <row r="100" ht="30" customHeight="1">
      <c r="A100" s="26" t="n">
        <v>2035</v>
      </c>
      <c r="B100" s="12" t="inlineStr">
        <is>
          <t>Husband_Roth</t>
        </is>
      </c>
      <c r="C100" s="12" t="inlineStr">
        <is>
          <t>Matthew</t>
        </is>
      </c>
      <c r="D100" s="41" t="inlineStr">
        <is>
          <t>roth</t>
        </is>
      </c>
      <c r="E100" s="12" t="inlineStr">
        <is>
          <t>roth_ira</t>
        </is>
      </c>
      <c r="F100" s="27" t="n">
        <v>1103614.646670899</v>
      </c>
      <c r="G100" s="27" t="n">
        <v>0</v>
      </c>
      <c r="H100" s="27" t="n">
        <v>0</v>
      </c>
      <c r="I100" s="27" t="n">
        <v>0</v>
      </c>
      <c r="J100" s="27" t="n">
        <v>0</v>
      </c>
      <c r="K100" s="27" t="n">
        <v>0</v>
      </c>
      <c r="L100" s="27" t="n">
        <v>59575.48550451552</v>
      </c>
      <c r="M100" s="27" t="n">
        <v>62642.349669983</v>
      </c>
      <c r="N100" s="27" t="n">
        <v>1106681.510836366</v>
      </c>
      <c r="O100" s="27" t="n">
        <v>1106681.510836366</v>
      </c>
      <c r="P100" s="27" t="n">
        <v>0</v>
      </c>
      <c r="Q100" s="12" t="inlineStr">
        <is>
          <t>withdrawal</t>
        </is>
      </c>
    </row>
    <row r="101" ht="30" customHeight="1">
      <c r="A101" s="26" t="n">
        <v>2035</v>
      </c>
      <c r="B101" s="12" t="inlineStr">
        <is>
          <t>Husband_Trust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Wife_IRA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Wife_Roth</t>
        </is>
      </c>
      <c r="C103" s="12" t="inlineStr">
        <is>
          <t>Patricia</t>
        </is>
      </c>
      <c r="D103" s="41" t="inlineStr">
        <is>
          <t>roth</t>
        </is>
      </c>
      <c r="E103" s="12" t="inlineStr">
        <is>
          <t>roth_ira</t>
        </is>
      </c>
      <c r="F103" s="27" t="n">
        <v>1103345.000911301</v>
      </c>
      <c r="G103" s="27" t="n">
        <v>0</v>
      </c>
      <c r="H103" s="27" t="n">
        <v>0</v>
      </c>
      <c r="I103" s="27" t="n">
        <v>0</v>
      </c>
      <c r="J103" s="27" t="n">
        <v>0</v>
      </c>
      <c r="K103" s="27" t="n">
        <v>0</v>
      </c>
      <c r="L103" s="27" t="n">
        <v>59560.92944811419</v>
      </c>
      <c r="M103" s="27" t="n">
        <v>62627.04428779121</v>
      </c>
      <c r="N103" s="27" t="n">
        <v>1106411.115750978</v>
      </c>
      <c r="O103" s="27" t="n">
        <v>1106411.115750978</v>
      </c>
      <c r="P103" s="27" t="n">
        <v>0</v>
      </c>
      <c r="Q103" s="12" t="inlineStr">
        <is>
          <t>withdrawal</t>
        </is>
      </c>
    </row>
    <row r="104" ht="30" customHeight="1">
      <c r="A104" s="26" t="n">
        <v>2035</v>
      </c>
      <c r="B104" s="12" t="inlineStr">
        <is>
          <t>Wife_Trust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Husband_HSA</t>
        </is>
      </c>
      <c r="C107" s="12" t="inlineStr">
        <is>
          <t>Matthew</t>
        </is>
      </c>
      <c r="D107" s="41" t="inlineStr">
        <is>
          <t>hsa</t>
        </is>
      </c>
      <c r="E107" s="12" t="inlineStr">
        <is>
          <t>hsa</t>
        </is>
      </c>
      <c r="F107" s="27" t="n">
        <v>0</v>
      </c>
      <c r="G107" s="27" t="n">
        <v>0</v>
      </c>
      <c r="H107" s="27" t="n">
        <v>0</v>
      </c>
      <c r="I107" s="27" t="n">
        <v>0</v>
      </c>
      <c r="J107" s="27" t="n">
        <v>0</v>
      </c>
      <c r="K107" s="27" t="n">
        <v>0</v>
      </c>
      <c r="L107" s="27" t="n">
        <v>0</v>
      </c>
      <c r="M107" s="27" t="n">
        <v>0</v>
      </c>
      <c r="N107" s="27" t="n">
        <v>0</v>
      </c>
      <c r="O107" s="27" t="n">
        <v>0</v>
      </c>
      <c r="P107" s="27" t="n">
        <v>0</v>
      </c>
      <c r="Q107" s="33" t="inlineStr"/>
    </row>
    <row r="108" ht="30" customHeight="1">
      <c r="A108" s="26" t="n">
        <v>2036</v>
      </c>
      <c r="B108" s="12" t="inlineStr">
        <is>
          <t>Husband_401k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Husband_IRA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Husband_Roth</t>
        </is>
      </c>
      <c r="C110" s="12" t="inlineStr">
        <is>
          <t>Matthew</t>
        </is>
      </c>
      <c r="D110" s="41" t="inlineStr">
        <is>
          <t>roth</t>
        </is>
      </c>
      <c r="E110" s="12" t="inlineStr">
        <is>
          <t>roth_ira</t>
        </is>
      </c>
      <c r="F110" s="27" t="n">
        <v>1106681.510836366</v>
      </c>
      <c r="G110" s="27" t="n">
        <v>0</v>
      </c>
      <c r="H110" s="27" t="n">
        <v>0</v>
      </c>
      <c r="I110" s="27" t="n">
        <v>0</v>
      </c>
      <c r="J110" s="27" t="n">
        <v>0</v>
      </c>
      <c r="K110" s="27" t="n">
        <v>0</v>
      </c>
      <c r="L110" s="27" t="n">
        <v>60016.11937375834</v>
      </c>
      <c r="M110" s="27" t="n">
        <v>62799.92348775648</v>
      </c>
      <c r="N110" s="27" t="n">
        <v>1109465.314950364</v>
      </c>
      <c r="O110" s="27" t="n">
        <v>1109465.314950364</v>
      </c>
      <c r="P110" s="27" t="n">
        <v>0</v>
      </c>
      <c r="Q110" s="12" t="inlineStr">
        <is>
          <t>withdrawal</t>
        </is>
      </c>
    </row>
    <row r="111" ht="30" customHeight="1">
      <c r="A111" s="26" t="n">
        <v>2036</v>
      </c>
      <c r="B111" s="12" t="inlineStr">
        <is>
          <t>Husband_Trust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Wife_IRA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Wife_Roth</t>
        </is>
      </c>
      <c r="C113" s="12" t="inlineStr">
        <is>
          <t>Patricia</t>
        </is>
      </c>
      <c r="D113" s="41" t="inlineStr">
        <is>
          <t>roth</t>
        </is>
      </c>
      <c r="E113" s="12" t="inlineStr">
        <is>
          <t>roth_ira</t>
        </is>
      </c>
      <c r="F113" s="27" t="n">
        <v>1106411.115750978</v>
      </c>
      <c r="G113" s="27" t="n">
        <v>0</v>
      </c>
      <c r="H113" s="27" t="n">
        <v>0</v>
      </c>
      <c r="I113" s="27" t="n">
        <v>0</v>
      </c>
      <c r="J113" s="27" t="n">
        <v>0</v>
      </c>
      <c r="K113" s="27" t="n">
        <v>0</v>
      </c>
      <c r="L113" s="27" t="n">
        <v>60001.45565744625</v>
      </c>
      <c r="M113" s="27" t="n">
        <v>62784.5796056119</v>
      </c>
      <c r="N113" s="27" t="n">
        <v>1109194.239699144</v>
      </c>
      <c r="O113" s="27" t="n">
        <v>1109194.239699144</v>
      </c>
      <c r="P113" s="27" t="n">
        <v>0</v>
      </c>
      <c r="Q113" s="12" t="inlineStr">
        <is>
          <t>withdrawal</t>
        </is>
      </c>
    </row>
    <row r="114" ht="30" customHeight="1">
      <c r="A114" s="26" t="n">
        <v>2036</v>
      </c>
      <c r="B114" s="12" t="inlineStr">
        <is>
          <t>Wife_Trust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Husband_HSA</t>
        </is>
      </c>
      <c r="C117" s="12" t="inlineStr">
        <is>
          <t>Matthew</t>
        </is>
      </c>
      <c r="D117" s="41" t="inlineStr">
        <is>
          <t>hsa</t>
        </is>
      </c>
      <c r="E117" s="12" t="inlineStr">
        <is>
          <t>hsa</t>
        </is>
      </c>
      <c r="F117" s="27" t="n">
        <v>0</v>
      </c>
      <c r="G117" s="27" t="n">
        <v>0</v>
      </c>
      <c r="H117" s="27" t="n">
        <v>0</v>
      </c>
      <c r="I117" s="27" t="n">
        <v>0</v>
      </c>
      <c r="J117" s="27" t="n">
        <v>0</v>
      </c>
      <c r="K117" s="27" t="n">
        <v>0</v>
      </c>
      <c r="L117" s="27" t="n">
        <v>0</v>
      </c>
      <c r="M117" s="27" t="n">
        <v>0</v>
      </c>
      <c r="N117" s="27" t="n">
        <v>0</v>
      </c>
      <c r="O117" s="27" t="n">
        <v>0</v>
      </c>
      <c r="P117" s="27" t="n">
        <v>0</v>
      </c>
      <c r="Q117" s="33" t="inlineStr"/>
    </row>
    <row r="118" ht="30" customHeight="1">
      <c r="A118" s="26" t="n">
        <v>2037</v>
      </c>
      <c r="B118" s="12" t="inlineStr">
        <is>
          <t>Husband_401k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Husband_IRA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Husband_Roth</t>
        </is>
      </c>
      <c r="C120" s="12" t="inlineStr">
        <is>
          <t>Matthew</t>
        </is>
      </c>
      <c r="D120" s="41" t="inlineStr">
        <is>
          <t>roth</t>
        </is>
      </c>
      <c r="E120" s="12" t="inlineStr">
        <is>
          <t>roth_ira</t>
        </is>
      </c>
      <c r="F120" s="27" t="n">
        <v>1109465.314950364</v>
      </c>
      <c r="G120" s="27" t="n">
        <v>0</v>
      </c>
      <c r="H120" s="27" t="n">
        <v>0</v>
      </c>
      <c r="I120" s="27" t="n">
        <v>0</v>
      </c>
      <c r="J120" s="27" t="n">
        <v>0</v>
      </c>
      <c r="K120" s="27" t="n">
        <v>0</v>
      </c>
      <c r="L120" s="27" t="n">
        <v>63100.65639649855</v>
      </c>
      <c r="M120" s="27" t="n">
        <v>62781.87951323195</v>
      </c>
      <c r="N120" s="27" t="n">
        <v>1109146.538067098</v>
      </c>
      <c r="O120" s="27" t="n">
        <v>1109146.538067098</v>
      </c>
      <c r="P120" s="27" t="n">
        <v>0</v>
      </c>
      <c r="Q120" s="12" t="inlineStr">
        <is>
          <t>withdrawal</t>
        </is>
      </c>
    </row>
    <row r="121" ht="30" customHeight="1">
      <c r="A121" s="26" t="n">
        <v>2037</v>
      </c>
      <c r="B121" s="12" t="inlineStr">
        <is>
          <t>Husband_Trust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Wife_IRA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Wife_Roth</t>
        </is>
      </c>
      <c r="C123" s="12" t="inlineStr">
        <is>
          <t>Patricia</t>
        </is>
      </c>
      <c r="D123" s="41" t="inlineStr">
        <is>
          <t>roth</t>
        </is>
      </c>
      <c r="E123" s="12" t="inlineStr">
        <is>
          <t>roth_ira</t>
        </is>
      </c>
      <c r="F123" s="27" t="n">
        <v>1109194.239699144</v>
      </c>
      <c r="G123" s="27" t="n">
        <v>0</v>
      </c>
      <c r="H123" s="27" t="n">
        <v>0</v>
      </c>
      <c r="I123" s="27" t="n">
        <v>0</v>
      </c>
      <c r="J123" s="27" t="n">
        <v>0</v>
      </c>
      <c r="K123" s="27" t="n">
        <v>0</v>
      </c>
      <c r="L123" s="27" t="n">
        <v>63085.23903639329</v>
      </c>
      <c r="M123" s="27" t="n">
        <v>62766.54003976502</v>
      </c>
      <c r="N123" s="27" t="n">
        <v>1108875.540702515</v>
      </c>
      <c r="O123" s="27" t="n">
        <v>1108875.540702515</v>
      </c>
      <c r="P123" s="27" t="n">
        <v>0</v>
      </c>
      <c r="Q123" s="12" t="inlineStr">
        <is>
          <t>withdrawal</t>
        </is>
      </c>
    </row>
    <row r="124" ht="30" customHeight="1">
      <c r="A124" s="26" t="n">
        <v>2037</v>
      </c>
      <c r="B124" s="12" t="inlineStr">
        <is>
          <t>Wife_Trust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Husband_HSA</t>
        </is>
      </c>
      <c r="C127" s="12" t="inlineStr">
        <is>
          <t>Matthew</t>
        </is>
      </c>
      <c r="D127" s="41" t="inlineStr">
        <is>
          <t>hsa</t>
        </is>
      </c>
      <c r="E127" s="12" t="inlineStr">
        <is>
          <t>hsa</t>
        </is>
      </c>
      <c r="F127" s="27" t="n">
        <v>0</v>
      </c>
      <c r="G127" s="27" t="n">
        <v>0</v>
      </c>
      <c r="H127" s="27" t="n">
        <v>0</v>
      </c>
      <c r="I127" s="27" t="n">
        <v>0</v>
      </c>
      <c r="J127" s="27" t="n">
        <v>0</v>
      </c>
      <c r="K127" s="27" t="n">
        <v>0</v>
      </c>
      <c r="L127" s="27" t="n">
        <v>0</v>
      </c>
      <c r="M127" s="27" t="n">
        <v>0</v>
      </c>
      <c r="N127" s="27" t="n">
        <v>0</v>
      </c>
      <c r="O127" s="27" t="n">
        <v>0</v>
      </c>
      <c r="P127" s="27" t="n">
        <v>0</v>
      </c>
      <c r="Q127" s="33" t="inlineStr"/>
    </row>
    <row r="128" ht="30" customHeight="1">
      <c r="A128" s="26" t="n">
        <v>2038</v>
      </c>
      <c r="B128" s="12" t="inlineStr">
        <is>
          <t>Husband_401k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Husband_IRA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Husband_Roth</t>
        </is>
      </c>
      <c r="C130" s="12" t="inlineStr">
        <is>
          <t>Matthew</t>
        </is>
      </c>
      <c r="D130" s="41" t="inlineStr">
        <is>
          <t>roth</t>
        </is>
      </c>
      <c r="E130" s="12" t="inlineStr">
        <is>
          <t>roth_ira</t>
        </is>
      </c>
      <c r="F130" s="27" t="n">
        <v>1109146.538067098</v>
      </c>
      <c r="G130" s="27" t="n">
        <v>0</v>
      </c>
      <c r="H130" s="27" t="n">
        <v>0</v>
      </c>
      <c r="I130" s="27" t="n">
        <v>0</v>
      </c>
      <c r="J130" s="27" t="n">
        <v>0</v>
      </c>
      <c r="K130" s="27" t="n">
        <v>0</v>
      </c>
      <c r="L130" s="27" t="n">
        <v>67370.7149439881</v>
      </c>
      <c r="M130" s="27" t="n">
        <v>62506.54938738658</v>
      </c>
      <c r="N130" s="27" t="n">
        <v>1104282.372510496</v>
      </c>
      <c r="O130" s="27" t="n">
        <v>1104282.372510496</v>
      </c>
      <c r="P130" s="27" t="n">
        <v>0</v>
      </c>
      <c r="Q130" s="12" t="inlineStr">
        <is>
          <t>withdrawal</t>
        </is>
      </c>
    </row>
    <row r="131" ht="30" customHeight="1">
      <c r="A131" s="26" t="n">
        <v>2038</v>
      </c>
      <c r="B131" s="12" t="inlineStr">
        <is>
          <t>Husband_Trust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Wife_IRA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Wife_Roth</t>
        </is>
      </c>
      <c r="C133" s="12" t="inlineStr">
        <is>
          <t>Patricia</t>
        </is>
      </c>
      <c r="D133" s="41" t="inlineStr">
        <is>
          <t>roth</t>
        </is>
      </c>
      <c r="E133" s="12" t="inlineStr">
        <is>
          <t>roth_ira</t>
        </is>
      </c>
      <c r="F133" s="27" t="n">
        <v>1108875.540702515</v>
      </c>
      <c r="G133" s="27" t="n">
        <v>0</v>
      </c>
      <c r="H133" s="27" t="n">
        <v>0</v>
      </c>
      <c r="I133" s="27" t="n">
        <v>0</v>
      </c>
      <c r="J133" s="27" t="n">
        <v>0</v>
      </c>
      <c r="K133" s="27" t="n">
        <v>0</v>
      </c>
      <c r="L133" s="27" t="n">
        <v>67354.25428205279</v>
      </c>
      <c r="M133" s="27" t="n">
        <v>62491.27718522775</v>
      </c>
      <c r="N133" s="27" t="n">
        <v>1104012.56360569</v>
      </c>
      <c r="O133" s="27" t="n">
        <v>1104012.56360569</v>
      </c>
      <c r="P133" s="27" t="n">
        <v>0</v>
      </c>
      <c r="Q133" s="12" t="inlineStr">
        <is>
          <t>withdrawal</t>
        </is>
      </c>
    </row>
    <row r="134" ht="30" customHeight="1">
      <c r="A134" s="26" t="n">
        <v>2038</v>
      </c>
      <c r="B134" s="12" t="inlineStr">
        <is>
          <t>Wife_Trust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Husband_HSA</t>
        </is>
      </c>
      <c r="C137" s="12" t="inlineStr">
        <is>
          <t>Matthew</t>
        </is>
      </c>
      <c r="D137" s="41" t="inlineStr">
        <is>
          <t>hsa</t>
        </is>
      </c>
      <c r="E137" s="12" t="inlineStr">
        <is>
          <t>hsa</t>
        </is>
      </c>
      <c r="F137" s="27" t="n">
        <v>0</v>
      </c>
      <c r="G137" s="27" t="n">
        <v>0</v>
      </c>
      <c r="H137" s="27" t="n">
        <v>0</v>
      </c>
      <c r="I137" s="27" t="n">
        <v>0</v>
      </c>
      <c r="J137" s="27" t="n">
        <v>0</v>
      </c>
      <c r="K137" s="27" t="n">
        <v>0</v>
      </c>
      <c r="L137" s="27" t="n">
        <v>0</v>
      </c>
      <c r="M137" s="27" t="n">
        <v>0</v>
      </c>
      <c r="N137" s="27" t="n">
        <v>0</v>
      </c>
      <c r="O137" s="27" t="n">
        <v>0</v>
      </c>
      <c r="P137" s="27" t="n">
        <v>0</v>
      </c>
      <c r="Q137" s="33" t="inlineStr"/>
    </row>
    <row r="138" ht="30" customHeight="1">
      <c r="A138" s="26" t="n">
        <v>2039</v>
      </c>
      <c r="B138" s="12" t="inlineStr">
        <is>
          <t>Husband_401k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Husband_IRA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Husband_Roth</t>
        </is>
      </c>
      <c r="C140" s="12" t="inlineStr">
        <is>
          <t>Matthew</t>
        </is>
      </c>
      <c r="D140" s="41" t="inlineStr">
        <is>
          <t>roth</t>
        </is>
      </c>
      <c r="E140" s="12" t="inlineStr">
        <is>
          <t>roth_ira</t>
        </is>
      </c>
      <c r="F140" s="27" t="n">
        <v>1104282.372510496</v>
      </c>
      <c r="G140" s="27" t="n">
        <v>0</v>
      </c>
      <c r="H140" s="27" t="n">
        <v>0</v>
      </c>
      <c r="I140" s="27" t="n">
        <v>0</v>
      </c>
      <c r="J140" s="27" t="n">
        <v>0</v>
      </c>
      <c r="K140" s="27" t="n">
        <v>0</v>
      </c>
      <c r="L140" s="27" t="n">
        <v>71739.88280851355</v>
      </c>
      <c r="M140" s="27" t="n">
        <v>61952.54938211896</v>
      </c>
      <c r="N140" s="27" t="n">
        <v>1094495.039084102</v>
      </c>
      <c r="O140" s="27" t="n">
        <v>1094495.039084102</v>
      </c>
      <c r="P140" s="27" t="n">
        <v>0</v>
      </c>
      <c r="Q140" s="12" t="inlineStr">
        <is>
          <t>withdrawal</t>
        </is>
      </c>
    </row>
    <row r="141" ht="30" customHeight="1">
      <c r="A141" s="26" t="n">
        <v>2039</v>
      </c>
      <c r="B141" s="12" t="inlineStr">
        <is>
          <t>Husband_Trust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Wife_IRA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Wife_Roth</t>
        </is>
      </c>
      <c r="C143" s="12" t="inlineStr">
        <is>
          <t>Patricia</t>
        </is>
      </c>
      <c r="D143" s="41" t="inlineStr">
        <is>
          <t>roth</t>
        </is>
      </c>
      <c r="E143" s="12" t="inlineStr">
        <is>
          <t>roth_ira</t>
        </is>
      </c>
      <c r="F143" s="27" t="n">
        <v>1104012.56360569</v>
      </c>
      <c r="G143" s="27" t="n">
        <v>0</v>
      </c>
      <c r="H143" s="27" t="n">
        <v>0</v>
      </c>
      <c r="I143" s="27" t="n">
        <v>0</v>
      </c>
      <c r="J143" s="27" t="n">
        <v>0</v>
      </c>
      <c r="K143" s="27" t="n">
        <v>0</v>
      </c>
      <c r="L143" s="27" t="n">
        <v>71722.35462940528</v>
      </c>
      <c r="M143" s="27" t="n">
        <v>61937.4125385771</v>
      </c>
      <c r="N143" s="27" t="n">
        <v>1094227.621514862</v>
      </c>
      <c r="O143" s="27" t="n">
        <v>1094227.621514862</v>
      </c>
      <c r="P143" s="27" t="n">
        <v>0</v>
      </c>
      <c r="Q143" s="12" t="inlineStr">
        <is>
          <t>withdrawal</t>
        </is>
      </c>
    </row>
    <row r="144" ht="30" customHeight="1">
      <c r="A144" s="26" t="n">
        <v>2039</v>
      </c>
      <c r="B144" s="12" t="inlineStr">
        <is>
          <t>Wife_Trust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Husband_HSA</t>
        </is>
      </c>
      <c r="C147" s="12" t="inlineStr">
        <is>
          <t>Matthew</t>
        </is>
      </c>
      <c r="D147" s="41" t="inlineStr">
        <is>
          <t>hsa</t>
        </is>
      </c>
      <c r="E147" s="12" t="inlineStr">
        <is>
          <t>hsa</t>
        </is>
      </c>
      <c r="F147" s="27" t="n">
        <v>0</v>
      </c>
      <c r="G147" s="27" t="n">
        <v>0</v>
      </c>
      <c r="H147" s="27" t="n">
        <v>0</v>
      </c>
      <c r="I147" s="27" t="n">
        <v>0</v>
      </c>
      <c r="J147" s="27" t="n">
        <v>0</v>
      </c>
      <c r="K147" s="27" t="n">
        <v>0</v>
      </c>
      <c r="L147" s="27" t="n">
        <v>0</v>
      </c>
      <c r="M147" s="27" t="n">
        <v>0</v>
      </c>
      <c r="N147" s="27" t="n">
        <v>0</v>
      </c>
      <c r="O147" s="27" t="n">
        <v>0</v>
      </c>
      <c r="P147" s="27" t="n">
        <v>0</v>
      </c>
      <c r="Q147" s="33" t="inlineStr"/>
    </row>
    <row r="148" ht="30" customHeight="1">
      <c r="A148" s="26" t="n">
        <v>2040</v>
      </c>
      <c r="B148" s="12" t="inlineStr">
        <is>
          <t>Husband_401k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Husband_IRA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Husband_Roth</t>
        </is>
      </c>
      <c r="C150" s="12" t="inlineStr">
        <is>
          <t>Matthew</t>
        </is>
      </c>
      <c r="D150" s="41" t="inlineStr">
        <is>
          <t>roth</t>
        </is>
      </c>
      <c r="E150" s="12" t="inlineStr">
        <is>
          <t>roth_ira</t>
        </is>
      </c>
      <c r="F150" s="27" t="n">
        <v>1094495.039084102</v>
      </c>
      <c r="G150" s="27" t="n">
        <v>0</v>
      </c>
      <c r="H150" s="27" t="n">
        <v>0</v>
      </c>
      <c r="I150" s="27" t="n">
        <v>0</v>
      </c>
      <c r="J150" s="27" t="n">
        <v>0</v>
      </c>
      <c r="K150" s="27" t="n">
        <v>0</v>
      </c>
      <c r="L150" s="27" t="n">
        <v>76216.96209782842</v>
      </c>
      <c r="M150" s="27" t="n">
        <v>61096.68461917639</v>
      </c>
      <c r="N150" s="27" t="n">
        <v>1079374.761605449</v>
      </c>
      <c r="O150" s="27" t="n">
        <v>1079374.761605449</v>
      </c>
      <c r="P150" s="27" t="n">
        <v>0</v>
      </c>
      <c r="Q150" s="12" t="inlineStr">
        <is>
          <t>withdrawal</t>
        </is>
      </c>
    </row>
    <row r="151" ht="30" customHeight="1">
      <c r="A151" s="26" t="n">
        <v>2040</v>
      </c>
      <c r="B151" s="12" t="inlineStr">
        <is>
          <t>Husband_Trust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Wife_IRA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Wife_Roth</t>
        </is>
      </c>
      <c r="C153" s="12" t="inlineStr">
        <is>
          <t>Patricia</t>
        </is>
      </c>
      <c r="D153" s="41" t="inlineStr">
        <is>
          <t>roth</t>
        </is>
      </c>
      <c r="E153" s="12" t="inlineStr">
        <is>
          <t>roth_ira</t>
        </is>
      </c>
      <c r="F153" s="27" t="n">
        <v>1094227.621514862</v>
      </c>
      <c r="G153" s="27" t="n">
        <v>0</v>
      </c>
      <c r="H153" s="27" t="n">
        <v>0</v>
      </c>
      <c r="I153" s="27" t="n">
        <v>0</v>
      </c>
      <c r="J153" s="27" t="n">
        <v>0</v>
      </c>
      <c r="K153" s="27" t="n">
        <v>0</v>
      </c>
      <c r="L153" s="27" t="n">
        <v>76198.34003558858</v>
      </c>
      <c r="M153" s="27" t="n">
        <v>61081.75688875641</v>
      </c>
      <c r="N153" s="27" t="n">
        <v>1079111.03836803</v>
      </c>
      <c r="O153" s="27" t="n">
        <v>1079111.03836803</v>
      </c>
      <c r="P153" s="27" t="n">
        <v>0</v>
      </c>
      <c r="Q153" s="12" t="inlineStr">
        <is>
          <t>withdrawal</t>
        </is>
      </c>
    </row>
    <row r="154" ht="30" customHeight="1">
      <c r="A154" s="26" t="n">
        <v>2040</v>
      </c>
      <c r="B154" s="12" t="inlineStr">
        <is>
          <t>Wife_Trust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Husband_HSA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Husband_401k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Husband_IRA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Husband_Roth</t>
        </is>
      </c>
      <c r="C160" s="12" t="inlineStr">
        <is>
          <t>Matthew</t>
        </is>
      </c>
      <c r="D160" s="41" t="inlineStr">
        <is>
          <t>roth</t>
        </is>
      </c>
      <c r="E160" s="12" t="inlineStr">
        <is>
          <t>roth_ira</t>
        </is>
      </c>
      <c r="F160" s="27" t="n">
        <v>1079374.761605449</v>
      </c>
      <c r="G160" s="27" t="n">
        <v>0</v>
      </c>
      <c r="H160" s="27" t="n">
        <v>0</v>
      </c>
      <c r="I160" s="27" t="n">
        <v>0</v>
      </c>
      <c r="J160" s="27" t="n">
        <v>0</v>
      </c>
      <c r="K160" s="27" t="n">
        <v>0</v>
      </c>
      <c r="L160" s="27" t="n">
        <v>78087.79401657566</v>
      </c>
      <c r="M160" s="27" t="n">
        <v>60077.21805533243</v>
      </c>
      <c r="N160" s="27" t="n">
        <v>1061364.185644206</v>
      </c>
      <c r="O160" s="27" t="n">
        <v>1061364.185644206</v>
      </c>
      <c r="P160" s="27" t="n">
        <v>0</v>
      </c>
      <c r="Q160" s="12" t="inlineStr">
        <is>
          <t>withdrawal</t>
        </is>
      </c>
    </row>
    <row r="161" ht="30" customHeight="1">
      <c r="A161" s="26" t="n">
        <v>2041</v>
      </c>
      <c r="B161" s="12" t="inlineStr">
        <is>
          <t>Husband_Trust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Wife_IRA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Wife_Roth</t>
        </is>
      </c>
      <c r="C163" s="12" t="inlineStr">
        <is>
          <t>Patricia</t>
        </is>
      </c>
      <c r="D163" s="41" t="inlineStr">
        <is>
          <t>roth</t>
        </is>
      </c>
      <c r="E163" s="12" t="inlineStr">
        <is>
          <t>roth_ira</t>
        </is>
      </c>
      <c r="F163" s="27" t="n">
        <v>1079111.03836803</v>
      </c>
      <c r="G163" s="27" t="n">
        <v>0</v>
      </c>
      <c r="H163" s="27" t="n">
        <v>0</v>
      </c>
      <c r="I163" s="27" t="n">
        <v>0</v>
      </c>
      <c r="J163" s="27" t="n">
        <v>0</v>
      </c>
      <c r="K163" s="27" t="n">
        <v>0</v>
      </c>
      <c r="L163" s="27" t="n">
        <v>78068.71485466311</v>
      </c>
      <c r="M163" s="27" t="n">
        <v>60062.53941080201</v>
      </c>
      <c r="N163" s="27" t="n">
        <v>1061104.862924169</v>
      </c>
      <c r="O163" s="27" t="n">
        <v>1061104.862924169</v>
      </c>
      <c r="P163" s="27" t="n">
        <v>0</v>
      </c>
      <c r="Q163" s="12" t="inlineStr">
        <is>
          <t>withdrawal</t>
        </is>
      </c>
    </row>
    <row r="164" ht="30" customHeight="1">
      <c r="A164" s="26" t="n">
        <v>2041</v>
      </c>
      <c r="B164" s="12" t="inlineStr">
        <is>
          <t>Wife_Trust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Husband_HSA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Husband_401k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Husband_IRA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Husband_Roth</t>
        </is>
      </c>
      <c r="C170" s="12" t="inlineStr">
        <is>
          <t>Matthew</t>
        </is>
      </c>
      <c r="D170" s="41" t="inlineStr">
        <is>
          <t>roth</t>
        </is>
      </c>
      <c r="E170" s="12" t="inlineStr">
        <is>
          <t>roth_ira</t>
        </is>
      </c>
      <c r="F170" s="27" t="n">
        <v>1061364.185644206</v>
      </c>
      <c r="G170" s="27" t="n">
        <v>0</v>
      </c>
      <c r="H170" s="27" t="n">
        <v>0</v>
      </c>
      <c r="I170" s="27" t="n">
        <v>0</v>
      </c>
      <c r="J170" s="27" t="n">
        <v>0</v>
      </c>
      <c r="K170" s="27" t="n">
        <v>0</v>
      </c>
      <c r="L170" s="27" t="n">
        <v>80016.49705225287</v>
      </c>
      <c r="M170" s="27" t="n">
        <v>58880.86131551719</v>
      </c>
      <c r="N170" s="27" t="n">
        <v>1040228.54990747</v>
      </c>
      <c r="O170" s="27" t="n">
        <v>1040228.54990747</v>
      </c>
      <c r="P170" s="27" t="n">
        <v>0</v>
      </c>
      <c r="Q170" s="12" t="inlineStr">
        <is>
          <t>withdrawal</t>
        </is>
      </c>
    </row>
    <row r="171" ht="30" customHeight="1">
      <c r="A171" s="26" t="n">
        <v>2042</v>
      </c>
      <c r="B171" s="12" t="inlineStr">
        <is>
          <t>Husband_Trust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Wife_IRA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Wife_Roth</t>
        </is>
      </c>
      <c r="C173" s="12" t="inlineStr">
        <is>
          <t>Patricia</t>
        </is>
      </c>
      <c r="D173" s="41" t="inlineStr">
        <is>
          <t>roth</t>
        </is>
      </c>
      <c r="E173" s="12" t="inlineStr">
        <is>
          <t>roth_ira</t>
        </is>
      </c>
      <c r="F173" s="27" t="n">
        <v>1061104.862924169</v>
      </c>
      <c r="G173" s="27" t="n">
        <v>0</v>
      </c>
      <c r="H173" s="27" t="n">
        <v>0</v>
      </c>
      <c r="I173" s="27" t="n">
        <v>0</v>
      </c>
      <c r="J173" s="27" t="n">
        <v>0</v>
      </c>
      <c r="K173" s="27" t="n">
        <v>0</v>
      </c>
      <c r="L173" s="27" t="n">
        <v>79996.94665103893</v>
      </c>
      <c r="M173" s="27" t="n">
        <v>58866.47497638779</v>
      </c>
      <c r="N173" s="27" t="n">
        <v>1039974.391249518</v>
      </c>
      <c r="O173" s="27" t="n">
        <v>1039974.391249518</v>
      </c>
      <c r="P173" s="27" t="n">
        <v>0</v>
      </c>
      <c r="Q173" s="12" t="inlineStr">
        <is>
          <t>withdrawal</t>
        </is>
      </c>
    </row>
    <row r="174" ht="30" customHeight="1">
      <c r="A174" s="26" t="n">
        <v>2042</v>
      </c>
      <c r="B174" s="12" t="inlineStr">
        <is>
          <t>Wife_Trust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Husband_HSA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Husband_401k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Husband_IRA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Husband_Roth</t>
        </is>
      </c>
      <c r="C180" s="12" t="inlineStr">
        <is>
          <t>Matthew</t>
        </is>
      </c>
      <c r="D180" s="41" t="inlineStr">
        <is>
          <t>roth</t>
        </is>
      </c>
      <c r="E180" s="12" t="inlineStr">
        <is>
          <t>roth_ira</t>
        </is>
      </c>
      <c r="F180" s="27" t="n">
        <v>1040228.54990747</v>
      </c>
      <c r="G180" s="27" t="n">
        <v>0</v>
      </c>
      <c r="H180" s="27" t="n">
        <v>0</v>
      </c>
      <c r="I180" s="27" t="n">
        <v>0</v>
      </c>
      <c r="J180" s="27" t="n">
        <v>0</v>
      </c>
      <c r="K180" s="27" t="n">
        <v>0</v>
      </c>
      <c r="L180" s="27" t="n">
        <v>82010.64859207722</v>
      </c>
      <c r="M180" s="27" t="n">
        <v>57493.07407892359</v>
      </c>
      <c r="N180" s="27" t="n">
        <v>1015710.975394317</v>
      </c>
      <c r="O180" s="27" t="n">
        <v>1015710.975394317</v>
      </c>
      <c r="P180" s="27" t="n">
        <v>0</v>
      </c>
      <c r="Q180" s="12" t="inlineStr">
        <is>
          <t>withdrawal</t>
        </is>
      </c>
    </row>
    <row r="181" ht="30" customHeight="1">
      <c r="A181" s="26" t="n">
        <v>2043</v>
      </c>
      <c r="B181" s="12" t="inlineStr">
        <is>
          <t>Husband_Trust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Wife_IRA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Wife_Roth</t>
        </is>
      </c>
      <c r="C183" s="12" t="inlineStr">
        <is>
          <t>Patricia</t>
        </is>
      </c>
      <c r="D183" s="41" t="inlineStr">
        <is>
          <t>roth</t>
        </is>
      </c>
      <c r="E183" s="12" t="inlineStr">
        <is>
          <t>roth_ira</t>
        </is>
      </c>
      <c r="F183" s="27" t="n">
        <v>1039974.391249518</v>
      </c>
      <c r="G183" s="27" t="n">
        <v>0</v>
      </c>
      <c r="H183" s="27" t="n">
        <v>0</v>
      </c>
      <c r="I183" s="27" t="n">
        <v>0</v>
      </c>
      <c r="J183" s="27" t="n">
        <v>0</v>
      </c>
      <c r="K183" s="27" t="n">
        <v>0</v>
      </c>
      <c r="L183" s="27" t="n">
        <v>81990.61096055302</v>
      </c>
      <c r="M183" s="27" t="n">
        <v>57479.02681733788</v>
      </c>
      <c r="N183" s="27" t="n">
        <v>1015462.807106302</v>
      </c>
      <c r="O183" s="27" t="n">
        <v>1015462.807106302</v>
      </c>
      <c r="P183" s="27" t="n">
        <v>0</v>
      </c>
      <c r="Q183" s="12" t="inlineStr">
        <is>
          <t>withdrawal</t>
        </is>
      </c>
    </row>
    <row r="184" ht="30" customHeight="1">
      <c r="A184" s="26" t="n">
        <v>2043</v>
      </c>
      <c r="B184" s="12" t="inlineStr">
        <is>
          <t>Wife_Trust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Husband_HSA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Husband_401k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Husband_IRA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Husband_Roth</t>
        </is>
      </c>
      <c r="C190" s="12" t="inlineStr">
        <is>
          <t>Matthew</t>
        </is>
      </c>
      <c r="D190" s="41" t="inlineStr">
        <is>
          <t>roth</t>
        </is>
      </c>
      <c r="E190" s="12" t="inlineStr">
        <is>
          <t>roth_ira</t>
        </is>
      </c>
      <c r="F190" s="27" t="n">
        <v>1015710.975394317</v>
      </c>
      <c r="G190" s="27" t="n">
        <v>0</v>
      </c>
      <c r="H190" s="27" t="n">
        <v>0</v>
      </c>
      <c r="I190" s="27" t="n">
        <v>0</v>
      </c>
      <c r="J190" s="27" t="n">
        <v>0</v>
      </c>
      <c r="K190" s="27" t="n">
        <v>0</v>
      </c>
      <c r="L190" s="27" t="n">
        <v>84077.98755884099</v>
      </c>
      <c r="M190" s="27" t="n">
        <v>55897.97927012855</v>
      </c>
      <c r="N190" s="27" t="n">
        <v>987530.9671056044</v>
      </c>
      <c r="O190" s="27" t="n">
        <v>987530.9671056044</v>
      </c>
      <c r="P190" s="27" t="n">
        <v>0</v>
      </c>
      <c r="Q190" s="12" t="inlineStr">
        <is>
          <t>withdrawal</t>
        </is>
      </c>
    </row>
    <row r="191" ht="30" customHeight="1">
      <c r="A191" s="26" t="n">
        <v>2044</v>
      </c>
      <c r="B191" s="12" t="inlineStr">
        <is>
          <t>Husband_Trust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Wife_IRA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Wife_Roth</t>
        </is>
      </c>
      <c r="C193" s="12" t="inlineStr">
        <is>
          <t>Patricia</t>
        </is>
      </c>
      <c r="D193" s="41" t="inlineStr">
        <is>
          <t>roth</t>
        </is>
      </c>
      <c r="E193" s="12" t="inlineStr">
        <is>
          <t>roth_ira</t>
        </is>
      </c>
      <c r="F193" s="27" t="n">
        <v>1015462.807106302</v>
      </c>
      <c r="G193" s="27" t="n">
        <v>0</v>
      </c>
      <c r="H193" s="27" t="n">
        <v>0</v>
      </c>
      <c r="I193" s="27" t="n">
        <v>0</v>
      </c>
      <c r="J193" s="27" t="n">
        <v>0</v>
      </c>
      <c r="K193" s="27" t="n">
        <v>0</v>
      </c>
      <c r="L193" s="27" t="n">
        <v>84057.44481514949</v>
      </c>
      <c r="M193" s="27" t="n">
        <v>55884.32173746917</v>
      </c>
      <c r="N193" s="27" t="n">
        <v>987289.6840286221</v>
      </c>
      <c r="O193" s="27" t="n">
        <v>987289.6840286221</v>
      </c>
      <c r="P193" s="27" t="n">
        <v>0</v>
      </c>
      <c r="Q193" s="12" t="inlineStr">
        <is>
          <t>withdrawal</t>
        </is>
      </c>
    </row>
    <row r="194" ht="30" customHeight="1">
      <c r="A194" s="26" t="n">
        <v>2044</v>
      </c>
      <c r="B194" s="12" t="inlineStr">
        <is>
          <t>Wife_Trust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Husband_HSA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Husband_401k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Husband_IRA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Husband_Roth</t>
        </is>
      </c>
      <c r="C200" s="12" t="inlineStr">
        <is>
          <t>Matthew</t>
        </is>
      </c>
      <c r="D200" s="41" t="inlineStr">
        <is>
          <t>roth</t>
        </is>
      </c>
      <c r="E200" s="12" t="inlineStr">
        <is>
          <t>roth_ira</t>
        </is>
      </c>
      <c r="F200" s="27" t="n">
        <v>987530.9671056044</v>
      </c>
      <c r="G200" s="27" t="n">
        <v>0</v>
      </c>
      <c r="H200" s="27" t="n">
        <v>0</v>
      </c>
      <c r="I200" s="27" t="n">
        <v>0</v>
      </c>
      <c r="J200" s="27" t="n">
        <v>0</v>
      </c>
      <c r="K200" s="27" t="n">
        <v>0</v>
      </c>
      <c r="L200" s="27" t="n">
        <v>86226.43666220248</v>
      </c>
      <c r="M200" s="27" t="n">
        <v>54078.27182660411</v>
      </c>
      <c r="N200" s="27" t="n">
        <v>955382.802270006</v>
      </c>
      <c r="O200" s="27" t="n">
        <v>955382.802270006</v>
      </c>
      <c r="P200" s="27" t="n">
        <v>0</v>
      </c>
      <c r="Q200" s="12" t="inlineStr">
        <is>
          <t>withdrawal</t>
        </is>
      </c>
    </row>
    <row r="201" ht="30" customHeight="1">
      <c r="A201" s="26" t="n">
        <v>2045</v>
      </c>
      <c r="B201" s="12" t="inlineStr">
        <is>
          <t>Husband_Trust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Wife_IRA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Wife_Roth</t>
        </is>
      </c>
      <c r="C203" s="12" t="inlineStr">
        <is>
          <t>Patricia</t>
        </is>
      </c>
      <c r="D203" s="41" t="inlineStr">
        <is>
          <t>roth</t>
        </is>
      </c>
      <c r="E203" s="12" t="inlineStr">
        <is>
          <t>roth_ira</t>
        </is>
      </c>
      <c r="F203" s="27" t="n">
        <v>987289.6840286221</v>
      </c>
      <c r="G203" s="27" t="n">
        <v>0</v>
      </c>
      <c r="H203" s="27" t="n">
        <v>0</v>
      </c>
      <c r="I203" s="27" t="n">
        <v>0</v>
      </c>
      <c r="J203" s="27" t="n">
        <v>0</v>
      </c>
      <c r="K203" s="27" t="n">
        <v>0</v>
      </c>
      <c r="L203" s="27" t="n">
        <v>86205.36898873391</v>
      </c>
      <c r="M203" s="27" t="n">
        <v>54065.05890239329</v>
      </c>
      <c r="N203" s="27" t="n">
        <v>955149.3739422816</v>
      </c>
      <c r="O203" s="27" t="n">
        <v>955149.3739422816</v>
      </c>
      <c r="P203" s="27" t="n">
        <v>0</v>
      </c>
      <c r="Q203" s="12" t="inlineStr">
        <is>
          <t>withdrawal</t>
        </is>
      </c>
    </row>
    <row r="204" ht="30" customHeight="1">
      <c r="A204" s="26" t="n">
        <v>2045</v>
      </c>
      <c r="B204" s="12" t="inlineStr">
        <is>
          <t>Wife_Trust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Husband_HSA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Husband_401k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Husband_IRA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Husband_Roth</t>
        </is>
      </c>
      <c r="C210" s="12" t="inlineStr">
        <is>
          <t>Matthew</t>
        </is>
      </c>
      <c r="D210" s="41" t="inlineStr">
        <is>
          <t>roth</t>
        </is>
      </c>
      <c r="E210" s="12" t="inlineStr">
        <is>
          <t>roth_ira</t>
        </is>
      </c>
      <c r="F210" s="27" t="n">
        <v>955382.802270006</v>
      </c>
      <c r="G210" s="27" t="n">
        <v>0</v>
      </c>
      <c r="H210" s="27" t="n">
        <v>0</v>
      </c>
      <c r="I210" s="27" t="n">
        <v>0</v>
      </c>
      <c r="J210" s="27" t="n">
        <v>0</v>
      </c>
      <c r="K210" s="27" t="n">
        <v>0</v>
      </c>
      <c r="L210" s="27" t="n">
        <v>67978.91712413193</v>
      </c>
      <c r="M210" s="27" t="n">
        <v>53244.23310875244</v>
      </c>
      <c r="N210" s="27" t="n">
        <v>940648.1182546265</v>
      </c>
      <c r="O210" s="27" t="n">
        <v>940648.1182546265</v>
      </c>
      <c r="P210" s="27" t="n">
        <v>0</v>
      </c>
      <c r="Q210" s="12" t="inlineStr">
        <is>
          <t>withdrawal</t>
        </is>
      </c>
    </row>
    <row r="211" ht="30" customHeight="1">
      <c r="A211" s="26" t="n">
        <v>2046</v>
      </c>
      <c r="B211" s="12" t="inlineStr">
        <is>
          <t>Husband_Trust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Wife_IRA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Wife_Roth</t>
        </is>
      </c>
      <c r="C213" s="12" t="inlineStr">
        <is>
          <t>Patricia</t>
        </is>
      </c>
      <c r="D213" s="41" t="inlineStr">
        <is>
          <t>roth</t>
        </is>
      </c>
      <c r="E213" s="12" t="inlineStr">
        <is>
          <t>roth_ira</t>
        </is>
      </c>
      <c r="F213" s="27" t="n">
        <v>955149.3739422816</v>
      </c>
      <c r="G213" s="27" t="n">
        <v>0</v>
      </c>
      <c r="H213" s="27" t="n">
        <v>0</v>
      </c>
      <c r="I213" s="27" t="n">
        <v>0</v>
      </c>
      <c r="J213" s="27" t="n">
        <v>0</v>
      </c>
      <c r="K213" s="27" t="n">
        <v>0</v>
      </c>
      <c r="L213" s="27" t="n">
        <v>67962.30786038225</v>
      </c>
      <c r="M213" s="27" t="n">
        <v>53231.22396491396</v>
      </c>
      <c r="N213" s="27" t="n">
        <v>940418.2900468133</v>
      </c>
      <c r="O213" s="27" t="n">
        <v>940418.2900468133</v>
      </c>
      <c r="P213" s="27" t="n">
        <v>0</v>
      </c>
      <c r="Q213" s="12" t="inlineStr">
        <is>
          <t>withdrawal</t>
        </is>
      </c>
    </row>
    <row r="214" ht="30" customHeight="1">
      <c r="A214" s="26" t="n">
        <v>2046</v>
      </c>
      <c r="B214" s="12" t="inlineStr">
        <is>
          <t>Wife_Trust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Husband_HSA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Husband_401k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Husband_IRA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Husband_Roth</t>
        </is>
      </c>
      <c r="C220" s="12" t="inlineStr">
        <is>
          <t>Matthew</t>
        </is>
      </c>
      <c r="D220" s="41" t="inlineStr">
        <is>
          <t>roth</t>
        </is>
      </c>
      <c r="E220" s="12" t="inlineStr">
        <is>
          <t>roth_ira</t>
        </is>
      </c>
      <c r="F220" s="27" t="n">
        <v>940648.1182546265</v>
      </c>
      <c r="G220" s="27" t="n">
        <v>0</v>
      </c>
      <c r="H220" s="27" t="n">
        <v>0</v>
      </c>
      <c r="I220" s="27" t="n">
        <v>0</v>
      </c>
      <c r="J220" s="27" t="n">
        <v>0</v>
      </c>
      <c r="K220" s="27" t="n">
        <v>0</v>
      </c>
      <c r="L220" s="27" t="n">
        <v>73711.73079997026</v>
      </c>
      <c r="M220" s="27" t="n">
        <v>52016.18324727938</v>
      </c>
      <c r="N220" s="27" t="n">
        <v>918952.5707019357</v>
      </c>
      <c r="O220" s="27" t="n">
        <v>918952.5707019357</v>
      </c>
      <c r="P220" s="27" t="n">
        <v>0</v>
      </c>
      <c r="Q220" s="12" t="inlineStr">
        <is>
          <t>withdrawal</t>
        </is>
      </c>
    </row>
    <row r="221" ht="30" customHeight="1">
      <c r="A221" s="26" t="n">
        <v>2047</v>
      </c>
      <c r="B221" s="12" t="inlineStr">
        <is>
          <t>Husband_Trust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Wife_IRA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Wife_Roth</t>
        </is>
      </c>
      <c r="C223" s="12" t="inlineStr">
        <is>
          <t>Patricia</t>
        </is>
      </c>
      <c r="D223" s="41" t="inlineStr">
        <is>
          <t>roth</t>
        </is>
      </c>
      <c r="E223" s="12" t="inlineStr">
        <is>
          <t>roth_ira</t>
        </is>
      </c>
      <c r="F223" s="27" t="n">
        <v>940418.2900468133</v>
      </c>
      <c r="G223" s="27" t="n">
        <v>0</v>
      </c>
      <c r="H223" s="27" t="n">
        <v>0</v>
      </c>
      <c r="I223" s="27" t="n">
        <v>0</v>
      </c>
      <c r="J223" s="27" t="n">
        <v>0</v>
      </c>
      <c r="K223" s="27" t="n">
        <v>0</v>
      </c>
      <c r="L223" s="27" t="n">
        <v>73693.72083996948</v>
      </c>
      <c r="M223" s="27" t="n">
        <v>52003.47415241063</v>
      </c>
      <c r="N223" s="27" t="n">
        <v>918728.0433592545</v>
      </c>
      <c r="O223" s="27" t="n">
        <v>918728.0433592545</v>
      </c>
      <c r="P223" s="27" t="n">
        <v>0</v>
      </c>
      <c r="Q223" s="12" t="inlineStr">
        <is>
          <t>withdrawal</t>
        </is>
      </c>
    </row>
    <row r="224" ht="30" customHeight="1">
      <c r="A224" s="26" t="n">
        <v>2047</v>
      </c>
      <c r="B224" s="12" t="inlineStr">
        <is>
          <t>Wife_Trust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Husband_HSA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Husband_401k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Husband_IRA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Husband_Roth</t>
        </is>
      </c>
      <c r="C230" s="12" t="inlineStr">
        <is>
          <t>Matthew</t>
        </is>
      </c>
      <c r="D230" s="41" t="inlineStr">
        <is>
          <t>roth</t>
        </is>
      </c>
      <c r="E230" s="12" t="inlineStr">
        <is>
          <t>roth_ira</t>
        </is>
      </c>
      <c r="F230" s="27" t="n">
        <v>918952.5707019357</v>
      </c>
      <c r="G230" s="27" t="n">
        <v>0</v>
      </c>
      <c r="H230" s="27" t="n">
        <v>0</v>
      </c>
      <c r="I230" s="27" t="n">
        <v>0</v>
      </c>
      <c r="J230" s="27" t="n">
        <v>0</v>
      </c>
      <c r="K230" s="27" t="n">
        <v>0</v>
      </c>
      <c r="L230" s="27" t="n">
        <v>85053.11008015965</v>
      </c>
      <c r="M230" s="27" t="n">
        <v>50033.96763730656</v>
      </c>
      <c r="N230" s="27" t="n">
        <v>883933.4282590826</v>
      </c>
      <c r="O230" s="27" t="n">
        <v>883933.4282590826</v>
      </c>
      <c r="P230" s="27" t="n">
        <v>0</v>
      </c>
      <c r="Q230" s="12" t="inlineStr">
        <is>
          <t>withdrawal</t>
        </is>
      </c>
    </row>
    <row r="231" ht="30" customHeight="1">
      <c r="A231" s="26" t="n">
        <v>2048</v>
      </c>
      <c r="B231" s="12" t="inlineStr">
        <is>
          <t>Husband_Trust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Wife_IRA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Wife_Roth</t>
        </is>
      </c>
      <c r="C233" s="12" t="inlineStr">
        <is>
          <t>Patricia</t>
        </is>
      </c>
      <c r="D233" s="41" t="inlineStr">
        <is>
          <t>roth</t>
        </is>
      </c>
      <c r="E233" s="12" t="inlineStr">
        <is>
          <t>roth_ira</t>
        </is>
      </c>
      <c r="F233" s="27" t="n">
        <v>918728.0433592545</v>
      </c>
      <c r="G233" s="27" t="n">
        <v>0</v>
      </c>
      <c r="H233" s="27" t="n">
        <v>0</v>
      </c>
      <c r="I233" s="27" t="n">
        <v>0</v>
      </c>
      <c r="J233" s="27" t="n">
        <v>0</v>
      </c>
      <c r="K233" s="27" t="n">
        <v>0</v>
      </c>
      <c r="L233" s="27" t="n">
        <v>85032.32908514215</v>
      </c>
      <c r="M233" s="27" t="n">
        <v>50021.74285644674</v>
      </c>
      <c r="N233" s="27" t="n">
        <v>883717.4571305591</v>
      </c>
      <c r="O233" s="27" t="n">
        <v>883717.4571305591</v>
      </c>
      <c r="P233" s="27" t="n">
        <v>0</v>
      </c>
      <c r="Q233" s="12" t="inlineStr">
        <is>
          <t>withdrawal</t>
        </is>
      </c>
    </row>
    <row r="234" ht="30" customHeight="1">
      <c r="A234" s="26" t="n">
        <v>2048</v>
      </c>
      <c r="B234" s="12" t="inlineStr">
        <is>
          <t>Wife_Trust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Husband_HSA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Husband_401k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Husband_IRA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Husband_Roth</t>
        </is>
      </c>
      <c r="C240" s="12" t="inlineStr">
        <is>
          <t>Matthew</t>
        </is>
      </c>
      <c r="D240" s="41" t="inlineStr">
        <is>
          <t>roth</t>
        </is>
      </c>
      <c r="E240" s="12" t="inlineStr">
        <is>
          <t>roth_ira</t>
        </is>
      </c>
      <c r="F240" s="27" t="n">
        <v>883933.4282590826</v>
      </c>
      <c r="G240" s="27" t="n">
        <v>0</v>
      </c>
      <c r="H240" s="27" t="n">
        <v>0</v>
      </c>
      <c r="I240" s="27" t="n">
        <v>0</v>
      </c>
      <c r="J240" s="27" t="n">
        <v>0</v>
      </c>
      <c r="K240" s="27" t="n">
        <v>0</v>
      </c>
      <c r="L240" s="27" t="n">
        <v>86584.77017824417</v>
      </c>
      <c r="M240" s="27" t="n">
        <v>47840.9194848503</v>
      </c>
      <c r="N240" s="27" t="n">
        <v>845189.5775656886</v>
      </c>
      <c r="O240" s="27" t="n">
        <v>845189.5775656886</v>
      </c>
      <c r="P240" s="27" t="n">
        <v>0</v>
      </c>
      <c r="Q240" s="12" t="inlineStr">
        <is>
          <t>withdrawal</t>
        </is>
      </c>
    </row>
    <row r="241" ht="30" customHeight="1">
      <c r="A241" s="26" t="n">
        <v>2049</v>
      </c>
      <c r="B241" s="12" t="inlineStr">
        <is>
          <t>Husband_Trust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Wife_IRA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Wife_Roth</t>
        </is>
      </c>
      <c r="C243" s="12" t="inlineStr">
        <is>
          <t>Patricia</t>
        </is>
      </c>
      <c r="D243" s="41" t="inlineStr">
        <is>
          <t>roth</t>
        </is>
      </c>
      <c r="E243" s="12" t="inlineStr">
        <is>
          <t>roth_ira</t>
        </is>
      </c>
      <c r="F243" s="27" t="n">
        <v>883717.4571305591</v>
      </c>
      <c r="G243" s="27" t="n">
        <v>0</v>
      </c>
      <c r="H243" s="27" t="n">
        <v>0</v>
      </c>
      <c r="I243" s="27" t="n">
        <v>0</v>
      </c>
      <c r="J243" s="27" t="n">
        <v>0</v>
      </c>
      <c r="K243" s="27" t="n">
        <v>0</v>
      </c>
      <c r="L243" s="27" t="n">
        <v>86563.61495327982</v>
      </c>
      <c r="M243" s="27" t="n">
        <v>47829.23053063676</v>
      </c>
      <c r="N243" s="27" t="n">
        <v>844983.072707916</v>
      </c>
      <c r="O243" s="27" t="n">
        <v>844983.072707916</v>
      </c>
      <c r="P243" s="27" t="n">
        <v>0</v>
      </c>
      <c r="Q243" s="12" t="inlineStr">
        <is>
          <t>withdrawal</t>
        </is>
      </c>
    </row>
    <row r="244" ht="30" customHeight="1">
      <c r="A244" s="26" t="n">
        <v>2049</v>
      </c>
      <c r="B244" s="12" t="inlineStr">
        <is>
          <t>Wife_Trust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Husband_HSA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Husband_401k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Husband_IRA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Husband_Roth</t>
        </is>
      </c>
      <c r="C250" s="12" t="inlineStr">
        <is>
          <t>Matthew</t>
        </is>
      </c>
      <c r="D250" s="41" t="inlineStr">
        <is>
          <t>roth</t>
        </is>
      </c>
      <c r="E250" s="12" t="inlineStr">
        <is>
          <t>roth_ira</t>
        </is>
      </c>
      <c r="F250" s="27" t="n">
        <v>845189.5775656886</v>
      </c>
      <c r="G250" s="27" t="n">
        <v>0</v>
      </c>
      <c r="H250" s="27" t="n">
        <v>0</v>
      </c>
      <c r="I250" s="27" t="n">
        <v>0</v>
      </c>
      <c r="J250" s="27" t="n">
        <v>0</v>
      </c>
      <c r="K250" s="27" t="n">
        <v>0</v>
      </c>
      <c r="L250" s="27" t="n">
        <v>88243.07587313601</v>
      </c>
      <c r="M250" s="27" t="n">
        <v>45416.79010155315</v>
      </c>
      <c r="N250" s="27" t="n">
        <v>802363.2917941058</v>
      </c>
      <c r="O250" s="27" t="n">
        <v>802363.2917941058</v>
      </c>
      <c r="P250" s="27" t="n">
        <v>0</v>
      </c>
      <c r="Q250" s="12" t="inlineStr">
        <is>
          <t>withdrawal</t>
        </is>
      </c>
    </row>
    <row r="251" ht="30" customHeight="1">
      <c r="A251" s="26" t="n">
        <v>2050</v>
      </c>
      <c r="B251" s="12" t="inlineStr">
        <is>
          <t>Husband_Trust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Wife_IRA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Wife_Roth</t>
        </is>
      </c>
      <c r="C253" s="12" t="inlineStr">
        <is>
          <t>Patricia</t>
        </is>
      </c>
      <c r="D253" s="41" t="inlineStr">
        <is>
          <t>roth</t>
        </is>
      </c>
      <c r="E253" s="12" t="inlineStr">
        <is>
          <t>roth_ira</t>
        </is>
      </c>
      <c r="F253" s="27" t="n">
        <v>844983.072707916</v>
      </c>
      <c r="G253" s="27" t="n">
        <v>0</v>
      </c>
      <c r="H253" s="27" t="n">
        <v>0</v>
      </c>
      <c r="I253" s="27" t="n">
        <v>0</v>
      </c>
      <c r="J253" s="27" t="n">
        <v>0</v>
      </c>
      <c r="K253" s="27" t="n">
        <v>0</v>
      </c>
      <c r="L253" s="27" t="n">
        <v>88221.51547495282</v>
      </c>
      <c r="M253" s="27" t="n">
        <v>45405.69343397779</v>
      </c>
      <c r="N253" s="27" t="n">
        <v>802167.2506669409</v>
      </c>
      <c r="O253" s="27" t="n">
        <v>802167.2506669409</v>
      </c>
      <c r="P253" s="27" t="n">
        <v>0</v>
      </c>
      <c r="Q253" s="12" t="inlineStr">
        <is>
          <t>withdrawal</t>
        </is>
      </c>
    </row>
    <row r="254" ht="30" customHeight="1">
      <c r="A254" s="26" t="n">
        <v>2050</v>
      </c>
      <c r="B254" s="12" t="inlineStr">
        <is>
          <t>Wife_Trust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Husband_HSA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Husband_401k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Husband_IRA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Husband_Roth</t>
        </is>
      </c>
      <c r="C260" s="12" t="inlineStr">
        <is>
          <t>Matthew</t>
        </is>
      </c>
      <c r="D260" s="41" t="inlineStr">
        <is>
          <t>roth</t>
        </is>
      </c>
      <c r="E260" s="12" t="inlineStr">
        <is>
          <t>roth_ira</t>
        </is>
      </c>
      <c r="F260" s="27" t="n">
        <v>802363.2917941058</v>
      </c>
      <c r="G260" s="27" t="n">
        <v>0</v>
      </c>
      <c r="H260" s="27" t="n">
        <v>0</v>
      </c>
      <c r="I260" s="27" t="n">
        <v>0</v>
      </c>
      <c r="J260" s="27" t="n">
        <v>0</v>
      </c>
      <c r="K260" s="27" t="n">
        <v>0</v>
      </c>
      <c r="L260" s="27" t="n">
        <v>90036.88562004069</v>
      </c>
      <c r="M260" s="27" t="n">
        <v>42739.5843704439</v>
      </c>
      <c r="N260" s="27" t="n">
        <v>755065.990544509</v>
      </c>
      <c r="O260" s="27" t="n">
        <v>755065.990544509</v>
      </c>
      <c r="P260" s="27" t="n">
        <v>0</v>
      </c>
      <c r="Q260" s="12" t="inlineStr">
        <is>
          <t>withdrawal</t>
        </is>
      </c>
    </row>
    <row r="261" ht="30" customHeight="1">
      <c r="A261" s="26" t="n">
        <v>2051</v>
      </c>
      <c r="B261" s="12" t="inlineStr">
        <is>
          <t>Husband_Trust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Wife_IRA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Wife_Roth</t>
        </is>
      </c>
      <c r="C263" s="12" t="inlineStr">
        <is>
          <t>Patricia</t>
        </is>
      </c>
      <c r="D263" s="41" t="inlineStr">
        <is>
          <t>roth</t>
        </is>
      </c>
      <c r="E263" s="12" t="inlineStr">
        <is>
          <t>roth_ira</t>
        </is>
      </c>
      <c r="F263" s="27" t="n">
        <v>802167.2506669409</v>
      </c>
      <c r="G263" s="27" t="n">
        <v>0</v>
      </c>
      <c r="H263" s="27" t="n">
        <v>0</v>
      </c>
      <c r="I263" s="27" t="n">
        <v>0</v>
      </c>
      <c r="J263" s="27" t="n">
        <v>0</v>
      </c>
      <c r="K263" s="27" t="n">
        <v>0</v>
      </c>
      <c r="L263" s="27" t="n">
        <v>90014.8869409836</v>
      </c>
      <c r="M263" s="27" t="n">
        <v>42729.14182355744</v>
      </c>
      <c r="N263" s="27" t="n">
        <v>754881.5055495148</v>
      </c>
      <c r="O263" s="27" t="n">
        <v>754881.5055495148</v>
      </c>
      <c r="P263" s="27" t="n">
        <v>0</v>
      </c>
      <c r="Q263" s="12" t="inlineStr">
        <is>
          <t>withdrawal</t>
        </is>
      </c>
    </row>
    <row r="264" ht="30" customHeight="1">
      <c r="A264" s="26" t="n">
        <v>2051</v>
      </c>
      <c r="B264" s="12" t="inlineStr">
        <is>
          <t>Wife_Trust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Husband_HSA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Husband_401k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Husband_IRA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Husband_Roth</t>
        </is>
      </c>
      <c r="C270" s="12" t="inlineStr">
        <is>
          <t>Matthew</t>
        </is>
      </c>
      <c r="D270" s="41" t="inlineStr">
        <is>
          <t>roth</t>
        </is>
      </c>
      <c r="E270" s="12" t="inlineStr">
        <is>
          <t>roth_ira</t>
        </is>
      </c>
      <c r="F270" s="27" t="n">
        <v>755065.990544509</v>
      </c>
      <c r="G270" s="27" t="n">
        <v>0</v>
      </c>
      <c r="H270" s="27" t="n">
        <v>0</v>
      </c>
      <c r="I270" s="27" t="n">
        <v>0</v>
      </c>
      <c r="J270" s="27" t="n">
        <v>0</v>
      </c>
      <c r="K270" s="27" t="n">
        <v>0</v>
      </c>
      <c r="L270" s="27" t="n">
        <v>91962.60642220182</v>
      </c>
      <c r="M270" s="27" t="n">
        <v>39786.20304733843</v>
      </c>
      <c r="N270" s="27" t="n">
        <v>702889.5871696456</v>
      </c>
      <c r="O270" s="27" t="n">
        <v>702889.5871696456</v>
      </c>
      <c r="P270" s="27" t="n">
        <v>0</v>
      </c>
      <c r="Q270" s="12" t="inlineStr">
        <is>
          <t>withdrawal</t>
        </is>
      </c>
    </row>
    <row r="271" ht="30" customHeight="1">
      <c r="A271" s="26" t="n">
        <v>2052</v>
      </c>
      <c r="B271" s="12" t="inlineStr">
        <is>
          <t>Husband_Trust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Wife_IRA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Wife_Roth</t>
        </is>
      </c>
      <c r="C273" s="12" t="inlineStr">
        <is>
          <t>Patricia</t>
        </is>
      </c>
      <c r="D273" s="41" t="inlineStr">
        <is>
          <t>roth</t>
        </is>
      </c>
      <c r="E273" s="12" t="inlineStr">
        <is>
          <t>roth_ira</t>
        </is>
      </c>
      <c r="F273" s="27" t="n">
        <v>754881.5055495148</v>
      </c>
      <c r="G273" s="27" t="n">
        <v>0</v>
      </c>
      <c r="H273" s="27" t="n">
        <v>0</v>
      </c>
      <c r="I273" s="27" t="n">
        <v>0</v>
      </c>
      <c r="J273" s="27" t="n">
        <v>0</v>
      </c>
      <c r="K273" s="27" t="n">
        <v>0</v>
      </c>
      <c r="L273" s="27" t="n">
        <v>91940.13723249137</v>
      </c>
      <c r="M273" s="27" t="n">
        <v>39776.4820990214</v>
      </c>
      <c r="N273" s="27" t="n">
        <v>702717.8504160448</v>
      </c>
      <c r="O273" s="27" t="n">
        <v>702717.8504160448</v>
      </c>
      <c r="P273" s="27" t="n">
        <v>0</v>
      </c>
      <c r="Q273" s="12" t="inlineStr">
        <is>
          <t>withdrawal</t>
        </is>
      </c>
    </row>
    <row r="274" ht="30" customHeight="1">
      <c r="A274" s="26" t="n">
        <v>2052</v>
      </c>
      <c r="B274" s="12" t="inlineStr">
        <is>
          <t>Wife_Trust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Husband_HSA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Husband_401k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Husband_IRA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Husband_Roth</t>
        </is>
      </c>
      <c r="C280" s="12" t="inlineStr">
        <is>
          <t>Matthew</t>
        </is>
      </c>
      <c r="D280" s="41" t="inlineStr">
        <is>
          <t>roth</t>
        </is>
      </c>
      <c r="E280" s="12" t="inlineStr">
        <is>
          <t>roth_ira</t>
        </is>
      </c>
      <c r="F280" s="27" t="n">
        <v>702889.5871696456</v>
      </c>
      <c r="G280" s="27" t="n">
        <v>0</v>
      </c>
      <c r="H280" s="27" t="n">
        <v>0</v>
      </c>
      <c r="I280" s="27" t="n">
        <v>0</v>
      </c>
      <c r="J280" s="27" t="n">
        <v>0</v>
      </c>
      <c r="K280" s="27" t="n">
        <v>0</v>
      </c>
      <c r="L280" s="27" t="n">
        <v>93993.3119748514</v>
      </c>
      <c r="M280" s="27" t="n">
        <v>36533.77651168765</v>
      </c>
      <c r="N280" s="27" t="n">
        <v>645430.0517064818</v>
      </c>
      <c r="O280" s="27" t="n">
        <v>645430.0517064818</v>
      </c>
      <c r="P280" s="27" t="n">
        <v>0</v>
      </c>
      <c r="Q280" s="12" t="inlineStr">
        <is>
          <t>withdrawal</t>
        </is>
      </c>
    </row>
    <row r="281" ht="30" customHeight="1">
      <c r="A281" s="26" t="n">
        <v>2053</v>
      </c>
      <c r="B281" s="12" t="inlineStr">
        <is>
          <t>Husband_Trust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Wife_IRA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Wife_Roth</t>
        </is>
      </c>
      <c r="C283" s="12" t="inlineStr">
        <is>
          <t>Patricia</t>
        </is>
      </c>
      <c r="D283" s="41" t="inlineStr">
        <is>
          <t>roth</t>
        </is>
      </c>
      <c r="E283" s="12" t="inlineStr">
        <is>
          <t>roth_ira</t>
        </is>
      </c>
      <c r="F283" s="27" t="n">
        <v>702717.8504160448</v>
      </c>
      <c r="G283" s="27" t="n">
        <v>0</v>
      </c>
      <c r="H283" s="27" t="n">
        <v>0</v>
      </c>
      <c r="I283" s="27" t="n">
        <v>0</v>
      </c>
      <c r="J283" s="27" t="n">
        <v>0</v>
      </c>
      <c r="K283" s="27" t="n">
        <v>0</v>
      </c>
      <c r="L283" s="27" t="n">
        <v>93970.34662360222</v>
      </c>
      <c r="M283" s="27" t="n">
        <v>36524.85022754656</v>
      </c>
      <c r="N283" s="27" t="n">
        <v>645272.3540199891</v>
      </c>
      <c r="O283" s="27" t="n">
        <v>645272.3540199891</v>
      </c>
      <c r="P283" s="27" t="n">
        <v>0</v>
      </c>
      <c r="Q283" s="12" t="inlineStr">
        <is>
          <t>withdrawal</t>
        </is>
      </c>
    </row>
    <row r="284" ht="30" customHeight="1">
      <c r="A284" s="26" t="n">
        <v>2053</v>
      </c>
      <c r="B284" s="12" t="inlineStr">
        <is>
          <t>Wife_Trust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Husband_HSA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Husband_401k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Husband_IRA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Husband_Roth</t>
        </is>
      </c>
      <c r="C290" s="12" t="inlineStr">
        <is>
          <t>Matthew</t>
        </is>
      </c>
      <c r="D290" s="41" t="inlineStr">
        <is>
          <t>roth</t>
        </is>
      </c>
      <c r="E290" s="12" t="inlineStr">
        <is>
          <t>roth_ira</t>
        </is>
      </c>
      <c r="F290" s="27" t="n">
        <v>645430.0517064818</v>
      </c>
      <c r="G290" s="27" t="n">
        <v>0</v>
      </c>
      <c r="H290" s="27" t="n">
        <v>0</v>
      </c>
      <c r="I290" s="27" t="n">
        <v>645430.0517064818</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Husband_Trust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Wife_IRA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Wife_Roth</t>
        </is>
      </c>
      <c r="C293" s="12" t="inlineStr">
        <is>
          <t>Patricia</t>
        </is>
      </c>
      <c r="D293" s="41" t="inlineStr">
        <is>
          <t>roth</t>
        </is>
      </c>
      <c r="E293" s="12" t="inlineStr">
        <is>
          <t>roth_ira</t>
        </is>
      </c>
      <c r="F293" s="27" t="n">
        <v>645272.3540199891</v>
      </c>
      <c r="G293" s="27" t="n">
        <v>0</v>
      </c>
      <c r="H293" s="27" t="n">
        <v>645430.0517064818</v>
      </c>
      <c r="I293" s="27" t="n">
        <v>0</v>
      </c>
      <c r="J293" s="27" t="n">
        <v>0</v>
      </c>
      <c r="K293" s="27" t="n">
        <v>0</v>
      </c>
      <c r="L293" s="27" t="n">
        <v>192242.3676354435</v>
      </c>
      <c r="M293" s="27" t="n">
        <v>65907.60228546165</v>
      </c>
      <c r="N293" s="27" t="n">
        <v>1164367.640376489</v>
      </c>
      <c r="O293" s="27" t="n">
        <v>1164367.640376489</v>
      </c>
      <c r="P293" s="27" t="n">
        <v>0</v>
      </c>
      <c r="Q293" s="12" t="inlineStr">
        <is>
          <t>transfer/rollover; withdrawal</t>
        </is>
      </c>
    </row>
    <row r="294" ht="45" customHeight="1">
      <c r="A294" s="26" t="n">
        <v>2054</v>
      </c>
      <c r="B294" s="12" t="inlineStr">
        <is>
          <t>Wife_Trust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Husband_HSA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Husband_401k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Husband_IRA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Husband_Roth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Husband_Trust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Wife_IRA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Wife_Roth</t>
        </is>
      </c>
      <c r="C303" s="12" t="inlineStr">
        <is>
          <t>Patricia</t>
        </is>
      </c>
      <c r="D303" s="41" t="inlineStr">
        <is>
          <t>roth</t>
        </is>
      </c>
      <c r="E303" s="12" t="inlineStr">
        <is>
          <t>roth_ira</t>
        </is>
      </c>
      <c r="F303" s="27" t="n">
        <v>1164367.640376489</v>
      </c>
      <c r="G303" s="27" t="n">
        <v>0</v>
      </c>
      <c r="H303" s="27" t="n">
        <v>0</v>
      </c>
      <c r="I303" s="27" t="n">
        <v>0</v>
      </c>
      <c r="J303" s="27" t="n">
        <v>0</v>
      </c>
      <c r="K303" s="27" t="n">
        <v>0</v>
      </c>
      <c r="L303" s="27" t="n">
        <v>195874.9318859959</v>
      </c>
      <c r="M303" s="27" t="n">
        <v>58109.56250942959</v>
      </c>
      <c r="N303" s="27" t="n">
        <v>1026602.270999923</v>
      </c>
      <c r="O303" s="27" t="n">
        <v>1026602.270999923</v>
      </c>
      <c r="P303" s="27" t="n">
        <v>0</v>
      </c>
      <c r="Q303" s="12" t="inlineStr">
        <is>
          <t>withdrawal</t>
        </is>
      </c>
    </row>
    <row r="304" ht="30" customHeight="1">
      <c r="A304" s="26" t="n">
        <v>2055</v>
      </c>
      <c r="B304" s="12" t="inlineStr">
        <is>
          <t>Wife_Trust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Husband_HSA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Husband_401k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Husband_IRA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Husband_Roth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Husband_Trust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Wife_IRA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Wife_Roth</t>
        </is>
      </c>
      <c r="C313" s="12" t="inlineStr">
        <is>
          <t>Patricia</t>
        </is>
      </c>
      <c r="D313" s="41" t="inlineStr">
        <is>
          <t>roth</t>
        </is>
      </c>
      <c r="E313" s="12" t="inlineStr">
        <is>
          <t>roth_ira</t>
        </is>
      </c>
      <c r="F313" s="27" t="n">
        <v>1026602.270999923</v>
      </c>
      <c r="G313" s="27" t="n">
        <v>0</v>
      </c>
      <c r="H313" s="27" t="n">
        <v>0</v>
      </c>
      <c r="I313" s="27" t="n">
        <v>0</v>
      </c>
      <c r="J313" s="27" t="n">
        <v>0</v>
      </c>
      <c r="K313" s="27" t="n">
        <v>0</v>
      </c>
      <c r="L313" s="27" t="n">
        <v>199276.6197957158</v>
      </c>
      <c r="M313" s="27" t="n">
        <v>49639.53907225242</v>
      </c>
      <c r="N313" s="27" t="n">
        <v>876965.1902764594</v>
      </c>
      <c r="O313" s="27" t="n">
        <v>876965.1902764594</v>
      </c>
      <c r="P313" s="27" t="n">
        <v>0</v>
      </c>
      <c r="Q313" s="12" t="inlineStr">
        <is>
          <t>withdrawal</t>
        </is>
      </c>
    </row>
    <row r="314" ht="30" customHeight="1">
      <c r="A314" s="26" t="n">
        <v>2056</v>
      </c>
      <c r="B314" s="12" t="inlineStr">
        <is>
          <t>Wife_Trust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8" t="inlineStr">
        <is>
          <t>16. Scenario Analysis</t>
        </is>
      </c>
      <c r="B4" s="12" t="inlineStr">
        <is>
          <t>All configured scenarios have result rows</t>
        </is>
      </c>
      <c r="C4" s="4" t="n"/>
      <c r="D4" s="130" t="inlineStr">
        <is>
          <t>PASS</t>
        </is>
      </c>
      <c r="E4" s="33" t="inlineStr"/>
    </row>
    <row r="5" ht="30" customHeight="1">
      <c r="A5" s="98" t="inlineStr">
        <is>
          <t>1A. Executive Summary</t>
        </is>
      </c>
      <c r="B5" s="12" t="inlineStr">
        <is>
          <t>Headline numbers present</t>
        </is>
      </c>
      <c r="C5" s="4" t="n"/>
      <c r="D5" s="130" t="inlineStr">
        <is>
          <t>PASS</t>
        </is>
      </c>
      <c r="E5" s="12" t="inlineStr">
        <is>
          <t>NW: $4,267,239</t>
        </is>
      </c>
    </row>
    <row r="6" ht="30" customHeight="1">
      <c r="A6" s="98" t="inlineStr">
        <is>
          <t>4B. Assumptions</t>
        </is>
      </c>
      <c r="B6" s="12" t="inlineStr">
        <is>
          <t>All major parameters in editable cells</t>
        </is>
      </c>
      <c r="C6" s="4" t="n"/>
      <c r="D6" s="130" t="inlineStr">
        <is>
          <t>PASS</t>
        </is>
      </c>
      <c r="E6" s="33" t="inlineStr"/>
    </row>
    <row r="7" ht="60" customHeight="1">
      <c r="A7" s="98" t="inlineStr">
        <is>
          <t>1D. Balance Sheet</t>
        </is>
      </c>
      <c r="B7" s="12" t="inlineStr">
        <is>
          <t>Total assets - liabilities = net worth and reconciles to projection Y0</t>
        </is>
      </c>
      <c r="C7" s="4" t="n"/>
      <c r="D7" s="130" t="inlineStr">
        <is>
          <t>PASS</t>
        </is>
      </c>
      <c r="E7" s="12" t="inlineStr">
        <is>
          <t>NW=5,813,821 vs projection Y0=5,813,821</t>
        </is>
      </c>
    </row>
    <row r="8" ht="45" customHeight="1">
      <c r="A8" s="98" t="inlineStr">
        <is>
          <t>1D. Balance Sheet</t>
        </is>
      </c>
      <c r="B8" s="12" t="inlineStr">
        <is>
          <t>Positions sourced from holdings data</t>
        </is>
      </c>
      <c r="C8" s="4" t="n"/>
      <c r="D8" s="130" t="inlineStr">
        <is>
          <t>PASS</t>
        </is>
      </c>
      <c r="E8" s="12" t="inlineStr">
        <is>
          <t>30 holdings across 10 accounts</t>
        </is>
      </c>
    </row>
    <row r="9" ht="60" customHeight="1">
      <c r="A9" s="98" t="inlineStr">
        <is>
          <t>1D. Balance Sheet</t>
        </is>
      </c>
      <c r="B9" s="12" t="inlineStr">
        <is>
          <t>Tax-lot data coverage</t>
        </is>
      </c>
      <c r="C9" s="4" t="n"/>
      <c r="D9" s="130" t="inlineStr">
        <is>
          <t>PASS</t>
        </is>
      </c>
      <c r="E9" s="12" t="inlineStr">
        <is>
          <t>100% — specific-lot sell guidance active</t>
        </is>
      </c>
    </row>
    <row r="10" ht="45" customHeight="1">
      <c r="A10" s="98" t="inlineStr">
        <is>
          <t>1D. Balance Sheet</t>
        </is>
      </c>
      <c r="B10" s="12" t="inlineStr">
        <is>
          <t>Holdings detail: all positions with live prices</t>
        </is>
      </c>
      <c r="C10" s="4" t="n"/>
      <c r="D10" s="130" t="inlineStr">
        <is>
          <t>PASS</t>
        </is>
      </c>
      <c r="E10" s="12" t="inlineStr">
        <is>
          <t>Grand total invested: $2,741,608</t>
        </is>
      </c>
    </row>
    <row r="11" ht="15" customHeight="1">
      <c r="A11" s="98" t="inlineStr">
        <is>
          <t>1B. Net Worth</t>
        </is>
      </c>
      <c r="B11" s="12" t="inlineStr">
        <is>
          <t>Row count = 31 (2026-2056)</t>
        </is>
      </c>
      <c r="C11" s="4" t="n"/>
      <c r="D11" s="130" t="inlineStr">
        <is>
          <t>PASS</t>
        </is>
      </c>
      <c r="E11" s="33" t="inlineStr"/>
    </row>
    <row r="12" ht="15" customHeight="1">
      <c r="A12" s="98" t="inlineStr">
        <is>
          <t>1B. Net Worth</t>
        </is>
      </c>
      <c r="B12" s="12" t="inlineStr">
        <is>
          <t>All balances ≥ 0</t>
        </is>
      </c>
      <c r="C12" s="4" t="n"/>
      <c r="D12" s="130" t="inlineStr">
        <is>
          <t>PASS</t>
        </is>
      </c>
      <c r="E12" s="33" t="inlineStr"/>
    </row>
    <row r="13" ht="30" customHeight="1">
      <c r="A13" s="98" t="inlineStr">
        <is>
          <t>1C. Cash Flow</t>
        </is>
      </c>
      <c r="B13" s="12" t="inlineStr">
        <is>
          <t>31 rows, account-level WDs, collapsible groups</t>
        </is>
      </c>
      <c r="C13" s="4" t="n"/>
      <c r="D13" s="130" t="inlineStr">
        <is>
          <t>PASS</t>
        </is>
      </c>
      <c r="E13" s="33" t="inlineStr"/>
    </row>
    <row r="14" ht="30" customHeight="1">
      <c r="A14" s="98" t="inlineStr">
        <is>
          <t>1F. Lifetime Taxes</t>
        </is>
      </c>
      <c r="B14" s="12" t="inlineStr">
        <is>
          <t>Lifetime totals present</t>
        </is>
      </c>
      <c r="C14" s="4" t="n"/>
      <c r="D14" s="130" t="inlineStr">
        <is>
          <t>PASS</t>
        </is>
      </c>
      <c r="E14" s="12" t="inlineStr">
        <is>
          <t>Total: $873,087</t>
        </is>
      </c>
    </row>
    <row r="15" ht="90" customHeight="1">
      <c r="A15" s="98" t="inlineStr">
        <is>
          <t>1E. Charts</t>
        </is>
      </c>
      <c r="B15" s="12" t="inlineStr">
        <is>
          <t>6 charts: NW, CF Income, CF Expense, MC Bands, Alloc Before, Alloc After</t>
        </is>
      </c>
      <c r="C15" s="4" t="n"/>
      <c r="D15" s="130" t="inlineStr">
        <is>
          <t>PASS</t>
        </is>
      </c>
      <c r="E15" s="12" t="inlineStr">
        <is>
          <t>NW, Income (15 ser, ymax=$600,000), Expense (8 ser, ymax=$600,000), MC bands, 2 pie charts</t>
        </is>
      </c>
    </row>
    <row r="16" ht="30" customHeight="1">
      <c r="A16" s="98" t="inlineStr">
        <is>
          <t>9. Retirement Strategy</t>
        </is>
      </c>
      <c r="B16" s="12" t="inlineStr">
        <is>
          <t>Withdrawal cascade and key risks documented</t>
        </is>
      </c>
      <c r="C16" s="4" t="n"/>
      <c r="D16" s="130" t="inlineStr">
        <is>
          <t>PASS</t>
        </is>
      </c>
      <c r="E16" s="33" t="inlineStr"/>
    </row>
    <row r="17" ht="30" customHeight="1">
      <c r="A17" s="98" t="inlineStr">
        <is>
          <t>2D. Social Security</t>
        </is>
      </c>
      <c r="B17" s="12" t="inlineStr">
        <is>
          <t>Claim ages 62-70 swept by spouse against full projection</t>
        </is>
      </c>
      <c r="C17" s="4" t="n"/>
      <c r="D17" s="130" t="inlineStr">
        <is>
          <t>PASS</t>
        </is>
      </c>
      <c r="E17" s="33" t="inlineStr"/>
    </row>
    <row r="18" ht="75" customHeight="1">
      <c r="A18" s="98" t="inlineStr">
        <is>
          <t>2A. Roth Conversion</t>
        </is>
      </c>
      <c r="B18" s="12" t="inlineStr">
        <is>
          <t>Canonical result contract, candidate scores, rejection reasons, and binding constraints rendered</t>
        </is>
      </c>
      <c r="C18" s="4" t="n"/>
      <c r="D18" s="130" t="inlineStr">
        <is>
          <t>PASS</t>
        </is>
      </c>
      <c r="E18" s="12" t="inlineStr">
        <is>
          <t>Total: $1,215,429  Forced: $0  Voluntary: $1,215,429</t>
        </is>
      </c>
    </row>
    <row r="19" ht="30" customHeight="1">
      <c r="A19" s="98" t="inlineStr">
        <is>
          <t>2F. Charitable Giving</t>
        </is>
      </c>
      <c r="B19" s="12" t="inlineStr">
        <is>
          <t>Three vehicles documented; SALT phases shown</t>
        </is>
      </c>
      <c r="C19" s="4" t="n"/>
      <c r="D19" s="130" t="inlineStr">
        <is>
          <t>PASS</t>
        </is>
      </c>
      <c r="E19" s="33" t="inlineStr"/>
    </row>
    <row r="20" ht="30" customHeight="1">
      <c r="A20" s="98" t="inlineStr">
        <is>
          <t>2C. State Residency</t>
        </is>
      </c>
      <c r="B20" s="12" t="inlineStr">
        <is>
          <t>11 states compared with retirement-income treatment</t>
        </is>
      </c>
      <c r="C20" s="4" t="n"/>
      <c r="D20" s="130" t="inlineStr">
        <is>
          <t>PASS</t>
        </is>
      </c>
      <c r="E20" s="12" t="inlineStr">
        <is>
          <t>retirement=39% of AGI</t>
        </is>
      </c>
    </row>
    <row r="21" ht="60" customHeight="1">
      <c r="A21" s="98" t="inlineStr">
        <is>
          <t>2G. Estate &amp; Legacy Planning</t>
        </is>
      </c>
      <c r="B21" s="12" t="inlineStr">
        <is>
          <t>Federal/IL tax, QTIP, Credit Shelter documented</t>
        </is>
      </c>
      <c r="C21" s="4" t="n"/>
      <c r="D21" s="130" t="inlineStr">
        <is>
          <t>PASS</t>
        </is>
      </c>
      <c r="E21" s="12" t="inlineStr">
        <is>
          <t>IL est. tax: $284,812, CS saves ~$320,000</t>
        </is>
      </c>
    </row>
    <row r="22" ht="30" customHeight="1">
      <c r="A22" s="98" t="inlineStr">
        <is>
          <t>2H. Planning Levers</t>
        </is>
      </c>
      <c r="B22" s="12" t="inlineStr">
        <is>
          <t>Interactive lever sensitivity dashboard created</t>
        </is>
      </c>
      <c r="C22" s="4" t="n"/>
      <c r="D22" s="130" t="inlineStr">
        <is>
          <t>PASS</t>
        </is>
      </c>
      <c r="E22" s="12" t="inlineStr">
        <is>
          <t>10 levers</t>
        </is>
      </c>
    </row>
    <row r="23" ht="60" customHeight="1">
      <c r="A23" s="98" t="inlineStr">
        <is>
          <t>3A. Monte Carlo</t>
        </is>
      </c>
      <c r="B23" s="12" t="inlineStr">
        <is>
          <t>7-section MC report: 16 sims, 5 quintiles, 25-cell sensitivity</t>
        </is>
      </c>
      <c r="C23" s="4" t="n"/>
      <c r="D23" s="130" t="inlineStr">
        <is>
          <t>PASS</t>
        </is>
      </c>
      <c r="E23" s="12" t="inlineStr">
        <is>
          <t>Funding success=31.2%, P50 liquid end=$0</t>
        </is>
      </c>
    </row>
    <row r="24" ht="30" customHeight="1">
      <c r="A24" s="98" t="inlineStr">
        <is>
          <t>17. LTC Stress Test</t>
        </is>
      </c>
      <c r="B24" s="12" t="inlineStr">
        <is>
          <t>Four scenarios modeled with plan-survives flag</t>
        </is>
      </c>
      <c r="C24" s="4" t="n"/>
      <c r="D24" s="130" t="inlineStr">
        <is>
          <t>PASS</t>
        </is>
      </c>
      <c r="E24" s="33" t="inlineStr"/>
    </row>
    <row r="25" ht="75" customHeight="1">
      <c r="A25" s="98" t="inlineStr">
        <is>
          <t>3B. Survivor</t>
        </is>
      </c>
      <c r="B25" s="12" t="inlineStr">
        <is>
          <t>5 early-death scenarios with full projection re-runs</t>
        </is>
      </c>
      <c r="C25" s="4" t="n"/>
      <c r="D25" s="130" t="inlineStr">
        <is>
          <t>PASS</t>
        </is>
      </c>
      <c r="E25" s="12" t="inlineStr">
        <is>
          <t>worst case: Both die at 75 (shortened plan) at $+0</t>
        </is>
      </c>
    </row>
    <row r="26" ht="30" customHeight="1">
      <c r="A26" s="98" t="inlineStr">
        <is>
          <t>3C. LTC + Life Insurance</t>
        </is>
      </c>
      <c r="B26" s="12" t="inlineStr">
        <is>
          <t>Annuity DB table; gap analysis; options documented</t>
        </is>
      </c>
      <c r="C26" s="4" t="n"/>
      <c r="D26" s="130" t="inlineStr">
        <is>
          <t>PASS</t>
        </is>
      </c>
      <c r="E26" s="33" t="inlineStr"/>
    </row>
    <row r="27" ht="60" customHeight="1">
      <c r="A27" s="98" t="inlineStr">
        <is>
          <t>4E. RMD Audit</t>
        </is>
      </c>
      <c r="B27" s="12" t="inlineStr">
        <is>
          <t>Matches CF; RMD vs elective flagged; death years correct</t>
        </is>
      </c>
      <c r="C27" s="4" t="n"/>
      <c r="D27" s="130" t="inlineStr">
        <is>
          <t>PASS</t>
        </is>
      </c>
      <c r="E27" s="12" t="inlineStr">
        <is>
          <t>RMD start age 75; H dies 2054; W dies 2056</t>
        </is>
      </c>
    </row>
    <row r="28" ht="15" customHeight="1">
      <c r="A28" s="98" t="inlineStr">
        <is>
          <t>4G. Glossary</t>
        </is>
      </c>
      <c r="B28" s="12" t="inlineStr">
        <is>
          <t>All key terms defined</t>
        </is>
      </c>
      <c r="C28" s="4" t="n"/>
      <c r="D28" s="130" t="inlineStr">
        <is>
          <t>PASS</t>
        </is>
      </c>
      <c r="E28" s="12" t="inlineStr">
        <is>
          <t>22 terms</t>
        </is>
      </c>
    </row>
    <row r="29" ht="30" customHeight="1">
      <c r="A29" s="98" t="inlineStr">
        <is>
          <t>4F. Methodology</t>
        </is>
      </c>
      <c r="B29" s="12" t="inlineStr">
        <is>
          <t>Re-run steps and methodology documented</t>
        </is>
      </c>
      <c r="C29" s="4" t="n"/>
      <c r="D29" s="130" t="inlineStr">
        <is>
          <t>PASS</t>
        </is>
      </c>
      <c r="E29" s="33" t="inlineStr"/>
    </row>
    <row r="30" ht="30" customHeight="1">
      <c r="A30" s="98" t="inlineStr">
        <is>
          <t>24. Asset Location</t>
        </is>
      </c>
      <c r="B30" s="12" t="inlineStr">
        <is>
          <t>Tax-location savings quantified</t>
        </is>
      </c>
      <c r="C30" s="4" t="n"/>
      <c r="D30" s="130" t="inlineStr">
        <is>
          <t>PASS</t>
        </is>
      </c>
      <c r="E30" s="12" t="inlineStr">
        <is>
          <t>$40,011 lifetime</t>
        </is>
      </c>
    </row>
    <row r="31" ht="60" customHeight="1">
      <c r="A31" s="98" t="inlineStr">
        <is>
          <t>4C. Account Reconciliation</t>
        </is>
      </c>
      <c r="B31" s="12" t="inlineStr">
        <is>
          <t>Every account roll-forward foots</t>
        </is>
      </c>
      <c r="C31" s="4" t="n"/>
      <c r="D31" s="130" t="inlineStr">
        <is>
          <t>PASS</t>
        </is>
      </c>
      <c r="E31" s="12" t="inlineStr">
        <is>
          <t>max residual $0.00 across 310 account-years</t>
        </is>
      </c>
    </row>
    <row r="32" ht="60" customHeight="1">
      <c r="A32" s="98" t="inlineStr">
        <is>
          <t>Core Spending</t>
        </is>
      </c>
      <c r="B32" s="12" t="inlineStr">
        <is>
          <t>YTD core spending breakdown, 8 groups</t>
        </is>
      </c>
      <c r="C32" s="4" t="n"/>
      <c r="D32" s="130" t="inlineStr">
        <is>
          <t>PASS</t>
        </is>
      </c>
      <c r="E32" s="12" t="inlineStr">
        <is>
          <t>$78,559 actual  |  $158,419 annualized</t>
        </is>
      </c>
    </row>
    <row r="33" ht="75" customHeight="1">
      <c r="A33" s="98" t="inlineStr">
        <is>
          <t>Spending Summary</t>
        </is>
      </c>
      <c r="B33" s="12" t="inlineStr">
        <is>
          <t>Taxonomy-aware spending summary, 7 tracking types</t>
        </is>
      </c>
      <c r="C33" s="4" t="n"/>
      <c r="D33" s="130" t="inlineStr">
        <is>
          <t>PASS</t>
        </is>
      </c>
      <c r="E33" s="12" t="inlineStr">
        <is>
          <t>$178,073 actual  |  $359,097 annualized  |  0 unmapped</t>
        </is>
      </c>
    </row>
    <row r="34" ht="30" customHeight="1">
      <c r="A34" s="98" t="inlineStr">
        <is>
          <t>4D. Quality Control</t>
        </is>
      </c>
      <c r="B34" s="12" t="inlineStr">
        <is>
          <t>QC sheet itself has checks</t>
        </is>
      </c>
      <c r="C34" s="4" t="n"/>
      <c r="D34" s="130" t="inlineStr">
        <is>
          <t>PASS</t>
        </is>
      </c>
      <c r="E34" s="12" t="inlineStr">
        <is>
          <t>30 checks</t>
        </is>
      </c>
    </row>
    <row r="35" ht="30" customHeight="1">
      <c r="A35" s="98" t="inlineStr">
        <is>
          <t>Validation</t>
        </is>
      </c>
      <c r="B35" s="12" t="inlineStr">
        <is>
          <t>All invariants passed</t>
        </is>
      </c>
      <c r="C35" s="4" t="n"/>
      <c r="D35" s="130"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81"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3"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2" t="inlineStr">
        <is>
          <t>H IRA Bal (BOY)</t>
        </is>
      </c>
      <c r="H2" s="182" t="inlineStr">
        <is>
          <t>H 401k Bal</t>
        </is>
      </c>
      <c r="I2" s="182" t="inlineStr">
        <is>
          <t>H RMD Required</t>
        </is>
      </c>
      <c r="J2" s="182" t="inlineStr">
        <is>
          <t>H RMD Satisfied?</t>
        </is>
      </c>
      <c r="K2" s="182" t="inlineStr">
        <is>
          <t>H IRA Elective</t>
        </is>
      </c>
      <c r="L2" s="182" t="inlineStr">
        <is>
          <t>H IRA Conversion</t>
        </is>
      </c>
      <c r="M2" s="182" t="inlineStr">
        <is>
          <t>H IRA Total Outflow</t>
        </is>
      </c>
      <c r="N2" s="180" t="inlineStr">
        <is>
          <t>H IRA RMD%</t>
        </is>
      </c>
      <c r="O2" s="180" t="inlineStr">
        <is>
          <t>W IRA Bal (BOY)</t>
        </is>
      </c>
      <c r="P2" s="180" t="inlineStr">
        <is>
          <t>W RMD Required</t>
        </is>
      </c>
      <c r="Q2" s="180" t="inlineStr">
        <is>
          <t>W RMD Satisfied?</t>
        </is>
      </c>
      <c r="R2" s="180" t="inlineStr">
        <is>
          <t>W IRA Elective</t>
        </is>
      </c>
      <c r="S2" s="180" t="inlineStr">
        <is>
          <t>W IRA Conversion</t>
        </is>
      </c>
      <c r="T2" s="183" t="inlineStr">
        <is>
          <t>W IRA Total Outflow</t>
        </is>
      </c>
      <c r="U2" s="183" t="inlineStr">
        <is>
          <t>W IRA RMD%</t>
        </is>
      </c>
      <c r="V2" s="183"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4" t="n">
        <v>2026</v>
      </c>
      <c r="B3" s="185" t="n">
        <v>64</v>
      </c>
      <c r="C3" s="184" t="n">
        <v>65</v>
      </c>
      <c r="D3" s="186" t="inlineStr">
        <is>
          <t>MFJ</t>
        </is>
      </c>
      <c r="E3" s="186" t="inlineStr">
        <is>
          <t>ALIVE</t>
        </is>
      </c>
      <c r="F3" s="186" t="inlineStr">
        <is>
          <t>ALIVE</t>
        </is>
      </c>
      <c r="G3" s="187" t="n">
        <v>1429203.3388384</v>
      </c>
      <c r="H3" s="187" t="n">
        <v>39242.525</v>
      </c>
      <c r="I3" s="188" t="n">
        <v>0</v>
      </c>
      <c r="J3" s="189" t="inlineStr">
        <is>
          <t>N/A</t>
        </is>
      </c>
      <c r="K3" s="187" t="n">
        <v>0</v>
      </c>
      <c r="L3" s="188" t="n">
        <v>0</v>
      </c>
      <c r="M3" s="187" t="n">
        <v>0</v>
      </c>
      <c r="N3" s="190" t="n"/>
      <c r="O3" s="188" t="n">
        <v>482153.19713486</v>
      </c>
      <c r="P3" s="191" t="n">
        <v>0</v>
      </c>
      <c r="Q3" s="186" t="inlineStr">
        <is>
          <t>N/A</t>
        </is>
      </c>
      <c r="R3" s="188" t="n">
        <v>0</v>
      </c>
      <c r="S3" s="187" t="n">
        <v>0</v>
      </c>
      <c r="T3" s="188" t="n">
        <v>0</v>
      </c>
      <c r="U3" s="192" t="n"/>
      <c r="V3" s="187" t="n">
        <v>0</v>
      </c>
      <c r="W3" s="187" t="n">
        <v>0</v>
      </c>
      <c r="X3" s="187" t="n">
        <v>0</v>
      </c>
      <c r="Y3" s="193" t="inlineStr">
        <is>
          <t>✓</t>
        </is>
      </c>
      <c r="Z3" s="194" t="inlineStr"/>
      <c r="AA3" s="194" t="inlineStr"/>
    </row>
    <row r="4" ht="15" customHeight="1">
      <c r="A4" s="184" t="n">
        <v>2027</v>
      </c>
      <c r="B4" s="185" t="n">
        <v>65</v>
      </c>
      <c r="C4" s="184" t="n">
        <v>66</v>
      </c>
      <c r="D4" s="186" t="inlineStr">
        <is>
          <t>MFJ</t>
        </is>
      </c>
      <c r="E4" s="186" t="inlineStr">
        <is>
          <t>ALIVE</t>
        </is>
      </c>
      <c r="F4" s="186" t="inlineStr">
        <is>
          <t>ALIVE</t>
        </is>
      </c>
      <c r="G4" s="187" t="n">
        <v>1514955.529730976</v>
      </c>
      <c r="H4" s="187" t="n">
        <v>41597.07624086244</v>
      </c>
      <c r="I4" s="188" t="n">
        <v>0</v>
      </c>
      <c r="J4" s="189" t="inlineStr">
        <is>
          <t>N/A</t>
        </is>
      </c>
      <c r="K4" s="187" t="n">
        <v>0.008903516841822961</v>
      </c>
      <c r="L4" s="188" t="n">
        <v>0</v>
      </c>
      <c r="M4" s="187" t="n">
        <v>0.008903516841822961</v>
      </c>
      <c r="N4" s="190" t="n">
        <v>0</v>
      </c>
      <c r="O4" s="188" t="n">
        <v>272584.6956410276</v>
      </c>
      <c r="P4" s="191" t="n">
        <v>0</v>
      </c>
      <c r="Q4" s="186" t="inlineStr">
        <is>
          <t>N/A</t>
        </is>
      </c>
      <c r="R4" s="188" t="n">
        <v>0.001602002422403813</v>
      </c>
      <c r="S4" s="187" t="n">
        <v>224997.8222866051</v>
      </c>
      <c r="T4" s="188" t="n">
        <v>224997.8238886076</v>
      </c>
      <c r="U4" s="192" t="n">
        <v>0</v>
      </c>
      <c r="V4" s="187" t="n">
        <v>0</v>
      </c>
      <c r="W4" s="187" t="n">
        <v>0.01050551926422677</v>
      </c>
      <c r="X4" s="187" t="n">
        <v>224997.8327921244</v>
      </c>
      <c r="Y4" s="193" t="inlineStr">
        <is>
          <t>✓</t>
        </is>
      </c>
      <c r="Z4" s="194" t="inlineStr"/>
      <c r="AA4" s="194" t="inlineStr"/>
    </row>
    <row r="5" ht="15" customHeight="1">
      <c r="A5" s="184" t="n">
        <v>2028</v>
      </c>
      <c r="B5" s="185" t="n">
        <v>66</v>
      </c>
      <c r="C5" s="184" t="n">
        <v>67</v>
      </c>
      <c r="D5" s="186" t="inlineStr">
        <is>
          <t>MFJ</t>
        </is>
      </c>
      <c r="E5" s="186" t="inlineStr">
        <is>
          <t>ALIVE</t>
        </is>
      </c>
      <c r="F5" s="186" t="inlineStr">
        <is>
          <t>ALIVE</t>
        </is>
      </c>
      <c r="G5" s="187" t="n">
        <v>1575463.014246997</v>
      </c>
      <c r="H5" s="187" t="n">
        <v>43258.46787722466</v>
      </c>
      <c r="I5" s="188" t="n">
        <v>0</v>
      </c>
      <c r="J5" s="189" t="inlineStr">
        <is>
          <t>N/A</t>
        </is>
      </c>
      <c r="K5" s="187" t="n">
        <v>28669.66723380898</v>
      </c>
      <c r="L5" s="188" t="n">
        <v>0</v>
      </c>
      <c r="M5" s="187" t="n">
        <v>28669.66723380898</v>
      </c>
      <c r="N5" s="190" t="n">
        <v>0</v>
      </c>
      <c r="O5" s="188" t="n">
        <v>60850.2302557236</v>
      </c>
      <c r="P5" s="191" t="n">
        <v>0</v>
      </c>
      <c r="Q5" s="186" t="inlineStr">
        <is>
          <t>N/A</t>
        </is>
      </c>
      <c r="R5" s="188" t="n">
        <v>1107.328979960899</v>
      </c>
      <c r="S5" s="187" t="n">
        <v>214071.4890613275</v>
      </c>
      <c r="T5" s="188" t="n">
        <v>215178.8180412884</v>
      </c>
      <c r="U5" s="192" t="n">
        <v>0</v>
      </c>
      <c r="V5" s="187" t="n">
        <v>0</v>
      </c>
      <c r="W5" s="187" t="n">
        <v>29776.99621376988</v>
      </c>
      <c r="X5" s="187" t="n">
        <v>243848.4852750974</v>
      </c>
      <c r="Y5" s="193" t="inlineStr">
        <is>
          <t>✓</t>
        </is>
      </c>
      <c r="Z5" s="194" t="inlineStr"/>
      <c r="AA5" s="194" t="inlineStr"/>
    </row>
    <row r="6" ht="15" customHeight="1">
      <c r="A6" s="184" t="n">
        <v>2029</v>
      </c>
      <c r="B6" s="185" t="n">
        <v>67</v>
      </c>
      <c r="C6" s="184" t="n">
        <v>68</v>
      </c>
      <c r="D6" s="186" t="inlineStr">
        <is>
          <t>MFJ</t>
        </is>
      </c>
      <c r="E6" s="186" t="inlineStr">
        <is>
          <t>ALIVE</t>
        </is>
      </c>
      <c r="F6" s="186" t="inlineStr">
        <is>
          <t>ALIVE</t>
        </is>
      </c>
      <c r="G6" s="187" t="n">
        <v>1346498.136686685</v>
      </c>
      <c r="H6" s="187" t="n">
        <v>0</v>
      </c>
      <c r="I6" s="188" t="n">
        <v>0</v>
      </c>
      <c r="J6" s="189" t="inlineStr">
        <is>
          <t>N/A</t>
        </is>
      </c>
      <c r="K6" s="187" t="n">
        <v>220371.3084805095</v>
      </c>
      <c r="L6" s="188" t="n">
        <v>84810.44474131287</v>
      </c>
      <c r="M6" s="187" t="n">
        <v>305181.7532218224</v>
      </c>
      <c r="N6" s="190" t="n">
        <v>0</v>
      </c>
      <c r="O6" s="188" t="n">
        <v>0</v>
      </c>
      <c r="P6" s="191" t="n">
        <v>0</v>
      </c>
      <c r="Q6" s="186" t="inlineStr">
        <is>
          <t>N/A</t>
        </is>
      </c>
      <c r="R6" s="188" t="n">
        <v>0</v>
      </c>
      <c r="S6" s="187" t="n">
        <v>60850.2302557236</v>
      </c>
      <c r="T6" s="188" t="n">
        <v>60850.2302557236</v>
      </c>
      <c r="U6" s="192" t="n"/>
      <c r="V6" s="187" t="n">
        <v>0</v>
      </c>
      <c r="W6" s="187" t="n">
        <v>220371.3084805095</v>
      </c>
      <c r="X6" s="187" t="n">
        <v>366031.983477546</v>
      </c>
      <c r="Y6" s="193" t="inlineStr">
        <is>
          <t>✓</t>
        </is>
      </c>
      <c r="Z6" s="194" t="inlineStr"/>
      <c r="AA6" s="194" t="inlineStr"/>
    </row>
    <row r="7" ht="15" customHeight="1">
      <c r="A7" s="184" t="n">
        <v>2030</v>
      </c>
      <c r="B7" s="185" t="n">
        <v>68</v>
      </c>
      <c r="C7" s="184" t="n">
        <v>69</v>
      </c>
      <c r="D7" s="186" t="inlineStr">
        <is>
          <t>MFJ</t>
        </is>
      </c>
      <c r="E7" s="186" t="inlineStr">
        <is>
          <t>ALIVE</t>
        </is>
      </c>
      <c r="F7" s="186" t="inlineStr">
        <is>
          <t>ALIVE</t>
        </is>
      </c>
      <c r="G7" s="187" t="n">
        <v>1006979.857135939</v>
      </c>
      <c r="H7" s="187" t="n">
        <v>0</v>
      </c>
      <c r="I7" s="188" t="n">
        <v>0</v>
      </c>
      <c r="J7" s="189" t="inlineStr">
        <is>
          <t>N/A</t>
        </is>
      </c>
      <c r="K7" s="187" t="n">
        <v>239811.5024621645</v>
      </c>
      <c r="L7" s="188" t="n">
        <v>156705.6369264646</v>
      </c>
      <c r="M7" s="187" t="n">
        <v>396517.1393886291</v>
      </c>
      <c r="N7" s="190" t="n">
        <v>0</v>
      </c>
      <c r="O7" s="188" t="n">
        <v>0</v>
      </c>
      <c r="P7" s="191" t="n">
        <v>0</v>
      </c>
      <c r="Q7" s="186" t="inlineStr">
        <is>
          <t>N/A</t>
        </is>
      </c>
      <c r="R7" s="188" t="n">
        <v>0</v>
      </c>
      <c r="S7" s="187" t="n">
        <v>0</v>
      </c>
      <c r="T7" s="188" t="n">
        <v>0</v>
      </c>
      <c r="U7" s="192" t="n"/>
      <c r="V7" s="187" t="n">
        <v>0</v>
      </c>
      <c r="W7" s="187" t="n">
        <v>239811.5024621645</v>
      </c>
      <c r="X7" s="187" t="n">
        <v>396517.1393886291</v>
      </c>
      <c r="Y7" s="193" t="inlineStr">
        <is>
          <t>✓</t>
        </is>
      </c>
      <c r="Z7" s="194" t="inlineStr"/>
      <c r="AA7" s="186" t="inlineStr">
        <is>
          <t>workplace plan rollover</t>
        </is>
      </c>
    </row>
    <row r="8" ht="15" customHeight="1">
      <c r="A8" s="184" t="n">
        <v>2031</v>
      </c>
      <c r="B8" s="185" t="n">
        <v>69</v>
      </c>
      <c r="C8" s="184" t="n">
        <v>70</v>
      </c>
      <c r="D8" s="186" t="inlineStr">
        <is>
          <t>MFJ</t>
        </is>
      </c>
      <c r="E8" s="186" t="inlineStr">
        <is>
          <t>ALIVE</t>
        </is>
      </c>
      <c r="F8" s="186" t="inlineStr">
        <is>
          <t>ALIVE</t>
        </is>
      </c>
      <c r="G8" s="187" t="n">
        <v>784352.7568289442</v>
      </c>
      <c r="H8" s="187" t="n">
        <v>0</v>
      </c>
      <c r="I8" s="188" t="n">
        <v>0</v>
      </c>
      <c r="J8" s="189" t="inlineStr">
        <is>
          <t>N/A</t>
        </is>
      </c>
      <c r="K8" s="187" t="n">
        <v>141757.2185283533</v>
      </c>
      <c r="L8" s="188" t="n">
        <v>125267.2076368838</v>
      </c>
      <c r="M8" s="187" t="n">
        <v>267024.4261652371</v>
      </c>
      <c r="N8" s="190" t="n">
        <v>0</v>
      </c>
      <c r="O8" s="188" t="n">
        <v>0</v>
      </c>
      <c r="P8" s="191" t="n">
        <v>0</v>
      </c>
      <c r="Q8" s="186" t="inlineStr">
        <is>
          <t>N/A</t>
        </is>
      </c>
      <c r="R8" s="188" t="n">
        <v>0</v>
      </c>
      <c r="S8" s="187" t="n">
        <v>0</v>
      </c>
      <c r="T8" s="188" t="n">
        <v>0</v>
      </c>
      <c r="U8" s="192" t="n"/>
      <c r="V8" s="187" t="n">
        <v>0</v>
      </c>
      <c r="W8" s="187" t="n">
        <v>141757.2185283533</v>
      </c>
      <c r="X8" s="187" t="n">
        <v>267024.4261652371</v>
      </c>
      <c r="Y8" s="193" t="inlineStr">
        <is>
          <t>✓</t>
        </is>
      </c>
      <c r="Z8" s="194" t="inlineStr"/>
      <c r="AA8" s="194" t="inlineStr"/>
    </row>
    <row r="9" ht="15" customHeight="1">
      <c r="A9" s="184" t="n">
        <v>2032</v>
      </c>
      <c r="B9" s="185" t="n">
        <v>70</v>
      </c>
      <c r="C9" s="184" t="n">
        <v>71</v>
      </c>
      <c r="D9" s="186" t="inlineStr">
        <is>
          <t>MFJ</t>
        </is>
      </c>
      <c r="E9" s="186" t="inlineStr">
        <is>
          <t>ALIVE</t>
        </is>
      </c>
      <c r="F9" s="186" t="inlineStr">
        <is>
          <t>ALIVE</t>
        </is>
      </c>
      <c r="G9" s="187" t="n">
        <v>454336.990435579</v>
      </c>
      <c r="H9" s="187" t="n">
        <v>0</v>
      </c>
      <c r="I9" s="188" t="n">
        <v>0</v>
      </c>
      <c r="J9" s="189" t="inlineStr">
        <is>
          <t>N/A</t>
        </is>
      </c>
      <c r="K9" s="187" t="n">
        <v>246824.4644747482</v>
      </c>
      <c r="L9" s="188" t="n">
        <v>108908.4900564799</v>
      </c>
      <c r="M9" s="187" t="n">
        <v>355732.9545312282</v>
      </c>
      <c r="N9" s="190" t="n">
        <v>0</v>
      </c>
      <c r="O9" s="188" t="n">
        <v>0</v>
      </c>
      <c r="P9" s="191" t="n">
        <v>0</v>
      </c>
      <c r="Q9" s="186" t="inlineStr">
        <is>
          <t>N/A</t>
        </is>
      </c>
      <c r="R9" s="188" t="n">
        <v>0</v>
      </c>
      <c r="S9" s="187" t="n">
        <v>0</v>
      </c>
      <c r="T9" s="188" t="n">
        <v>0</v>
      </c>
      <c r="U9" s="192" t="n"/>
      <c r="V9" s="187" t="n">
        <v>0</v>
      </c>
      <c r="W9" s="187" t="n">
        <v>246824.4644747482</v>
      </c>
      <c r="X9" s="187" t="n">
        <v>355732.9545312282</v>
      </c>
      <c r="Y9" s="193" t="inlineStr">
        <is>
          <t>✓</t>
        </is>
      </c>
      <c r="Z9" s="194" t="inlineStr"/>
      <c r="AA9" s="194" t="inlineStr"/>
    </row>
    <row r="10" ht="15" customHeight="1">
      <c r="A10" s="184" t="n">
        <v>2033</v>
      </c>
      <c r="B10" s="185" t="n">
        <v>71</v>
      </c>
      <c r="C10" s="184" t="n">
        <v>72</v>
      </c>
      <c r="D10" s="186" t="inlineStr">
        <is>
          <t>MFJ</t>
        </is>
      </c>
      <c r="E10" s="186" t="inlineStr">
        <is>
          <t>ALIVE</t>
        </is>
      </c>
      <c r="F10" s="186" t="inlineStr">
        <is>
          <t>ALIVE</t>
        </is>
      </c>
      <c r="G10" s="187" t="n">
        <v>223320.1312955785</v>
      </c>
      <c r="H10" s="187" t="n">
        <v>0</v>
      </c>
      <c r="I10" s="188" t="n">
        <v>0</v>
      </c>
      <c r="J10" s="189" t="inlineStr">
        <is>
          <t>N/A</t>
        </is>
      </c>
      <c r="K10" s="187" t="n">
        <v>127434.1749286419</v>
      </c>
      <c r="L10" s="188" t="n">
        <v>116223.4463601649</v>
      </c>
      <c r="M10" s="187" t="n">
        <v>243657.6212888068</v>
      </c>
      <c r="N10" s="190" t="n">
        <v>0</v>
      </c>
      <c r="O10" s="188" t="n">
        <v>0</v>
      </c>
      <c r="P10" s="191" t="n">
        <v>0</v>
      </c>
      <c r="Q10" s="186" t="inlineStr">
        <is>
          <t>N/A</t>
        </is>
      </c>
      <c r="R10" s="188" t="n">
        <v>0</v>
      </c>
      <c r="S10" s="187" t="n">
        <v>0</v>
      </c>
      <c r="T10" s="188" t="n">
        <v>0</v>
      </c>
      <c r="U10" s="192" t="n"/>
      <c r="V10" s="187" t="n">
        <v>0</v>
      </c>
      <c r="W10" s="187" t="n">
        <v>127434.1749286419</v>
      </c>
      <c r="X10" s="187" t="n">
        <v>243657.6212888068</v>
      </c>
      <c r="Y10" s="193" t="inlineStr">
        <is>
          <t>✓</t>
        </is>
      </c>
      <c r="Z10" s="194" t="inlineStr"/>
      <c r="AA10" s="194" t="inlineStr"/>
    </row>
    <row r="11" ht="15" customHeight="1">
      <c r="A11" s="184" t="n">
        <v>2034</v>
      </c>
      <c r="B11" s="185" t="n">
        <v>72</v>
      </c>
      <c r="C11" s="184" t="n">
        <v>73</v>
      </c>
      <c r="D11" s="186" t="inlineStr">
        <is>
          <t>MFJ</t>
        </is>
      </c>
      <c r="E11" s="186" t="inlineStr">
        <is>
          <t>ALIVE</t>
        </is>
      </c>
      <c r="F11" s="186" t="inlineStr">
        <is>
          <t>ALIVE</t>
        </is>
      </c>
      <c r="G11" s="187" t="n">
        <v>0</v>
      </c>
      <c r="H11" s="187" t="n">
        <v>0</v>
      </c>
      <c r="I11" s="188" t="n">
        <v>0</v>
      </c>
      <c r="J11" s="189" t="inlineStr">
        <is>
          <t>N/A</t>
        </is>
      </c>
      <c r="K11" s="187" t="n">
        <v>99725.95027525057</v>
      </c>
      <c r="L11" s="188" t="n">
        <v>123594.1810203279</v>
      </c>
      <c r="M11" s="187" t="n">
        <v>223320.1312955785</v>
      </c>
      <c r="N11" s="190" t="n">
        <v>0</v>
      </c>
      <c r="O11" s="188" t="n">
        <v>0</v>
      </c>
      <c r="P11" s="191" t="n">
        <v>0</v>
      </c>
      <c r="Q11" s="186" t="inlineStr">
        <is>
          <t>N/A</t>
        </is>
      </c>
      <c r="R11" s="188" t="n">
        <v>0</v>
      </c>
      <c r="S11" s="187" t="n">
        <v>0</v>
      </c>
      <c r="T11" s="188" t="n">
        <v>0</v>
      </c>
      <c r="U11" s="192" t="n"/>
      <c r="V11" s="187" t="n">
        <v>0</v>
      </c>
      <c r="W11" s="187" t="n">
        <v>99725.95027525057</v>
      </c>
      <c r="X11" s="187" t="n">
        <v>223320.1312955785</v>
      </c>
      <c r="Y11" s="193" t="inlineStr">
        <is>
          <t>✓</t>
        </is>
      </c>
      <c r="Z11" s="194" t="inlineStr"/>
      <c r="AA11" s="194" t="inlineStr"/>
    </row>
    <row r="12" ht="15" customHeight="1">
      <c r="A12" s="184" t="n">
        <v>2035</v>
      </c>
      <c r="B12" s="185" t="n">
        <v>73</v>
      </c>
      <c r="C12" s="184" t="n">
        <v>74</v>
      </c>
      <c r="D12" s="186" t="inlineStr">
        <is>
          <t>MFJ</t>
        </is>
      </c>
      <c r="E12" s="186" t="inlineStr">
        <is>
          <t>ALIVE</t>
        </is>
      </c>
      <c r="F12" s="186" t="inlineStr">
        <is>
          <t>ALIVE</t>
        </is>
      </c>
      <c r="G12" s="187" t="n">
        <v>0</v>
      </c>
      <c r="H12" s="187" t="n">
        <v>0</v>
      </c>
      <c r="I12" s="188" t="n">
        <v>0</v>
      </c>
      <c r="J12" s="189" t="inlineStr">
        <is>
          <t>N/A</t>
        </is>
      </c>
      <c r="K12" s="187" t="n">
        <v>0</v>
      </c>
      <c r="L12" s="188" t="n">
        <v>0</v>
      </c>
      <c r="M12" s="187" t="n">
        <v>0</v>
      </c>
      <c r="N12" s="190" t="n"/>
      <c r="O12" s="188" t="n">
        <v>0</v>
      </c>
      <c r="P12" s="191" t="n">
        <v>0</v>
      </c>
      <c r="Q12" s="186" t="inlineStr">
        <is>
          <t>N/A</t>
        </is>
      </c>
      <c r="R12" s="188" t="n">
        <v>0</v>
      </c>
      <c r="S12" s="187" t="n">
        <v>0</v>
      </c>
      <c r="T12" s="188" t="n">
        <v>0</v>
      </c>
      <c r="U12" s="192" t="n"/>
      <c r="V12" s="187" t="n">
        <v>0</v>
      </c>
      <c r="W12" s="187" t="n">
        <v>0</v>
      </c>
      <c r="X12" s="187" t="n">
        <v>0</v>
      </c>
      <c r="Y12" s="193" t="inlineStr">
        <is>
          <t>✓</t>
        </is>
      </c>
      <c r="Z12" s="194" t="inlineStr"/>
      <c r="AA12" s="194" t="inlineStr"/>
    </row>
    <row r="13" ht="15" customHeight="1">
      <c r="A13" s="184" t="n">
        <v>2036</v>
      </c>
      <c r="B13" s="185" t="n">
        <v>74</v>
      </c>
      <c r="C13" s="184" t="n">
        <v>75</v>
      </c>
      <c r="D13" s="186" t="inlineStr">
        <is>
          <t>MFJ</t>
        </is>
      </c>
      <c r="E13" s="186" t="inlineStr">
        <is>
          <t>ALIVE</t>
        </is>
      </c>
      <c r="F13" s="186" t="inlineStr">
        <is>
          <t>ALIVE</t>
        </is>
      </c>
      <c r="G13" s="187" t="n">
        <v>0</v>
      </c>
      <c r="H13" s="187" t="n">
        <v>0</v>
      </c>
      <c r="I13" s="188" t="n">
        <v>0</v>
      </c>
      <c r="J13" s="189" t="inlineStr">
        <is>
          <t>N/A</t>
        </is>
      </c>
      <c r="K13" s="187" t="n">
        <v>0</v>
      </c>
      <c r="L13" s="188" t="n">
        <v>0</v>
      </c>
      <c r="M13" s="187" t="n">
        <v>0</v>
      </c>
      <c r="N13" s="190" t="n"/>
      <c r="O13" s="188" t="n">
        <v>0</v>
      </c>
      <c r="P13" s="191" t="n">
        <v>0</v>
      </c>
      <c r="Q13" s="186" t="inlineStr">
        <is>
          <t>✓</t>
        </is>
      </c>
      <c r="R13" s="188" t="n">
        <v>0</v>
      </c>
      <c r="S13" s="187" t="n">
        <v>0</v>
      </c>
      <c r="T13" s="188" t="n">
        <v>0</v>
      </c>
      <c r="U13" s="192" t="n"/>
      <c r="V13" s="187" t="n">
        <v>0</v>
      </c>
      <c r="W13" s="187" t="n">
        <v>0</v>
      </c>
      <c r="X13" s="187" t="n">
        <v>0</v>
      </c>
      <c r="Y13" s="193" t="inlineStr">
        <is>
          <t>✓</t>
        </is>
      </c>
      <c r="Z13" s="194" t="inlineStr"/>
      <c r="AA13" s="194" t="inlineStr"/>
    </row>
    <row r="14" ht="15" customHeight="1">
      <c r="A14" s="184" t="n">
        <v>2037</v>
      </c>
      <c r="B14" s="185" t="n">
        <v>75</v>
      </c>
      <c r="C14" s="184" t="n">
        <v>76</v>
      </c>
      <c r="D14" s="186" t="inlineStr">
        <is>
          <t>MFJ</t>
        </is>
      </c>
      <c r="E14" s="186" t="inlineStr">
        <is>
          <t>ALIVE</t>
        </is>
      </c>
      <c r="F14" s="186" t="inlineStr">
        <is>
          <t>ALIVE</t>
        </is>
      </c>
      <c r="G14" s="187" t="n">
        <v>0</v>
      </c>
      <c r="H14" s="187" t="n">
        <v>0</v>
      </c>
      <c r="I14" s="188" t="n">
        <v>0</v>
      </c>
      <c r="J14" s="193" t="inlineStr">
        <is>
          <t>✓</t>
        </is>
      </c>
      <c r="K14" s="187" t="n">
        <v>0</v>
      </c>
      <c r="L14" s="188" t="n">
        <v>0</v>
      </c>
      <c r="M14" s="187" t="n">
        <v>0</v>
      </c>
      <c r="N14" s="190" t="n"/>
      <c r="O14" s="188" t="n">
        <v>0</v>
      </c>
      <c r="P14" s="191" t="n">
        <v>0</v>
      </c>
      <c r="Q14" s="186" t="inlineStr">
        <is>
          <t>✓</t>
        </is>
      </c>
      <c r="R14" s="188" t="n">
        <v>0</v>
      </c>
      <c r="S14" s="187" t="n">
        <v>0</v>
      </c>
      <c r="T14" s="188" t="n">
        <v>0</v>
      </c>
      <c r="U14" s="192" t="n"/>
      <c r="V14" s="187" t="n">
        <v>0</v>
      </c>
      <c r="W14" s="187" t="n">
        <v>0</v>
      </c>
      <c r="X14" s="187" t="n">
        <v>0</v>
      </c>
      <c r="Y14" s="193" t="inlineStr">
        <is>
          <t>✓</t>
        </is>
      </c>
      <c r="Z14" s="194" t="inlineStr"/>
      <c r="AA14" s="194" t="inlineStr"/>
    </row>
    <row r="15" ht="15" customHeight="1">
      <c r="A15" s="184" t="n">
        <v>2038</v>
      </c>
      <c r="B15" s="185" t="n">
        <v>76</v>
      </c>
      <c r="C15" s="184" t="n">
        <v>77</v>
      </c>
      <c r="D15" s="186" t="inlineStr">
        <is>
          <t>MFJ</t>
        </is>
      </c>
      <c r="E15" s="186" t="inlineStr">
        <is>
          <t>ALIVE</t>
        </is>
      </c>
      <c r="F15" s="186" t="inlineStr">
        <is>
          <t>ALIVE</t>
        </is>
      </c>
      <c r="G15" s="187" t="n">
        <v>0</v>
      </c>
      <c r="H15" s="187" t="n">
        <v>0</v>
      </c>
      <c r="I15" s="188" t="n">
        <v>0</v>
      </c>
      <c r="J15" s="193" t="inlineStr">
        <is>
          <t>✓</t>
        </is>
      </c>
      <c r="K15" s="187" t="n">
        <v>0</v>
      </c>
      <c r="L15" s="188" t="n">
        <v>0</v>
      </c>
      <c r="M15" s="187" t="n">
        <v>0</v>
      </c>
      <c r="N15" s="190" t="n"/>
      <c r="O15" s="188" t="n">
        <v>0</v>
      </c>
      <c r="P15" s="191" t="n">
        <v>0</v>
      </c>
      <c r="Q15" s="186" t="inlineStr">
        <is>
          <t>✓</t>
        </is>
      </c>
      <c r="R15" s="188" t="n">
        <v>0</v>
      </c>
      <c r="S15" s="187" t="n">
        <v>0</v>
      </c>
      <c r="T15" s="188" t="n">
        <v>0</v>
      </c>
      <c r="U15" s="192" t="n"/>
      <c r="V15" s="187" t="n">
        <v>0</v>
      </c>
      <c r="W15" s="187" t="n">
        <v>0</v>
      </c>
      <c r="X15" s="187" t="n">
        <v>0</v>
      </c>
      <c r="Y15" s="193" t="inlineStr">
        <is>
          <t>✓</t>
        </is>
      </c>
      <c r="Z15" s="194" t="inlineStr"/>
      <c r="AA15" s="194" t="inlineStr"/>
    </row>
    <row r="16" ht="15" customHeight="1">
      <c r="A16" s="184" t="n">
        <v>2039</v>
      </c>
      <c r="B16" s="185" t="n">
        <v>77</v>
      </c>
      <c r="C16" s="184" t="n">
        <v>78</v>
      </c>
      <c r="D16" s="186" t="inlineStr">
        <is>
          <t>MFJ</t>
        </is>
      </c>
      <c r="E16" s="186" t="inlineStr">
        <is>
          <t>ALIVE</t>
        </is>
      </c>
      <c r="F16" s="186" t="inlineStr">
        <is>
          <t>ALIVE</t>
        </is>
      </c>
      <c r="G16" s="187" t="n">
        <v>0</v>
      </c>
      <c r="H16" s="187" t="n">
        <v>0</v>
      </c>
      <c r="I16" s="188" t="n">
        <v>0</v>
      </c>
      <c r="J16" s="193" t="inlineStr">
        <is>
          <t>✓</t>
        </is>
      </c>
      <c r="K16" s="187" t="n">
        <v>0</v>
      </c>
      <c r="L16" s="188" t="n">
        <v>0</v>
      </c>
      <c r="M16" s="187" t="n">
        <v>0</v>
      </c>
      <c r="N16" s="190" t="n"/>
      <c r="O16" s="188" t="n">
        <v>0</v>
      </c>
      <c r="P16" s="191" t="n">
        <v>0</v>
      </c>
      <c r="Q16" s="186" t="inlineStr">
        <is>
          <t>✓</t>
        </is>
      </c>
      <c r="R16" s="188" t="n">
        <v>0</v>
      </c>
      <c r="S16" s="187" t="n">
        <v>0</v>
      </c>
      <c r="T16" s="188" t="n">
        <v>0</v>
      </c>
      <c r="U16" s="192" t="n"/>
      <c r="V16" s="187" t="n">
        <v>0</v>
      </c>
      <c r="W16" s="187" t="n">
        <v>0</v>
      </c>
      <c r="X16" s="187" t="n">
        <v>0</v>
      </c>
      <c r="Y16" s="193" t="inlineStr">
        <is>
          <t>✓</t>
        </is>
      </c>
      <c r="Z16" s="194" t="inlineStr"/>
      <c r="AA16" s="194" t="inlineStr"/>
    </row>
    <row r="17" ht="15" customHeight="1">
      <c r="A17" s="184" t="n">
        <v>2040</v>
      </c>
      <c r="B17" s="185" t="n">
        <v>78</v>
      </c>
      <c r="C17" s="184" t="n">
        <v>79</v>
      </c>
      <c r="D17" s="186" t="inlineStr">
        <is>
          <t>MFJ</t>
        </is>
      </c>
      <c r="E17" s="186" t="inlineStr">
        <is>
          <t>ALIVE</t>
        </is>
      </c>
      <c r="F17" s="186" t="inlineStr">
        <is>
          <t>ALIVE</t>
        </is>
      </c>
      <c r="G17" s="187" t="n">
        <v>0</v>
      </c>
      <c r="H17" s="187" t="n">
        <v>0</v>
      </c>
      <c r="I17" s="188" t="n">
        <v>0</v>
      </c>
      <c r="J17" s="193" t="inlineStr">
        <is>
          <t>✓</t>
        </is>
      </c>
      <c r="K17" s="187" t="n">
        <v>0</v>
      </c>
      <c r="L17" s="188" t="n">
        <v>0</v>
      </c>
      <c r="M17" s="187" t="n">
        <v>0</v>
      </c>
      <c r="N17" s="190" t="n"/>
      <c r="O17" s="188" t="n">
        <v>0</v>
      </c>
      <c r="P17" s="191" t="n">
        <v>0</v>
      </c>
      <c r="Q17" s="186" t="inlineStr">
        <is>
          <t>✓</t>
        </is>
      </c>
      <c r="R17" s="188" t="n">
        <v>0</v>
      </c>
      <c r="S17" s="187" t="n">
        <v>0</v>
      </c>
      <c r="T17" s="188" t="n">
        <v>0</v>
      </c>
      <c r="U17" s="192" t="n"/>
      <c r="V17" s="187" t="n">
        <v>0</v>
      </c>
      <c r="W17" s="187" t="n">
        <v>0</v>
      </c>
      <c r="X17" s="187" t="n">
        <v>0</v>
      </c>
      <c r="Y17" s="193" t="inlineStr">
        <is>
          <t>✓</t>
        </is>
      </c>
      <c r="Z17" s="194" t="inlineStr"/>
      <c r="AA17" s="194" t="inlineStr"/>
    </row>
    <row r="18" ht="15" customHeight="1">
      <c r="A18" s="184" t="n">
        <v>2041</v>
      </c>
      <c r="B18" s="185" t="n">
        <v>79</v>
      </c>
      <c r="C18" s="184" t="n">
        <v>80</v>
      </c>
      <c r="D18" s="186" t="inlineStr">
        <is>
          <t>MFJ</t>
        </is>
      </c>
      <c r="E18" s="186" t="inlineStr">
        <is>
          <t>ALIVE</t>
        </is>
      </c>
      <c r="F18" s="186" t="inlineStr">
        <is>
          <t>ALIVE</t>
        </is>
      </c>
      <c r="G18" s="187" t="n">
        <v>0</v>
      </c>
      <c r="H18" s="187" t="n">
        <v>0</v>
      </c>
      <c r="I18" s="188" t="n">
        <v>0</v>
      </c>
      <c r="J18" s="193" t="inlineStr">
        <is>
          <t>✓</t>
        </is>
      </c>
      <c r="K18" s="187" t="n">
        <v>0</v>
      </c>
      <c r="L18" s="188" t="n">
        <v>0</v>
      </c>
      <c r="M18" s="187" t="n">
        <v>0</v>
      </c>
      <c r="N18" s="190" t="n"/>
      <c r="O18" s="188" t="n">
        <v>0</v>
      </c>
      <c r="P18" s="191" t="n">
        <v>0</v>
      </c>
      <c r="Q18" s="186" t="inlineStr">
        <is>
          <t>✓</t>
        </is>
      </c>
      <c r="R18" s="188" t="n">
        <v>0</v>
      </c>
      <c r="S18" s="187" t="n">
        <v>0</v>
      </c>
      <c r="T18" s="188" t="n">
        <v>0</v>
      </c>
      <c r="U18" s="192" t="n"/>
      <c r="V18" s="187" t="n">
        <v>0</v>
      </c>
      <c r="W18" s="187" t="n">
        <v>0</v>
      </c>
      <c r="X18" s="187" t="n">
        <v>0</v>
      </c>
      <c r="Y18" s="193" t="inlineStr">
        <is>
          <t>✓</t>
        </is>
      </c>
      <c r="Z18" s="194" t="inlineStr"/>
      <c r="AA18" s="194" t="inlineStr"/>
    </row>
    <row r="19" ht="15" customHeight="1">
      <c r="A19" s="184" t="n">
        <v>2042</v>
      </c>
      <c r="B19" s="185" t="n">
        <v>80</v>
      </c>
      <c r="C19" s="184" t="n">
        <v>81</v>
      </c>
      <c r="D19" s="186" t="inlineStr">
        <is>
          <t>MFJ</t>
        </is>
      </c>
      <c r="E19" s="186" t="inlineStr">
        <is>
          <t>ALIVE</t>
        </is>
      </c>
      <c r="F19" s="186" t="inlineStr">
        <is>
          <t>ALIVE</t>
        </is>
      </c>
      <c r="G19" s="187" t="n">
        <v>0</v>
      </c>
      <c r="H19" s="187" t="n">
        <v>0</v>
      </c>
      <c r="I19" s="188" t="n">
        <v>0</v>
      </c>
      <c r="J19" s="193" t="inlineStr">
        <is>
          <t>✓</t>
        </is>
      </c>
      <c r="K19" s="187" t="n">
        <v>0</v>
      </c>
      <c r="L19" s="188" t="n">
        <v>0</v>
      </c>
      <c r="M19" s="187" t="n">
        <v>0</v>
      </c>
      <c r="N19" s="190" t="n"/>
      <c r="O19" s="188" t="n">
        <v>0</v>
      </c>
      <c r="P19" s="191" t="n">
        <v>0</v>
      </c>
      <c r="Q19" s="186" t="inlineStr">
        <is>
          <t>✓</t>
        </is>
      </c>
      <c r="R19" s="188" t="n">
        <v>0</v>
      </c>
      <c r="S19" s="187" t="n">
        <v>0</v>
      </c>
      <c r="T19" s="188" t="n">
        <v>0</v>
      </c>
      <c r="U19" s="192" t="n"/>
      <c r="V19" s="187" t="n">
        <v>0</v>
      </c>
      <c r="W19" s="187" t="n">
        <v>0</v>
      </c>
      <c r="X19" s="187" t="n">
        <v>0</v>
      </c>
      <c r="Y19" s="193" t="inlineStr">
        <is>
          <t>✓</t>
        </is>
      </c>
      <c r="Z19" s="194" t="inlineStr"/>
      <c r="AA19" s="194" t="inlineStr"/>
    </row>
    <row r="20" ht="15" customHeight="1">
      <c r="A20" s="184" t="n">
        <v>2043</v>
      </c>
      <c r="B20" s="185" t="n">
        <v>81</v>
      </c>
      <c r="C20" s="184" t="n">
        <v>82</v>
      </c>
      <c r="D20" s="186" t="inlineStr">
        <is>
          <t>MFJ</t>
        </is>
      </c>
      <c r="E20" s="186" t="inlineStr">
        <is>
          <t>ALIVE</t>
        </is>
      </c>
      <c r="F20" s="186" t="inlineStr">
        <is>
          <t>ALIVE</t>
        </is>
      </c>
      <c r="G20" s="187" t="n">
        <v>0</v>
      </c>
      <c r="H20" s="187" t="n">
        <v>0</v>
      </c>
      <c r="I20" s="188" t="n">
        <v>0</v>
      </c>
      <c r="J20" s="193" t="inlineStr">
        <is>
          <t>✓</t>
        </is>
      </c>
      <c r="K20" s="187" t="n">
        <v>0</v>
      </c>
      <c r="L20" s="188" t="n">
        <v>0</v>
      </c>
      <c r="M20" s="187" t="n">
        <v>0</v>
      </c>
      <c r="N20" s="190" t="n"/>
      <c r="O20" s="188" t="n">
        <v>0</v>
      </c>
      <c r="P20" s="191" t="n">
        <v>0</v>
      </c>
      <c r="Q20" s="186" t="inlineStr">
        <is>
          <t>✓</t>
        </is>
      </c>
      <c r="R20" s="188" t="n">
        <v>0</v>
      </c>
      <c r="S20" s="187" t="n">
        <v>0</v>
      </c>
      <c r="T20" s="188" t="n">
        <v>0</v>
      </c>
      <c r="U20" s="192" t="n"/>
      <c r="V20" s="187" t="n">
        <v>0</v>
      </c>
      <c r="W20" s="187" t="n">
        <v>0</v>
      </c>
      <c r="X20" s="187" t="n">
        <v>0</v>
      </c>
      <c r="Y20" s="193" t="inlineStr">
        <is>
          <t>✓</t>
        </is>
      </c>
      <c r="Z20" s="194" t="inlineStr"/>
      <c r="AA20" s="194" t="inlineStr"/>
    </row>
    <row r="21" ht="15" customHeight="1">
      <c r="A21" s="184" t="n">
        <v>2044</v>
      </c>
      <c r="B21" s="185" t="n">
        <v>82</v>
      </c>
      <c r="C21" s="184" t="n">
        <v>83</v>
      </c>
      <c r="D21" s="186" t="inlineStr">
        <is>
          <t>MFJ</t>
        </is>
      </c>
      <c r="E21" s="186" t="inlineStr">
        <is>
          <t>ALIVE</t>
        </is>
      </c>
      <c r="F21" s="186" t="inlineStr">
        <is>
          <t>ALIVE</t>
        </is>
      </c>
      <c r="G21" s="187" t="n">
        <v>0</v>
      </c>
      <c r="H21" s="187" t="n">
        <v>0</v>
      </c>
      <c r="I21" s="188" t="n">
        <v>0</v>
      </c>
      <c r="J21" s="193" t="inlineStr">
        <is>
          <t>✓</t>
        </is>
      </c>
      <c r="K21" s="187" t="n">
        <v>0</v>
      </c>
      <c r="L21" s="188" t="n">
        <v>0</v>
      </c>
      <c r="M21" s="187" t="n">
        <v>0</v>
      </c>
      <c r="N21" s="190" t="n"/>
      <c r="O21" s="188" t="n">
        <v>0</v>
      </c>
      <c r="P21" s="191" t="n">
        <v>0</v>
      </c>
      <c r="Q21" s="186" t="inlineStr">
        <is>
          <t>✓</t>
        </is>
      </c>
      <c r="R21" s="188" t="n">
        <v>0</v>
      </c>
      <c r="S21" s="187" t="n">
        <v>0</v>
      </c>
      <c r="T21" s="188" t="n">
        <v>0</v>
      </c>
      <c r="U21" s="192" t="n"/>
      <c r="V21" s="187" t="n">
        <v>0</v>
      </c>
      <c r="W21" s="187" t="n">
        <v>0</v>
      </c>
      <c r="X21" s="187" t="n">
        <v>0</v>
      </c>
      <c r="Y21" s="193" t="inlineStr">
        <is>
          <t>✓</t>
        </is>
      </c>
      <c r="Z21" s="194" t="inlineStr"/>
      <c r="AA21" s="194" t="inlineStr"/>
    </row>
    <row r="22" ht="15" customHeight="1">
      <c r="A22" s="184" t="n">
        <v>2045</v>
      </c>
      <c r="B22" s="185" t="n">
        <v>83</v>
      </c>
      <c r="C22" s="184" t="n">
        <v>84</v>
      </c>
      <c r="D22" s="186" t="inlineStr">
        <is>
          <t>MFJ</t>
        </is>
      </c>
      <c r="E22" s="186" t="inlineStr">
        <is>
          <t>ALIVE</t>
        </is>
      </c>
      <c r="F22" s="186" t="inlineStr">
        <is>
          <t>ALIVE</t>
        </is>
      </c>
      <c r="G22" s="187" t="n">
        <v>0</v>
      </c>
      <c r="H22" s="187" t="n">
        <v>0</v>
      </c>
      <c r="I22" s="188" t="n">
        <v>0</v>
      </c>
      <c r="J22" s="193" t="inlineStr">
        <is>
          <t>✓</t>
        </is>
      </c>
      <c r="K22" s="187" t="n">
        <v>0</v>
      </c>
      <c r="L22" s="188" t="n">
        <v>0</v>
      </c>
      <c r="M22" s="187" t="n">
        <v>0</v>
      </c>
      <c r="N22" s="190" t="n"/>
      <c r="O22" s="188" t="n">
        <v>0</v>
      </c>
      <c r="P22" s="191" t="n">
        <v>0</v>
      </c>
      <c r="Q22" s="186" t="inlineStr">
        <is>
          <t>✓</t>
        </is>
      </c>
      <c r="R22" s="188" t="n">
        <v>0</v>
      </c>
      <c r="S22" s="187" t="n">
        <v>0</v>
      </c>
      <c r="T22" s="188" t="n">
        <v>0</v>
      </c>
      <c r="U22" s="192" t="n"/>
      <c r="V22" s="187" t="n">
        <v>0</v>
      </c>
      <c r="W22" s="187" t="n">
        <v>0</v>
      </c>
      <c r="X22" s="187" t="n">
        <v>0</v>
      </c>
      <c r="Y22" s="193" t="inlineStr">
        <is>
          <t>✓</t>
        </is>
      </c>
      <c r="Z22" s="194" t="inlineStr"/>
      <c r="AA22" s="194" t="inlineStr"/>
    </row>
    <row r="23" ht="15" customHeight="1">
      <c r="A23" s="184" t="n">
        <v>2046</v>
      </c>
      <c r="B23" s="185" t="n">
        <v>84</v>
      </c>
      <c r="C23" s="184" t="n">
        <v>85</v>
      </c>
      <c r="D23" s="186" t="inlineStr">
        <is>
          <t>MFJ</t>
        </is>
      </c>
      <c r="E23" s="186" t="inlineStr">
        <is>
          <t>ALIVE</t>
        </is>
      </c>
      <c r="F23" s="186" t="inlineStr">
        <is>
          <t>ALIVE</t>
        </is>
      </c>
      <c r="G23" s="187" t="n">
        <v>0</v>
      </c>
      <c r="H23" s="187" t="n">
        <v>0</v>
      </c>
      <c r="I23" s="188" t="n">
        <v>0</v>
      </c>
      <c r="J23" s="193" t="inlineStr">
        <is>
          <t>✓</t>
        </is>
      </c>
      <c r="K23" s="187" t="n">
        <v>0</v>
      </c>
      <c r="L23" s="188" t="n">
        <v>0</v>
      </c>
      <c r="M23" s="187" t="n">
        <v>0</v>
      </c>
      <c r="N23" s="190" t="n"/>
      <c r="O23" s="188" t="n">
        <v>0</v>
      </c>
      <c r="P23" s="191" t="n">
        <v>0</v>
      </c>
      <c r="Q23" s="186" t="inlineStr">
        <is>
          <t>✓</t>
        </is>
      </c>
      <c r="R23" s="188" t="n">
        <v>0</v>
      </c>
      <c r="S23" s="187" t="n">
        <v>0</v>
      </c>
      <c r="T23" s="188" t="n">
        <v>0</v>
      </c>
      <c r="U23" s="192" t="n"/>
      <c r="V23" s="187" t="n">
        <v>0</v>
      </c>
      <c r="W23" s="187" t="n">
        <v>0</v>
      </c>
      <c r="X23" s="187" t="n">
        <v>0</v>
      </c>
      <c r="Y23" s="193" t="inlineStr">
        <is>
          <t>✓</t>
        </is>
      </c>
      <c r="Z23" s="194" t="inlineStr"/>
      <c r="AA23" s="194" t="inlineStr"/>
    </row>
    <row r="24" ht="15" customHeight="1">
      <c r="A24" s="184" t="n">
        <v>2047</v>
      </c>
      <c r="B24" s="185" t="n">
        <v>85</v>
      </c>
      <c r="C24" s="184" t="n">
        <v>86</v>
      </c>
      <c r="D24" s="186" t="inlineStr">
        <is>
          <t>MFJ</t>
        </is>
      </c>
      <c r="E24" s="186" t="inlineStr">
        <is>
          <t>ALIVE</t>
        </is>
      </c>
      <c r="F24" s="186" t="inlineStr">
        <is>
          <t>ALIVE</t>
        </is>
      </c>
      <c r="G24" s="187" t="n">
        <v>0</v>
      </c>
      <c r="H24" s="187" t="n">
        <v>0</v>
      </c>
      <c r="I24" s="188" t="n">
        <v>0</v>
      </c>
      <c r="J24" s="193" t="inlineStr">
        <is>
          <t>✓</t>
        </is>
      </c>
      <c r="K24" s="187" t="n">
        <v>0</v>
      </c>
      <c r="L24" s="188" t="n">
        <v>0</v>
      </c>
      <c r="M24" s="187" t="n">
        <v>0</v>
      </c>
      <c r="N24" s="190" t="n"/>
      <c r="O24" s="188" t="n">
        <v>0</v>
      </c>
      <c r="P24" s="191" t="n">
        <v>0</v>
      </c>
      <c r="Q24" s="186" t="inlineStr">
        <is>
          <t>✓</t>
        </is>
      </c>
      <c r="R24" s="188" t="n">
        <v>0</v>
      </c>
      <c r="S24" s="187" t="n">
        <v>0</v>
      </c>
      <c r="T24" s="188" t="n">
        <v>0</v>
      </c>
      <c r="U24" s="192" t="n"/>
      <c r="V24" s="187" t="n">
        <v>0</v>
      </c>
      <c r="W24" s="187" t="n">
        <v>0</v>
      </c>
      <c r="X24" s="187" t="n">
        <v>0</v>
      </c>
      <c r="Y24" s="193" t="inlineStr">
        <is>
          <t>✓</t>
        </is>
      </c>
      <c r="Z24" s="194" t="inlineStr"/>
      <c r="AA24" s="194" t="inlineStr"/>
    </row>
    <row r="25" ht="15" customHeight="1">
      <c r="A25" s="184" t="n">
        <v>2048</v>
      </c>
      <c r="B25" s="185" t="n">
        <v>86</v>
      </c>
      <c r="C25" s="184" t="n">
        <v>87</v>
      </c>
      <c r="D25" s="186" t="inlineStr">
        <is>
          <t>MFJ</t>
        </is>
      </c>
      <c r="E25" s="186" t="inlineStr">
        <is>
          <t>ALIVE</t>
        </is>
      </c>
      <c r="F25" s="186" t="inlineStr">
        <is>
          <t>ALIVE</t>
        </is>
      </c>
      <c r="G25" s="187" t="n">
        <v>0</v>
      </c>
      <c r="H25" s="187" t="n">
        <v>0</v>
      </c>
      <c r="I25" s="188" t="n">
        <v>0</v>
      </c>
      <c r="J25" s="193" t="inlineStr">
        <is>
          <t>✓</t>
        </is>
      </c>
      <c r="K25" s="187" t="n">
        <v>0</v>
      </c>
      <c r="L25" s="188" t="n">
        <v>0</v>
      </c>
      <c r="M25" s="187" t="n">
        <v>0</v>
      </c>
      <c r="N25" s="190" t="n"/>
      <c r="O25" s="188" t="n">
        <v>0</v>
      </c>
      <c r="P25" s="191" t="n">
        <v>0</v>
      </c>
      <c r="Q25" s="186" t="inlineStr">
        <is>
          <t>✓</t>
        </is>
      </c>
      <c r="R25" s="188" t="n">
        <v>0</v>
      </c>
      <c r="S25" s="187" t="n">
        <v>0</v>
      </c>
      <c r="T25" s="188" t="n">
        <v>0</v>
      </c>
      <c r="U25" s="192" t="n"/>
      <c r="V25" s="187" t="n">
        <v>0</v>
      </c>
      <c r="W25" s="187" t="n">
        <v>0</v>
      </c>
      <c r="X25" s="187" t="n">
        <v>0</v>
      </c>
      <c r="Y25" s="193" t="inlineStr">
        <is>
          <t>✓</t>
        </is>
      </c>
      <c r="Z25" s="194" t="inlineStr"/>
      <c r="AA25" s="194" t="inlineStr"/>
    </row>
    <row r="26" ht="15" customHeight="1">
      <c r="A26" s="184" t="n">
        <v>2049</v>
      </c>
      <c r="B26" s="185" t="n">
        <v>87</v>
      </c>
      <c r="C26" s="184" t="n">
        <v>88</v>
      </c>
      <c r="D26" s="186" t="inlineStr">
        <is>
          <t>MFJ</t>
        </is>
      </c>
      <c r="E26" s="186" t="inlineStr">
        <is>
          <t>ALIVE</t>
        </is>
      </c>
      <c r="F26" s="186" t="inlineStr">
        <is>
          <t>ALIVE</t>
        </is>
      </c>
      <c r="G26" s="187" t="n">
        <v>0</v>
      </c>
      <c r="H26" s="187" t="n">
        <v>0</v>
      </c>
      <c r="I26" s="188" t="n">
        <v>0</v>
      </c>
      <c r="J26" s="193" t="inlineStr">
        <is>
          <t>✓</t>
        </is>
      </c>
      <c r="K26" s="187" t="n">
        <v>0</v>
      </c>
      <c r="L26" s="188" t="n">
        <v>0</v>
      </c>
      <c r="M26" s="187" t="n">
        <v>0</v>
      </c>
      <c r="N26" s="190" t="n"/>
      <c r="O26" s="188" t="n">
        <v>0</v>
      </c>
      <c r="P26" s="191" t="n">
        <v>0</v>
      </c>
      <c r="Q26" s="186" t="inlineStr">
        <is>
          <t>✓</t>
        </is>
      </c>
      <c r="R26" s="188" t="n">
        <v>0</v>
      </c>
      <c r="S26" s="187" t="n">
        <v>0</v>
      </c>
      <c r="T26" s="188" t="n">
        <v>0</v>
      </c>
      <c r="U26" s="192" t="n"/>
      <c r="V26" s="187" t="n">
        <v>0</v>
      </c>
      <c r="W26" s="187" t="n">
        <v>0</v>
      </c>
      <c r="X26" s="187" t="n">
        <v>0</v>
      </c>
      <c r="Y26" s="193" t="inlineStr">
        <is>
          <t>✓</t>
        </is>
      </c>
      <c r="Z26" s="194" t="inlineStr"/>
      <c r="AA26" s="194" t="inlineStr"/>
    </row>
    <row r="27" ht="15" customHeight="1">
      <c r="A27" s="184" t="n">
        <v>2050</v>
      </c>
      <c r="B27" s="185" t="n">
        <v>88</v>
      </c>
      <c r="C27" s="184" t="n">
        <v>89</v>
      </c>
      <c r="D27" s="186" t="inlineStr">
        <is>
          <t>MFJ</t>
        </is>
      </c>
      <c r="E27" s="186" t="inlineStr">
        <is>
          <t>ALIVE</t>
        </is>
      </c>
      <c r="F27" s="186" t="inlineStr">
        <is>
          <t>ALIVE</t>
        </is>
      </c>
      <c r="G27" s="187" t="n">
        <v>0</v>
      </c>
      <c r="H27" s="187" t="n">
        <v>0</v>
      </c>
      <c r="I27" s="188" t="n">
        <v>0</v>
      </c>
      <c r="J27" s="193" t="inlineStr">
        <is>
          <t>✓</t>
        </is>
      </c>
      <c r="K27" s="187" t="n">
        <v>0</v>
      </c>
      <c r="L27" s="188" t="n">
        <v>0</v>
      </c>
      <c r="M27" s="187" t="n">
        <v>0</v>
      </c>
      <c r="N27" s="190" t="n"/>
      <c r="O27" s="188" t="n">
        <v>0</v>
      </c>
      <c r="P27" s="191" t="n">
        <v>0</v>
      </c>
      <c r="Q27" s="186" t="inlineStr">
        <is>
          <t>✓</t>
        </is>
      </c>
      <c r="R27" s="188" t="n">
        <v>0</v>
      </c>
      <c r="S27" s="187" t="n">
        <v>0</v>
      </c>
      <c r="T27" s="188" t="n">
        <v>0</v>
      </c>
      <c r="U27" s="192" t="n"/>
      <c r="V27" s="187" t="n">
        <v>0</v>
      </c>
      <c r="W27" s="187" t="n">
        <v>0</v>
      </c>
      <c r="X27" s="187" t="n">
        <v>0</v>
      </c>
      <c r="Y27" s="193" t="inlineStr">
        <is>
          <t>✓</t>
        </is>
      </c>
      <c r="Z27" s="194" t="inlineStr"/>
      <c r="AA27" s="194" t="inlineStr"/>
    </row>
    <row r="28" ht="15" customHeight="1">
      <c r="A28" s="184" t="n">
        <v>2051</v>
      </c>
      <c r="B28" s="185" t="n">
        <v>89</v>
      </c>
      <c r="C28" s="184" t="n">
        <v>90</v>
      </c>
      <c r="D28" s="186" t="inlineStr">
        <is>
          <t>MFJ</t>
        </is>
      </c>
      <c r="E28" s="186" t="inlineStr">
        <is>
          <t>ALIVE</t>
        </is>
      </c>
      <c r="F28" s="186" t="inlineStr">
        <is>
          <t>ALIVE</t>
        </is>
      </c>
      <c r="G28" s="187" t="n">
        <v>0</v>
      </c>
      <c r="H28" s="187" t="n">
        <v>0</v>
      </c>
      <c r="I28" s="188" t="n">
        <v>0</v>
      </c>
      <c r="J28" s="193" t="inlineStr">
        <is>
          <t>✓</t>
        </is>
      </c>
      <c r="K28" s="187" t="n">
        <v>0</v>
      </c>
      <c r="L28" s="188" t="n">
        <v>0</v>
      </c>
      <c r="M28" s="187" t="n">
        <v>0</v>
      </c>
      <c r="N28" s="190" t="n"/>
      <c r="O28" s="188" t="n">
        <v>0</v>
      </c>
      <c r="P28" s="191" t="n">
        <v>0</v>
      </c>
      <c r="Q28" s="186" t="inlineStr">
        <is>
          <t>✓</t>
        </is>
      </c>
      <c r="R28" s="188" t="n">
        <v>0</v>
      </c>
      <c r="S28" s="187" t="n">
        <v>0</v>
      </c>
      <c r="T28" s="188" t="n">
        <v>0</v>
      </c>
      <c r="U28" s="192" t="n"/>
      <c r="V28" s="187" t="n">
        <v>0</v>
      </c>
      <c r="W28" s="187" t="n">
        <v>0</v>
      </c>
      <c r="X28" s="187" t="n">
        <v>0</v>
      </c>
      <c r="Y28" s="193" t="inlineStr">
        <is>
          <t>✓</t>
        </is>
      </c>
      <c r="Z28" s="194" t="inlineStr"/>
      <c r="AA28" s="194" t="inlineStr"/>
    </row>
    <row r="29" ht="15" customHeight="1">
      <c r="A29" s="184" t="n">
        <v>2052</v>
      </c>
      <c r="B29" s="185" t="n">
        <v>90</v>
      </c>
      <c r="C29" s="184" t="n">
        <v>91</v>
      </c>
      <c r="D29" s="186" t="inlineStr">
        <is>
          <t>MFJ</t>
        </is>
      </c>
      <c r="E29" s="186" t="inlineStr">
        <is>
          <t>ALIVE</t>
        </is>
      </c>
      <c r="F29" s="186" t="inlineStr">
        <is>
          <t>ALIVE</t>
        </is>
      </c>
      <c r="G29" s="187" t="n">
        <v>0</v>
      </c>
      <c r="H29" s="187" t="n">
        <v>0</v>
      </c>
      <c r="I29" s="188" t="n">
        <v>0</v>
      </c>
      <c r="J29" s="193" t="inlineStr">
        <is>
          <t>✓</t>
        </is>
      </c>
      <c r="K29" s="187" t="n">
        <v>0</v>
      </c>
      <c r="L29" s="188" t="n">
        <v>0</v>
      </c>
      <c r="M29" s="187" t="n">
        <v>0</v>
      </c>
      <c r="N29" s="190" t="n"/>
      <c r="O29" s="188" t="n">
        <v>0</v>
      </c>
      <c r="P29" s="191" t="n">
        <v>0</v>
      </c>
      <c r="Q29" s="186" t="inlineStr">
        <is>
          <t>✓</t>
        </is>
      </c>
      <c r="R29" s="188" t="n">
        <v>0</v>
      </c>
      <c r="S29" s="187" t="n">
        <v>0</v>
      </c>
      <c r="T29" s="188" t="n">
        <v>0</v>
      </c>
      <c r="U29" s="192" t="n"/>
      <c r="V29" s="187" t="n">
        <v>0</v>
      </c>
      <c r="W29" s="187" t="n">
        <v>0</v>
      </c>
      <c r="X29" s="187" t="n">
        <v>0</v>
      </c>
      <c r="Y29" s="193" t="inlineStr">
        <is>
          <t>✓</t>
        </is>
      </c>
      <c r="Z29" s="194" t="inlineStr"/>
      <c r="AA29" s="194" t="inlineStr"/>
    </row>
    <row r="30" ht="15" customHeight="1">
      <c r="A30" s="184" t="n">
        <v>2053</v>
      </c>
      <c r="B30" s="185" t="n">
        <v>91</v>
      </c>
      <c r="C30" s="184" t="n">
        <v>92</v>
      </c>
      <c r="D30" s="186" t="inlineStr">
        <is>
          <t>MFJ</t>
        </is>
      </c>
      <c r="E30" s="186" t="inlineStr">
        <is>
          <t>ALIVE</t>
        </is>
      </c>
      <c r="F30" s="186" t="inlineStr">
        <is>
          <t>ALIVE</t>
        </is>
      </c>
      <c r="G30" s="187" t="n">
        <v>0</v>
      </c>
      <c r="H30" s="187" t="n">
        <v>0</v>
      </c>
      <c r="I30" s="188" t="n">
        <v>0</v>
      </c>
      <c r="J30" s="193" t="inlineStr">
        <is>
          <t>✓</t>
        </is>
      </c>
      <c r="K30" s="187" t="n">
        <v>0</v>
      </c>
      <c r="L30" s="188" t="n">
        <v>0</v>
      </c>
      <c r="M30" s="187" t="n">
        <v>0</v>
      </c>
      <c r="N30" s="190" t="n"/>
      <c r="O30" s="188" t="n">
        <v>0</v>
      </c>
      <c r="P30" s="191" t="n">
        <v>0</v>
      </c>
      <c r="Q30" s="186" t="inlineStr">
        <is>
          <t>✓</t>
        </is>
      </c>
      <c r="R30" s="188" t="n">
        <v>0</v>
      </c>
      <c r="S30" s="187" t="n">
        <v>0</v>
      </c>
      <c r="T30" s="188" t="n">
        <v>0</v>
      </c>
      <c r="U30" s="192" t="n"/>
      <c r="V30" s="187" t="n">
        <v>0</v>
      </c>
      <c r="W30" s="187" t="n">
        <v>0</v>
      </c>
      <c r="X30" s="187" t="n">
        <v>0</v>
      </c>
      <c r="Y30" s="193" t="inlineStr">
        <is>
          <t>✓</t>
        </is>
      </c>
      <c r="Z30" s="194" t="inlineStr"/>
      <c r="AA30" s="194" t="inlineStr"/>
    </row>
    <row r="31" ht="30" customHeight="1">
      <c r="A31" s="195" t="n">
        <v>2054</v>
      </c>
      <c r="B31" s="195" t="n">
        <v>92</v>
      </c>
      <c r="C31" s="195" t="n">
        <v>93</v>
      </c>
      <c r="D31" s="196" t="inlineStr">
        <is>
          <t>MFJ</t>
        </is>
      </c>
      <c r="E31" s="196" t="inlineStr">
        <is>
          <t>ALIVE</t>
        </is>
      </c>
      <c r="F31" s="196" t="inlineStr">
        <is>
          <t>ALIVE</t>
        </is>
      </c>
      <c r="G31" s="197" t="n">
        <v>0</v>
      </c>
      <c r="H31" s="197" t="n">
        <v>0</v>
      </c>
      <c r="I31" s="198" t="n">
        <v>0</v>
      </c>
      <c r="J31" s="193" t="inlineStr">
        <is>
          <t>✓</t>
        </is>
      </c>
      <c r="K31" s="197" t="n">
        <v>0</v>
      </c>
      <c r="L31" s="198" t="n">
        <v>0</v>
      </c>
      <c r="M31" s="197" t="n">
        <v>0</v>
      </c>
      <c r="N31" s="199" t="n"/>
      <c r="O31" s="198" t="n">
        <v>0</v>
      </c>
      <c r="P31" s="200" t="n">
        <v>0</v>
      </c>
      <c r="Q31" s="196" t="inlineStr">
        <is>
          <t>✓</t>
        </is>
      </c>
      <c r="R31" s="198" t="n">
        <v>0</v>
      </c>
      <c r="S31" s="197" t="n">
        <v>0</v>
      </c>
      <c r="T31" s="198" t="n">
        <v>0</v>
      </c>
      <c r="U31" s="201" t="n"/>
      <c r="V31" s="197" t="n">
        <v>0</v>
      </c>
      <c r="W31" s="197" t="n">
        <v>0</v>
      </c>
      <c r="X31" s="197" t="n">
        <v>0</v>
      </c>
      <c r="Y31" s="193" t="inlineStr">
        <is>
          <t>✓</t>
        </is>
      </c>
      <c r="Z31" s="196" t="inlineStr">
        <is>
          <t>H→W (spousal rollover)</t>
        </is>
      </c>
      <c r="AA31" s="196" t="inlineStr">
        <is>
          <t>Rollover: H→W (spousal rollover)</t>
        </is>
      </c>
    </row>
    <row r="32" ht="15" customHeight="1">
      <c r="A32" s="202" t="n">
        <v>2055</v>
      </c>
      <c r="B32" s="202" t="n">
        <v>93</v>
      </c>
      <c r="C32" s="202" t="n">
        <v>94</v>
      </c>
      <c r="D32" s="189" t="inlineStr">
        <is>
          <t>Single</t>
        </is>
      </c>
      <c r="E32" s="189" t="inlineStr">
        <is>
          <t>DIED 2054</t>
        </is>
      </c>
      <c r="F32" s="189" t="inlineStr">
        <is>
          <t>ALIVE</t>
        </is>
      </c>
      <c r="G32" s="200" t="n">
        <v>0</v>
      </c>
      <c r="H32" s="200" t="n">
        <v>0</v>
      </c>
      <c r="I32" s="203" t="n">
        <v>0</v>
      </c>
      <c r="J32" s="189" t="inlineStr">
        <is>
          <t>N/A</t>
        </is>
      </c>
      <c r="K32" s="200" t="n">
        <v>0</v>
      </c>
      <c r="L32" s="203" t="n">
        <v>0</v>
      </c>
      <c r="M32" s="200" t="n">
        <v>0</v>
      </c>
      <c r="N32" s="204" t="n"/>
      <c r="O32" s="203" t="n">
        <v>0</v>
      </c>
      <c r="P32" s="200" t="n">
        <v>0</v>
      </c>
      <c r="Q32" s="189" t="inlineStr">
        <is>
          <t>✓</t>
        </is>
      </c>
      <c r="R32" s="203" t="n">
        <v>0</v>
      </c>
      <c r="S32" s="200" t="n">
        <v>0</v>
      </c>
      <c r="T32" s="203" t="n">
        <v>0</v>
      </c>
      <c r="U32" s="205" t="n"/>
      <c r="V32" s="200" t="n">
        <v>0</v>
      </c>
      <c r="W32" s="200" t="n">
        <v>0</v>
      </c>
      <c r="X32" s="200" t="n">
        <v>0</v>
      </c>
      <c r="Y32" s="193" t="inlineStr">
        <is>
          <t>✓</t>
        </is>
      </c>
      <c r="Z32" s="206" t="inlineStr"/>
      <c r="AA32" s="189" t="inlineStr">
        <is>
          <t>H died 2054</t>
        </is>
      </c>
    </row>
    <row r="33" ht="90" customHeight="1">
      <c r="A33" s="195" t="n">
        <v>2056</v>
      </c>
      <c r="B33" s="195" t="n">
        <v>94</v>
      </c>
      <c r="C33" s="195" t="n">
        <v>95</v>
      </c>
      <c r="D33" s="196" t="inlineStr">
        <is>
          <t>Single</t>
        </is>
      </c>
      <c r="E33" s="196" t="inlineStr">
        <is>
          <t>DIED 2054</t>
        </is>
      </c>
      <c r="F33" s="196" t="inlineStr">
        <is>
          <t>ALIVE</t>
        </is>
      </c>
      <c r="G33" s="197" t="n">
        <v>0</v>
      </c>
      <c r="H33" s="197" t="n">
        <v>0</v>
      </c>
      <c r="I33" s="198" t="n">
        <v>0</v>
      </c>
      <c r="J33" s="189" t="inlineStr">
        <is>
          <t>N/A</t>
        </is>
      </c>
      <c r="K33" s="197" t="n">
        <v>0</v>
      </c>
      <c r="L33" s="198" t="n">
        <v>0</v>
      </c>
      <c r="M33" s="197" t="n">
        <v>0</v>
      </c>
      <c r="N33" s="199" t="n"/>
      <c r="O33" s="198" t="n">
        <v>0</v>
      </c>
      <c r="P33" s="200" t="n">
        <v>0</v>
      </c>
      <c r="Q33" s="196" t="inlineStr">
        <is>
          <t>✓</t>
        </is>
      </c>
      <c r="R33" s="198" t="n">
        <v>0</v>
      </c>
      <c r="S33" s="197" t="n">
        <v>0</v>
      </c>
      <c r="T33" s="198" t="n">
        <v>0</v>
      </c>
      <c r="U33" s="201" t="n"/>
      <c r="V33" s="197" t="n">
        <v>0</v>
      </c>
      <c r="W33" s="197" t="n">
        <v>0</v>
      </c>
      <c r="X33" s="197" t="n">
        <v>0</v>
      </c>
      <c r="Y33" s="193" t="inlineStr">
        <is>
          <t>✓</t>
        </is>
      </c>
      <c r="Z33" s="196" t="inlineStr">
        <is>
          <t>W 2nd death — taxable → Wife_Trust; IRAs/Roths inherited by beneficiaries</t>
        </is>
      </c>
      <c r="AA33" s="196" t="inlineStr">
        <is>
          <t>H died 2054; Rollover: W 2nd death — taxable → Wife_Trust; IRAs/Roths inherited by beneficiaries</t>
        </is>
      </c>
    </row>
    <row r="34"/>
    <row r="35" ht="15" customHeight="1">
      <c r="A35" s="207" t="n"/>
      <c r="B35" s="99" t="inlineStr">
        <is>
          <t>RMD year — satisfied correctly</t>
        </is>
      </c>
    </row>
    <row r="36" ht="15" customHeight="1">
      <c r="A36" s="208" t="n"/>
      <c r="B36" s="99" t="inlineStr">
        <is>
          <t>RMD shortfall or CF mismatch</t>
        </is>
      </c>
    </row>
    <row r="37" ht="15" customHeight="1">
      <c r="A37" s="209" t="n"/>
      <c r="B37" s="99" t="inlineStr">
        <is>
          <t>Spousal rollover year</t>
        </is>
      </c>
    </row>
    <row r="38" ht="15" customHeight="1">
      <c r="A38" s="210" t="n"/>
      <c r="B38" s="99"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v9 local dated tax-law dataset; no embedded fallback required for new code</t>
        </is>
      </c>
      <c r="D55" s="12" t="inlineStr">
        <is>
          <t>See tax-law dashboard</t>
        </is>
      </c>
    </row>
    <row r="56" ht="45" customHeight="1">
      <c r="A56" s="12" t="inlineStr">
        <is>
          <t>Irmaa Tiers</t>
        </is>
      </c>
      <c r="B56" s="12" t="n">
        <v>2025</v>
      </c>
      <c r="C56" s="12" t="inlineStr">
        <is>
          <t>v9 local dated tax-law dataset; no embedded fallback required for new code</t>
        </is>
      </c>
      <c r="D56" s="12" t="inlineStr">
        <is>
          <t>See tax-law dashboard</t>
        </is>
      </c>
    </row>
    <row r="57" ht="45" customHeight="1">
      <c r="A57" s="12" t="inlineStr">
        <is>
          <t>Ltcg Brackets</t>
        </is>
      </c>
      <c r="B57" s="12" t="n">
        <v>2025</v>
      </c>
      <c r="C57" s="12" t="inlineStr">
        <is>
          <t>v9 local dated tax-law dataset; no embedded fallback required for new code</t>
        </is>
      </c>
      <c r="D57" s="12" t="inlineStr">
        <is>
          <t>See tax-law dashboard</t>
        </is>
      </c>
    </row>
    <row r="58" ht="45" customHeight="1">
      <c r="A58" s="12" t="inlineStr">
        <is>
          <t>Niit Threshold</t>
        </is>
      </c>
      <c r="B58" s="12" t="n">
        <v>2026</v>
      </c>
      <c r="C58" s="12" t="inlineStr">
        <is>
          <t>v9 local dated tax-law dataset; no embedded fallback required for new code</t>
        </is>
      </c>
      <c r="D58" s="12" t="inlineStr">
        <is>
          <t>See tax-law dashboard</t>
        </is>
      </c>
    </row>
    <row r="59" ht="45" customHeight="1">
      <c r="A59" s="12" t="inlineStr">
        <is>
          <t>Salt Schedule</t>
        </is>
      </c>
      <c r="B59" s="12" t="n">
        <v>2026</v>
      </c>
      <c r="C59" s="12" t="inlineStr">
        <is>
          <t>v9 local dated tax-law dataset; no embedded fallback required for new code</t>
        </is>
      </c>
      <c r="D59" s="12" t="inlineStr">
        <is>
          <t>See tax-law dashboard</t>
        </is>
      </c>
    </row>
    <row r="60" ht="45" customHeight="1">
      <c r="A60" s="12" t="inlineStr">
        <is>
          <t>Ss Wage Base</t>
        </is>
      </c>
      <c r="B60" s="12" t="n">
        <v>2025</v>
      </c>
      <c r="C60" s="12" t="inlineStr">
        <is>
          <t>v9 local dated tax-law dataset; no embedded fallback required for new code</t>
        </is>
      </c>
      <c r="D60" s="12" t="inlineStr">
        <is>
          <t>See tax-law dashboard</t>
        </is>
      </c>
    </row>
    <row r="61" ht="45" customHeight="1">
      <c r="A61" s="12" t="inlineStr">
        <is>
          <t>Standard Deduction</t>
        </is>
      </c>
      <c r="B61" s="12" t="n">
        <v>2025</v>
      </c>
      <c r="C61" s="12" t="inlineStr">
        <is>
          <t>v9 local dated tax-law dataset; no embedded fallback required for new code</t>
        </is>
      </c>
      <c r="D61" s="12" t="inlineStr">
        <is>
          <t>See tax-law dashboard</t>
        </is>
      </c>
    </row>
    <row r="62" ht="45" customHeight="1">
      <c r="A62" s="12" t="inlineStr">
        <is>
          <t>Standard Deduction Over65</t>
        </is>
      </c>
      <c r="B62" s="12" t="n">
        <v>2025</v>
      </c>
      <c r="C62" s="12" t="inlineStr">
        <is>
          <t>v9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2" customWidth="1" min="3" max="3"/>
    <col width="14" customWidth="1" min="4" max="4"/>
    <col width="16" customWidth="1" min="5" max="5"/>
    <col width="15" customWidth="1" min="6" max="6"/>
  </cols>
  <sheetData>
    <row r="1" ht="22" customHeight="1">
      <c r="A1" s="211" t="inlineStr">
        <is>
          <t>WHAT-IF SCENARIO ANALYSIS</t>
        </is>
      </c>
    </row>
    <row r="2"/>
    <row r="3">
      <c r="A3" s="212" t="inlineStr">
        <is>
          <t>Deterministic Scenarios</t>
        </is>
      </c>
      <c r="B3" s="3" t="n"/>
      <c r="C3" s="3" t="n"/>
      <c r="D3" s="3" t="n"/>
      <c r="E3" s="3" t="n"/>
      <c r="F3" s="4" t="n"/>
    </row>
    <row r="4">
      <c r="A4" s="100" t="inlineStr">
        <is>
          <t>Scenario</t>
        </is>
      </c>
      <c r="B4" s="100" t="inlineStr">
        <is>
          <t>Assumption Change</t>
        </is>
      </c>
      <c r="C4" s="100" t="inlineStr">
        <is>
          <t>Ending NW</t>
        </is>
      </c>
      <c r="D4" s="100" t="inlineStr">
        <is>
          <t>Lifetime Tax</t>
        </is>
      </c>
      <c r="E4" s="100" t="inlineStr">
        <is>
          <t>Plan Survives?</t>
        </is>
      </c>
      <c r="F4" s="100" t="inlineStr">
        <is>
          <t>Delta vs Base</t>
        </is>
      </c>
    </row>
    <row r="5">
      <c r="A5" s="33" t="inlineStr">
        <is>
          <t>Base Case</t>
        </is>
      </c>
      <c r="B5" s="33" t="inlineStr">
        <is>
          <t>As modeled</t>
        </is>
      </c>
      <c r="C5" s="110" t="n">
        <v>4267239.328080034</v>
      </c>
      <c r="D5" s="110" t="n">
        <v>873087.3914096972</v>
      </c>
      <c r="E5" s="83" t="inlineStr">
        <is>
          <t>YES</t>
        </is>
      </c>
      <c r="F5" s="110" t="n">
        <v>0</v>
      </c>
    </row>
    <row r="6">
      <c r="A6" s="33" t="inlineStr">
        <is>
          <t>Allocation — User Defined</t>
        </is>
      </c>
      <c r="B6" s="33" t="inlineStr">
        <is>
          <t>Use user-specified target_pct allocation; implied return 7.41%, volatility 14.64%, geometric approx 6.34%</t>
        </is>
      </c>
      <c r="C6" s="110" t="n">
        <v>7432762.204025302</v>
      </c>
      <c r="D6" s="110" t="n">
        <v>892943.9950333916</v>
      </c>
      <c r="E6" s="83" t="inlineStr">
        <is>
          <t>YES</t>
        </is>
      </c>
      <c r="F6" s="110" t="n">
        <v>3165522.875945268</v>
      </c>
    </row>
    <row r="7">
      <c r="A7" s="33" t="inlineStr">
        <is>
          <t>Allocation — Optimizer Defined</t>
        </is>
      </c>
      <c r="B7" s="33" t="inlineStr">
        <is>
          <t>Use optimizer allocation recommendation; implied return 6.64%, volatility 10.25%, geometric approx 6.11%</t>
        </is>
      </c>
      <c r="C7" s="110" t="n">
        <v>5513419.61029328</v>
      </c>
      <c r="D7" s="110" t="n">
        <v>867106.6368782863</v>
      </c>
      <c r="E7" s="83" t="inlineStr">
        <is>
          <t>YES</t>
        </is>
      </c>
      <c r="F7" s="110" t="n">
        <v>1246180.282213246</v>
      </c>
    </row>
    <row r="8">
      <c r="A8" s="33" t="inlineStr">
        <is>
          <t>Retire Later (2029)</t>
        </is>
      </c>
      <c r="B8" s="33" t="inlineStr">
        <is>
          <t>earn_end 2029 vs 2027; +2 yrs @ 0.0% growth, $50,000 salary</t>
        </is>
      </c>
      <c r="C8" s="110" t="n">
        <v>8085498.250423136</v>
      </c>
      <c r="D8" s="110" t="n">
        <v>1353762.952124934</v>
      </c>
      <c r="E8" s="83" t="inlineStr">
        <is>
          <t>YES</t>
        </is>
      </c>
      <c r="F8" s="110" t="n">
        <v>3818258.922343102</v>
      </c>
    </row>
    <row r="9">
      <c r="A9" s="33" t="inlineStr">
        <is>
          <t>Spend 19% More</t>
        </is>
      </c>
      <c r="B9" s="33" t="inlineStr">
        <is>
          <t>$184,990/yr vs $154,158 base</t>
        </is>
      </c>
      <c r="C9" s="110" t="n">
        <v>3390274.137803574</v>
      </c>
      <c r="D9" s="110" t="n">
        <v>828212.2761139175</v>
      </c>
      <c r="E9" s="83" t="inlineStr">
        <is>
          <t>YES</t>
        </is>
      </c>
      <c r="F9" s="110" t="n">
        <v>-876965.1902764598</v>
      </c>
    </row>
    <row r="10">
      <c r="A10" s="33" t="inlineStr">
        <is>
          <t>Sell Home 2045</t>
        </is>
      </c>
      <c r="B10" s="33" t="inlineStr">
        <is>
          <t>Gross $2,302,353 · basis $800,000 · net $2,055,711 → Member_2_Trust</t>
        </is>
      </c>
      <c r="C10" s="110" t="n">
        <v>5733534.76604352</v>
      </c>
      <c r="D10" s="110" t="n">
        <v>1103920.000346712</v>
      </c>
      <c r="E10" s="83" t="inlineStr">
        <is>
          <t>YES</t>
        </is>
      </c>
      <c r="F10" s="110" t="n">
        <v>1466295.437963486</v>
      </c>
    </row>
    <row r="11">
      <c r="A11" s="33" t="inlineStr">
        <is>
          <t>High Inflation 4.5%</t>
        </is>
      </c>
      <c r="B11" s="33" t="inlineStr">
        <is>
          <t>Inflation 4.5% vs 2.5%</t>
        </is>
      </c>
      <c r="C11" s="110" t="n">
        <v>3390274.137803574</v>
      </c>
      <c r="D11" s="110" t="n">
        <v>842090.3065462194</v>
      </c>
      <c r="E11" s="83" t="inlineStr">
        <is>
          <t>YES</t>
        </is>
      </c>
      <c r="F11" s="110" t="n">
        <v>-876965.1902764598</v>
      </c>
    </row>
    <row r="12">
      <c r="A12" s="33" t="inlineStr">
        <is>
          <t>Low Return 4.0%</t>
        </is>
      </c>
      <c r="B12" s="33" t="inlineStr">
        <is>
          <t>Portfolio return 4.0% vs 6.0%</t>
        </is>
      </c>
      <c r="C12" s="110" t="n">
        <v>3388951.097803574</v>
      </c>
      <c r="D12" s="110" t="n">
        <v>837760.6831747108</v>
      </c>
      <c r="E12" s="83" t="inlineStr">
        <is>
          <t>YES</t>
        </is>
      </c>
      <c r="F12" s="110" t="n">
        <v>-878288.2302764598</v>
      </c>
    </row>
    <row r="13">
      <c r="A13" s="33" t="inlineStr">
        <is>
          <t>PDIA Div 4.5%</t>
        </is>
      </c>
      <c r="B13" s="33" t="inlineStr">
        <is>
          <t>All annuity dividends at 4.5% (vs illustrated 5.50-5.75%). Annuity income at age 80: $104,395 vs $117,223 base</t>
        </is>
      </c>
      <c r="C13" s="110" t="n">
        <v>3637487.420721456</v>
      </c>
      <c r="D13" s="110" t="n">
        <v>799098.9681756148</v>
      </c>
      <c r="E13" s="83" t="inlineStr">
        <is>
          <t>YES</t>
        </is>
      </c>
      <c r="F13" s="110" t="n">
        <v>-629751.9073585779</v>
      </c>
    </row>
    <row r="14">
      <c r="A14" s="33" t="inlineStr">
        <is>
          <t>PDIA 50/50 Split</t>
        </is>
      </c>
      <c r="B14" s="33" t="inlineStr">
        <is>
          <t>50% cash / 50% reinvest (vs 80/20). Less cash now, more income growth later. Annuity income at age 80: $116,475 vs $117,223 base</t>
        </is>
      </c>
      <c r="C14" s="110" t="n">
        <v>4183338.738664796</v>
      </c>
      <c r="D14" s="110" t="n">
        <v>885102.2877090726</v>
      </c>
      <c r="E14" s="83" t="inlineStr">
        <is>
          <t>YES</t>
        </is>
      </c>
      <c r="F14" s="110" t="n">
        <v>-83900.58941523777</v>
      </c>
    </row>
    <row r="15">
      <c r="A15" s="33" t="inlineStr">
        <is>
          <t>COMBINED Stress Test</t>
        </is>
      </c>
      <c r="B15" s="33" t="inlineStr">
        <is>
          <t>Stacked: sell home, low return, pdia low div</t>
        </is>
      </c>
      <c r="C15" s="110" t="n">
        <v>2059471.482747035</v>
      </c>
      <c r="D15" s="110" t="n">
        <v>1006892.639798597</v>
      </c>
      <c r="E15" s="83" t="inlineStr">
        <is>
          <t>YES</t>
        </is>
      </c>
      <c r="F15" s="110" t="n">
        <v>-2207767.845332999</v>
      </c>
    </row>
    <row r="16"/>
    <row r="17"/>
    <row r="18">
      <c r="A18" s="213" t="inlineStr">
        <is>
          <t>Sell Home Scenario Detail — 2045</t>
        </is>
      </c>
      <c r="B18" s="3" t="n"/>
      <c r="C18" s="3" t="n"/>
      <c r="D18" s="3" t="n"/>
      <c r="E18" s="3" t="n"/>
      <c r="F18" s="4" t="n"/>
    </row>
    <row r="19">
      <c r="A19" s="33" t="inlineStr">
        <is>
          <t>Projected Home Value at 2045</t>
        </is>
      </c>
      <c r="B19" s="110" t="n">
        <v>2302353.447690235</v>
      </c>
    </row>
    <row r="20">
      <c r="A20" s="33" t="inlineStr">
        <is>
          <t>Projected Sale Price</t>
        </is>
      </c>
      <c r="B20" s="110" t="n">
        <v>2302353.447690235</v>
      </c>
    </row>
    <row r="21">
      <c r="A21" s="33" t="inlineStr">
        <is>
          <t>Less: Selling Costs (6%)</t>
        </is>
      </c>
      <c r="B21" s="110" t="n">
        <v>138141.2068614141</v>
      </c>
    </row>
    <row r="22">
      <c r="A22" s="33" t="inlineStr">
        <is>
          <t>Cost Basis (purchase + improvements)</t>
        </is>
      </c>
      <c r="B22" s="110" t="n">
        <v>800000</v>
      </c>
    </row>
    <row r="23">
      <c r="A23" s="33" t="inlineStr">
        <is>
          <t>Capital Gain (net of selling costs)</t>
        </is>
      </c>
      <c r="B23" s="110" t="n">
        <v>1364212.240828821</v>
      </c>
    </row>
    <row r="24">
      <c r="A24" s="33" t="inlineStr">
        <is>
          <t>§121 Exclusion (MFJ)</t>
        </is>
      </c>
      <c r="B24" s="110" t="n">
        <v>500000</v>
      </c>
    </row>
    <row r="25">
      <c r="A25" s="33" t="inlineStr">
        <is>
          <t>Taxable Capital Gain</t>
        </is>
      </c>
      <c r="B25" s="110" t="n">
        <v>864212.2408288205</v>
      </c>
    </row>
    <row r="26">
      <c r="A26" s="33" t="inlineStr">
        <is>
          <t>LTCG Tax (bracketed 0/15/20% + NIIT)</t>
        </is>
      </c>
      <c r="B26" s="110" t="n">
        <v>108500.7900668073</v>
      </c>
    </row>
    <row r="27">
      <c r="A27" s="33" t="inlineStr">
        <is>
          <t>Remaining Mortgage at Sale</t>
        </is>
      </c>
      <c r="B27" s="110" t="n">
        <v>0</v>
      </c>
    </row>
    <row r="28">
      <c r="A28" s="33" t="inlineStr">
        <is>
          <t>Net Proceeds</t>
        </is>
      </c>
      <c r="B28" s="138"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10" t="n">
        <v>154158</v>
      </c>
    </row>
    <row r="34">
      <c r="A34" s="33" t="inlineStr">
        <is>
          <t>Reduced Spending (−10%)</t>
        </is>
      </c>
      <c r="B34" s="110" t="n">
        <v>138742.2</v>
      </c>
    </row>
    <row r="35">
      <c r="A35" s="33" t="inlineStr">
        <is>
          <t>Terminal NW with Reduction</t>
        </is>
      </c>
      <c r="B35" s="110" t="n">
        <v>6010087.466988994</v>
      </c>
    </row>
    <row r="36">
      <c r="A36" s="215" t="inlineStr">
        <is>
          <t>Increase in Terminal NW</t>
        </is>
      </c>
      <c r="B36" s="138" t="n">
        <v>1742848.13890896</v>
      </c>
    </row>
    <row r="37">
      <c r="A37" s="33" t="inlineStr">
        <is>
          <t>A 10% spending reduction ($15,416/yr) adds $1,742,848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8"/>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Wife Single Ann</t>
        </is>
      </c>
      <c r="Q4" s="221" t="inlineStr">
        <is>
          <t>Wife Joint Ann</t>
        </is>
      </c>
      <c r="R4" s="221" t="inlineStr">
        <is>
          <t>Husband Single Ann</t>
        </is>
      </c>
      <c r="S4" s="221" t="inlineStr">
        <is>
          <t>Husband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1911357</v>
      </c>
      <c r="D5" s="226" t="n">
        <v>361825</v>
      </c>
      <c r="E5" s="226" t="n">
        <v>603029</v>
      </c>
      <c r="F5" s="226" t="n">
        <v>82867</v>
      </c>
      <c r="G5" s="226" t="n">
        <v>1059106</v>
      </c>
      <c r="H5" s="226" t="n">
        <v>434971</v>
      </c>
      <c r="I5" s="227" t="n">
        <v>5813821</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154158</v>
      </c>
      <c r="AE5" s="226" t="n">
        <v>101612</v>
      </c>
      <c r="AF5" s="226" t="n">
        <v>21760</v>
      </c>
      <c r="AG5" s="226" t="n">
        <v>25000</v>
      </c>
      <c r="AH5" s="226" t="n">
        <v>0</v>
      </c>
      <c r="AI5" s="226" t="n">
        <v>44087</v>
      </c>
      <c r="AJ5" s="226" t="n">
        <v>15726</v>
      </c>
      <c r="AK5" s="226" t="n">
        <v>0</v>
      </c>
      <c r="AL5" s="226" t="n">
        <v>32716</v>
      </c>
      <c r="AM5" s="226" t="n">
        <v>0</v>
      </c>
      <c r="AN5" s="227" t="n">
        <v>395059</v>
      </c>
      <c r="AQ5" s="225" t="n">
        <v>2026</v>
      </c>
      <c r="AR5" s="226" t="n">
        <v>5384897.86514947</v>
      </c>
      <c r="AS5" s="226" t="n">
        <v>5618356.489727981</v>
      </c>
      <c r="AT5" s="226" t="n">
        <v>5770643.912166884</v>
      </c>
      <c r="AU5" s="226" t="n">
        <v>5911253.14306184</v>
      </c>
      <c r="AV5" s="226" t="n">
        <v>6004162.305268148</v>
      </c>
    </row>
    <row r="6">
      <c r="A6" s="228" t="n">
        <v>2027</v>
      </c>
      <c r="B6" s="229" t="n">
        <v>1437523</v>
      </c>
      <c r="C6" s="229" t="n">
        <v>1787540</v>
      </c>
      <c r="D6" s="229" t="n">
        <v>622032</v>
      </c>
      <c r="E6" s="229" t="n">
        <v>267454</v>
      </c>
      <c r="F6" s="229" t="n">
        <v>87839</v>
      </c>
      <c r="G6" s="229" t="n">
        <v>1129841</v>
      </c>
      <c r="H6" s="229" t="n">
        <v>375690</v>
      </c>
      <c r="I6" s="230" t="n">
        <v>5707919</v>
      </c>
      <c r="K6" s="228" t="n">
        <v>2027</v>
      </c>
      <c r="L6" s="229" t="n">
        <v>0</v>
      </c>
      <c r="M6" s="229" t="n">
        <v>0</v>
      </c>
      <c r="N6" s="229" t="n">
        <v>0</v>
      </c>
      <c r="O6" s="229" t="n">
        <v>4512</v>
      </c>
      <c r="P6" s="229" t="n">
        <v>0</v>
      </c>
      <c r="Q6" s="229" t="n">
        <v>0</v>
      </c>
      <c r="R6" s="229" t="n">
        <v>0</v>
      </c>
      <c r="S6" s="229" t="n">
        <v>0</v>
      </c>
      <c r="T6" s="229" t="n">
        <v>91446</v>
      </c>
      <c r="U6" s="229" t="n">
        <v>0</v>
      </c>
      <c r="V6" s="229" t="n">
        <v>346015</v>
      </c>
      <c r="W6" s="229" t="n">
        <v>0</v>
      </c>
      <c r="X6" s="229" t="n">
        <v>0</v>
      </c>
      <c r="Y6" s="229" t="n">
        <v>0</v>
      </c>
      <c r="Z6" s="229" t="n">
        <v>0</v>
      </c>
      <c r="AA6" s="230" t="n">
        <v>441973</v>
      </c>
      <c r="AC6" s="228" t="n">
        <v>2027</v>
      </c>
      <c r="AD6" s="229" t="n">
        <v>158012</v>
      </c>
      <c r="AE6" s="229" t="n">
        <v>103252</v>
      </c>
      <c r="AF6" s="229" t="n">
        <v>35186</v>
      </c>
      <c r="AG6" s="229" t="n">
        <v>25625</v>
      </c>
      <c r="AH6" s="229" t="n">
        <v>100000</v>
      </c>
      <c r="AI6" s="229" t="n">
        <v>41329</v>
      </c>
      <c r="AJ6" s="229" t="n">
        <v>2171</v>
      </c>
      <c r="AK6" s="229" t="n">
        <v>888</v>
      </c>
      <c r="AL6" s="229" t="n">
        <v>0</v>
      </c>
      <c r="AM6" s="229" t="n">
        <v>0</v>
      </c>
      <c r="AN6" s="230" t="n">
        <v>466463</v>
      </c>
      <c r="AQ6" s="228" t="n">
        <v>2027</v>
      </c>
      <c r="AR6" s="229" t="n">
        <v>5128462.814743686</v>
      </c>
      <c r="AS6" s="229" t="n">
        <v>5305720.366555154</v>
      </c>
      <c r="AT6" s="229" t="n">
        <v>5685246.144654293</v>
      </c>
      <c r="AU6" s="229" t="n">
        <v>5832891.132053858</v>
      </c>
      <c r="AV6" s="229" t="n">
        <v>6099097.967235994</v>
      </c>
    </row>
    <row r="7">
      <c r="A7" s="225" t="n">
        <v>2028</v>
      </c>
      <c r="B7" s="226" t="n">
        <v>1518992</v>
      </c>
      <c r="C7" s="226" t="n">
        <v>1636313</v>
      </c>
      <c r="D7" s="226" t="n">
        <v>886270</v>
      </c>
      <c r="E7" s="226" t="n">
        <v>0</v>
      </c>
      <c r="F7" s="226" t="n">
        <v>93110</v>
      </c>
      <c r="G7" s="226" t="n">
        <v>1202394</v>
      </c>
      <c r="H7" s="226" t="n">
        <v>316408</v>
      </c>
      <c r="I7" s="227" t="n">
        <v>5653487</v>
      </c>
      <c r="K7" s="225" t="n">
        <v>2028</v>
      </c>
      <c r="L7" s="226" t="n">
        <v>0</v>
      </c>
      <c r="M7" s="226" t="n">
        <v>0</v>
      </c>
      <c r="N7" s="226" t="n">
        <v>0</v>
      </c>
      <c r="O7" s="226" t="n">
        <v>4512</v>
      </c>
      <c r="P7" s="226" t="n">
        <v>0</v>
      </c>
      <c r="Q7" s="226" t="n">
        <v>27611</v>
      </c>
      <c r="R7" s="226" t="n">
        <v>0</v>
      </c>
      <c r="S7" s="226" t="n">
        <v>0</v>
      </c>
      <c r="T7" s="226" t="n">
        <v>86732</v>
      </c>
      <c r="U7" s="226" t="n">
        <v>0</v>
      </c>
      <c r="V7" s="226" t="n">
        <v>267454</v>
      </c>
      <c r="W7" s="226" t="n">
        <v>0</v>
      </c>
      <c r="X7" s="226" t="n">
        <v>0</v>
      </c>
      <c r="Y7" s="226" t="n">
        <v>29777</v>
      </c>
      <c r="Z7" s="226" t="n">
        <v>0</v>
      </c>
      <c r="AA7" s="227" t="n">
        <v>416086</v>
      </c>
      <c r="AC7" s="225" t="n">
        <v>2028</v>
      </c>
      <c r="AD7" s="226" t="n">
        <v>161962</v>
      </c>
      <c r="AE7" s="226" t="n">
        <v>104934</v>
      </c>
      <c r="AF7" s="226" t="n">
        <v>36941</v>
      </c>
      <c r="AG7" s="226" t="n">
        <v>26266</v>
      </c>
      <c r="AH7" s="226" t="n">
        <v>50000</v>
      </c>
      <c r="AI7" s="226" t="n">
        <v>42256</v>
      </c>
      <c r="AJ7" s="226" t="n">
        <v>1615</v>
      </c>
      <c r="AK7" s="226" t="n">
        <v>1095</v>
      </c>
      <c r="AL7" s="226" t="n">
        <v>0</v>
      </c>
      <c r="AM7" s="226" t="n">
        <v>0</v>
      </c>
      <c r="AN7" s="227" t="n">
        <v>425069</v>
      </c>
      <c r="AQ7" s="225" t="n">
        <v>2028</v>
      </c>
      <c r="AR7" s="226" t="n">
        <v>5000805.1061476</v>
      </c>
      <c r="AS7" s="226" t="n">
        <v>5367875.094231819</v>
      </c>
      <c r="AT7" s="226" t="n">
        <v>5596615.183601474</v>
      </c>
      <c r="AU7" s="226" t="n">
        <v>6048181.7854352</v>
      </c>
      <c r="AV7" s="226" t="n">
        <v>6358322.978106206</v>
      </c>
    </row>
    <row r="8">
      <c r="A8" s="228" t="n">
        <v>2029</v>
      </c>
      <c r="B8" s="229" t="n">
        <v>1576080</v>
      </c>
      <c r="C8" s="229" t="n">
        <v>1346498</v>
      </c>
      <c r="D8" s="229" t="n">
        <v>1093846</v>
      </c>
      <c r="E8" s="229" t="n">
        <v>0</v>
      </c>
      <c r="F8" s="229" t="n">
        <v>98696</v>
      </c>
      <c r="G8" s="229" t="n">
        <v>1276813</v>
      </c>
      <c r="H8" s="229" t="n">
        <v>257126</v>
      </c>
      <c r="I8" s="230" t="n">
        <v>5649059</v>
      </c>
      <c r="K8" s="228" t="n">
        <v>2029</v>
      </c>
      <c r="L8" s="229" t="n">
        <v>0</v>
      </c>
      <c r="M8" s="229" t="n">
        <v>0</v>
      </c>
      <c r="N8" s="229" t="n">
        <v>0</v>
      </c>
      <c r="O8" s="229" t="n">
        <v>4512</v>
      </c>
      <c r="P8" s="229" t="n">
        <v>4600</v>
      </c>
      <c r="Q8" s="229" t="n">
        <v>27437</v>
      </c>
      <c r="R8" s="229" t="n">
        <v>8123</v>
      </c>
      <c r="S8" s="229" t="n">
        <v>71336</v>
      </c>
      <c r="T8" s="229" t="n">
        <v>82017</v>
      </c>
      <c r="U8" s="229" t="n">
        <v>0</v>
      </c>
      <c r="V8" s="229" t="n">
        <v>0</v>
      </c>
      <c r="W8" s="229" t="n">
        <v>0</v>
      </c>
      <c r="X8" s="229" t="n">
        <v>0</v>
      </c>
      <c r="Y8" s="229" t="n">
        <v>220371</v>
      </c>
      <c r="Z8" s="229" t="n">
        <v>0</v>
      </c>
      <c r="AA8" s="230" t="n">
        <v>418396</v>
      </c>
      <c r="AC8" s="228" t="n">
        <v>2029</v>
      </c>
      <c r="AD8" s="229" t="n">
        <v>166011</v>
      </c>
      <c r="AE8" s="229" t="n">
        <v>106657</v>
      </c>
      <c r="AF8" s="229" t="n">
        <v>38790</v>
      </c>
      <c r="AG8" s="229" t="n">
        <v>26922</v>
      </c>
      <c r="AH8" s="229" t="n">
        <v>0</v>
      </c>
      <c r="AI8" s="229" t="n">
        <v>42733</v>
      </c>
      <c r="AJ8" s="229" t="n">
        <v>1611</v>
      </c>
      <c r="AK8" s="229" t="n">
        <v>0</v>
      </c>
      <c r="AL8" s="229" t="n">
        <v>0</v>
      </c>
      <c r="AM8" s="229" t="n">
        <v>0</v>
      </c>
      <c r="AN8" s="230" t="n">
        <v>382724</v>
      </c>
      <c r="AQ8" s="228" t="n">
        <v>2029</v>
      </c>
      <c r="AR8" s="229" t="n">
        <v>4543835.579313573</v>
      </c>
      <c r="AS8" s="229" t="n">
        <v>5115072.232313619</v>
      </c>
      <c r="AT8" s="229" t="n">
        <v>5643364.504931033</v>
      </c>
      <c r="AU8" s="229" t="n">
        <v>6129680.918213718</v>
      </c>
      <c r="AV8" s="229" t="n">
        <v>6292900.260202738</v>
      </c>
    </row>
    <row r="9">
      <c r="A9" s="225" t="n">
        <v>2030</v>
      </c>
      <c r="B9" s="226" t="n">
        <v>1547677</v>
      </c>
      <c r="C9" s="226" t="n">
        <v>1006980</v>
      </c>
      <c r="D9" s="226" t="n">
        <v>1325585</v>
      </c>
      <c r="E9" s="226" t="n">
        <v>0</v>
      </c>
      <c r="F9" s="226" t="n">
        <v>104618</v>
      </c>
      <c r="G9" s="226" t="n">
        <v>1353147</v>
      </c>
      <c r="H9" s="226" t="n">
        <v>197845</v>
      </c>
      <c r="I9" s="227" t="n">
        <v>5535852</v>
      </c>
      <c r="K9" s="225" t="n">
        <v>2030</v>
      </c>
      <c r="L9" s="226" t="n">
        <v>0</v>
      </c>
      <c r="M9" s="226" t="n">
        <v>0</v>
      </c>
      <c r="N9" s="226" t="n">
        <v>0</v>
      </c>
      <c r="O9" s="226" t="n">
        <v>4512</v>
      </c>
      <c r="P9" s="226" t="n">
        <v>4583</v>
      </c>
      <c r="Q9" s="226" t="n">
        <v>27268</v>
      </c>
      <c r="R9" s="226" t="n">
        <v>8088</v>
      </c>
      <c r="S9" s="226" t="n">
        <v>70915</v>
      </c>
      <c r="T9" s="226" t="n">
        <v>77303</v>
      </c>
      <c r="U9" s="226" t="n">
        <v>0</v>
      </c>
      <c r="V9" s="226" t="n">
        <v>0</v>
      </c>
      <c r="W9" s="226" t="n">
        <v>0</v>
      </c>
      <c r="X9" s="226" t="n">
        <v>0</v>
      </c>
      <c r="Y9" s="226" t="n">
        <v>239812</v>
      </c>
      <c r="Z9" s="226" t="n">
        <v>0</v>
      </c>
      <c r="AA9" s="227" t="n">
        <v>432481</v>
      </c>
      <c r="AC9" s="225" t="n">
        <v>2030</v>
      </c>
      <c r="AD9" s="226" t="n">
        <v>170162</v>
      </c>
      <c r="AE9" s="226" t="n">
        <v>108423</v>
      </c>
      <c r="AF9" s="226" t="n">
        <v>40738</v>
      </c>
      <c r="AG9" s="226" t="n">
        <v>27595</v>
      </c>
      <c r="AH9" s="226" t="n">
        <v>0</v>
      </c>
      <c r="AI9" s="226" t="n">
        <v>44332</v>
      </c>
      <c r="AJ9" s="226" t="n">
        <v>1375</v>
      </c>
      <c r="AK9" s="226" t="n">
        <v>0</v>
      </c>
      <c r="AL9" s="226" t="n">
        <v>0</v>
      </c>
      <c r="AM9" s="226" t="n">
        <v>0</v>
      </c>
      <c r="AN9" s="227" t="n">
        <v>392625</v>
      </c>
      <c r="AQ9" s="225" t="n">
        <v>2030</v>
      </c>
      <c r="AR9" s="226" t="n">
        <v>4364454.129958983</v>
      </c>
      <c r="AS9" s="226" t="n">
        <v>4913986.112388152</v>
      </c>
      <c r="AT9" s="226" t="n">
        <v>5611206.859750398</v>
      </c>
      <c r="AU9" s="226" t="n">
        <v>6148213.836220448</v>
      </c>
      <c r="AV9" s="226" t="n">
        <v>6405257.696827476</v>
      </c>
    </row>
    <row r="10">
      <c r="A10" s="228" t="n">
        <v>2031</v>
      </c>
      <c r="B10" s="229" t="n">
        <v>1518250</v>
      </c>
      <c r="C10" s="229" t="n">
        <v>784353</v>
      </c>
      <c r="D10" s="229" t="n">
        <v>1537904</v>
      </c>
      <c r="E10" s="229" t="n">
        <v>0</v>
      </c>
      <c r="F10" s="229" t="n">
        <v>99806</v>
      </c>
      <c r="G10" s="229" t="n">
        <v>1431448</v>
      </c>
      <c r="H10" s="229" t="n">
        <v>138563</v>
      </c>
      <c r="I10" s="230" t="n">
        <v>5510324</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10462</v>
      </c>
      <c r="X10" s="229" t="n">
        <v>0</v>
      </c>
      <c r="Y10" s="229" t="n">
        <v>141757</v>
      </c>
      <c r="Z10" s="229" t="n">
        <v>0</v>
      </c>
      <c r="AA10" s="230" t="n">
        <v>389641</v>
      </c>
      <c r="AC10" s="228" t="n">
        <v>2031</v>
      </c>
      <c r="AD10" s="229" t="n">
        <v>174416</v>
      </c>
      <c r="AE10" s="229" t="n">
        <v>81949</v>
      </c>
      <c r="AF10" s="229" t="n">
        <v>42792</v>
      </c>
      <c r="AG10" s="229" t="n">
        <v>28285</v>
      </c>
      <c r="AH10" s="229" t="n">
        <v>0</v>
      </c>
      <c r="AI10" s="229" t="n">
        <v>45235</v>
      </c>
      <c r="AJ10" s="229" t="n">
        <v>1140</v>
      </c>
      <c r="AK10" s="229" t="n">
        <v>0</v>
      </c>
      <c r="AL10" s="229" t="n">
        <v>15824</v>
      </c>
      <c r="AM10" s="229" t="n">
        <v>0</v>
      </c>
      <c r="AN10" s="230" t="n">
        <v>389641</v>
      </c>
      <c r="AQ10" s="228" t="n">
        <v>2031</v>
      </c>
      <c r="AR10" s="229" t="n">
        <v>4199146.651703367</v>
      </c>
      <c r="AS10" s="229" t="n">
        <v>5000372.909646973</v>
      </c>
      <c r="AT10" s="229" t="n">
        <v>5417896.117607594</v>
      </c>
      <c r="AU10" s="229" t="n">
        <v>5997956.561870407</v>
      </c>
      <c r="AV10" s="229" t="n">
        <v>6596313.028483188</v>
      </c>
    </row>
    <row r="11">
      <c r="A11" s="225" t="n">
        <v>2032</v>
      </c>
      <c r="B11" s="226" t="n">
        <v>1487715</v>
      </c>
      <c r="C11" s="226" t="n">
        <v>454337</v>
      </c>
      <c r="D11" s="226" t="n">
        <v>1745621</v>
      </c>
      <c r="E11" s="226" t="n">
        <v>0</v>
      </c>
      <c r="F11" s="226" t="n">
        <v>94039</v>
      </c>
      <c r="G11" s="226" t="n">
        <v>1511769</v>
      </c>
      <c r="H11" s="226" t="n">
        <v>79282</v>
      </c>
      <c r="I11" s="227" t="n">
        <v>5372763</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11090</v>
      </c>
      <c r="X11" s="226" t="n">
        <v>0</v>
      </c>
      <c r="Y11" s="226" t="n">
        <v>246824</v>
      </c>
      <c r="Z11" s="226" t="n">
        <v>0</v>
      </c>
      <c r="AA11" s="227" t="n">
        <v>523208</v>
      </c>
      <c r="AC11" s="225" t="n">
        <v>2032</v>
      </c>
      <c r="AD11" s="226" t="n">
        <v>178776</v>
      </c>
      <c r="AE11" s="226" t="n">
        <v>83097</v>
      </c>
      <c r="AF11" s="226" t="n">
        <v>44956</v>
      </c>
      <c r="AG11" s="226" t="n">
        <v>28992</v>
      </c>
      <c r="AH11" s="226" t="n">
        <v>100000</v>
      </c>
      <c r="AI11" s="226" t="n">
        <v>46156</v>
      </c>
      <c r="AJ11" s="226" t="n">
        <v>700</v>
      </c>
      <c r="AK11" s="226" t="n">
        <v>0</v>
      </c>
      <c r="AL11" s="226" t="n">
        <v>0</v>
      </c>
      <c r="AM11" s="226" t="n">
        <v>0</v>
      </c>
      <c r="AN11" s="227" t="n">
        <v>482677</v>
      </c>
      <c r="AQ11" s="225" t="n">
        <v>2032</v>
      </c>
      <c r="AR11" s="226" t="n">
        <v>3819507.153137443</v>
      </c>
      <c r="AS11" s="226" t="n">
        <v>4916656.050641564</v>
      </c>
      <c r="AT11" s="226" t="n">
        <v>5348892.518844334</v>
      </c>
      <c r="AU11" s="226" t="n">
        <v>6037637.352677873</v>
      </c>
      <c r="AV11" s="226" t="n">
        <v>6301318.553716738</v>
      </c>
    </row>
    <row r="12">
      <c r="A12" s="228" t="n">
        <v>2033</v>
      </c>
      <c r="B12" s="229" t="n">
        <v>1455962</v>
      </c>
      <c r="C12" s="229" t="n">
        <v>223320</v>
      </c>
      <c r="D12" s="229" t="n">
        <v>1973555</v>
      </c>
      <c r="E12" s="229" t="n">
        <v>0</v>
      </c>
      <c r="F12" s="229" t="n">
        <v>87221</v>
      </c>
      <c r="G12" s="229" t="n">
        <v>1594163</v>
      </c>
      <c r="H12" s="229" t="n">
        <v>20000</v>
      </c>
      <c r="I12" s="230" t="n">
        <v>5354221</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11755</v>
      </c>
      <c r="X12" s="229" t="n">
        <v>0</v>
      </c>
      <c r="Y12" s="229" t="n">
        <v>127434</v>
      </c>
      <c r="Z12" s="229" t="n">
        <v>0</v>
      </c>
      <c r="AA12" s="230" t="n">
        <v>403513</v>
      </c>
      <c r="AC12" s="228" t="n">
        <v>2033</v>
      </c>
      <c r="AD12" s="229" t="n">
        <v>183245</v>
      </c>
      <c r="AE12" s="229" t="n">
        <v>84275</v>
      </c>
      <c r="AF12" s="229" t="n">
        <v>47237</v>
      </c>
      <c r="AG12" s="229" t="n">
        <v>29717</v>
      </c>
      <c r="AH12" s="229" t="n">
        <v>0</v>
      </c>
      <c r="AI12" s="229" t="n">
        <v>47096</v>
      </c>
      <c r="AJ12" s="229" t="n">
        <v>588</v>
      </c>
      <c r="AK12" s="229" t="n">
        <v>0</v>
      </c>
      <c r="AL12" s="229" t="n">
        <v>11355</v>
      </c>
      <c r="AM12" s="229" t="n">
        <v>0</v>
      </c>
      <c r="AN12" s="230" t="n">
        <v>403513</v>
      </c>
      <c r="AQ12" s="228" t="n">
        <v>2033</v>
      </c>
      <c r="AR12" s="229" t="n">
        <v>3637606.509721753</v>
      </c>
      <c r="AS12" s="229" t="n">
        <v>4696782.746211208</v>
      </c>
      <c r="AT12" s="229" t="n">
        <v>5011306.464907544</v>
      </c>
      <c r="AU12" s="229" t="n">
        <v>6046285.680557083</v>
      </c>
      <c r="AV12" s="229" t="n">
        <v>6472314.729746742</v>
      </c>
    </row>
    <row r="13">
      <c r="A13" s="225" t="n">
        <v>2034</v>
      </c>
      <c r="B13" s="226" t="n">
        <v>1422877</v>
      </c>
      <c r="C13" s="226" t="n">
        <v>0</v>
      </c>
      <c r="D13" s="226" t="n">
        <v>2206960</v>
      </c>
      <c r="E13" s="226" t="n">
        <v>0</v>
      </c>
      <c r="F13" s="226" t="n">
        <v>0</v>
      </c>
      <c r="G13" s="226" t="n">
        <v>1678685</v>
      </c>
      <c r="H13" s="226" t="n">
        <v>20000</v>
      </c>
      <c r="I13" s="227" t="n">
        <v>5328522</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87221</v>
      </c>
      <c r="X13" s="226" t="n">
        <v>15112</v>
      </c>
      <c r="Y13" s="226" t="n">
        <v>99726</v>
      </c>
      <c r="Z13" s="226" t="n">
        <v>0</v>
      </c>
      <c r="AA13" s="227" t="n">
        <v>406110</v>
      </c>
      <c r="AC13" s="225" t="n">
        <v>2034</v>
      </c>
      <c r="AD13" s="226" t="n">
        <v>187827</v>
      </c>
      <c r="AE13" s="226" t="n">
        <v>85482</v>
      </c>
      <c r="AF13" s="226" t="n">
        <v>49640</v>
      </c>
      <c r="AG13" s="226" t="n">
        <v>30460</v>
      </c>
      <c r="AH13" s="226" t="n">
        <v>0</v>
      </c>
      <c r="AI13" s="226" t="n">
        <v>48054</v>
      </c>
      <c r="AJ13" s="226" t="n">
        <v>476</v>
      </c>
      <c r="AK13" s="226" t="n">
        <v>0</v>
      </c>
      <c r="AL13" s="226" t="n">
        <v>4171</v>
      </c>
      <c r="AM13" s="226" t="n">
        <v>0</v>
      </c>
      <c r="AN13" s="227" t="n">
        <v>406110</v>
      </c>
      <c r="AQ13" s="225" t="n">
        <v>2034</v>
      </c>
      <c r="AR13" s="226" t="n">
        <v>3515532.593114266</v>
      </c>
      <c r="AS13" s="226" t="n">
        <v>4405329.372035484</v>
      </c>
      <c r="AT13" s="226" t="n">
        <v>4878949.231486557</v>
      </c>
      <c r="AU13" s="226" t="n">
        <v>5888272.515599703</v>
      </c>
      <c r="AV13" s="226" t="n">
        <v>7016021.650987279</v>
      </c>
    </row>
    <row r="14">
      <c r="A14" s="228" t="n">
        <v>2035</v>
      </c>
      <c r="B14" s="229" t="n">
        <v>1388342</v>
      </c>
      <c r="C14" s="229" t="n">
        <v>0</v>
      </c>
      <c r="D14" s="229" t="n">
        <v>2213093</v>
      </c>
      <c r="E14" s="229" t="n">
        <v>0</v>
      </c>
      <c r="F14" s="229" t="n">
        <v>0</v>
      </c>
      <c r="G14" s="229" t="n">
        <v>1764562</v>
      </c>
      <c r="H14" s="229" t="n">
        <v>20000</v>
      </c>
      <c r="I14" s="230" t="n">
        <v>5385997</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0</v>
      </c>
      <c r="X14" s="229" t="n">
        <v>119136</v>
      </c>
      <c r="Y14" s="229" t="n">
        <v>0</v>
      </c>
      <c r="Z14" s="229" t="n">
        <v>0</v>
      </c>
      <c r="AA14" s="230" t="n">
        <v>327687</v>
      </c>
      <c r="AC14" s="228" t="n">
        <v>2035</v>
      </c>
      <c r="AD14" s="229" t="n">
        <v>192522</v>
      </c>
      <c r="AE14" s="229" t="n">
        <v>50719</v>
      </c>
      <c r="AF14" s="229" t="n">
        <v>52174</v>
      </c>
      <c r="AG14" s="229" t="n">
        <v>31222</v>
      </c>
      <c r="AH14" s="229" t="n">
        <v>0</v>
      </c>
      <c r="AI14" s="229" t="n">
        <v>20889</v>
      </c>
      <c r="AJ14" s="229" t="n">
        <v>475</v>
      </c>
      <c r="AK14" s="229" t="n">
        <v>0</v>
      </c>
      <c r="AL14" s="229" t="n">
        <v>0</v>
      </c>
      <c r="AM14" s="229" t="n">
        <v>0</v>
      </c>
      <c r="AN14" s="230" t="n">
        <v>348001</v>
      </c>
      <c r="AQ14" s="228" t="n">
        <v>2035</v>
      </c>
      <c r="AR14" s="229" t="n">
        <v>3492984.377139286</v>
      </c>
      <c r="AS14" s="229" t="n">
        <v>4302499.390073579</v>
      </c>
      <c r="AT14" s="229" t="n">
        <v>4727303.639369835</v>
      </c>
      <c r="AU14" s="229" t="n">
        <v>5832783.914782559</v>
      </c>
      <c r="AV14" s="229" t="n">
        <v>7350076.066324651</v>
      </c>
    </row>
    <row r="15">
      <c r="A15" s="225" t="n">
        <v>2036</v>
      </c>
      <c r="B15" s="226" t="n">
        <v>1348892</v>
      </c>
      <c r="C15" s="226" t="n">
        <v>0</v>
      </c>
      <c r="D15" s="226" t="n">
        <v>2218660</v>
      </c>
      <c r="E15" s="226" t="n">
        <v>0</v>
      </c>
      <c r="F15" s="226" t="n">
        <v>0</v>
      </c>
      <c r="G15" s="226" t="n">
        <v>1817499</v>
      </c>
      <c r="H15" s="226" t="n">
        <v>20000</v>
      </c>
      <c r="I15" s="227" t="n">
        <v>5405051</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0</v>
      </c>
      <c r="X15" s="226" t="n">
        <v>120018</v>
      </c>
      <c r="Y15" s="226" t="n">
        <v>0</v>
      </c>
      <c r="Z15" s="226" t="n">
        <v>0</v>
      </c>
      <c r="AA15" s="227" t="n">
        <v>338301</v>
      </c>
      <c r="AC15" s="225" t="n">
        <v>2036</v>
      </c>
      <c r="AD15" s="226" t="n">
        <v>197335</v>
      </c>
      <c r="AE15" s="226" t="n">
        <v>51987</v>
      </c>
      <c r="AF15" s="226" t="n">
        <v>54844</v>
      </c>
      <c r="AG15" s="226" t="n">
        <v>32002</v>
      </c>
      <c r="AH15" s="226" t="n">
        <v>0</v>
      </c>
      <c r="AI15" s="226" t="n">
        <v>22498</v>
      </c>
      <c r="AJ15" s="226" t="n">
        <v>509</v>
      </c>
      <c r="AK15" s="226" t="n">
        <v>0</v>
      </c>
      <c r="AL15" s="226" t="n">
        <v>0</v>
      </c>
      <c r="AM15" s="226" t="n">
        <v>0</v>
      </c>
      <c r="AN15" s="227" t="n">
        <v>359175</v>
      </c>
      <c r="AQ15" s="225" t="n">
        <v>2036</v>
      </c>
      <c r="AR15" s="226" t="n">
        <v>3479138.531103331</v>
      </c>
      <c r="AS15" s="226" t="n">
        <v>4141936.335173011</v>
      </c>
      <c r="AT15" s="226" t="n">
        <v>4725395.517348384</v>
      </c>
      <c r="AU15" s="226" t="n">
        <v>5800237.541829424</v>
      </c>
      <c r="AV15" s="226" t="n">
        <v>6268862.533667786</v>
      </c>
    </row>
    <row r="16">
      <c r="A16" s="228" t="n">
        <v>2037</v>
      </c>
      <c r="B16" s="229" t="n">
        <v>1298724</v>
      </c>
      <c r="C16" s="229" t="n">
        <v>0</v>
      </c>
      <c r="D16" s="229" t="n">
        <v>2218022</v>
      </c>
      <c r="E16" s="229" t="n">
        <v>0</v>
      </c>
      <c r="F16" s="229" t="n">
        <v>0</v>
      </c>
      <c r="G16" s="229" t="n">
        <v>1872024</v>
      </c>
      <c r="H16" s="229" t="n">
        <v>20000</v>
      </c>
      <c r="I16" s="230" t="n">
        <v>5408770</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0</v>
      </c>
      <c r="X16" s="229" t="n">
        <v>126186</v>
      </c>
      <c r="Y16" s="229" t="n">
        <v>0</v>
      </c>
      <c r="Z16" s="229" t="n">
        <v>0</v>
      </c>
      <c r="AA16" s="230" t="n">
        <v>345034</v>
      </c>
      <c r="AC16" s="228" t="n">
        <v>2037</v>
      </c>
      <c r="AD16" s="229" t="n">
        <v>202269</v>
      </c>
      <c r="AE16" s="229" t="n">
        <v>53286</v>
      </c>
      <c r="AF16" s="229" t="n">
        <v>57659</v>
      </c>
      <c r="AG16" s="229" t="n">
        <v>32802</v>
      </c>
      <c r="AH16" s="229" t="n">
        <v>0</v>
      </c>
      <c r="AI16" s="229" t="n">
        <v>22130</v>
      </c>
      <c r="AJ16" s="229" t="n">
        <v>505</v>
      </c>
      <c r="AK16" s="229" t="n">
        <v>0</v>
      </c>
      <c r="AL16" s="229" t="n">
        <v>0</v>
      </c>
      <c r="AM16" s="229" t="n">
        <v>0</v>
      </c>
      <c r="AN16" s="230" t="n">
        <v>368651</v>
      </c>
      <c r="AQ16" s="228" t="n">
        <v>2037</v>
      </c>
      <c r="AR16" s="229" t="n">
        <v>3415034.233681602</v>
      </c>
      <c r="AS16" s="229" t="n">
        <v>4165483.007269293</v>
      </c>
      <c r="AT16" s="229" t="n">
        <v>4583462.35450352</v>
      </c>
      <c r="AU16" s="229" t="n">
        <v>5582961.90125571</v>
      </c>
      <c r="AV16" s="229" t="n">
        <v>6527522.561080666</v>
      </c>
    </row>
    <row r="17">
      <c r="A17" s="225" t="n">
        <v>2038</v>
      </c>
      <c r="B17" s="226" t="n">
        <v>1246954</v>
      </c>
      <c r="C17" s="226" t="n">
        <v>0</v>
      </c>
      <c r="D17" s="226" t="n">
        <v>2208295</v>
      </c>
      <c r="E17" s="226" t="n">
        <v>0</v>
      </c>
      <c r="F17" s="226" t="n">
        <v>0</v>
      </c>
      <c r="G17" s="226" t="n">
        <v>1928185</v>
      </c>
      <c r="H17" s="226" t="n">
        <v>20000</v>
      </c>
      <c r="I17" s="227" t="n">
        <v>5403434</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0</v>
      </c>
      <c r="X17" s="226" t="n">
        <v>134725</v>
      </c>
      <c r="Y17" s="226" t="n">
        <v>0</v>
      </c>
      <c r="Z17" s="226" t="n">
        <v>0</v>
      </c>
      <c r="AA17" s="227" t="n">
        <v>354267</v>
      </c>
      <c r="AC17" s="225" t="n">
        <v>2038</v>
      </c>
      <c r="AD17" s="226" t="n">
        <v>207325</v>
      </c>
      <c r="AE17" s="226" t="n">
        <v>54619</v>
      </c>
      <c r="AF17" s="226" t="n">
        <v>60626</v>
      </c>
      <c r="AG17" s="226" t="n">
        <v>33622</v>
      </c>
      <c r="AH17" s="226" t="n">
        <v>0</v>
      </c>
      <c r="AI17" s="226" t="n">
        <v>21781</v>
      </c>
      <c r="AJ17" s="226" t="n">
        <v>501</v>
      </c>
      <c r="AK17" s="226" t="n">
        <v>0</v>
      </c>
      <c r="AL17" s="226" t="n">
        <v>0</v>
      </c>
      <c r="AM17" s="226" t="n">
        <v>0</v>
      </c>
      <c r="AN17" s="227" t="n">
        <v>378474</v>
      </c>
      <c r="AQ17" s="225" t="n">
        <v>2038</v>
      </c>
      <c r="AR17" s="226" t="n">
        <v>3368701.204198239</v>
      </c>
      <c r="AS17" s="226" t="n">
        <v>4095465.026182659</v>
      </c>
      <c r="AT17" s="226" t="n">
        <v>4669463.544330545</v>
      </c>
      <c r="AU17" s="226" t="n">
        <v>5690647.83538901</v>
      </c>
      <c r="AV17" s="226" t="n">
        <v>6801931.46043963</v>
      </c>
    </row>
    <row r="18">
      <c r="A18" s="228" t="n">
        <v>2039</v>
      </c>
      <c r="B18" s="229" t="n">
        <v>1193388</v>
      </c>
      <c r="C18" s="229" t="n">
        <v>0</v>
      </c>
      <c r="D18" s="229" t="n">
        <v>2188723</v>
      </c>
      <c r="E18" s="229" t="n">
        <v>0</v>
      </c>
      <c r="F18" s="229" t="n">
        <v>0</v>
      </c>
      <c r="G18" s="229" t="n">
        <v>1986030</v>
      </c>
      <c r="H18" s="229" t="n">
        <v>20000</v>
      </c>
      <c r="I18" s="230" t="n">
        <v>5388141</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0</v>
      </c>
      <c r="X18" s="229" t="n">
        <v>143462</v>
      </c>
      <c r="Y18" s="229" t="n">
        <v>0</v>
      </c>
      <c r="Z18" s="229" t="n">
        <v>0</v>
      </c>
      <c r="AA18" s="230" t="n">
        <v>363848</v>
      </c>
      <c r="AC18" s="228" t="n">
        <v>2039</v>
      </c>
      <c r="AD18" s="229" t="n">
        <v>212509</v>
      </c>
      <c r="AE18" s="229" t="n">
        <v>55984</v>
      </c>
      <c r="AF18" s="229" t="n">
        <v>63754</v>
      </c>
      <c r="AG18" s="229" t="n">
        <v>34463</v>
      </c>
      <c r="AH18" s="229" t="n">
        <v>0</v>
      </c>
      <c r="AI18" s="229" t="n">
        <v>21454</v>
      </c>
      <c r="AJ18" s="229" t="n">
        <v>498</v>
      </c>
      <c r="AK18" s="229" t="n">
        <v>0</v>
      </c>
      <c r="AL18" s="229" t="n">
        <v>0</v>
      </c>
      <c r="AM18" s="229" t="n">
        <v>0</v>
      </c>
      <c r="AN18" s="230" t="n">
        <v>388662</v>
      </c>
      <c r="AQ18" s="228" t="n">
        <v>2039</v>
      </c>
      <c r="AR18" s="229" t="n">
        <v>3313410.542338569</v>
      </c>
      <c r="AS18" s="229" t="n">
        <v>3975329.199484151</v>
      </c>
      <c r="AT18" s="229" t="n">
        <v>4599142.81881227</v>
      </c>
      <c r="AU18" s="229" t="n">
        <v>5330848.345902312</v>
      </c>
      <c r="AV18" s="229" t="n">
        <v>6942175.589989838</v>
      </c>
    </row>
    <row r="19">
      <c r="A19" s="225" t="n">
        <v>2040</v>
      </c>
      <c r="B19" s="226" t="n">
        <v>1137801</v>
      </c>
      <c r="C19" s="226" t="n">
        <v>0</v>
      </c>
      <c r="D19" s="226" t="n">
        <v>2158486</v>
      </c>
      <c r="E19" s="226" t="n">
        <v>0</v>
      </c>
      <c r="F19" s="226" t="n">
        <v>0</v>
      </c>
      <c r="G19" s="226" t="n">
        <v>2045611</v>
      </c>
      <c r="H19" s="226" t="n">
        <v>20000</v>
      </c>
      <c r="I19" s="227" t="n">
        <v>5361898</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0</v>
      </c>
      <c r="X19" s="226" t="n">
        <v>152415</v>
      </c>
      <c r="Y19" s="226" t="n">
        <v>0</v>
      </c>
      <c r="Z19" s="226" t="n">
        <v>0</v>
      </c>
      <c r="AA19" s="227" t="n">
        <v>373790</v>
      </c>
      <c r="AC19" s="225" t="n">
        <v>2040</v>
      </c>
      <c r="AD19" s="226" t="n">
        <v>217821</v>
      </c>
      <c r="AE19" s="226" t="n">
        <v>57384</v>
      </c>
      <c r="AF19" s="226" t="n">
        <v>67051</v>
      </c>
      <c r="AG19" s="226" t="n">
        <v>35324</v>
      </c>
      <c r="AH19" s="226" t="n">
        <v>0</v>
      </c>
      <c r="AI19" s="226" t="n">
        <v>21148</v>
      </c>
      <c r="AJ19" s="226" t="n">
        <v>495</v>
      </c>
      <c r="AK19" s="226" t="n">
        <v>0</v>
      </c>
      <c r="AL19" s="226" t="n">
        <v>0</v>
      </c>
      <c r="AM19" s="226" t="n">
        <v>0</v>
      </c>
      <c r="AN19" s="227" t="n">
        <v>399223</v>
      </c>
      <c r="AQ19" s="225" t="n">
        <v>2040</v>
      </c>
      <c r="AR19" s="226" t="n">
        <v>3237706.290481162</v>
      </c>
      <c r="AS19" s="226" t="n">
        <v>3832288.391053986</v>
      </c>
      <c r="AT19" s="226" t="n">
        <v>4560751.875620997</v>
      </c>
      <c r="AU19" s="226" t="n">
        <v>5168059.2263909</v>
      </c>
      <c r="AV19" s="226" t="n">
        <v>6732651.300119689</v>
      </c>
    </row>
    <row r="20">
      <c r="A20" s="228" t="n">
        <v>2041</v>
      </c>
      <c r="B20" s="229" t="n">
        <v>1079958</v>
      </c>
      <c r="C20" s="229" t="n">
        <v>0</v>
      </c>
      <c r="D20" s="229" t="n">
        <v>2122469</v>
      </c>
      <c r="E20" s="229" t="n">
        <v>0</v>
      </c>
      <c r="F20" s="229" t="n">
        <v>0</v>
      </c>
      <c r="G20" s="229" t="n">
        <v>2106980</v>
      </c>
      <c r="H20" s="229" t="n">
        <v>20000</v>
      </c>
      <c r="I20" s="230" t="n">
        <v>5329407</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156157</v>
      </c>
      <c r="Y20" s="229" t="n">
        <v>0</v>
      </c>
      <c r="Z20" s="229" t="n">
        <v>0</v>
      </c>
      <c r="AA20" s="230" t="n">
        <v>378658</v>
      </c>
      <c r="AC20" s="228" t="n">
        <v>2041</v>
      </c>
      <c r="AD20" s="229" t="n">
        <v>217821</v>
      </c>
      <c r="AE20" s="229" t="n">
        <v>58818</v>
      </c>
      <c r="AF20" s="229" t="n">
        <v>70527</v>
      </c>
      <c r="AG20" s="229" t="n">
        <v>36207</v>
      </c>
      <c r="AH20" s="229" t="n">
        <v>0</v>
      </c>
      <c r="AI20" s="229" t="n">
        <v>20862</v>
      </c>
      <c r="AJ20" s="229" t="n">
        <v>492</v>
      </c>
      <c r="AK20" s="229" t="n">
        <v>0</v>
      </c>
      <c r="AL20" s="229" t="n">
        <v>0</v>
      </c>
      <c r="AM20" s="229" t="n">
        <v>0</v>
      </c>
      <c r="AN20" s="230" t="n">
        <v>404727</v>
      </c>
      <c r="AQ20" s="228" t="n">
        <v>2041</v>
      </c>
      <c r="AR20" s="229" t="n">
        <v>3206937.838783257</v>
      </c>
      <c r="AS20" s="229" t="n">
        <v>3661015.587841082</v>
      </c>
      <c r="AT20" s="229" t="n">
        <v>4535510.191135794</v>
      </c>
      <c r="AU20" s="229" t="n">
        <v>4902470.784993133</v>
      </c>
      <c r="AV20" s="229" t="n">
        <v>6893369.405552218</v>
      </c>
    </row>
    <row r="21">
      <c r="A21" s="225" t="n">
        <v>2042</v>
      </c>
      <c r="B21" s="226" t="n">
        <v>1019621</v>
      </c>
      <c r="C21" s="226" t="n">
        <v>0</v>
      </c>
      <c r="D21" s="226" t="n">
        <v>2080203</v>
      </c>
      <c r="E21" s="226" t="n">
        <v>0</v>
      </c>
      <c r="F21" s="226" t="n">
        <v>0</v>
      </c>
      <c r="G21" s="226" t="n">
        <v>2170189</v>
      </c>
      <c r="H21" s="226" t="n">
        <v>20000</v>
      </c>
      <c r="I21" s="227" t="n">
        <v>5290013</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160013</v>
      </c>
      <c r="Y21" s="226" t="n">
        <v>0</v>
      </c>
      <c r="Z21" s="226" t="n">
        <v>0</v>
      </c>
      <c r="AA21" s="227" t="n">
        <v>383775</v>
      </c>
      <c r="AC21" s="225" t="n">
        <v>2042</v>
      </c>
      <c r="AD21" s="226" t="n">
        <v>217821</v>
      </c>
      <c r="AE21" s="226" t="n">
        <v>60289</v>
      </c>
      <c r="AF21" s="226" t="n">
        <v>74191</v>
      </c>
      <c r="AG21" s="226" t="n">
        <v>37113</v>
      </c>
      <c r="AH21" s="226" t="n">
        <v>0</v>
      </c>
      <c r="AI21" s="226" t="n">
        <v>20593</v>
      </c>
      <c r="AJ21" s="226" t="n">
        <v>489</v>
      </c>
      <c r="AK21" s="226" t="n">
        <v>0</v>
      </c>
      <c r="AL21" s="226" t="n">
        <v>0</v>
      </c>
      <c r="AM21" s="226" t="n">
        <v>0</v>
      </c>
      <c r="AN21" s="227" t="n">
        <v>410496</v>
      </c>
      <c r="AQ21" s="225" t="n">
        <v>2042</v>
      </c>
      <c r="AR21" s="226" t="n">
        <v>3209810.05299256</v>
      </c>
      <c r="AS21" s="226" t="n">
        <v>3486816.937927194</v>
      </c>
      <c r="AT21" s="226" t="n">
        <v>4400857.353358249</v>
      </c>
      <c r="AU21" s="226" t="n">
        <v>4708090.609630218</v>
      </c>
      <c r="AV21" s="226" t="n">
        <v>6738421.512673749</v>
      </c>
    </row>
    <row r="22">
      <c r="A22" s="228" t="n">
        <v>2043</v>
      </c>
      <c r="B22" s="229" t="n">
        <v>956542</v>
      </c>
      <c r="C22" s="229" t="n">
        <v>0</v>
      </c>
      <c r="D22" s="229" t="n">
        <v>2031174</v>
      </c>
      <c r="E22" s="229" t="n">
        <v>0</v>
      </c>
      <c r="F22" s="229" t="n">
        <v>0</v>
      </c>
      <c r="G22" s="229" t="n">
        <v>2235295</v>
      </c>
      <c r="H22" s="229" t="n">
        <v>20000</v>
      </c>
      <c r="I22" s="230" t="n">
        <v>5243011</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164001</v>
      </c>
      <c r="Y22" s="229" t="n">
        <v>0</v>
      </c>
      <c r="Z22" s="229" t="n">
        <v>0</v>
      </c>
      <c r="AA22" s="230" t="n">
        <v>389151</v>
      </c>
      <c r="AC22" s="228" t="n">
        <v>2043</v>
      </c>
      <c r="AD22" s="229" t="n">
        <v>217821</v>
      </c>
      <c r="AE22" s="229" t="n">
        <v>61796</v>
      </c>
      <c r="AF22" s="229" t="n">
        <v>78054</v>
      </c>
      <c r="AG22" s="229" t="n">
        <v>38040</v>
      </c>
      <c r="AH22" s="229" t="n">
        <v>0</v>
      </c>
      <c r="AI22" s="229" t="n">
        <v>20342</v>
      </c>
      <c r="AJ22" s="229" t="n">
        <v>487</v>
      </c>
      <c r="AK22" s="229" t="n">
        <v>0</v>
      </c>
      <c r="AL22" s="229" t="n">
        <v>0</v>
      </c>
      <c r="AM22" s="229" t="n">
        <v>0</v>
      </c>
      <c r="AN22" s="230" t="n">
        <v>416540</v>
      </c>
      <c r="AQ22" s="228" t="n">
        <v>2043</v>
      </c>
      <c r="AR22" s="229" t="n">
        <v>3211836.265508729</v>
      </c>
      <c r="AS22" s="229" t="n">
        <v>3372935.811648195</v>
      </c>
      <c r="AT22" s="229" t="n">
        <v>4228733.94208979</v>
      </c>
      <c r="AU22" s="229" t="n">
        <v>4661587.843060501</v>
      </c>
      <c r="AV22" s="229" t="n">
        <v>6420452.511470196</v>
      </c>
    </row>
    <row r="23">
      <c r="A23" s="225" t="n">
        <v>2044</v>
      </c>
      <c r="B23" s="226" t="n">
        <v>890464</v>
      </c>
      <c r="C23" s="226" t="n">
        <v>0</v>
      </c>
      <c r="D23" s="226" t="n">
        <v>1974821</v>
      </c>
      <c r="E23" s="226" t="n">
        <v>0</v>
      </c>
      <c r="F23" s="226" t="n">
        <v>0</v>
      </c>
      <c r="G23" s="226" t="n">
        <v>2302353</v>
      </c>
      <c r="H23" s="226" t="n">
        <v>20000</v>
      </c>
      <c r="I23" s="227" t="n">
        <v>5187638</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168135</v>
      </c>
      <c r="Y23" s="226" t="n">
        <v>0</v>
      </c>
      <c r="Z23" s="226" t="n">
        <v>0</v>
      </c>
      <c r="AA23" s="227" t="n">
        <v>394797</v>
      </c>
      <c r="AC23" s="225" t="n">
        <v>2044</v>
      </c>
      <c r="AD23" s="226" t="n">
        <v>217821</v>
      </c>
      <c r="AE23" s="226" t="n">
        <v>63341</v>
      </c>
      <c r="AF23" s="226" t="n">
        <v>82127</v>
      </c>
      <c r="AG23" s="226" t="n">
        <v>38991</v>
      </c>
      <c r="AH23" s="226" t="n">
        <v>0</v>
      </c>
      <c r="AI23" s="226" t="n">
        <v>20107</v>
      </c>
      <c r="AJ23" s="226" t="n">
        <v>485</v>
      </c>
      <c r="AK23" s="226" t="n">
        <v>0</v>
      </c>
      <c r="AL23" s="226" t="n">
        <v>0</v>
      </c>
      <c r="AM23" s="226" t="n">
        <v>0</v>
      </c>
      <c r="AN23" s="227" t="n">
        <v>422872</v>
      </c>
      <c r="AQ23" s="225" t="n">
        <v>2044</v>
      </c>
      <c r="AR23" s="226" t="n">
        <v>3212817.191660102</v>
      </c>
      <c r="AS23" s="226" t="n">
        <v>3225886.791561482</v>
      </c>
      <c r="AT23" s="226" t="n">
        <v>4114502.920608259</v>
      </c>
      <c r="AU23" s="226" t="n">
        <v>4719153.772629377</v>
      </c>
      <c r="AV23" s="226" t="n">
        <v>6640462.771141396</v>
      </c>
    </row>
    <row r="24">
      <c r="A24" s="228" t="n">
        <v>2045</v>
      </c>
      <c r="B24" s="229" t="n">
        <v>821122</v>
      </c>
      <c r="C24" s="229" t="n">
        <v>0</v>
      </c>
      <c r="D24" s="229" t="n">
        <v>1910532</v>
      </c>
      <c r="E24" s="229" t="n">
        <v>0</v>
      </c>
      <c r="F24" s="229" t="n">
        <v>0</v>
      </c>
      <c r="G24" s="229" t="n">
        <v>2371424</v>
      </c>
      <c r="H24" s="229" t="n">
        <v>20000</v>
      </c>
      <c r="I24" s="230" t="n">
        <v>5123078</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172432</v>
      </c>
      <c r="Y24" s="229" t="n">
        <v>0</v>
      </c>
      <c r="Z24" s="229" t="n">
        <v>0</v>
      </c>
      <c r="AA24" s="230" t="n">
        <v>400726</v>
      </c>
      <c r="AC24" s="228" t="n">
        <v>2045</v>
      </c>
      <c r="AD24" s="229" t="n">
        <v>217821</v>
      </c>
      <c r="AE24" s="229" t="n">
        <v>64924</v>
      </c>
      <c r="AF24" s="229" t="n">
        <v>86422</v>
      </c>
      <c r="AG24" s="229" t="n">
        <v>39966</v>
      </c>
      <c r="AH24" s="229" t="n">
        <v>0</v>
      </c>
      <c r="AI24" s="229" t="n">
        <v>19886</v>
      </c>
      <c r="AJ24" s="229" t="n">
        <v>483</v>
      </c>
      <c r="AK24" s="229" t="n">
        <v>0</v>
      </c>
      <c r="AL24" s="229" t="n">
        <v>0</v>
      </c>
      <c r="AM24" s="229" t="n">
        <v>0</v>
      </c>
      <c r="AN24" s="230" t="n">
        <v>429502</v>
      </c>
      <c r="AQ24" s="228" t="n">
        <v>2045</v>
      </c>
      <c r="AR24" s="229" t="n">
        <v>3212545.80921576</v>
      </c>
      <c r="AS24" s="229" t="n">
        <v>3212545.80921576</v>
      </c>
      <c r="AT24" s="229" t="n">
        <v>3900712.840528452</v>
      </c>
      <c r="AU24" s="229" t="n">
        <v>4622515.655846965</v>
      </c>
      <c r="AV24" s="229" t="n">
        <v>6854276.627761097</v>
      </c>
    </row>
    <row r="25">
      <c r="A25" s="225" t="n">
        <v>2046</v>
      </c>
      <c r="B25" s="226" t="n">
        <v>748240</v>
      </c>
      <c r="C25" s="226" t="n">
        <v>0</v>
      </c>
      <c r="D25" s="226" t="n">
        <v>1881066</v>
      </c>
      <c r="E25" s="226" t="n">
        <v>0</v>
      </c>
      <c r="F25" s="226" t="n">
        <v>0</v>
      </c>
      <c r="G25" s="226" t="n">
        <v>2442567</v>
      </c>
      <c r="H25" s="226" t="n">
        <v>20000</v>
      </c>
      <c r="I25" s="227" t="n">
        <v>5091873</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135941</v>
      </c>
      <c r="Y25" s="226" t="n">
        <v>0</v>
      </c>
      <c r="Z25" s="226" t="n">
        <v>0</v>
      </c>
      <c r="AA25" s="227" t="n">
        <v>365983</v>
      </c>
      <c r="AC25" s="225" t="n">
        <v>2046</v>
      </c>
      <c r="AD25" s="226" t="n">
        <v>217821</v>
      </c>
      <c r="AE25" s="226" t="n">
        <v>66547</v>
      </c>
      <c r="AF25" s="226" t="n">
        <v>90949</v>
      </c>
      <c r="AG25" s="226" t="n">
        <v>0</v>
      </c>
      <c r="AH25" s="226" t="n">
        <v>0</v>
      </c>
      <c r="AI25" s="226" t="n">
        <v>19678</v>
      </c>
      <c r="AJ25" s="226" t="n">
        <v>482</v>
      </c>
      <c r="AK25" s="226" t="n">
        <v>0</v>
      </c>
      <c r="AL25" s="226" t="n">
        <v>0</v>
      </c>
      <c r="AM25" s="226" t="n">
        <v>0</v>
      </c>
      <c r="AN25" s="227" t="n">
        <v>395477</v>
      </c>
      <c r="AQ25" s="225" t="n">
        <v>2046</v>
      </c>
      <c r="AR25" s="226" t="n">
        <v>3210806.515456209</v>
      </c>
      <c r="AS25" s="226" t="n">
        <v>3210806.515456209</v>
      </c>
      <c r="AT25" s="226" t="n">
        <v>3785072.34327644</v>
      </c>
      <c r="AU25" s="226" t="n">
        <v>4506060.704368648</v>
      </c>
      <c r="AV25" s="226" t="n">
        <v>6872595.378229153</v>
      </c>
    </row>
    <row r="26">
      <c r="A26" s="228" t="n">
        <v>2047</v>
      </c>
      <c r="B26" s="229" t="n">
        <v>671530</v>
      </c>
      <c r="C26" s="229" t="n">
        <v>0</v>
      </c>
      <c r="D26" s="229" t="n">
        <v>1837681</v>
      </c>
      <c r="E26" s="229" t="n">
        <v>0</v>
      </c>
      <c r="F26" s="229" t="n">
        <v>0</v>
      </c>
      <c r="G26" s="229" t="n">
        <v>2515844</v>
      </c>
      <c r="H26" s="229" t="n">
        <v>20000</v>
      </c>
      <c r="I26" s="230" t="n">
        <v>5045055</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147405</v>
      </c>
      <c r="Y26" s="229" t="n">
        <v>0</v>
      </c>
      <c r="Z26" s="229" t="n">
        <v>0</v>
      </c>
      <c r="AA26" s="230" t="n">
        <v>369305</v>
      </c>
      <c r="AC26" s="228" t="n">
        <v>2047</v>
      </c>
      <c r="AD26" s="229" t="n">
        <v>217821</v>
      </c>
      <c r="AE26" s="229" t="n">
        <v>68211</v>
      </c>
      <c r="AF26" s="229" t="n">
        <v>95723</v>
      </c>
      <c r="AG26" s="229" t="n">
        <v>0</v>
      </c>
      <c r="AH26" s="229" t="n">
        <v>0</v>
      </c>
      <c r="AI26" s="229" t="n">
        <v>17336</v>
      </c>
      <c r="AJ26" s="229" t="n">
        <v>447</v>
      </c>
      <c r="AK26" s="229" t="n">
        <v>0</v>
      </c>
      <c r="AL26" s="229" t="n">
        <v>0</v>
      </c>
      <c r="AM26" s="229" t="n">
        <v>0</v>
      </c>
      <c r="AN26" s="230" t="n">
        <v>399538</v>
      </c>
      <c r="AQ26" s="228" t="n">
        <v>2047</v>
      </c>
      <c r="AR26" s="229" t="n">
        <v>3207374.248848518</v>
      </c>
      <c r="AS26" s="229" t="n">
        <v>3207374.248848518</v>
      </c>
      <c r="AT26" s="229" t="n">
        <v>3615634.328334918</v>
      </c>
      <c r="AU26" s="229" t="n">
        <v>4495995.761172457</v>
      </c>
      <c r="AV26" s="229" t="n">
        <v>6903672.753415774</v>
      </c>
    </row>
    <row r="27">
      <c r="A27" s="225" t="n">
        <v>2048</v>
      </c>
      <c r="B27" s="226" t="n">
        <v>601293</v>
      </c>
      <c r="C27" s="226" t="n">
        <v>0</v>
      </c>
      <c r="D27" s="226" t="n">
        <v>1767651</v>
      </c>
      <c r="E27" s="226" t="n">
        <v>0</v>
      </c>
      <c r="F27" s="226" t="n">
        <v>0</v>
      </c>
      <c r="G27" s="226" t="n">
        <v>2591319</v>
      </c>
      <c r="H27" s="226" t="n">
        <v>20000</v>
      </c>
      <c r="I27" s="227" t="n">
        <v>4980263</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170085</v>
      </c>
      <c r="Y27" s="226" t="n">
        <v>0</v>
      </c>
      <c r="Z27" s="226" t="n">
        <v>0</v>
      </c>
      <c r="AA27" s="227" t="n">
        <v>370566</v>
      </c>
      <c r="AC27" s="225" t="n">
        <v>2048</v>
      </c>
      <c r="AD27" s="226" t="n">
        <v>217821</v>
      </c>
      <c r="AE27" s="226" t="n">
        <v>69916</v>
      </c>
      <c r="AF27" s="226" t="n">
        <v>100757</v>
      </c>
      <c r="AG27" s="226" t="n">
        <v>0</v>
      </c>
      <c r="AH27" s="226" t="n">
        <v>0</v>
      </c>
      <c r="AI27" s="226" t="n">
        <v>12683</v>
      </c>
      <c r="AJ27" s="226" t="n">
        <v>377</v>
      </c>
      <c r="AK27" s="226" t="n">
        <v>0</v>
      </c>
      <c r="AL27" s="226" t="n">
        <v>0</v>
      </c>
      <c r="AM27" s="226" t="n">
        <v>0</v>
      </c>
      <c r="AN27" s="227" t="n">
        <v>401554</v>
      </c>
      <c r="AQ27" s="225" t="n">
        <v>2048</v>
      </c>
      <c r="AR27" s="226" t="n">
        <v>3212612.162531918</v>
      </c>
      <c r="AS27" s="226" t="n">
        <v>3212612.162531918</v>
      </c>
      <c r="AT27" s="226" t="n">
        <v>3425381.517959011</v>
      </c>
      <c r="AU27" s="226" t="n">
        <v>4441857.250687823</v>
      </c>
      <c r="AV27" s="226" t="n">
        <v>6667089.5484531</v>
      </c>
    </row>
    <row r="28">
      <c r="A28" s="228" t="n">
        <v>2049</v>
      </c>
      <c r="B28" s="229" t="n">
        <v>552040</v>
      </c>
      <c r="C28" s="229" t="n">
        <v>0</v>
      </c>
      <c r="D28" s="229" t="n">
        <v>1690173</v>
      </c>
      <c r="E28" s="229" t="n">
        <v>0</v>
      </c>
      <c r="F28" s="229" t="n">
        <v>0</v>
      </c>
      <c r="G28" s="229" t="n">
        <v>2669059</v>
      </c>
      <c r="H28" s="229" t="n">
        <v>20000</v>
      </c>
      <c r="I28" s="230" t="n">
        <v>4931272</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173148</v>
      </c>
      <c r="Y28" s="229" t="n">
        <v>0</v>
      </c>
      <c r="Z28" s="229" t="n">
        <v>0</v>
      </c>
      <c r="AA28" s="230" t="n">
        <v>377055</v>
      </c>
      <c r="AC28" s="228" t="n">
        <v>2049</v>
      </c>
      <c r="AD28" s="229" t="n">
        <v>217821</v>
      </c>
      <c r="AE28" s="229" t="n">
        <v>71664</v>
      </c>
      <c r="AF28" s="229" t="n">
        <v>106064</v>
      </c>
      <c r="AG28" s="229" t="n">
        <v>0</v>
      </c>
      <c r="AH28" s="229" t="n">
        <v>0</v>
      </c>
      <c r="AI28" s="229" t="n">
        <v>12888</v>
      </c>
      <c r="AJ28" s="229" t="n">
        <v>380</v>
      </c>
      <c r="AK28" s="229" t="n">
        <v>0</v>
      </c>
      <c r="AL28" s="229" t="n">
        <v>0</v>
      </c>
      <c r="AM28" s="229" t="n">
        <v>0</v>
      </c>
      <c r="AN28" s="230" t="n">
        <v>408817</v>
      </c>
      <c r="AQ28" s="228" t="n">
        <v>2049</v>
      </c>
      <c r="AR28" s="229" t="n">
        <v>3241098.995544306</v>
      </c>
      <c r="AS28" s="229" t="n">
        <v>3241098.995544306</v>
      </c>
      <c r="AT28" s="229" t="n">
        <v>3316416.444498242</v>
      </c>
      <c r="AU28" s="229" t="n">
        <v>4450797.935174581</v>
      </c>
      <c r="AV28" s="229" t="n">
        <v>7222869.42664313</v>
      </c>
    </row>
    <row r="29">
      <c r="A29" s="225" t="n">
        <v>2050</v>
      </c>
      <c r="B29" s="226" t="n">
        <v>498744</v>
      </c>
      <c r="C29" s="226" t="n">
        <v>0</v>
      </c>
      <c r="D29" s="226" t="n">
        <v>1604531</v>
      </c>
      <c r="E29" s="226" t="n">
        <v>0</v>
      </c>
      <c r="F29" s="226" t="n">
        <v>0</v>
      </c>
      <c r="G29" s="226" t="n">
        <v>2749130</v>
      </c>
      <c r="H29" s="226" t="n">
        <v>20000</v>
      </c>
      <c r="I29" s="227" t="n">
        <v>4872405</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176465</v>
      </c>
      <c r="Y29" s="226" t="n">
        <v>0</v>
      </c>
      <c r="Z29" s="226" t="n">
        <v>0</v>
      </c>
      <c r="AA29" s="227" t="n">
        <v>383861</v>
      </c>
      <c r="AC29" s="225" t="n">
        <v>2050</v>
      </c>
      <c r="AD29" s="226" t="n">
        <v>217821</v>
      </c>
      <c r="AE29" s="226" t="n">
        <v>73456</v>
      </c>
      <c r="AF29" s="226" t="n">
        <v>111661</v>
      </c>
      <c r="AG29" s="226" t="n">
        <v>0</v>
      </c>
      <c r="AH29" s="226" t="n">
        <v>0</v>
      </c>
      <c r="AI29" s="226" t="n">
        <v>13096</v>
      </c>
      <c r="AJ29" s="226" t="n">
        <v>383</v>
      </c>
      <c r="AK29" s="226" t="n">
        <v>0</v>
      </c>
      <c r="AL29" s="226" t="n">
        <v>0</v>
      </c>
      <c r="AM29" s="226" t="n">
        <v>0</v>
      </c>
      <c r="AN29" s="227" t="n">
        <v>416417</v>
      </c>
      <c r="AQ29" s="225" t="n">
        <v>2050</v>
      </c>
      <c r="AR29" s="226" t="n">
        <v>3267874.435484978</v>
      </c>
      <c r="AS29" s="226" t="n">
        <v>3267874.435484978</v>
      </c>
      <c r="AT29" s="226" t="n">
        <v>3267874.435484978</v>
      </c>
      <c r="AU29" s="226" t="n">
        <v>4395941.285005566</v>
      </c>
      <c r="AV29" s="226" t="n">
        <v>6452927.102685156</v>
      </c>
    </row>
    <row r="30">
      <c r="A30" s="228" t="n">
        <v>2051</v>
      </c>
      <c r="B30" s="229" t="n">
        <v>441146</v>
      </c>
      <c r="C30" s="229" t="n">
        <v>0</v>
      </c>
      <c r="D30" s="229" t="n">
        <v>1509947</v>
      </c>
      <c r="E30" s="229" t="n">
        <v>0</v>
      </c>
      <c r="F30" s="229" t="n">
        <v>0</v>
      </c>
      <c r="G30" s="229" t="n">
        <v>2831604</v>
      </c>
      <c r="H30" s="229" t="n">
        <v>20000</v>
      </c>
      <c r="I30" s="230" t="n">
        <v>4802697</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180052</v>
      </c>
      <c r="Y30" s="229" t="n">
        <v>0</v>
      </c>
      <c r="Z30" s="229" t="n">
        <v>0</v>
      </c>
      <c r="AA30" s="230" t="n">
        <v>390999</v>
      </c>
      <c r="AC30" s="228" t="n">
        <v>2051</v>
      </c>
      <c r="AD30" s="229" t="n">
        <v>217821</v>
      </c>
      <c r="AE30" s="229" t="n">
        <v>75292</v>
      </c>
      <c r="AF30" s="229" t="n">
        <v>117562</v>
      </c>
      <c r="AG30" s="229" t="n">
        <v>0</v>
      </c>
      <c r="AH30" s="229" t="n">
        <v>0</v>
      </c>
      <c r="AI30" s="229" t="n">
        <v>13307</v>
      </c>
      <c r="AJ30" s="229" t="n">
        <v>387</v>
      </c>
      <c r="AK30" s="229" t="n">
        <v>0</v>
      </c>
      <c r="AL30" s="229" t="n">
        <v>0</v>
      </c>
      <c r="AM30" s="229" t="n">
        <v>0</v>
      </c>
      <c r="AN30" s="230" t="n">
        <v>424369</v>
      </c>
      <c r="AQ30" s="228" t="n">
        <v>2051</v>
      </c>
      <c r="AR30" s="229" t="n">
        <v>3292749.91110467</v>
      </c>
      <c r="AS30" s="229" t="n">
        <v>3292749.91110467</v>
      </c>
      <c r="AT30" s="229" t="n">
        <v>3292749.91110467</v>
      </c>
      <c r="AU30" s="229" t="n">
        <v>4351076.927907465</v>
      </c>
      <c r="AV30" s="229" t="n">
        <v>6423911.014768462</v>
      </c>
    </row>
    <row r="31">
      <c r="A31" s="225" t="n">
        <v>2052</v>
      </c>
      <c r="B31" s="226" t="n">
        <v>378974</v>
      </c>
      <c r="C31" s="226" t="n">
        <v>0</v>
      </c>
      <c r="D31" s="226" t="n">
        <v>1405607</v>
      </c>
      <c r="E31" s="226" t="n">
        <v>0</v>
      </c>
      <c r="F31" s="226" t="n">
        <v>0</v>
      </c>
      <c r="G31" s="226" t="n">
        <v>2916552</v>
      </c>
      <c r="H31" s="226" t="n">
        <v>20000</v>
      </c>
      <c r="I31" s="227" t="n">
        <v>4721133</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183903</v>
      </c>
      <c r="Y31" s="226" t="n">
        <v>0</v>
      </c>
      <c r="Z31" s="226" t="n">
        <v>0</v>
      </c>
      <c r="AA31" s="227" t="n">
        <v>398492</v>
      </c>
      <c r="AC31" s="225" t="n">
        <v>2052</v>
      </c>
      <c r="AD31" s="226" t="n">
        <v>217821</v>
      </c>
      <c r="AE31" s="226" t="n">
        <v>77175</v>
      </c>
      <c r="AF31" s="226" t="n">
        <v>123785</v>
      </c>
      <c r="AG31" s="226" t="n">
        <v>0</v>
      </c>
      <c r="AH31" s="226" t="n">
        <v>0</v>
      </c>
      <c r="AI31" s="226" t="n">
        <v>13527</v>
      </c>
      <c r="AJ31" s="226" t="n">
        <v>390</v>
      </c>
      <c r="AK31" s="226" t="n">
        <v>0</v>
      </c>
      <c r="AL31" s="226" t="n">
        <v>0</v>
      </c>
      <c r="AM31" s="226" t="n">
        <v>0</v>
      </c>
      <c r="AN31" s="227" t="n">
        <v>432698</v>
      </c>
      <c r="AQ31" s="225" t="n">
        <v>2052</v>
      </c>
      <c r="AR31" s="226" t="n">
        <v>3315526.45314006</v>
      </c>
      <c r="AS31" s="226" t="n">
        <v>3315526.45314006</v>
      </c>
      <c r="AT31" s="226" t="n">
        <v>3315526.45314006</v>
      </c>
      <c r="AU31" s="226" t="n">
        <v>4220777.530215008</v>
      </c>
      <c r="AV31" s="226" t="n">
        <v>6635132.056451749</v>
      </c>
    </row>
    <row r="32">
      <c r="A32" s="228" t="n">
        <v>2053</v>
      </c>
      <c r="B32" s="229" t="n">
        <v>311910</v>
      </c>
      <c r="C32" s="229" t="n">
        <v>0</v>
      </c>
      <c r="D32" s="229" t="n">
        <v>1290702</v>
      </c>
      <c r="E32" s="229" t="n">
        <v>0</v>
      </c>
      <c r="F32" s="229" t="n">
        <v>0</v>
      </c>
      <c r="G32" s="229" t="n">
        <v>3004049</v>
      </c>
      <c r="H32" s="229" t="n">
        <v>20000</v>
      </c>
      <c r="I32" s="230" t="n">
        <v>4626661</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187964</v>
      </c>
      <c r="Y32" s="229" t="n">
        <v>0</v>
      </c>
      <c r="Z32" s="229" t="n">
        <v>0</v>
      </c>
      <c r="AA32" s="230" t="n">
        <v>406380</v>
      </c>
      <c r="AC32" s="228" t="n">
        <v>2053</v>
      </c>
      <c r="AD32" s="229" t="n">
        <v>217821</v>
      </c>
      <c r="AE32" s="229" t="n">
        <v>79104</v>
      </c>
      <c r="AF32" s="229" t="n">
        <v>130347</v>
      </c>
      <c r="AG32" s="229" t="n">
        <v>0</v>
      </c>
      <c r="AH32" s="229" t="n">
        <v>0</v>
      </c>
      <c r="AI32" s="229" t="n">
        <v>13775</v>
      </c>
      <c r="AJ32" s="229" t="n">
        <v>393</v>
      </c>
      <c r="AK32" s="229" t="n">
        <v>0</v>
      </c>
      <c r="AL32" s="229" t="n">
        <v>0</v>
      </c>
      <c r="AM32" s="229" t="n">
        <v>0</v>
      </c>
      <c r="AN32" s="230" t="n">
        <v>441440</v>
      </c>
      <c r="AQ32" s="228" t="n">
        <v>2053</v>
      </c>
      <c r="AR32" s="229" t="n">
        <v>3335958.900418749</v>
      </c>
      <c r="AS32" s="229" t="n">
        <v>3335958.900418749</v>
      </c>
      <c r="AT32" s="229" t="n">
        <v>3335958.900418749</v>
      </c>
      <c r="AU32" s="229" t="n">
        <v>4190950.885404317</v>
      </c>
      <c r="AV32" s="229" t="n">
        <v>6756630.527515656</v>
      </c>
    </row>
    <row r="33">
      <c r="A33" s="225" t="n">
        <v>2054</v>
      </c>
      <c r="B33" s="226" t="n">
        <v>239518</v>
      </c>
      <c r="C33" s="226" t="n">
        <v>0</v>
      </c>
      <c r="D33" s="226" t="n">
        <v>1164368</v>
      </c>
      <c r="E33" s="226" t="n">
        <v>0</v>
      </c>
      <c r="F33" s="226" t="n">
        <v>0</v>
      </c>
      <c r="G33" s="226" t="n">
        <v>3094171</v>
      </c>
      <c r="H33" s="226" t="n">
        <v>0</v>
      </c>
      <c r="I33" s="227" t="n">
        <v>4498057</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192242</v>
      </c>
      <c r="Y33" s="226" t="n">
        <v>0</v>
      </c>
      <c r="Z33" s="226" t="n">
        <v>0</v>
      </c>
      <c r="AA33" s="227" t="n">
        <v>414685</v>
      </c>
      <c r="AC33" s="225" t="n">
        <v>2054</v>
      </c>
      <c r="AD33" s="226" t="n">
        <v>217821</v>
      </c>
      <c r="AE33" s="226" t="n">
        <v>81082</v>
      </c>
      <c r="AF33" s="226" t="n">
        <v>137267</v>
      </c>
      <c r="AG33" s="226" t="n">
        <v>0</v>
      </c>
      <c r="AH33" s="226" t="n">
        <v>0</v>
      </c>
      <c r="AI33" s="226" t="n">
        <v>14055</v>
      </c>
      <c r="AJ33" s="226" t="n">
        <v>398</v>
      </c>
      <c r="AK33" s="226" t="n">
        <v>0</v>
      </c>
      <c r="AL33" s="226" t="n">
        <v>0</v>
      </c>
      <c r="AM33" s="226" t="n">
        <v>0</v>
      </c>
      <c r="AN33" s="227" t="n">
        <v>450623</v>
      </c>
      <c r="AQ33" s="225" t="n">
        <v>2054</v>
      </c>
      <c r="AR33" s="226" t="n">
        <v>3354888.410047719</v>
      </c>
      <c r="AS33" s="226" t="n">
        <v>3354888.410047719</v>
      </c>
      <c r="AT33" s="226" t="n">
        <v>3354888.410047719</v>
      </c>
      <c r="AU33" s="226" t="n">
        <v>4089898.439619198</v>
      </c>
      <c r="AV33" s="226" t="n">
        <v>6932697.840934222</v>
      </c>
    </row>
    <row r="34">
      <c r="A34" s="228" t="n">
        <v>2055</v>
      </c>
      <c r="B34" s="229" t="n">
        <v>161323</v>
      </c>
      <c r="C34" s="229" t="n">
        <v>0</v>
      </c>
      <c r="D34" s="229" t="n">
        <v>1026602</v>
      </c>
      <c r="E34" s="229" t="n">
        <v>0</v>
      </c>
      <c r="F34" s="229" t="n">
        <v>0</v>
      </c>
      <c r="G34" s="229" t="n">
        <v>3186996</v>
      </c>
      <c r="H34" s="229" t="n">
        <v>0</v>
      </c>
      <c r="I34" s="230" t="n">
        <v>4374921</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195875</v>
      </c>
      <c r="Y34" s="229" t="n">
        <v>0</v>
      </c>
      <c r="Z34" s="229" t="n">
        <v>0</v>
      </c>
      <c r="AA34" s="230" t="n">
        <v>351604</v>
      </c>
      <c r="AC34" s="228" t="n">
        <v>2055</v>
      </c>
      <c r="AD34" s="229" t="n">
        <v>217821</v>
      </c>
      <c r="AE34" s="229" t="n">
        <v>83109</v>
      </c>
      <c r="AF34" s="229" t="n">
        <v>72282</v>
      </c>
      <c r="AG34" s="229" t="n">
        <v>0</v>
      </c>
      <c r="AH34" s="229" t="n">
        <v>0</v>
      </c>
      <c r="AI34" s="229" t="n">
        <v>14826</v>
      </c>
      <c r="AJ34" s="229" t="n">
        <v>402</v>
      </c>
      <c r="AK34" s="229" t="n">
        <v>0</v>
      </c>
      <c r="AL34" s="229" t="n">
        <v>0</v>
      </c>
      <c r="AM34" s="229" t="n">
        <v>0</v>
      </c>
      <c r="AN34" s="230" t="n">
        <v>388440</v>
      </c>
      <c r="AQ34" s="228" t="n">
        <v>2055</v>
      </c>
      <c r="AR34" s="229" t="n">
        <v>3370790.16580873</v>
      </c>
      <c r="AS34" s="229" t="n">
        <v>3370790.16580873</v>
      </c>
      <c r="AT34" s="229" t="n">
        <v>3370790.16580873</v>
      </c>
      <c r="AU34" s="229" t="n">
        <v>4148348.76041897</v>
      </c>
      <c r="AV34" s="229" t="n">
        <v>6993541.924747622</v>
      </c>
    </row>
    <row r="35">
      <c r="A35" s="225" t="n">
        <v>2056</v>
      </c>
      <c r="B35" s="226" t="n">
        <v>83848</v>
      </c>
      <c r="C35" s="226" t="n">
        <v>0</v>
      </c>
      <c r="D35" s="226" t="n">
        <v>876965</v>
      </c>
      <c r="E35" s="226" t="n">
        <v>0</v>
      </c>
      <c r="F35" s="226" t="n">
        <v>0</v>
      </c>
      <c r="G35" s="226" t="n">
        <v>3282605</v>
      </c>
      <c r="H35" s="226" t="n">
        <v>0</v>
      </c>
      <c r="I35" s="227" t="n">
        <v>4243418</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199277</v>
      </c>
      <c r="Y35" s="226" t="n">
        <v>0</v>
      </c>
      <c r="Z35" s="226" t="n">
        <v>0</v>
      </c>
      <c r="AA35" s="227" t="n">
        <v>356634</v>
      </c>
      <c r="AC35" s="225" t="n">
        <v>2056</v>
      </c>
      <c r="AD35" s="226" t="n">
        <v>217821</v>
      </c>
      <c r="AE35" s="226" t="n">
        <v>85186</v>
      </c>
      <c r="AF35" s="226" t="n">
        <v>76130</v>
      </c>
      <c r="AG35" s="226" t="n">
        <v>0</v>
      </c>
      <c r="AH35" s="226" t="n">
        <v>0</v>
      </c>
      <c r="AI35" s="226" t="n">
        <v>14845</v>
      </c>
      <c r="AJ35" s="226" t="n">
        <v>407</v>
      </c>
      <c r="AK35" s="226" t="n">
        <v>0</v>
      </c>
      <c r="AL35" s="226" t="n">
        <v>0</v>
      </c>
      <c r="AM35" s="226" t="n">
        <v>0</v>
      </c>
      <c r="AN35" s="227" t="n">
        <v>394389</v>
      </c>
      <c r="AQ35" s="225" t="n">
        <v>2056</v>
      </c>
      <c r="AR35" s="226" t="n">
        <v>3390274.137803574</v>
      </c>
      <c r="AS35" s="226" t="n">
        <v>3390274.137803574</v>
      </c>
      <c r="AT35" s="226" t="n">
        <v>3390274.137803574</v>
      </c>
      <c r="AU35" s="226" t="n">
        <v>3847342.880676514</v>
      </c>
      <c r="AV35" s="226" t="n">
        <v>7827126.088299667</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10" t="n">
        <v>1329502.60797</v>
      </c>
      <c r="D211" s="33" t="inlineStr">
        <is>
          <t>US Large Cap</t>
        </is>
      </c>
      <c r="E211" s="110" t="n">
        <v>1360803.60797</v>
      </c>
    </row>
    <row r="212">
      <c r="A212" s="33" t="inlineStr">
        <is>
          <t>International</t>
        </is>
      </c>
      <c r="B212" s="110" t="n">
        <v>897149.1413760001</v>
      </c>
      <c r="D212" s="33" t="inlineStr">
        <is>
          <t>International</t>
        </is>
      </c>
      <c r="E212" s="110" t="n">
        <v>680402.4413759999</v>
      </c>
    </row>
    <row r="213">
      <c r="A213" s="33" t="inlineStr">
        <is>
          <t>US Small Cap</t>
        </is>
      </c>
      <c r="B213" s="110" t="n">
        <v>310315.117414</v>
      </c>
      <c r="D213" s="33" t="inlineStr">
        <is>
          <t>US Small Cap</t>
        </is>
      </c>
      <c r="E213" s="110" t="n">
        <v>170100.117414</v>
      </c>
    </row>
    <row r="214">
      <c r="A214" s="33" t="inlineStr">
        <is>
          <t>Commodities</t>
        </is>
      </c>
      <c r="B214" s="110" t="n">
        <v>166714.35</v>
      </c>
      <c r="D214" s="33" t="inlineStr">
        <is>
          <t>Cash</t>
        </is>
      </c>
      <c r="E214" s="110" t="n">
        <v>170101.75</v>
      </c>
    </row>
    <row r="215">
      <c r="A215" s="33" t="inlineStr">
        <is>
          <t>Cash</t>
        </is>
      </c>
      <c r="B215" s="110" t="n">
        <v>17926.75</v>
      </c>
      <c r="D215" s="33" t="inlineStr">
        <is>
          <t>Emerging Markets</t>
        </is>
      </c>
      <c r="E215" s="110" t="n">
        <v>170100</v>
      </c>
    </row>
    <row r="216">
      <c r="A216" s="33" t="inlineStr">
        <is>
          <t>Fixed Income (Non-Liquid)</t>
        </is>
      </c>
      <c r="B216" s="110" t="n">
        <v>1274327.16356137</v>
      </c>
      <c r="D216" s="33" t="inlineStr">
        <is>
          <t>US Mid Cap</t>
        </is>
      </c>
      <c r="E216" s="110" t="n">
        <v>170101</v>
      </c>
    </row>
    <row r="217">
      <c r="A217" s="33" t="inlineStr">
        <is>
          <t>Real Estate (Non-Liquid)</t>
        </is>
      </c>
      <c r="B217" s="110" t="n">
        <v>1313000</v>
      </c>
      <c r="D217" s="33" t="inlineStr">
        <is>
          <t>Fixed Income (Non-Liquid)</t>
        </is>
      </c>
      <c r="E217" s="110" t="n">
        <v>1274327.16356137</v>
      </c>
    </row>
    <row r="218">
      <c r="D218" s="33" t="inlineStr">
        <is>
          <t>Real Estate (Non-Liquid)</t>
        </is>
      </c>
      <c r="E218" s="110"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2026-06-30T12:55:04Z</dcterms:created>
  <dcterms:modified xmlns:dcterms="http://purl.org/dc/terms/" xmlns:xsi="http://www.w3.org/2001/XMLSchema-instance" xsi:type="dcterms:W3CDTF">2026-06-30T12:55:11Z</dcterms:modified>
</cp:coreProperties>
</file>