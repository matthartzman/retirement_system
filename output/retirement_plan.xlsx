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137606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(113%  OVER budget)</t>
        </is>
      </c>
      <c r="B5" s="47" t="n">
        <v>18230.20999999999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4678.6</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3440.15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22980.2</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22292.17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4541</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9770.030000000001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120689</v>
      </c>
      <c r="E14" s="65" t="n">
        <v>25050.54000000001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10000</v>
      </c>
      <c r="E48" s="61" t="n">
        <v>-1537.549999999999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64" t="inlineStr"/>
      <c r="E50" s="64" t="inlineStr"/>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41917</v>
      </c>
      <c r="E89" s="58" t="n">
        <v>-9736.970000000001</v>
      </c>
      <c r="F89" s="60" t="n">
        <v>0.09106783265905558</v>
      </c>
    </row>
    <row r="90" hidden="1" outlineLevel="1" ht="45" customHeight="1">
      <c r="A90" s="6" t="inlineStr">
        <is>
          <t xml:space="preserve">  Travel</t>
        </is>
      </c>
      <c r="B90" s="61" t="n">
        <v>16222.26</v>
      </c>
      <c r="C90" s="61" t="n">
        <v>32180.03</v>
      </c>
      <c r="D90" s="61" t="n">
        <v>41917</v>
      </c>
      <c r="E90" s="61" t="n">
        <v>-9736.970000000001</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7383.35</v>
      </c>
      <c r="D93" s="27" t="n">
        <v>8127</v>
      </c>
      <c r="E93" s="27" t="n">
        <v>-743.6499999999996</v>
      </c>
      <c r="F93" s="29" t="n">
        <v>0.02089451744169173</v>
      </c>
    </row>
    <row r="94" hidden="1" outlineLevel="2" ht="15" customHeight="1">
      <c r="A94" s="12" t="inlineStr">
        <is>
          <t xml:space="preserve">    Travel - Housing</t>
        </is>
      </c>
      <c r="B94" s="27" t="n">
        <v>2248</v>
      </c>
      <c r="C94" s="27" t="n">
        <v>4459.35</v>
      </c>
      <c r="D94" s="27" t="n">
        <v>2617</v>
      </c>
      <c r="E94" s="67" t="n">
        <v>1842.35</v>
      </c>
      <c r="F94" s="29" t="n">
        <v>0.01261972670993788</v>
      </c>
    </row>
    <row r="95" hidden="1" outlineLevel="2" ht="15" customHeight="1">
      <c r="A95" s="12" t="inlineStr">
        <is>
          <t xml:space="preserve">    Travel - Insurance</t>
        </is>
      </c>
      <c r="B95" s="27" t="n">
        <v>76</v>
      </c>
      <c r="C95" s="27" t="n">
        <v>150.76</v>
      </c>
      <c r="D95" s="27" t="n">
        <v>159</v>
      </c>
      <c r="E95" s="27" t="n">
        <v>-8.240000000000009</v>
      </c>
      <c r="F95" s="29" t="n">
        <v>0.0004266455649267256</v>
      </c>
    </row>
    <row r="96" hidden="1" outlineLevel="2" ht="30" customHeight="1">
      <c r="A96" s="12" t="inlineStr">
        <is>
          <t xml:space="preserve">    Travel - Plane/Train/Bus</t>
        </is>
      </c>
      <c r="B96" s="27" t="n">
        <v>1414.53</v>
      </c>
      <c r="C96" s="27" t="n">
        <v>2806</v>
      </c>
      <c r="D96" s="27" t="n">
        <v>2744</v>
      </c>
      <c r="E96" s="67" t="n">
        <v>62</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346460</v>
      </c>
      <c r="E111" s="68" t="n">
        <v>6903.260000000009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0.6875</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$2,841,262</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5209377.522036022</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9692702.487859083</v>
      </c>
      <c r="G34" s="4" t="n"/>
      <c r="H34" s="128" t="inlineStr">
        <is>
          <t>On Track</t>
        </is>
      </c>
      <c r="I34" s="3" t="n"/>
      <c r="J34" s="4" t="n"/>
    </row>
    <row r="35" ht="15" customHeight="1">
      <c r="A35" s="11" t="inlineStr">
        <is>
          <t>P90 Terminal Liquid Assets</t>
        </is>
      </c>
      <c r="B35" s="3" t="n"/>
      <c r="C35" s="3" t="n"/>
      <c r="D35" s="3" t="n"/>
      <c r="E35" s="4" t="n"/>
      <c r="F35" s="83" t="n">
        <v>17456852.8832895</v>
      </c>
      <c r="G35" s="4" t="n"/>
      <c r="H35" s="128" t="inlineStr">
        <is>
          <t>On Track</t>
        </is>
      </c>
      <c r="I35" s="3" t="n"/>
      <c r="J35" s="4" t="n"/>
    </row>
    <row r="36" ht="15" customHeight="1">
      <c r="A36" s="11" t="inlineStr">
        <is>
          <t>Mean Terminal Liquid Assets</t>
        </is>
      </c>
      <c r="B36" s="3" t="n"/>
      <c r="C36" s="3" t="n"/>
      <c r="D36" s="3" t="n"/>
      <c r="E36" s="4" t="n"/>
      <c r="F36" s="83" t="n">
        <v>7008736.674777348</v>
      </c>
      <c r="G36" s="4" t="n"/>
      <c r="H36" s="128" t="inlineStr">
        <is>
          <t>On Track</t>
        </is>
      </c>
      <c r="I36" s="3" t="n"/>
      <c r="J36" s="4" t="n"/>
    </row>
    <row r="37" ht="15" customHeight="1">
      <c r="A37" s="11" t="inlineStr">
        <is>
          <t>Median Terminal Total Net Worth</t>
        </is>
      </c>
      <c r="B37" s="3" t="n"/>
      <c r="C37" s="3" t="n"/>
      <c r="D37" s="3" t="n"/>
      <c r="E37" s="4" t="n"/>
      <c r="F37" s="83" t="n">
        <v>8632099.416141002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8632099.416141002</v>
      </c>
      <c r="G41" s="78" t="n">
        <v>20878721.8898881</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5209377.522036022</v>
      </c>
      <c r="G42" s="78" t="n">
        <v>17456852.8832895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-5209377.522036022</v>
      </c>
      <c r="F47" s="4" t="n"/>
      <c r="G47" s="12" t="inlineStr">
        <is>
          <t>Catastrophic — total portfolio loss</t>
        </is>
      </c>
      <c r="H47" s="3" t="n"/>
      <c r="I47" s="3" t="n"/>
      <c r="J47" s="4" t="n"/>
    </row>
    <row r="48" ht="15" customHeight="1">
      <c r="A48" s="41" t="inlineStr">
        <is>
          <t>P5</t>
        </is>
      </c>
      <c r="B48" s="78" t="n">
        <v>0</v>
      </c>
      <c r="C48" s="3" t="n"/>
      <c r="D48" s="4" t="n"/>
      <c r="E48" s="27" t="n">
        <v>-5209377.522036022</v>
      </c>
      <c r="F48" s="4" t="n"/>
      <c r="G48" s="12" t="inlineStr">
        <is>
          <t>Very bad luck — significant shortfall</t>
        </is>
      </c>
      <c r="H48" s="3" t="n"/>
      <c r="I48" s="3" t="n"/>
      <c r="J48" s="4" t="n"/>
    </row>
    <row r="49" ht="15" customHeight="1">
      <c r="A49" s="41" t="inlineStr">
        <is>
          <t>P10</t>
        </is>
      </c>
      <c r="B49" s="78" t="n">
        <v>0</v>
      </c>
      <c r="C49" s="3" t="n"/>
      <c r="D49" s="4" t="n"/>
      <c r="E49" s="27" t="n">
        <v>-5209377.522036022</v>
      </c>
      <c r="F49" s="4" t="n"/>
      <c r="G49" s="12" t="inlineStr">
        <is>
          <t>Poor sequence — stress-test floor</t>
        </is>
      </c>
      <c r="H49" s="3" t="n"/>
      <c r="I49" s="3" t="n"/>
      <c r="J49" s="4" t="n"/>
    </row>
    <row r="50" ht="15" customHeight="1">
      <c r="A50" s="130" t="inlineStr">
        <is>
          <t>P25</t>
        </is>
      </c>
      <c r="B50" s="131" t="n">
        <v>0</v>
      </c>
      <c r="C50" s="3" t="n"/>
      <c r="D50" s="4" t="n"/>
      <c r="E50" s="131" t="n">
        <v>-5209377.522036022</v>
      </c>
      <c r="F50" s="4" t="n"/>
      <c r="G50" s="97" t="inlineStr">
        <is>
          <t>1-in-4 downside scenario</t>
        </is>
      </c>
      <c r="H50" s="3" t="n"/>
      <c r="I50" s="3" t="n"/>
      <c r="J50" s="4" t="n"/>
    </row>
    <row r="51" ht="15" customHeight="1">
      <c r="A51" s="132" t="inlineStr">
        <is>
          <t>P50</t>
        </is>
      </c>
      <c r="B51" s="133" t="n">
        <v>5209377.522036022</v>
      </c>
      <c r="C51" s="3" t="n"/>
      <c r="D51" s="4" t="n"/>
      <c r="E51" s="134" t="n">
        <v>0</v>
      </c>
      <c r="F51" s="4" t="n"/>
      <c r="G51" s="19" t="inlineStr">
        <is>
          <t>Base case — median outcome</t>
        </is>
      </c>
      <c r="H51" s="3" t="n"/>
      <c r="I51" s="3" t="n"/>
      <c r="J51" s="4" t="n"/>
    </row>
    <row r="52" ht="15" customHeight="1">
      <c r="A52" s="130" t="inlineStr">
        <is>
          <t>P75</t>
        </is>
      </c>
      <c r="B52" s="131" t="n">
        <v>9692702.487859083</v>
      </c>
      <c r="C52" s="3" t="n"/>
      <c r="D52" s="4" t="n"/>
      <c r="E52" s="131" t="n">
        <v>4483324.965823062</v>
      </c>
      <c r="F52" s="4" t="n"/>
      <c r="G52" s="97" t="inlineStr">
        <is>
          <t>3-in-4 scenarios end above this</t>
        </is>
      </c>
      <c r="H52" s="3" t="n"/>
      <c r="I52" s="3" t="n"/>
      <c r="J52" s="4" t="n"/>
    </row>
    <row r="53" ht="15" customHeight="1">
      <c r="A53" s="41" t="inlineStr">
        <is>
          <t>P90</t>
        </is>
      </c>
      <c r="B53" s="78" t="n">
        <v>17456852.8832895</v>
      </c>
      <c r="C53" s="3" t="n"/>
      <c r="D53" s="4" t="n"/>
      <c r="E53" s="27" t="n">
        <v>12247475.36125348</v>
      </c>
      <c r="F53" s="4" t="n"/>
      <c r="G53" s="12" t="inlineStr">
        <is>
          <t>Good sequence — upside scenario</t>
        </is>
      </c>
      <c r="H53" s="3" t="n"/>
      <c r="I53" s="3" t="n"/>
      <c r="J53" s="4" t="n"/>
    </row>
    <row r="54" ht="15" customHeight="1">
      <c r="A54" s="41" t="inlineStr">
        <is>
          <t>P95</t>
        </is>
      </c>
      <c r="B54" s="78" t="n">
        <v>21267743.45372006</v>
      </c>
      <c r="C54" s="3" t="n"/>
      <c r="D54" s="4" t="n"/>
      <c r="E54" s="27" t="n">
        <v>16058365.93168403</v>
      </c>
      <c r="F54" s="4" t="n"/>
      <c r="G54" s="12" t="inlineStr">
        <is>
          <t>Very good luck</t>
        </is>
      </c>
      <c r="H54" s="3" t="n"/>
      <c r="I54" s="3" t="n"/>
      <c r="J54" s="4" t="n"/>
    </row>
    <row r="55" ht="15" customHeight="1">
      <c r="A55" s="41" t="inlineStr">
        <is>
          <t>P99</t>
        </is>
      </c>
      <c r="B55" s="78" t="n">
        <v>25883133.77385234</v>
      </c>
      <c r="C55" s="3" t="n"/>
      <c r="D55" s="4" t="n"/>
      <c r="E55" s="27" t="n">
        <v>20673756.25181632</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2863723.035559134</v>
      </c>
      <c r="E59" s="108" t="n">
        <v>2930227.261704545</v>
      </c>
      <c r="F59" s="136" t="n">
        <v>3087385.037747717</v>
      </c>
      <c r="G59" s="103" t="n">
        <v>3217752.170692185</v>
      </c>
      <c r="H59" s="108" t="n">
        <v>3313017.648014432</v>
      </c>
      <c r="I59" s="108" t="n">
        <v>3048015.134099424</v>
      </c>
      <c r="J59" s="137" t="n">
        <v>1</v>
      </c>
    </row>
    <row r="60" ht="30" customHeight="1">
      <c r="A60" s="135" t="n">
        <v>2027</v>
      </c>
      <c r="B60" s="135" t="n">
        <v>65</v>
      </c>
      <c r="C60" s="135" t="n">
        <v>66</v>
      </c>
      <c r="D60" s="108" t="n">
        <v>2293349.470585057</v>
      </c>
      <c r="E60" s="108" t="n">
        <v>2697761.625977639</v>
      </c>
      <c r="F60" s="136" t="n">
        <v>2996898.805464655</v>
      </c>
      <c r="G60" s="103" t="n">
        <v>3228640.65137721</v>
      </c>
      <c r="H60" s="108" t="n">
        <v>3527123.627071122</v>
      </c>
      <c r="I60" s="108" t="n">
        <v>2928008.275227892</v>
      </c>
      <c r="J60" s="137" t="n">
        <v>1</v>
      </c>
    </row>
    <row r="61" ht="30" customHeight="1">
      <c r="A61" s="135" t="n">
        <v>2028</v>
      </c>
      <c r="B61" s="135" t="n">
        <v>66</v>
      </c>
      <c r="C61" s="135" t="n">
        <v>67</v>
      </c>
      <c r="D61" s="108" t="n">
        <v>2082725.146067176</v>
      </c>
      <c r="E61" s="108" t="n">
        <v>2430731.675602769</v>
      </c>
      <c r="F61" s="136" t="n">
        <v>2907755.142084565</v>
      </c>
      <c r="G61" s="103" t="n">
        <v>3197408.472651773</v>
      </c>
      <c r="H61" s="108" t="n">
        <v>3747404.668492444</v>
      </c>
      <c r="I61" s="108" t="n">
        <v>2881731.189551914</v>
      </c>
      <c r="J61" s="137" t="n">
        <v>1</v>
      </c>
    </row>
    <row r="62" ht="30" customHeight="1">
      <c r="A62" s="135" t="n">
        <v>2029</v>
      </c>
      <c r="B62" s="135" t="n">
        <v>67</v>
      </c>
      <c r="C62" s="135" t="n">
        <v>68</v>
      </c>
      <c r="D62" s="108" t="n">
        <v>1767810.864282496</v>
      </c>
      <c r="E62" s="108" t="n">
        <v>2356320.307347361</v>
      </c>
      <c r="F62" s="136" t="n">
        <v>3115621.35564638</v>
      </c>
      <c r="G62" s="103" t="n">
        <v>3486614.698920734</v>
      </c>
      <c r="H62" s="108" t="n">
        <v>4012782.977568381</v>
      </c>
      <c r="I62" s="108" t="n">
        <v>2947084.24520774</v>
      </c>
      <c r="J62" s="137" t="n">
        <v>1</v>
      </c>
    </row>
    <row r="63" ht="30" customHeight="1">
      <c r="A63" s="135" t="n">
        <v>2030</v>
      </c>
      <c r="B63" s="135" t="n">
        <v>68</v>
      </c>
      <c r="C63" s="135" t="n">
        <v>69</v>
      </c>
      <c r="D63" s="108" t="n">
        <v>1602080.481860098</v>
      </c>
      <c r="E63" s="108" t="n">
        <v>2251641.670671569</v>
      </c>
      <c r="F63" s="136" t="n">
        <v>3187977.665088045</v>
      </c>
      <c r="G63" s="103" t="n">
        <v>3745476.822073362</v>
      </c>
      <c r="H63" s="108" t="n">
        <v>4488886.88711358</v>
      </c>
      <c r="I63" s="108" t="n">
        <v>3016940.609217527</v>
      </c>
      <c r="J63" s="137" t="n">
        <v>1</v>
      </c>
    </row>
    <row r="64" ht="30" customHeight="1">
      <c r="A64" s="135" t="n">
        <v>2031</v>
      </c>
      <c r="B64" s="135" t="n">
        <v>69</v>
      </c>
      <c r="C64" s="135" t="n">
        <v>70</v>
      </c>
      <c r="D64" s="108" t="n">
        <v>1492344.518939739</v>
      </c>
      <c r="E64" s="108" t="n">
        <v>2369919.929908937</v>
      </c>
      <c r="F64" s="136" t="n">
        <v>3305833.455448821</v>
      </c>
      <c r="G64" s="103" t="n">
        <v>4162423.023305142</v>
      </c>
      <c r="H64" s="108" t="n">
        <v>4549291.721767062</v>
      </c>
      <c r="I64" s="108" t="n">
        <v>3198233.453514274</v>
      </c>
      <c r="J64" s="137" t="n">
        <v>1</v>
      </c>
    </row>
    <row r="65" ht="30" customHeight="1">
      <c r="A65" s="135" t="n">
        <v>2032</v>
      </c>
      <c r="B65" s="135" t="n">
        <v>70</v>
      </c>
      <c r="C65" s="135" t="n">
        <v>71</v>
      </c>
      <c r="D65" s="108" t="n">
        <v>1174717.502401789</v>
      </c>
      <c r="E65" s="108" t="n">
        <v>2078023.794527987</v>
      </c>
      <c r="F65" s="136" t="n">
        <v>3265567.487458886</v>
      </c>
      <c r="G65" s="103" t="n">
        <v>4152898.004158023</v>
      </c>
      <c r="H65" s="108" t="n">
        <v>5028609.403194603</v>
      </c>
      <c r="I65" s="108" t="n">
        <v>3178489.125529915</v>
      </c>
      <c r="J65" s="137" t="n">
        <v>1</v>
      </c>
    </row>
    <row r="66" ht="30" customHeight="1">
      <c r="A66" s="135" t="n">
        <v>2033</v>
      </c>
      <c r="B66" s="135" t="n">
        <v>71</v>
      </c>
      <c r="C66" s="135" t="n">
        <v>72</v>
      </c>
      <c r="D66" s="108" t="n">
        <v>1310883.45348726</v>
      </c>
      <c r="E66" s="108" t="n">
        <v>2042949.316505007</v>
      </c>
      <c r="F66" s="136" t="n">
        <v>3392693.713268149</v>
      </c>
      <c r="G66" s="103" t="n">
        <v>4333237.328078001</v>
      </c>
      <c r="H66" s="108" t="n">
        <v>5760536.633981301</v>
      </c>
      <c r="I66" s="108" t="n">
        <v>3383627.878277303</v>
      </c>
      <c r="J66" s="137" t="n">
        <v>1</v>
      </c>
    </row>
    <row r="67" ht="30" customHeight="1">
      <c r="A67" s="135" t="n">
        <v>2034</v>
      </c>
      <c r="B67" s="135" t="n">
        <v>72</v>
      </c>
      <c r="C67" s="135" t="n">
        <v>73</v>
      </c>
      <c r="D67" s="108" t="n">
        <v>1100004.179230338</v>
      </c>
      <c r="E67" s="108" t="n">
        <v>2086862.572062959</v>
      </c>
      <c r="F67" s="136" t="n">
        <v>3265964.133645714</v>
      </c>
      <c r="G67" s="103" t="n">
        <v>4123295.948595394</v>
      </c>
      <c r="H67" s="108" t="n">
        <v>5628484.835001695</v>
      </c>
      <c r="I67" s="108" t="n">
        <v>3391694.952726897</v>
      </c>
      <c r="J67" s="137" t="n">
        <v>1</v>
      </c>
    </row>
    <row r="68" ht="30" customHeight="1">
      <c r="A68" s="135" t="n">
        <v>2035</v>
      </c>
      <c r="B68" s="135" t="n">
        <v>73</v>
      </c>
      <c r="C68" s="135" t="n">
        <v>74</v>
      </c>
      <c r="D68" s="108" t="n">
        <v>860521.5698105921</v>
      </c>
      <c r="E68" s="108" t="n">
        <v>1889452.487919726</v>
      </c>
      <c r="F68" s="136" t="n">
        <v>3417275.451006904</v>
      </c>
      <c r="G68" s="103" t="n">
        <v>3919011.181370936</v>
      </c>
      <c r="H68" s="108" t="n">
        <v>5623031.631123925</v>
      </c>
      <c r="I68" s="108" t="n">
        <v>3223056.91386336</v>
      </c>
      <c r="J68" s="137" t="n">
        <v>1</v>
      </c>
    </row>
    <row r="69" ht="15" customHeight="1">
      <c r="A69" s="135" t="n">
        <v>2036</v>
      </c>
      <c r="B69" s="135" t="n">
        <v>74</v>
      </c>
      <c r="C69" s="135" t="n">
        <v>75</v>
      </c>
      <c r="D69" s="108" t="n">
        <v>784103.7558471086</v>
      </c>
      <c r="E69" s="108" t="n">
        <v>1595550.231949089</v>
      </c>
      <c r="F69" s="136" t="n">
        <v>3545493.203551207</v>
      </c>
      <c r="G69" s="103" t="n">
        <v>4228236.13654805</v>
      </c>
      <c r="H69" s="108" t="n">
        <v>6793534.652429727</v>
      </c>
      <c r="I69" s="108" t="n">
        <v>3361121.902198802</v>
      </c>
      <c r="J69" s="137" t="n">
        <v>0.9375</v>
      </c>
    </row>
    <row r="70" ht="30" customHeight="1">
      <c r="A70" s="135" t="n">
        <v>2037</v>
      </c>
      <c r="B70" s="135" t="n">
        <v>75</v>
      </c>
      <c r="C70" s="135" t="n">
        <v>76</v>
      </c>
      <c r="D70" s="108" t="n">
        <v>619314.3895881063</v>
      </c>
      <c r="E70" s="108" t="n">
        <v>1214481.587760557</v>
      </c>
      <c r="F70" s="136" t="n">
        <v>3366675.038425255</v>
      </c>
      <c r="G70" s="103" t="n">
        <v>4390302.511703191</v>
      </c>
      <c r="H70" s="108" t="n">
        <v>6659506.451904333</v>
      </c>
      <c r="I70" s="108" t="n">
        <v>3374429.401312429</v>
      </c>
      <c r="J70" s="137" t="n">
        <v>0.9375</v>
      </c>
    </row>
    <row r="71" ht="30" customHeight="1">
      <c r="A71" s="135" t="n">
        <v>2038</v>
      </c>
      <c r="B71" s="135" t="n">
        <v>76</v>
      </c>
      <c r="C71" s="135" t="n">
        <v>77</v>
      </c>
      <c r="D71" s="108" t="n">
        <v>513432.307569475</v>
      </c>
      <c r="E71" s="108" t="n">
        <v>1207140.389279462</v>
      </c>
      <c r="F71" s="136" t="n">
        <v>3210323.122997846</v>
      </c>
      <c r="G71" s="103" t="n">
        <v>4822711.553949092</v>
      </c>
      <c r="H71" s="108" t="n">
        <v>6862649.096400621</v>
      </c>
      <c r="I71" s="108" t="n">
        <v>3406034.536422902</v>
      </c>
      <c r="J71" s="137" t="n">
        <v>0.9375</v>
      </c>
    </row>
    <row r="72" ht="30" customHeight="1">
      <c r="A72" s="135" t="n">
        <v>2039</v>
      </c>
      <c r="B72" s="135" t="n">
        <v>77</v>
      </c>
      <c r="C72" s="135" t="n">
        <v>78</v>
      </c>
      <c r="D72" s="108" t="n">
        <v>410305.8578869107</v>
      </c>
      <c r="E72" s="108" t="n">
        <v>1104869.018381518</v>
      </c>
      <c r="F72" s="136" t="n">
        <v>2986153.017237859</v>
      </c>
      <c r="G72" s="103" t="n">
        <v>5014358.741387617</v>
      </c>
      <c r="H72" s="108" t="n">
        <v>7380211.402040678</v>
      </c>
      <c r="I72" s="108" t="n">
        <v>3562049.870094992</v>
      </c>
      <c r="J72" s="137" t="n">
        <v>0.9375</v>
      </c>
    </row>
    <row r="73" ht="30" customHeight="1">
      <c r="A73" s="135" t="n">
        <v>2040</v>
      </c>
      <c r="B73" s="135" t="n">
        <v>78</v>
      </c>
      <c r="C73" s="135" t="n">
        <v>79</v>
      </c>
      <c r="D73" s="108" t="n">
        <v>265932.3478416223</v>
      </c>
      <c r="E73" s="108" t="n">
        <v>956726.8878456932</v>
      </c>
      <c r="F73" s="136" t="n">
        <v>2914372.511042493</v>
      </c>
      <c r="G73" s="103" t="n">
        <v>5416516.383015892</v>
      </c>
      <c r="H73" s="108" t="n">
        <v>7377676.174312927</v>
      </c>
      <c r="I73" s="108" t="n">
        <v>3472797.550772327</v>
      </c>
      <c r="J73" s="137" t="n">
        <v>0.9375</v>
      </c>
    </row>
    <row r="74" ht="30" customHeight="1">
      <c r="A74" s="135" t="n">
        <v>2041</v>
      </c>
      <c r="B74" s="135" t="n">
        <v>79</v>
      </c>
      <c r="C74" s="135" t="n">
        <v>80</v>
      </c>
      <c r="D74" s="108" t="n">
        <v>136038.5633318483</v>
      </c>
      <c r="E74" s="108" t="n">
        <v>816479.6176821763</v>
      </c>
      <c r="F74" s="136" t="n">
        <v>2770723.016987651</v>
      </c>
      <c r="G74" s="103" t="n">
        <v>5952364.435179751</v>
      </c>
      <c r="H74" s="108" t="n">
        <v>8351482.205740654</v>
      </c>
      <c r="I74" s="108" t="n">
        <v>3672226.498977039</v>
      </c>
      <c r="J74" s="137" t="n">
        <v>0.9375</v>
      </c>
    </row>
    <row r="75" ht="30" customHeight="1">
      <c r="A75" s="138" t="n">
        <v>2042</v>
      </c>
      <c r="B75" s="138" t="n">
        <v>80</v>
      </c>
      <c r="C75" s="138" t="n">
        <v>81</v>
      </c>
      <c r="D75" s="139" t="n">
        <v>0</v>
      </c>
      <c r="E75" s="139" t="n">
        <v>626102.8642091268</v>
      </c>
      <c r="F75" s="76" t="n">
        <v>2990717.707190168</v>
      </c>
      <c r="G75" s="139" t="n">
        <v>5464085.991746349</v>
      </c>
      <c r="H75" s="139" t="n">
        <v>8254542.713301482</v>
      </c>
      <c r="I75" s="139" t="n">
        <v>3618821.187929031</v>
      </c>
      <c r="J75" s="140" t="n">
        <v>0.8125</v>
      </c>
    </row>
    <row r="76" ht="30" customHeight="1">
      <c r="A76" s="138" t="n">
        <v>2043</v>
      </c>
      <c r="B76" s="138" t="n">
        <v>81</v>
      </c>
      <c r="C76" s="138" t="n">
        <v>82</v>
      </c>
      <c r="D76" s="139" t="n">
        <v>0</v>
      </c>
      <c r="E76" s="139" t="n">
        <v>471781.2434172659</v>
      </c>
      <c r="F76" s="76" t="n">
        <v>2951664.086432576</v>
      </c>
      <c r="G76" s="139" t="n">
        <v>5950580.321511447</v>
      </c>
      <c r="H76" s="139" t="n">
        <v>7551021.075563642</v>
      </c>
      <c r="I76" s="139" t="n">
        <v>3565603.858154862</v>
      </c>
      <c r="J76" s="140" t="n">
        <v>0.8125</v>
      </c>
    </row>
    <row r="77" ht="30" customHeight="1">
      <c r="A77" s="138" t="n">
        <v>2044</v>
      </c>
      <c r="B77" s="138" t="n">
        <v>82</v>
      </c>
      <c r="C77" s="138" t="n">
        <v>83</v>
      </c>
      <c r="D77" s="139" t="n">
        <v>0</v>
      </c>
      <c r="E77" s="139" t="n">
        <v>329275.4125351101</v>
      </c>
      <c r="F77" s="76" t="n">
        <v>3265704.315189118</v>
      </c>
      <c r="G77" s="139" t="n">
        <v>5273723.437854933</v>
      </c>
      <c r="H77" s="139" t="n">
        <v>7658079.70569803</v>
      </c>
      <c r="I77" s="139" t="n">
        <v>3522672.629042453</v>
      </c>
      <c r="J77" s="140" t="n">
        <v>0.8125</v>
      </c>
    </row>
    <row r="78" ht="30" customHeight="1">
      <c r="A78" s="138" t="n">
        <v>2045</v>
      </c>
      <c r="B78" s="138" t="n">
        <v>83</v>
      </c>
      <c r="C78" s="138" t="n">
        <v>84</v>
      </c>
      <c r="D78" s="139" t="n">
        <v>0</v>
      </c>
      <c r="E78" s="139" t="n">
        <v>142460.6241574135</v>
      </c>
      <c r="F78" s="76" t="n">
        <v>3141355.016845999</v>
      </c>
      <c r="G78" s="139" t="n">
        <v>5402519.274762175</v>
      </c>
      <c r="H78" s="139" t="n">
        <v>7386687.81338064</v>
      </c>
      <c r="I78" s="139" t="n">
        <v>3517468.122770649</v>
      </c>
      <c r="J78" s="140" t="n">
        <v>0.8125</v>
      </c>
    </row>
    <row r="79" ht="30" customHeight="1">
      <c r="A79" s="138" t="n">
        <v>2046</v>
      </c>
      <c r="B79" s="138" t="n">
        <v>84</v>
      </c>
      <c r="C79" s="138" t="n">
        <v>85</v>
      </c>
      <c r="D79" s="139" t="n">
        <v>0</v>
      </c>
      <c r="E79" s="139" t="n">
        <v>20258.15637343191</v>
      </c>
      <c r="F79" s="76" t="n">
        <v>3461474.483905148</v>
      </c>
      <c r="G79" s="139" t="n">
        <v>5630050.2057059</v>
      </c>
      <c r="H79" s="139" t="n">
        <v>8265804.092977682</v>
      </c>
      <c r="I79" s="139" t="n">
        <v>3863850.239369918</v>
      </c>
      <c r="J79" s="140" t="n">
        <v>0.75</v>
      </c>
    </row>
    <row r="80" ht="30" customHeight="1">
      <c r="A80" s="141" t="n">
        <v>2047</v>
      </c>
      <c r="B80" s="141" t="n">
        <v>85</v>
      </c>
      <c r="C80" s="141" t="n">
        <v>86</v>
      </c>
      <c r="D80" s="142" t="n">
        <v>0</v>
      </c>
      <c r="E80" s="142" t="n">
        <v>0</v>
      </c>
      <c r="F80" s="116" t="n">
        <v>3549843.529655376</v>
      </c>
      <c r="G80" s="142" t="n">
        <v>6526867.966361426</v>
      </c>
      <c r="H80" s="142" t="n">
        <v>9054308.160468135</v>
      </c>
      <c r="I80" s="142" t="n">
        <v>4181901.448765238</v>
      </c>
      <c r="J80" s="143" t="n">
        <v>0.6875</v>
      </c>
    </row>
    <row r="81" ht="30" customHeight="1">
      <c r="A81" s="141" t="n">
        <v>2048</v>
      </c>
      <c r="B81" s="141" t="n">
        <v>86</v>
      </c>
      <c r="C81" s="141" t="n">
        <v>87</v>
      </c>
      <c r="D81" s="142" t="n">
        <v>0</v>
      </c>
      <c r="E81" s="142" t="n">
        <v>0</v>
      </c>
      <c r="F81" s="116" t="n">
        <v>3798093.277276365</v>
      </c>
      <c r="G81" s="142" t="n">
        <v>7416325.891713116</v>
      </c>
      <c r="H81" s="142" t="n">
        <v>9313933.858346056</v>
      </c>
      <c r="I81" s="142" t="n">
        <v>4352255.211952942</v>
      </c>
      <c r="J81" s="143" t="n">
        <v>0.6875</v>
      </c>
    </row>
    <row r="82" ht="30" customHeight="1">
      <c r="A82" s="141" t="n">
        <v>2049</v>
      </c>
      <c r="B82" s="141" t="n">
        <v>87</v>
      </c>
      <c r="C82" s="141" t="n">
        <v>88</v>
      </c>
      <c r="D82" s="142" t="n">
        <v>0</v>
      </c>
      <c r="E82" s="142" t="n">
        <v>0</v>
      </c>
      <c r="F82" s="116" t="n">
        <v>4293921.19953455</v>
      </c>
      <c r="G82" s="142" t="n">
        <v>7840825.753624555</v>
      </c>
      <c r="H82" s="142" t="n">
        <v>10484097.92117305</v>
      </c>
      <c r="I82" s="142" t="n">
        <v>4507864.200682761</v>
      </c>
      <c r="J82" s="143" t="n">
        <v>0.6875</v>
      </c>
    </row>
    <row r="83" ht="30" customHeight="1">
      <c r="A83" s="141" t="n">
        <v>2050</v>
      </c>
      <c r="B83" s="141" t="n">
        <v>88</v>
      </c>
      <c r="C83" s="141" t="n">
        <v>89</v>
      </c>
      <c r="D83" s="142" t="n">
        <v>0</v>
      </c>
      <c r="E83" s="142" t="n">
        <v>0</v>
      </c>
      <c r="F83" s="116" t="n">
        <v>4590487.252358224</v>
      </c>
      <c r="G83" s="142" t="n">
        <v>8275063.646109138</v>
      </c>
      <c r="H83" s="142" t="n">
        <v>9546756.753945325</v>
      </c>
      <c r="I83" s="142" t="n">
        <v>4799323.317727199</v>
      </c>
      <c r="J83" s="143" t="n">
        <v>0.6875</v>
      </c>
    </row>
    <row r="84" ht="30" customHeight="1">
      <c r="A84" s="141" t="n">
        <v>2051</v>
      </c>
      <c r="B84" s="141" t="n">
        <v>89</v>
      </c>
      <c r="C84" s="141" t="n">
        <v>90</v>
      </c>
      <c r="D84" s="142" t="n">
        <v>0</v>
      </c>
      <c r="E84" s="142" t="n">
        <v>0</v>
      </c>
      <c r="F84" s="116" t="n">
        <v>4601486.331376703</v>
      </c>
      <c r="G84" s="142" t="n">
        <v>8802507.475430898</v>
      </c>
      <c r="H84" s="142" t="n">
        <v>9962285.621546052</v>
      </c>
      <c r="I84" s="142" t="n">
        <v>5065607.018347154</v>
      </c>
      <c r="J84" s="143" t="n">
        <v>0.6875</v>
      </c>
    </row>
    <row r="85" ht="30" customHeight="1">
      <c r="A85" s="141" t="n">
        <v>2052</v>
      </c>
      <c r="B85" s="141" t="n">
        <v>90</v>
      </c>
      <c r="C85" s="141" t="n">
        <v>91</v>
      </c>
      <c r="D85" s="142" t="n">
        <v>0</v>
      </c>
      <c r="E85" s="142" t="n">
        <v>0</v>
      </c>
      <c r="F85" s="116" t="n">
        <v>4745083.543417566</v>
      </c>
      <c r="G85" s="142" t="n">
        <v>8292779.521219631</v>
      </c>
      <c r="H85" s="142" t="n">
        <v>9957064.00597853</v>
      </c>
      <c r="I85" s="142" t="n">
        <v>5086585.26203409</v>
      </c>
      <c r="J85" s="143" t="n">
        <v>0.6875</v>
      </c>
    </row>
    <row r="86" ht="30" customHeight="1">
      <c r="A86" s="141" t="n">
        <v>2053</v>
      </c>
      <c r="B86" s="141" t="n">
        <v>91</v>
      </c>
      <c r="C86" s="141" t="n">
        <v>92</v>
      </c>
      <c r="D86" s="142" t="n">
        <v>0</v>
      </c>
      <c r="E86" s="142" t="n">
        <v>0</v>
      </c>
      <c r="F86" s="116" t="n">
        <v>4713816.691773283</v>
      </c>
      <c r="G86" s="142" t="n">
        <v>10202908.43786718</v>
      </c>
      <c r="H86" s="142" t="n">
        <v>10742244.15263739</v>
      </c>
      <c r="I86" s="142" t="n">
        <v>5565219.115984954</v>
      </c>
      <c r="J86" s="143" t="n">
        <v>0.6875</v>
      </c>
    </row>
    <row r="87" ht="30" customHeight="1">
      <c r="A87" s="141" t="n">
        <v>2054</v>
      </c>
      <c r="B87" s="141" t="n">
        <v>92</v>
      </c>
      <c r="C87" s="141" t="n">
        <v>93</v>
      </c>
      <c r="D87" s="142" t="n">
        <v>0</v>
      </c>
      <c r="E87" s="142" t="n">
        <v>0</v>
      </c>
      <c r="F87" s="116" t="n">
        <v>4953332.072095212</v>
      </c>
      <c r="G87" s="142" t="n">
        <v>10527576.09198017</v>
      </c>
      <c r="H87" s="142" t="n">
        <v>13059372.94909251</v>
      </c>
      <c r="I87" s="142" t="n">
        <v>6017478.416545628</v>
      </c>
      <c r="J87" s="143" t="n">
        <v>0.6875</v>
      </c>
    </row>
    <row r="88" ht="30" customHeight="1">
      <c r="A88" s="141" t="n">
        <v>2055</v>
      </c>
      <c r="B88" s="141" t="n">
        <v>93</v>
      </c>
      <c r="C88" s="141" t="n">
        <v>94</v>
      </c>
      <c r="D88" s="142" t="n">
        <v>0</v>
      </c>
      <c r="E88" s="142" t="n">
        <v>0</v>
      </c>
      <c r="F88" s="116" t="n">
        <v>4900341.741039533</v>
      </c>
      <c r="G88" s="142" t="n">
        <v>9807097.497409374</v>
      </c>
      <c r="H88" s="142" t="n">
        <v>14630071.48324818</v>
      </c>
      <c r="I88" s="142" t="n">
        <v>6380925.876718743</v>
      </c>
      <c r="J88" s="143" t="n">
        <v>0.6875</v>
      </c>
    </row>
    <row r="89" ht="30" customHeight="1">
      <c r="A89" s="141" t="n">
        <v>2056</v>
      </c>
      <c r="B89" s="141" t="n">
        <v>94</v>
      </c>
      <c r="C89" s="141" t="n">
        <v>95</v>
      </c>
      <c r="D89" s="142" t="n">
        <v>0</v>
      </c>
      <c r="E89" s="142" t="n">
        <v>0</v>
      </c>
      <c r="F89" s="116" t="n">
        <v>5209377.522036022</v>
      </c>
      <c r="G89" s="142" t="n">
        <v>9692702.487859083</v>
      </c>
      <c r="H89" s="142" t="n">
        <v>17456852.8832895</v>
      </c>
      <c r="I89" s="142" t="n">
        <v>7008736.674777348</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993175.2968324928</v>
      </c>
      <c r="F94" s="149" t="n">
        <v>413823.040346872</v>
      </c>
      <c r="G94" s="151" t="n">
        <v>0.3333333333333333</v>
      </c>
      <c r="H94" s="82" t="inlineStr">
        <is>
          <t>Below-avg early returns: monitor spending levels</t>
        </is>
      </c>
      <c r="I94" s="3" t="n"/>
      <c r="J94" s="4" t="n"/>
    </row>
    <row r="95" ht="30" customHeight="1">
      <c r="A95" s="118" t="inlineStr">
        <is>
          <t>Q3 — Middle 20%</t>
        </is>
      </c>
      <c r="B95" s="152" t="n">
        <v>0.09500277248619693</v>
      </c>
      <c r="C95" s="153" t="n">
        <v>4506239.675917262</v>
      </c>
      <c r="D95" s="154" t="n">
        <v>6014296.673091747</v>
      </c>
      <c r="E95" s="153" t="n">
        <v>7477778.106289334</v>
      </c>
      <c r="F95" s="153" t="n">
        <v>5995723.521434706</v>
      </c>
      <c r="G95" s="155" t="n">
        <v>1</v>
      </c>
      <c r="H95" s="112" t="inlineStr">
        <is>
          <t>Middle outcome: plan as modeled</t>
        </is>
      </c>
      <c r="I95" s="3" t="n"/>
      <c r="J95" s="4" t="n"/>
    </row>
    <row r="96" ht="30" customHeight="1">
      <c r="A96" s="92" t="inlineStr">
        <is>
          <t>Q4</t>
        </is>
      </c>
      <c r="B96" s="81" t="n">
        <v>0.1232819867766737</v>
      </c>
      <c r="C96" s="80" t="n">
        <v>7237276.219511156</v>
      </c>
      <c r="D96" s="93" t="n">
        <v>15239864.55767014</v>
      </c>
      <c r="E96" s="80" t="n">
        <v>15503206.20186528</v>
      </c>
      <c r="F96" s="80" t="n">
        <v>12015178.43518521</v>
      </c>
      <c r="G96" s="156" t="n">
        <v>1</v>
      </c>
      <c r="H96" s="75" t="inlineStr">
        <is>
          <t>Above-avg early returns: strong buffer builds fast</t>
        </is>
      </c>
      <c r="I96" s="3" t="n"/>
      <c r="J96" s="4" t="n"/>
    </row>
    <row r="97" ht="30" customHeight="1">
      <c r="A97" s="119" t="inlineStr">
        <is>
          <t>Q5 — Best 20%</t>
        </is>
      </c>
      <c r="B97" s="157" t="n">
        <v>0.1603843853249111</v>
      </c>
      <c r="C97" s="158" t="n">
        <v>5206068.805057752</v>
      </c>
      <c r="D97" s="159" t="n">
        <v>5301840.388886229</v>
      </c>
      <c r="E97" s="158" t="n">
        <v>16536099.4007092</v>
      </c>
      <c r="F97" s="158" t="n">
        <v>9942876.817217266</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0.6666666666666666</v>
      </c>
      <c r="D103" s="162" t="n">
        <v>0</v>
      </c>
      <c r="E103" s="162" t="n">
        <v>0</v>
      </c>
      <c r="F103" s="162" t="n">
        <v>0.6666666666666666</v>
      </c>
      <c r="G103" s="156" t="n">
        <v>0.6666666666666666</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57" t="n">
        <v>1</v>
      </c>
      <c r="C106" s="162" t="n">
        <v>0.3333333333333333</v>
      </c>
      <c r="D106" s="162" t="n">
        <v>0.3333333333333333</v>
      </c>
      <c r="E106" s="162" t="n">
        <v>0.3333333333333333</v>
      </c>
      <c r="F106" s="162" t="n">
        <v>0.6666666666666666</v>
      </c>
      <c r="G106" s="156" t="n">
        <v>1</v>
      </c>
    </row>
    <row r="107" ht="30" customHeight="1">
      <c r="A107" s="130" t="inlineStr">
        <is>
          <t>μ=8%</t>
        </is>
      </c>
      <c r="B107" s="157" t="n">
        <v>1</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$5,209,378 and median total net worth of $8,632,099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4997802.585692891</v>
      </c>
      <c r="F7" s="172"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5026143.873993598</v>
      </c>
      <c r="F9" s="172"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1" t="n">
        <v>5088900.531692014</v>
      </c>
      <c r="F10" s="172"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end=$5,209,378</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1442334.6860848</v>
      </c>
      <c r="H3" s="185" t="n">
        <v>39109.1346</v>
      </c>
      <c r="I3" s="186" t="n">
        <v>0</v>
      </c>
      <c r="J3" s="187" t="inlineStr">
        <is>
          <t>N/A</t>
        </is>
      </c>
      <c r="K3" s="185" t="n">
        <v>0</v>
      </c>
      <c r="L3" s="186" t="n">
        <v>0</v>
      </c>
      <c r="M3" s="185" t="n">
        <v>0</v>
      </c>
      <c r="N3" s="188" t="n"/>
      <c r="O3" s="186" t="n">
        <v>486935.3310386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1528874.760345652</v>
      </c>
      <c r="H4" s="185" t="n">
        <v>41455.68248879055</v>
      </c>
      <c r="I4" s="186" t="n">
        <v>0</v>
      </c>
      <c r="J4" s="187" t="inlineStr">
        <is>
          <t>N/A</t>
        </is>
      </c>
      <c r="K4" s="185" t="n">
        <v>0.006513429910344958</v>
      </c>
      <c r="L4" s="186" t="n">
        <v>0</v>
      </c>
      <c r="M4" s="185" t="n">
        <v>0.006513429910344958</v>
      </c>
      <c r="N4" s="188" t="n">
        <v>0</v>
      </c>
      <c r="O4" s="186" t="n">
        <v>278070.7010491659</v>
      </c>
      <c r="P4" s="189" t="n">
        <v>0</v>
      </c>
      <c r="Q4" s="184" t="inlineStr">
        <is>
          <t>N/A</t>
        </is>
      </c>
      <c r="R4" s="186" t="n">
        <v>0.00118465819986115</v>
      </c>
      <c r="S4" s="185" t="n">
        <v>224604.4798075588</v>
      </c>
      <c r="T4" s="186" t="n">
        <v>224604.4809922171</v>
      </c>
      <c r="U4" s="190" t="n">
        <v>0</v>
      </c>
      <c r="V4" s="185" t="n">
        <v>0</v>
      </c>
      <c r="W4" s="185" t="n">
        <v>0.007698088110206108</v>
      </c>
      <c r="X4" s="185" t="n">
        <v>224604.487505647</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1620607.245966391</v>
      </c>
      <c r="H5" s="185" t="n">
        <v>43943.02343811798</v>
      </c>
      <c r="I5" s="186" t="n">
        <v>0</v>
      </c>
      <c r="J5" s="187" t="inlineStr">
        <is>
          <t>N/A</t>
        </is>
      </c>
      <c r="K5" s="185" t="n">
        <v>0</v>
      </c>
      <c r="L5" s="186" t="n">
        <v>0</v>
      </c>
      <c r="M5" s="185" t="n">
        <v>0</v>
      </c>
      <c r="N5" s="188" t="n"/>
      <c r="O5" s="186" t="n">
        <v>68545.70653375288</v>
      </c>
      <c r="P5" s="189" t="n">
        <v>0</v>
      </c>
      <c r="Q5" s="184" t="inlineStr">
        <is>
          <t>N/A</t>
        </is>
      </c>
      <c r="R5" s="186" t="n">
        <v>0</v>
      </c>
      <c r="S5" s="185" t="n">
        <v>213404.940168267</v>
      </c>
      <c r="T5" s="186" t="n">
        <v>213404.940168267</v>
      </c>
      <c r="U5" s="190" t="n"/>
      <c r="V5" s="185" t="n">
        <v>0</v>
      </c>
      <c r="W5" s="185" t="n">
        <v>0</v>
      </c>
      <c r="X5" s="185" t="n">
        <v>213404.940168267</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1457564.220940934</v>
      </c>
      <c r="H6" s="185" t="n">
        <v>0</v>
      </c>
      <c r="I6" s="186" t="n">
        <v>0</v>
      </c>
      <c r="J6" s="187" t="inlineStr">
        <is>
          <t>N/A</t>
        </is>
      </c>
      <c r="K6" s="185" t="n">
        <v>168940.6968774778</v>
      </c>
      <c r="L6" s="186" t="n">
        <v>76605.96329557995</v>
      </c>
      <c r="M6" s="185" t="n">
        <v>245546.6601730577</v>
      </c>
      <c r="N6" s="188" t="n">
        <v>0</v>
      </c>
      <c r="O6" s="186" t="n">
        <v>0</v>
      </c>
      <c r="P6" s="189" t="n">
        <v>0</v>
      </c>
      <c r="Q6" s="184" t="inlineStr">
        <is>
          <t>N/A</t>
        </is>
      </c>
      <c r="R6" s="186" t="n">
        <v>0</v>
      </c>
      <c r="S6" s="185" t="n">
        <v>68545.70653375288</v>
      </c>
      <c r="T6" s="186" t="n">
        <v>68545.70653375288</v>
      </c>
      <c r="U6" s="190" t="n"/>
      <c r="V6" s="185" t="n">
        <v>0</v>
      </c>
      <c r="W6" s="185" t="n">
        <v>168940.6968774778</v>
      </c>
      <c r="X6" s="185" t="n">
        <v>314092.3667068106</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1237911.45195975</v>
      </c>
      <c r="H7" s="185" t="n">
        <v>0</v>
      </c>
      <c r="I7" s="186" t="n">
        <v>0</v>
      </c>
      <c r="J7" s="187" t="inlineStr">
        <is>
          <t>N/A</t>
        </is>
      </c>
      <c r="K7" s="185" t="n">
        <v>134423.2031118674</v>
      </c>
      <c r="L7" s="186" t="n">
        <v>155300.0254142075</v>
      </c>
      <c r="M7" s="185" t="n">
        <v>289723.2285260748</v>
      </c>
      <c r="N7" s="188" t="n">
        <v>0</v>
      </c>
      <c r="O7" s="186" t="n">
        <v>0</v>
      </c>
      <c r="P7" s="189" t="n">
        <v>0</v>
      </c>
      <c r="Q7" s="184" t="inlineStr">
        <is>
          <t>N/A</t>
        </is>
      </c>
      <c r="R7" s="186" t="n">
        <v>0</v>
      </c>
      <c r="S7" s="185" t="n">
        <v>0</v>
      </c>
      <c r="T7" s="186" t="n">
        <v>0</v>
      </c>
      <c r="U7" s="190" t="n"/>
      <c r="V7" s="185" t="n">
        <v>0</v>
      </c>
      <c r="W7" s="185" t="n">
        <v>134423.2031118674</v>
      </c>
      <c r="X7" s="185" t="n">
        <v>289723.2285260748</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1049205.581504074</v>
      </c>
      <c r="H8" s="185" t="n">
        <v>0</v>
      </c>
      <c r="I8" s="186" t="n">
        <v>0</v>
      </c>
      <c r="J8" s="187" t="inlineStr">
        <is>
          <t>N/A</t>
        </is>
      </c>
      <c r="K8" s="185" t="n">
        <v>122827.6579982681</v>
      </c>
      <c r="L8" s="186" t="n">
        <v>125267.2076368838</v>
      </c>
      <c r="M8" s="185" t="n">
        <v>248094.8656351519</v>
      </c>
      <c r="N8" s="188" t="n">
        <v>0</v>
      </c>
      <c r="O8" s="186" t="n">
        <v>0</v>
      </c>
      <c r="P8" s="189" t="n">
        <v>0</v>
      </c>
      <c r="Q8" s="184" t="inlineStr">
        <is>
          <t>N/A</t>
        </is>
      </c>
      <c r="R8" s="186" t="n">
        <v>0</v>
      </c>
      <c r="S8" s="185" t="n">
        <v>0</v>
      </c>
      <c r="T8" s="186" t="n">
        <v>0</v>
      </c>
      <c r="U8" s="190" t="n"/>
      <c r="V8" s="185" t="n">
        <v>0</v>
      </c>
      <c r="W8" s="185" t="n">
        <v>122827.6579982681</v>
      </c>
      <c r="X8" s="185" t="n">
        <v>248094.8656351519</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755656.3217312564</v>
      </c>
      <c r="H9" s="185" t="n">
        <v>0</v>
      </c>
      <c r="I9" s="186" t="n">
        <v>0</v>
      </c>
      <c r="J9" s="187" t="inlineStr">
        <is>
          <t>N/A</t>
        </is>
      </c>
      <c r="K9" s="185" t="n">
        <v>227413.7690596166</v>
      </c>
      <c r="L9" s="186" t="n">
        <v>108908.4900564799</v>
      </c>
      <c r="M9" s="185" t="n">
        <v>336322.2591160965</v>
      </c>
      <c r="N9" s="188" t="n">
        <v>0</v>
      </c>
      <c r="O9" s="186" t="n">
        <v>0</v>
      </c>
      <c r="P9" s="189" t="n">
        <v>0</v>
      </c>
      <c r="Q9" s="184" t="inlineStr">
        <is>
          <t>N/A</t>
        </is>
      </c>
      <c r="R9" s="186" t="n">
        <v>0</v>
      </c>
      <c r="S9" s="185" t="n">
        <v>0</v>
      </c>
      <c r="T9" s="186" t="n">
        <v>0</v>
      </c>
      <c r="U9" s="190" t="n"/>
      <c r="V9" s="185" t="n">
        <v>0</v>
      </c>
      <c r="W9" s="185" t="n">
        <v>227413.7690596166</v>
      </c>
      <c r="X9" s="185" t="n">
        <v>336322.2591160965</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563817.2148390852</v>
      </c>
      <c r="H10" s="185" t="n">
        <v>0</v>
      </c>
      <c r="I10" s="186" t="n">
        <v>0</v>
      </c>
      <c r="J10" s="187" t="inlineStr">
        <is>
          <t>N/A</t>
        </is>
      </c>
      <c r="K10" s="185" t="n">
        <v>107529.84250403</v>
      </c>
      <c r="L10" s="186" t="n">
        <v>116223.4463601649</v>
      </c>
      <c r="M10" s="185" t="n">
        <v>223753.2888641949</v>
      </c>
      <c r="N10" s="188" t="n">
        <v>0</v>
      </c>
      <c r="O10" s="186" t="n">
        <v>0</v>
      </c>
      <c r="P10" s="189" t="n">
        <v>0</v>
      </c>
      <c r="Q10" s="184" t="inlineStr">
        <is>
          <t>N/A</t>
        </is>
      </c>
      <c r="R10" s="186" t="n">
        <v>0</v>
      </c>
      <c r="S10" s="185" t="n">
        <v>0</v>
      </c>
      <c r="T10" s="186" t="n">
        <v>0</v>
      </c>
      <c r="U10" s="190" t="n"/>
      <c r="V10" s="185" t="n">
        <v>0</v>
      </c>
      <c r="W10" s="185" t="n">
        <v>107529.84250403</v>
      </c>
      <c r="X10" s="185" t="n">
        <v>223753.2888641949</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257213.4684315691</v>
      </c>
      <c r="H11" s="185" t="n">
        <v>0</v>
      </c>
      <c r="I11" s="186" t="n">
        <v>0</v>
      </c>
      <c r="J11" s="187" t="inlineStr">
        <is>
          <t>N/A</t>
        </is>
      </c>
      <c r="K11" s="185" t="n">
        <v>197568.818317277</v>
      </c>
      <c r="L11" s="186" t="n">
        <v>123594.1810203279</v>
      </c>
      <c r="M11" s="185" t="n">
        <v>321162.9993376049</v>
      </c>
      <c r="N11" s="188" t="n">
        <v>0</v>
      </c>
      <c r="O11" s="186" t="n">
        <v>0</v>
      </c>
      <c r="P11" s="189" t="n">
        <v>0</v>
      </c>
      <c r="Q11" s="184" t="inlineStr">
        <is>
          <t>N/A</t>
        </is>
      </c>
      <c r="R11" s="186" t="n">
        <v>0</v>
      </c>
      <c r="S11" s="185" t="n">
        <v>0</v>
      </c>
      <c r="T11" s="186" t="n">
        <v>0</v>
      </c>
      <c r="U11" s="190" t="n"/>
      <c r="V11" s="185" t="n">
        <v>0</v>
      </c>
      <c r="W11" s="185" t="n">
        <v>197568.818317277</v>
      </c>
      <c r="X11" s="185" t="n">
        <v>321162.9993376049</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131567.7093420417</v>
      </c>
      <c r="L12" s="186" t="n">
        <v>125645.7590895275</v>
      </c>
      <c r="M12" s="185" t="n">
        <v>257213.4684315691</v>
      </c>
      <c r="N12" s="188" t="n">
        <v>0</v>
      </c>
      <c r="O12" s="186" t="n">
        <v>0</v>
      </c>
      <c r="P12" s="189" t="n">
        <v>0</v>
      </c>
      <c r="Q12" s="184" t="inlineStr">
        <is>
          <t>N/A</t>
        </is>
      </c>
      <c r="R12" s="186" t="n">
        <v>0</v>
      </c>
      <c r="S12" s="185" t="n">
        <v>0</v>
      </c>
      <c r="T12" s="186" t="n">
        <v>0</v>
      </c>
      <c r="U12" s="190" t="n"/>
      <c r="V12" s="185" t="n">
        <v>0</v>
      </c>
      <c r="W12" s="185" t="n">
        <v>131567.7093420417</v>
      </c>
      <c r="X12" s="185" t="n">
        <v>257213.4684315691</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Member_2_Trust; IRAs/Roths inherited by beneficiaries</t>
        </is>
      </c>
      <c r="AA33" s="194" t="inlineStr">
        <is>
          <t>H died 2054; Rollover: W 2nd death — taxable → Member_2_Trust;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2"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2"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2"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2" t="inlineStr">
        <is>
          <t>YES</t>
        </is>
      </c>
      <c r="F8" s="108" t="n">
        <v>4019506.257952144</v>
      </c>
    </row>
    <row r="9">
      <c r="A9" s="33" t="inlineStr">
        <is>
          <t>Spend 19% More</t>
        </is>
      </c>
      <c r="B9" s="33" t="inlineStr">
        <is>
          <t>$165,127/yr vs $137,606 base</t>
        </is>
      </c>
      <c r="C9" s="108" t="n">
        <v>3390274.137803574</v>
      </c>
      <c r="D9" s="108" t="n">
        <v>868296.9318714881</v>
      </c>
      <c r="E9" s="212"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2" t="inlineStr">
        <is>
          <t>YES</t>
        </is>
      </c>
      <c r="F10" s="108" t="n">
        <v>1607498.160338907</v>
      </c>
    </row>
    <row r="11">
      <c r="A11" s="33" t="inlineStr">
        <is>
          <t>High Inflation 4.5%</t>
        </is>
      </c>
      <c r="B11" s="33" t="inlineStr">
        <is>
          <t>Inflation 4.5% vs 2.5%</t>
        </is>
      </c>
      <c r="C11" s="108" t="n">
        <v>3390274.137803574</v>
      </c>
      <c r="D11" s="108" t="n">
        <v>870471.8655697597</v>
      </c>
      <c r="E11" s="212" t="inlineStr">
        <is>
          <t>YES</t>
        </is>
      </c>
      <c r="F11" s="108" t="n">
        <v>-2686230.376809658</v>
      </c>
    </row>
    <row r="12">
      <c r="A12" s="33" t="inlineStr">
        <is>
          <t>Low Return 4.0%</t>
        </is>
      </c>
      <c r="B12" s="33" t="inlineStr">
        <is>
          <t>Portfolio return 4.0% vs 6.0%</t>
        </is>
      </c>
      <c r="C12" s="108" t="n">
        <v>3388951.097803574</v>
      </c>
      <c r="D12" s="108" t="n">
        <v>872842.9841548501</v>
      </c>
      <c r="E12" s="212"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2"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2"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2" t="inlineStr">
        <is>
          <t>YES</t>
        </is>
      </c>
      <c r="F15" s="108" t="n">
        <v>-2700200.465714871</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5"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1929270</v>
      </c>
      <c r="D5" s="226" t="n">
        <v>363151</v>
      </c>
      <c r="E5" s="226" t="n">
        <v>623543</v>
      </c>
      <c r="F5" s="226" t="n">
        <v>84225</v>
      </c>
      <c r="G5" s="226" t="n">
        <v>1061621</v>
      </c>
      <c r="H5" s="226" t="n">
        <v>547626</v>
      </c>
      <c r="I5" s="227" t="n">
        <v>5970102</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137606</v>
      </c>
      <c r="AE5" s="226" t="n">
        <v>105600</v>
      </c>
      <c r="AF5" s="226" t="n">
        <v>21760</v>
      </c>
      <c r="AG5" s="226" t="n">
        <v>25000</v>
      </c>
      <c r="AH5" s="226" t="n">
        <v>0</v>
      </c>
      <c r="AI5" s="226" t="n">
        <v>44125</v>
      </c>
      <c r="AJ5" s="226" t="n">
        <v>15731</v>
      </c>
      <c r="AK5" s="226" t="n">
        <v>0</v>
      </c>
      <c r="AL5" s="226" t="n">
        <v>0</v>
      </c>
      <c r="AM5" s="226" t="n">
        <v>0</v>
      </c>
      <c r="AN5" s="227" t="n">
        <v>349822</v>
      </c>
      <c r="AQ5" s="225" t="n">
        <v>2026</v>
      </c>
      <c r="AR5" s="226" t="n">
        <v>5853935.13730513</v>
      </c>
      <c r="AS5" s="226" t="n">
        <v>5920439.363450543</v>
      </c>
      <c r="AT5" s="226" t="n">
        <v>6077597.139493715</v>
      </c>
      <c r="AU5" s="226" t="n">
        <v>6207964.272438183</v>
      </c>
      <c r="AV5" s="226" t="n">
        <v>6303229.749760429</v>
      </c>
    </row>
    <row r="6">
      <c r="A6" s="228" t="n">
        <v>2027</v>
      </c>
      <c r="B6" s="229" t="n">
        <v>1437523</v>
      </c>
      <c r="C6" s="229" t="n">
        <v>1806945</v>
      </c>
      <c r="D6" s="229" t="n">
        <v>623020</v>
      </c>
      <c r="E6" s="229" t="n">
        <v>301960</v>
      </c>
      <c r="F6" s="229" t="n">
        <v>89279</v>
      </c>
      <c r="G6" s="229" t="n">
        <v>1132406</v>
      </c>
      <c r="H6" s="229" t="n">
        <v>480568</v>
      </c>
      <c r="I6" s="230" t="n">
        <v>5871701</v>
      </c>
      <c r="K6" s="228" t="n">
        <v>2027</v>
      </c>
      <c r="L6" s="229" t="n">
        <v>0</v>
      </c>
      <c r="M6" s="229" t="n">
        <v>0</v>
      </c>
      <c r="N6" s="229" t="n">
        <v>0</v>
      </c>
      <c r="O6" s="229" t="n">
        <v>4512</v>
      </c>
      <c r="P6" s="229" t="n">
        <v>0</v>
      </c>
      <c r="Q6" s="229" t="n">
        <v>0</v>
      </c>
      <c r="R6" s="229" t="n">
        <v>0</v>
      </c>
      <c r="S6" s="229" t="n">
        <v>0</v>
      </c>
      <c r="T6" s="229" t="n">
        <v>91446</v>
      </c>
      <c r="U6" s="229" t="n">
        <v>0</v>
      </c>
      <c r="V6" s="229" t="n">
        <v>333372</v>
      </c>
      <c r="W6" s="229" t="n">
        <v>0</v>
      </c>
      <c r="X6" s="229" t="n">
        <v>0</v>
      </c>
      <c r="Y6" s="229" t="n">
        <v>0</v>
      </c>
      <c r="Z6" s="229" t="n">
        <v>0</v>
      </c>
      <c r="AA6" s="230" t="n">
        <v>429330</v>
      </c>
      <c r="AC6" s="228" t="n">
        <v>2027</v>
      </c>
      <c r="AD6" s="229" t="n">
        <v>141046</v>
      </c>
      <c r="AE6" s="229" t="n">
        <v>107340</v>
      </c>
      <c r="AF6" s="229" t="n">
        <v>35186</v>
      </c>
      <c r="AG6" s="229" t="n">
        <v>25625</v>
      </c>
      <c r="AH6" s="229" t="n">
        <v>100000</v>
      </c>
      <c r="AI6" s="229" t="n">
        <v>41329</v>
      </c>
      <c r="AJ6" s="229" t="n">
        <v>2190</v>
      </c>
      <c r="AK6" s="229" t="n">
        <v>888</v>
      </c>
      <c r="AL6" s="229" t="n">
        <v>0</v>
      </c>
      <c r="AM6" s="229" t="n">
        <v>0</v>
      </c>
      <c r="AN6" s="230" t="n">
        <v>453604</v>
      </c>
      <c r="AQ6" s="228" t="n">
        <v>2027</v>
      </c>
      <c r="AR6" s="229" t="n">
        <v>5364413.24308352</v>
      </c>
      <c r="AS6" s="229" t="n">
        <v>5769060.476121557</v>
      </c>
      <c r="AT6" s="229" t="n">
        <v>6068248.675885694</v>
      </c>
      <c r="AU6" s="229" t="n">
        <v>6299753.923463833</v>
      </c>
      <c r="AV6" s="229" t="n">
        <v>6598196.572169581</v>
      </c>
    </row>
    <row r="7">
      <c r="A7" s="225" t="n">
        <v>2028</v>
      </c>
      <c r="B7" s="226" t="n">
        <v>1518992</v>
      </c>
      <c r="C7" s="226" t="n">
        <v>1689153</v>
      </c>
      <c r="D7" s="226" t="n">
        <v>886611</v>
      </c>
      <c r="E7" s="226" t="n">
        <v>26283</v>
      </c>
      <c r="F7" s="226" t="n">
        <v>94636</v>
      </c>
      <c r="G7" s="226" t="n">
        <v>1205010</v>
      </c>
      <c r="H7" s="226" t="n">
        <v>413511</v>
      </c>
      <c r="I7" s="227" t="n">
        <v>5834196</v>
      </c>
      <c r="K7" s="225" t="n">
        <v>2028</v>
      </c>
      <c r="L7" s="226" t="n">
        <v>0</v>
      </c>
      <c r="M7" s="226" t="n">
        <v>0</v>
      </c>
      <c r="N7" s="226" t="n">
        <v>0</v>
      </c>
      <c r="O7" s="226" t="n">
        <v>4512</v>
      </c>
      <c r="P7" s="226" t="n">
        <v>0</v>
      </c>
      <c r="Q7" s="226" t="n">
        <v>27611</v>
      </c>
      <c r="R7" s="226" t="n">
        <v>0</v>
      </c>
      <c r="S7" s="226" t="n">
        <v>0</v>
      </c>
      <c r="T7" s="226" t="n">
        <v>86732</v>
      </c>
      <c r="U7" s="226" t="n">
        <v>0</v>
      </c>
      <c r="V7" s="226" t="n">
        <v>276703</v>
      </c>
      <c r="W7" s="226" t="n">
        <v>0</v>
      </c>
      <c r="X7" s="226" t="n">
        <v>0</v>
      </c>
      <c r="Y7" s="226" t="n">
        <v>0</v>
      </c>
      <c r="Z7" s="226" t="n">
        <v>0</v>
      </c>
      <c r="AA7" s="227" t="n">
        <v>395558</v>
      </c>
      <c r="AC7" s="225" t="n">
        <v>2028</v>
      </c>
      <c r="AD7" s="226" t="n">
        <v>144572</v>
      </c>
      <c r="AE7" s="226" t="n">
        <v>109124</v>
      </c>
      <c r="AF7" s="226" t="n">
        <v>36941</v>
      </c>
      <c r="AG7" s="226" t="n">
        <v>26266</v>
      </c>
      <c r="AH7" s="226" t="n">
        <v>50000</v>
      </c>
      <c r="AI7" s="226" t="n">
        <v>42256</v>
      </c>
      <c r="AJ7" s="226" t="n">
        <v>1648</v>
      </c>
      <c r="AK7" s="226" t="n">
        <v>1095</v>
      </c>
      <c r="AL7" s="226" t="n">
        <v>0</v>
      </c>
      <c r="AM7" s="226" t="n">
        <v>0</v>
      </c>
      <c r="AN7" s="227" t="n">
        <v>411902</v>
      </c>
      <c r="AQ7" s="225" t="n">
        <v>2028</v>
      </c>
      <c r="AR7" s="226" t="n">
        <v>5241131.036258385</v>
      </c>
      <c r="AS7" s="226" t="n">
        <v>5589331.717191074</v>
      </c>
      <c r="AT7" s="226" t="n">
        <v>6066405.469623856</v>
      </c>
      <c r="AU7" s="226" t="n">
        <v>6356016.145254076</v>
      </c>
      <c r="AV7" s="226" t="n">
        <v>6905761.604348293</v>
      </c>
    </row>
    <row r="8">
      <c r="A8" s="228" t="n">
        <v>2029</v>
      </c>
      <c r="B8" s="229" t="n">
        <v>1576080</v>
      </c>
      <c r="C8" s="229" t="n">
        <v>1457564</v>
      </c>
      <c r="D8" s="229" t="n">
        <v>1093668</v>
      </c>
      <c r="E8" s="229" t="n">
        <v>0</v>
      </c>
      <c r="F8" s="229" t="n">
        <v>100314</v>
      </c>
      <c r="G8" s="229" t="n">
        <v>1279481</v>
      </c>
      <c r="H8" s="229" t="n">
        <v>346454</v>
      </c>
      <c r="I8" s="230" t="n">
        <v>5853561</v>
      </c>
      <c r="K8" s="228" t="n">
        <v>2029</v>
      </c>
      <c r="L8" s="229" t="n">
        <v>0</v>
      </c>
      <c r="M8" s="229" t="n">
        <v>0</v>
      </c>
      <c r="N8" s="229" t="n">
        <v>0</v>
      </c>
      <c r="O8" s="229" t="n">
        <v>4512</v>
      </c>
      <c r="P8" s="229" t="n">
        <v>4600</v>
      </c>
      <c r="Q8" s="229" t="n">
        <v>27437</v>
      </c>
      <c r="R8" s="229" t="n">
        <v>8123</v>
      </c>
      <c r="S8" s="229" t="n">
        <v>71336</v>
      </c>
      <c r="T8" s="229" t="n">
        <v>82017</v>
      </c>
      <c r="U8" s="229" t="n">
        <v>0</v>
      </c>
      <c r="V8" s="229" t="n">
        <v>26283</v>
      </c>
      <c r="W8" s="229" t="n">
        <v>0</v>
      </c>
      <c r="X8" s="229" t="n">
        <v>0</v>
      </c>
      <c r="Y8" s="229" t="n">
        <v>168941</v>
      </c>
      <c r="Z8" s="229" t="n">
        <v>0</v>
      </c>
      <c r="AA8" s="230" t="n">
        <v>393249</v>
      </c>
      <c r="AC8" s="228" t="n">
        <v>2029</v>
      </c>
      <c r="AD8" s="229" t="n">
        <v>148187</v>
      </c>
      <c r="AE8" s="229" t="n">
        <v>110952</v>
      </c>
      <c r="AF8" s="229" t="n">
        <v>38790</v>
      </c>
      <c r="AG8" s="229" t="n">
        <v>26922</v>
      </c>
      <c r="AH8" s="229" t="n">
        <v>0</v>
      </c>
      <c r="AI8" s="229" t="n">
        <v>42745</v>
      </c>
      <c r="AJ8" s="229" t="n">
        <v>1636</v>
      </c>
      <c r="AK8" s="229" t="n">
        <v>1196</v>
      </c>
      <c r="AL8" s="229" t="n">
        <v>22821</v>
      </c>
      <c r="AM8" s="229" t="n">
        <v>0</v>
      </c>
      <c r="AN8" s="230" t="n">
        <v>393249</v>
      </c>
      <c r="AQ8" s="228" t="n">
        <v>2029</v>
      </c>
      <c r="AR8" s="229" t="n">
        <v>4991321.49961783</v>
      </c>
      <c r="AS8" s="229" t="n">
        <v>5579632.415110959</v>
      </c>
      <c r="AT8" s="229" t="n">
        <v>6338802.042741841</v>
      </c>
      <c r="AU8" s="229" t="n">
        <v>6709977.083100453</v>
      </c>
      <c r="AV8" s="229" t="n">
        <v>7235765.686993571</v>
      </c>
    </row>
    <row r="9">
      <c r="A9" s="225" t="n">
        <v>2030</v>
      </c>
      <c r="B9" s="226" t="n">
        <v>1547677</v>
      </c>
      <c r="C9" s="226" t="n">
        <v>1237911</v>
      </c>
      <c r="D9" s="226" t="n">
        <v>1323906</v>
      </c>
      <c r="E9" s="226" t="n">
        <v>0</v>
      </c>
      <c r="F9" s="226" t="n">
        <v>106333</v>
      </c>
      <c r="G9" s="226" t="n">
        <v>1355868</v>
      </c>
      <c r="H9" s="226" t="n">
        <v>213396</v>
      </c>
      <c r="I9" s="227" t="n">
        <v>5785091</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134423</v>
      </c>
      <c r="Z9" s="226" t="n">
        <v>0</v>
      </c>
      <c r="AA9" s="227" t="n">
        <v>393092</v>
      </c>
      <c r="AC9" s="225" t="n">
        <v>2030</v>
      </c>
      <c r="AD9" s="226" t="n">
        <v>151891</v>
      </c>
      <c r="AE9" s="226" t="n">
        <v>112825</v>
      </c>
      <c r="AF9" s="226" t="n">
        <v>40738</v>
      </c>
      <c r="AG9" s="226" t="n">
        <v>27595</v>
      </c>
      <c r="AH9" s="226" t="n">
        <v>0</v>
      </c>
      <c r="AI9" s="226" t="n">
        <v>44332</v>
      </c>
      <c r="AJ9" s="226" t="n">
        <v>1445</v>
      </c>
      <c r="AK9" s="226" t="n">
        <v>1109</v>
      </c>
      <c r="AL9" s="226" t="n">
        <v>13157</v>
      </c>
      <c r="AM9" s="226" t="n">
        <v>0</v>
      </c>
      <c r="AN9" s="227" t="n">
        <v>393092</v>
      </c>
      <c r="AQ9" s="225" t="n">
        <v>2030</v>
      </c>
      <c r="AR9" s="226" t="n">
        <v>4741129.25530567</v>
      </c>
      <c r="AS9" s="226" t="n">
        <v>5390252.946408404</v>
      </c>
      <c r="AT9" s="226" t="n">
        <v>6326478.943059698</v>
      </c>
      <c r="AU9" s="226" t="n">
        <v>6883385.383384022</v>
      </c>
      <c r="AV9" s="226" t="n">
        <v>7627414.659814335</v>
      </c>
    </row>
    <row r="10">
      <c r="A10" s="228" t="n">
        <v>2031</v>
      </c>
      <c r="B10" s="229" t="n">
        <v>1518250</v>
      </c>
      <c r="C10" s="229" t="n">
        <v>1049206</v>
      </c>
      <c r="D10" s="229" t="n">
        <v>1536124</v>
      </c>
      <c r="E10" s="229" t="n">
        <v>0</v>
      </c>
      <c r="F10" s="229" t="n">
        <v>101441</v>
      </c>
      <c r="G10" s="229" t="n">
        <v>1434223</v>
      </c>
      <c r="H10" s="229" t="n">
        <v>146339</v>
      </c>
      <c r="I10" s="230" t="n">
        <v>5785583</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10633</v>
      </c>
      <c r="X10" s="229" t="n">
        <v>0</v>
      </c>
      <c r="Y10" s="229" t="n">
        <v>122828</v>
      </c>
      <c r="Z10" s="229" t="n">
        <v>0</v>
      </c>
      <c r="AA10" s="230" t="n">
        <v>370883</v>
      </c>
      <c r="AC10" s="228" t="n">
        <v>2031</v>
      </c>
      <c r="AD10" s="229" t="n">
        <v>155689</v>
      </c>
      <c r="AE10" s="229" t="n">
        <v>86461</v>
      </c>
      <c r="AF10" s="229" t="n">
        <v>42792</v>
      </c>
      <c r="AG10" s="229" t="n">
        <v>28285</v>
      </c>
      <c r="AH10" s="229" t="n">
        <v>0</v>
      </c>
      <c r="AI10" s="229" t="n">
        <v>45235</v>
      </c>
      <c r="AJ10" s="229" t="n">
        <v>1140</v>
      </c>
      <c r="AK10" s="229" t="n">
        <v>0</v>
      </c>
      <c r="AL10" s="229" t="n">
        <v>11281</v>
      </c>
      <c r="AM10" s="229" t="n">
        <v>0</v>
      </c>
      <c r="AN10" s="230" t="n">
        <v>370883</v>
      </c>
      <c r="AQ10" s="228" t="n">
        <v>2031</v>
      </c>
      <c r="AR10" s="229" t="n">
        <v>4613737.518252967</v>
      </c>
      <c r="AS10" s="229" t="n">
        <v>5491174.821385344</v>
      </c>
      <c r="AT10" s="229" t="n">
        <v>6426621.119518094</v>
      </c>
      <c r="AU10" s="229" t="n">
        <v>7282735.79882037</v>
      </c>
      <c r="AV10" s="229" t="n">
        <v>7670254.571978144</v>
      </c>
    </row>
    <row r="11">
      <c r="A11" s="225" t="n">
        <v>2032</v>
      </c>
      <c r="B11" s="226" t="n">
        <v>1487715</v>
      </c>
      <c r="C11" s="226" t="n">
        <v>755656</v>
      </c>
      <c r="D11" s="226" t="n">
        <v>1743734</v>
      </c>
      <c r="E11" s="226" t="n">
        <v>0</v>
      </c>
      <c r="F11" s="226" t="n">
        <v>95580</v>
      </c>
      <c r="G11" s="226" t="n">
        <v>1514599</v>
      </c>
      <c r="H11" s="226" t="n">
        <v>79282</v>
      </c>
      <c r="I11" s="227" t="n">
        <v>5676566</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11271</v>
      </c>
      <c r="X11" s="226" t="n">
        <v>0</v>
      </c>
      <c r="Y11" s="226" t="n">
        <v>227414</v>
      </c>
      <c r="Z11" s="226" t="n">
        <v>0</v>
      </c>
      <c r="AA11" s="227" t="n">
        <v>503979</v>
      </c>
      <c r="AC11" s="225" t="n">
        <v>2032</v>
      </c>
      <c r="AD11" s="226" t="n">
        <v>159581</v>
      </c>
      <c r="AE11" s="226" t="n">
        <v>87722</v>
      </c>
      <c r="AF11" s="226" t="n">
        <v>44956</v>
      </c>
      <c r="AG11" s="226" t="n">
        <v>28992</v>
      </c>
      <c r="AH11" s="226" t="n">
        <v>100000</v>
      </c>
      <c r="AI11" s="226" t="n">
        <v>46156</v>
      </c>
      <c r="AJ11" s="226" t="n">
        <v>700</v>
      </c>
      <c r="AK11" s="226" t="n">
        <v>0</v>
      </c>
      <c r="AL11" s="226" t="n">
        <v>0</v>
      </c>
      <c r="AM11" s="226" t="n">
        <v>0</v>
      </c>
      <c r="AN11" s="227" t="n">
        <v>468107</v>
      </c>
      <c r="AQ11" s="225" t="n">
        <v>2032</v>
      </c>
      <c r="AR11" s="226" t="n">
        <v>4279285.823566097</v>
      </c>
      <c r="AS11" s="226" t="n">
        <v>5182623.076314959</v>
      </c>
      <c r="AT11" s="226" t="n">
        <v>6369515.277226933</v>
      </c>
      <c r="AU11" s="226" t="n">
        <v>7256429.273386573</v>
      </c>
      <c r="AV11" s="226" t="n">
        <v>8132264.676839182</v>
      </c>
    </row>
    <row r="12">
      <c r="A12" s="228" t="n">
        <v>2033</v>
      </c>
      <c r="B12" s="229" t="n">
        <v>1455962</v>
      </c>
      <c r="C12" s="229" t="n">
        <v>563817</v>
      </c>
      <c r="D12" s="229" t="n">
        <v>1971555</v>
      </c>
      <c r="E12" s="229" t="n">
        <v>0</v>
      </c>
      <c r="F12" s="229" t="n">
        <v>88651</v>
      </c>
      <c r="G12" s="229" t="n">
        <v>1597049</v>
      </c>
      <c r="H12" s="229" t="n">
        <v>20000</v>
      </c>
      <c r="I12" s="230" t="n">
        <v>5697034</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11948</v>
      </c>
      <c r="X12" s="229" t="n">
        <v>0</v>
      </c>
      <c r="Y12" s="229" t="n">
        <v>107530</v>
      </c>
      <c r="Z12" s="229" t="n">
        <v>0</v>
      </c>
      <c r="AA12" s="230" t="n">
        <v>383802</v>
      </c>
      <c r="AC12" s="228" t="n">
        <v>2033</v>
      </c>
      <c r="AD12" s="229" t="n">
        <v>163570</v>
      </c>
      <c r="AE12" s="229" t="n">
        <v>89015</v>
      </c>
      <c r="AF12" s="229" t="n">
        <v>47237</v>
      </c>
      <c r="AG12" s="229" t="n">
        <v>29717</v>
      </c>
      <c r="AH12" s="229" t="n">
        <v>0</v>
      </c>
      <c r="AI12" s="229" t="n">
        <v>47096</v>
      </c>
      <c r="AJ12" s="229" t="n">
        <v>588</v>
      </c>
      <c r="AK12" s="229" t="n">
        <v>0</v>
      </c>
      <c r="AL12" s="229" t="n">
        <v>6579</v>
      </c>
      <c r="AM12" s="229" t="n">
        <v>0</v>
      </c>
      <c r="AN12" s="230" t="n">
        <v>383802</v>
      </c>
      <c r="AQ12" s="228" t="n">
        <v>2033</v>
      </c>
      <c r="AR12" s="229" t="n">
        <v>4407118.800048514</v>
      </c>
      <c r="AS12" s="229" t="n">
        <v>5139453.740827113</v>
      </c>
      <c r="AT12" s="229" t="n">
        <v>6488175.626981753</v>
      </c>
      <c r="AU12" s="229" t="n">
        <v>7429459.61386293</v>
      </c>
      <c r="AV12" s="229" t="n">
        <v>8855963.047400989</v>
      </c>
    </row>
    <row r="13">
      <c r="A13" s="225" t="n">
        <v>2034</v>
      </c>
      <c r="B13" s="226" t="n">
        <v>1422877</v>
      </c>
      <c r="C13" s="226" t="n">
        <v>257213</v>
      </c>
      <c r="D13" s="226" t="n">
        <v>2220859</v>
      </c>
      <c r="E13" s="226" t="n">
        <v>0</v>
      </c>
      <c r="F13" s="226" t="n">
        <v>80546</v>
      </c>
      <c r="G13" s="226" t="n">
        <v>1681629</v>
      </c>
      <c r="H13" s="226" t="n">
        <v>20000</v>
      </c>
      <c r="I13" s="227" t="n">
        <v>5683124</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12664</v>
      </c>
      <c r="X13" s="226" t="n">
        <v>0</v>
      </c>
      <c r="Y13" s="226" t="n">
        <v>197569</v>
      </c>
      <c r="Z13" s="226" t="n">
        <v>0</v>
      </c>
      <c r="AA13" s="227" t="n">
        <v>414284</v>
      </c>
      <c r="AC13" s="225" t="n">
        <v>2034</v>
      </c>
      <c r="AD13" s="226" t="n">
        <v>167660</v>
      </c>
      <c r="AE13" s="226" t="n">
        <v>90341</v>
      </c>
      <c r="AF13" s="226" t="n">
        <v>49640</v>
      </c>
      <c r="AG13" s="226" t="n">
        <v>30460</v>
      </c>
      <c r="AH13" s="226" t="n">
        <v>0</v>
      </c>
      <c r="AI13" s="226" t="n">
        <v>48054</v>
      </c>
      <c r="AJ13" s="226" t="n">
        <v>476</v>
      </c>
      <c r="AK13" s="226" t="n">
        <v>0</v>
      </c>
      <c r="AL13" s="226" t="n">
        <v>27653</v>
      </c>
      <c r="AM13" s="226" t="n">
        <v>0</v>
      </c>
      <c r="AN13" s="227" t="n">
        <v>414284</v>
      </c>
      <c r="AQ13" s="225" t="n">
        <v>2034</v>
      </c>
      <c r="AR13" s="226" t="n">
        <v>4248147.361349855</v>
      </c>
      <c r="AS13" s="226" t="n">
        <v>5234256.285942571</v>
      </c>
      <c r="AT13" s="226" t="n">
        <v>6413686.575542797</v>
      </c>
      <c r="AU13" s="226" t="n">
        <v>7270833.110900594</v>
      </c>
      <c r="AV13" s="226" t="n">
        <v>8775757.154600721</v>
      </c>
    </row>
    <row r="14">
      <c r="A14" s="228" t="n">
        <v>2035</v>
      </c>
      <c r="B14" s="229" t="n">
        <v>1388342</v>
      </c>
      <c r="C14" s="229" t="n">
        <v>0</v>
      </c>
      <c r="D14" s="229" t="n">
        <v>2468032</v>
      </c>
      <c r="E14" s="229" t="n">
        <v>0</v>
      </c>
      <c r="F14" s="229" t="n">
        <v>71149</v>
      </c>
      <c r="G14" s="229" t="n">
        <v>1764562</v>
      </c>
      <c r="H14" s="229" t="n">
        <v>20000</v>
      </c>
      <c r="I14" s="230" t="n">
        <v>5712085</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13424</v>
      </c>
      <c r="X14" s="229" t="n">
        <v>18172</v>
      </c>
      <c r="Y14" s="229" t="n">
        <v>131568</v>
      </c>
      <c r="Z14" s="229" t="n">
        <v>0</v>
      </c>
      <c r="AA14" s="230" t="n">
        <v>371715</v>
      </c>
      <c r="AC14" s="228" t="n">
        <v>2035</v>
      </c>
      <c r="AD14" s="229" t="n">
        <v>171851</v>
      </c>
      <c r="AE14" s="229" t="n">
        <v>55699</v>
      </c>
      <c r="AF14" s="229" t="n">
        <v>52174</v>
      </c>
      <c r="AG14" s="229" t="n">
        <v>31222</v>
      </c>
      <c r="AH14" s="229" t="n">
        <v>0</v>
      </c>
      <c r="AI14" s="229" t="n">
        <v>49031</v>
      </c>
      <c r="AJ14" s="229" t="n">
        <v>475</v>
      </c>
      <c r="AK14" s="229" t="n">
        <v>0</v>
      </c>
      <c r="AL14" s="229" t="n">
        <v>11263</v>
      </c>
      <c r="AM14" s="229" t="n">
        <v>0</v>
      </c>
      <c r="AN14" s="230" t="n">
        <v>371715</v>
      </c>
      <c r="AQ14" s="228" t="n">
        <v>2035</v>
      </c>
      <c r="AR14" s="229" t="n">
        <v>4057468.598835173</v>
      </c>
      <c r="AS14" s="229" t="n">
        <v>5085684.187913529</v>
      </c>
      <c r="AT14" s="229" t="n">
        <v>6613032.484925913</v>
      </c>
      <c r="AU14" s="229" t="n">
        <v>7115445.851864461</v>
      </c>
      <c r="AV14" s="229" t="n">
        <v>8818789.059600389</v>
      </c>
    </row>
    <row r="15">
      <c r="A15" s="225" t="n">
        <v>2036</v>
      </c>
      <c r="B15" s="226" t="n">
        <v>1348892</v>
      </c>
      <c r="C15" s="226" t="n">
        <v>0</v>
      </c>
      <c r="D15" s="226" t="n">
        <v>2521027</v>
      </c>
      <c r="E15" s="226" t="n">
        <v>0</v>
      </c>
      <c r="F15" s="226" t="n">
        <v>60334</v>
      </c>
      <c r="G15" s="226" t="n">
        <v>1817499</v>
      </c>
      <c r="H15" s="226" t="n">
        <v>20000</v>
      </c>
      <c r="I15" s="227" t="n">
        <v>5767752</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14230</v>
      </c>
      <c r="X15" s="226" t="n">
        <v>89705</v>
      </c>
      <c r="Y15" s="226" t="n">
        <v>0</v>
      </c>
      <c r="Z15" s="226" t="n">
        <v>0</v>
      </c>
      <c r="AA15" s="227" t="n">
        <v>322218</v>
      </c>
      <c r="AC15" s="225" t="n">
        <v>2036</v>
      </c>
      <c r="AD15" s="226" t="n">
        <v>176147</v>
      </c>
      <c r="AE15" s="226" t="n">
        <v>57092</v>
      </c>
      <c r="AF15" s="226" t="n">
        <v>54844</v>
      </c>
      <c r="AG15" s="226" t="n">
        <v>32002</v>
      </c>
      <c r="AH15" s="226" t="n">
        <v>0</v>
      </c>
      <c r="AI15" s="226" t="n">
        <v>22498</v>
      </c>
      <c r="AJ15" s="226" t="n">
        <v>509</v>
      </c>
      <c r="AK15" s="226" t="n">
        <v>0</v>
      </c>
      <c r="AL15" s="226" t="n">
        <v>0</v>
      </c>
      <c r="AM15" s="226" t="n">
        <v>0</v>
      </c>
      <c r="AN15" s="227" t="n">
        <v>343092</v>
      </c>
      <c r="AQ15" s="225" t="n">
        <v>2036</v>
      </c>
      <c r="AR15" s="226" t="n">
        <v>3994842.725314166</v>
      </c>
      <c r="AS15" s="226" t="n">
        <v>4806421.205109831</v>
      </c>
      <c r="AT15" s="226" t="n">
        <v>6755265.007296207</v>
      </c>
      <c r="AU15" s="226" t="n">
        <v>7438327.286263248</v>
      </c>
      <c r="AV15" s="226" t="n">
        <v>10002768.74140752</v>
      </c>
    </row>
    <row r="16">
      <c r="A16" s="228" t="n">
        <v>2037</v>
      </c>
      <c r="B16" s="229" t="n">
        <v>1298724</v>
      </c>
      <c r="C16" s="229" t="n">
        <v>0</v>
      </c>
      <c r="D16" s="229" t="n">
        <v>2569697</v>
      </c>
      <c r="E16" s="229" t="n">
        <v>0</v>
      </c>
      <c r="F16" s="229" t="n">
        <v>47966</v>
      </c>
      <c r="G16" s="229" t="n">
        <v>1872024</v>
      </c>
      <c r="H16" s="229" t="n">
        <v>20000</v>
      </c>
      <c r="I16" s="230" t="n">
        <v>5808411</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15083</v>
      </c>
      <c r="X16" s="229" t="n">
        <v>96785</v>
      </c>
      <c r="Y16" s="229" t="n">
        <v>0</v>
      </c>
      <c r="Z16" s="229" t="n">
        <v>0</v>
      </c>
      <c r="AA16" s="230" t="n">
        <v>330716</v>
      </c>
      <c r="AC16" s="228" t="n">
        <v>2037</v>
      </c>
      <c r="AD16" s="229" t="n">
        <v>180551</v>
      </c>
      <c r="AE16" s="229" t="n">
        <v>58519</v>
      </c>
      <c r="AF16" s="229" t="n">
        <v>57659</v>
      </c>
      <c r="AG16" s="229" t="n">
        <v>32802</v>
      </c>
      <c r="AH16" s="229" t="n">
        <v>0</v>
      </c>
      <c r="AI16" s="229" t="n">
        <v>22130</v>
      </c>
      <c r="AJ16" s="229" t="n">
        <v>505</v>
      </c>
      <c r="AK16" s="229" t="n">
        <v>0</v>
      </c>
      <c r="AL16" s="229" t="n">
        <v>0</v>
      </c>
      <c r="AM16" s="229" t="n">
        <v>0</v>
      </c>
      <c r="AN16" s="230" t="n">
        <v>352166</v>
      </c>
      <c r="AQ16" s="228" t="n">
        <v>2037</v>
      </c>
      <c r="AR16" s="229" t="n">
        <v>3834900.036969407</v>
      </c>
      <c r="AS16" s="229" t="n">
        <v>4430110.367707588</v>
      </c>
      <c r="AT16" s="229" t="n">
        <v>6581217.001404017</v>
      </c>
      <c r="AU16" s="229" t="n">
        <v>7605249.532346657</v>
      </c>
      <c r="AV16" s="229" t="n">
        <v>9873738.240745662</v>
      </c>
    </row>
    <row r="17">
      <c r="A17" s="225" t="n">
        <v>2038</v>
      </c>
      <c r="B17" s="226" t="n">
        <v>1246954</v>
      </c>
      <c r="C17" s="226" t="n">
        <v>0</v>
      </c>
      <c r="D17" s="226" t="n">
        <v>2615929</v>
      </c>
      <c r="E17" s="226" t="n">
        <v>0</v>
      </c>
      <c r="F17" s="226" t="n">
        <v>33896</v>
      </c>
      <c r="G17" s="226" t="n">
        <v>1928185</v>
      </c>
      <c r="H17" s="226" t="n">
        <v>20000</v>
      </c>
      <c r="I17" s="227" t="n">
        <v>5844964</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15989</v>
      </c>
      <c r="X17" s="226" t="n">
        <v>101839</v>
      </c>
      <c r="Y17" s="226" t="n">
        <v>0</v>
      </c>
      <c r="Z17" s="226" t="n">
        <v>0</v>
      </c>
      <c r="AA17" s="227" t="n">
        <v>337370</v>
      </c>
      <c r="AC17" s="225" t="n">
        <v>2038</v>
      </c>
      <c r="AD17" s="226" t="n">
        <v>185065</v>
      </c>
      <c r="AE17" s="226" t="n">
        <v>59982</v>
      </c>
      <c r="AF17" s="226" t="n">
        <v>60626</v>
      </c>
      <c r="AG17" s="226" t="n">
        <v>33622</v>
      </c>
      <c r="AH17" s="226" t="n">
        <v>0</v>
      </c>
      <c r="AI17" s="226" t="n">
        <v>21781</v>
      </c>
      <c r="AJ17" s="226" t="n">
        <v>501</v>
      </c>
      <c r="AK17" s="226" t="n">
        <v>0</v>
      </c>
      <c r="AL17" s="226" t="n">
        <v>0</v>
      </c>
      <c r="AM17" s="226" t="n">
        <v>0</v>
      </c>
      <c r="AN17" s="227" t="n">
        <v>361577</v>
      </c>
      <c r="AQ17" s="225" t="n">
        <v>2038</v>
      </c>
      <c r="AR17" s="226" t="n">
        <v>3733776.865605852</v>
      </c>
      <c r="AS17" s="226" t="n">
        <v>4427856.100759214</v>
      </c>
      <c r="AT17" s="226" t="n">
        <v>6429597.107976221</v>
      </c>
      <c r="AU17" s="226" t="n">
        <v>8042589.090792896</v>
      </c>
      <c r="AV17" s="226" t="n">
        <v>10081977.00077764</v>
      </c>
    </row>
    <row r="18">
      <c r="A18" s="228" t="n">
        <v>2039</v>
      </c>
      <c r="B18" s="229" t="n">
        <v>1193388</v>
      </c>
      <c r="C18" s="229" t="n">
        <v>0</v>
      </c>
      <c r="D18" s="229" t="n">
        <v>2657139</v>
      </c>
      <c r="E18" s="229" t="n">
        <v>0</v>
      </c>
      <c r="F18" s="229" t="n">
        <v>17965</v>
      </c>
      <c r="G18" s="229" t="n">
        <v>1986030</v>
      </c>
      <c r="H18" s="229" t="n">
        <v>20000</v>
      </c>
      <c r="I18" s="230" t="n">
        <v>5874522</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16948</v>
      </c>
      <c r="X18" s="229" t="n">
        <v>109195</v>
      </c>
      <c r="Y18" s="229" t="n">
        <v>0</v>
      </c>
      <c r="Z18" s="229" t="n">
        <v>0</v>
      </c>
      <c r="AA18" s="230" t="n">
        <v>346529</v>
      </c>
      <c r="AC18" s="228" t="n">
        <v>2039</v>
      </c>
      <c r="AD18" s="229" t="n">
        <v>189691</v>
      </c>
      <c r="AE18" s="229" t="n">
        <v>61482</v>
      </c>
      <c r="AF18" s="229" t="n">
        <v>63754</v>
      </c>
      <c r="AG18" s="229" t="n">
        <v>34463</v>
      </c>
      <c r="AH18" s="229" t="n">
        <v>0</v>
      </c>
      <c r="AI18" s="229" t="n">
        <v>21454</v>
      </c>
      <c r="AJ18" s="229" t="n">
        <v>498</v>
      </c>
      <c r="AK18" s="229" t="n">
        <v>0</v>
      </c>
      <c r="AL18" s="229" t="n">
        <v>0</v>
      </c>
      <c r="AM18" s="229" t="n">
        <v>0</v>
      </c>
      <c r="AN18" s="230" t="n">
        <v>371342</v>
      </c>
      <c r="AQ18" s="228" t="n">
        <v>2039</v>
      </c>
      <c r="AR18" s="229" t="n">
        <v>3635298.146580021</v>
      </c>
      <c r="AS18" s="229" t="n">
        <v>4330405.930397069</v>
      </c>
      <c r="AT18" s="229" t="n">
        <v>6210689.592581863</v>
      </c>
      <c r="AU18" s="229" t="n">
        <v>8238962.504718218</v>
      </c>
      <c r="AV18" s="229" t="n">
        <v>10604052.75953129</v>
      </c>
    </row>
    <row r="19">
      <c r="A19" s="225" t="n">
        <v>2040</v>
      </c>
      <c r="B19" s="226" t="n">
        <v>1137801</v>
      </c>
      <c r="C19" s="226" t="n">
        <v>0</v>
      </c>
      <c r="D19" s="226" t="n">
        <v>2692867</v>
      </c>
      <c r="E19" s="226" t="n">
        <v>0</v>
      </c>
      <c r="F19" s="226" t="n">
        <v>0</v>
      </c>
      <c r="G19" s="226" t="n">
        <v>2045611</v>
      </c>
      <c r="H19" s="226" t="n">
        <v>20000</v>
      </c>
      <c r="I19" s="227" t="n">
        <v>5896279</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17965</v>
      </c>
      <c r="X19" s="226" t="n">
        <v>116698</v>
      </c>
      <c r="Y19" s="226" t="n">
        <v>0</v>
      </c>
      <c r="Z19" s="226" t="n">
        <v>0</v>
      </c>
      <c r="AA19" s="227" t="n">
        <v>356038</v>
      </c>
      <c r="AC19" s="225" t="n">
        <v>2040</v>
      </c>
      <c r="AD19" s="226" t="n">
        <v>194434</v>
      </c>
      <c r="AE19" s="226" t="n">
        <v>63019</v>
      </c>
      <c r="AF19" s="226" t="n">
        <v>67051</v>
      </c>
      <c r="AG19" s="226" t="n">
        <v>35324</v>
      </c>
      <c r="AH19" s="226" t="n">
        <v>0</v>
      </c>
      <c r="AI19" s="226" t="n">
        <v>21148</v>
      </c>
      <c r="AJ19" s="226" t="n">
        <v>495</v>
      </c>
      <c r="AK19" s="226" t="n">
        <v>0</v>
      </c>
      <c r="AL19" s="226" t="n">
        <v>0</v>
      </c>
      <c r="AM19" s="226" t="n">
        <v>0</v>
      </c>
      <c r="AN19" s="227" t="n">
        <v>381471</v>
      </c>
      <c r="AQ19" s="225" t="n">
        <v>2040</v>
      </c>
      <c r="AR19" s="226" t="n">
        <v>3495294.53719588</v>
      </c>
      <c r="AS19" s="226" t="n">
        <v>4186490.34487535</v>
      </c>
      <c r="AT19" s="226" t="n">
        <v>6143520.535386823</v>
      </c>
      <c r="AU19" s="226" t="n">
        <v>8645380.794221191</v>
      </c>
      <c r="AV19" s="226" t="n">
        <v>10606072.89014849</v>
      </c>
    </row>
    <row r="20">
      <c r="A20" s="228" t="n">
        <v>2041</v>
      </c>
      <c r="B20" s="229" t="n">
        <v>1079958</v>
      </c>
      <c r="C20" s="229" t="n">
        <v>0</v>
      </c>
      <c r="D20" s="229" t="n">
        <v>2707582</v>
      </c>
      <c r="E20" s="229" t="n">
        <v>0</v>
      </c>
      <c r="F20" s="229" t="n">
        <v>0</v>
      </c>
      <c r="G20" s="229" t="n">
        <v>2106980</v>
      </c>
      <c r="H20" s="229" t="n">
        <v>20000</v>
      </c>
      <c r="I20" s="230" t="n">
        <v>5914520</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138545</v>
      </c>
      <c r="Y20" s="229" t="n">
        <v>0</v>
      </c>
      <c r="Z20" s="229" t="n">
        <v>0</v>
      </c>
      <c r="AA20" s="230" t="n">
        <v>361046</v>
      </c>
      <c r="AC20" s="228" t="n">
        <v>2041</v>
      </c>
      <c r="AD20" s="229" t="n">
        <v>194434</v>
      </c>
      <c r="AE20" s="229" t="n">
        <v>64594</v>
      </c>
      <c r="AF20" s="229" t="n">
        <v>70527</v>
      </c>
      <c r="AG20" s="229" t="n">
        <v>36207</v>
      </c>
      <c r="AH20" s="229" t="n">
        <v>0</v>
      </c>
      <c r="AI20" s="229" t="n">
        <v>20862</v>
      </c>
      <c r="AJ20" s="229" t="n">
        <v>492</v>
      </c>
      <c r="AK20" s="229" t="n">
        <v>0</v>
      </c>
      <c r="AL20" s="229" t="n">
        <v>0</v>
      </c>
      <c r="AM20" s="229" t="n">
        <v>0</v>
      </c>
      <c r="AN20" s="230" t="n">
        <v>387116</v>
      </c>
      <c r="AQ20" s="228" t="n">
        <v>2041</v>
      </c>
      <c r="AR20" s="229" t="n">
        <v>3369428.863455391</v>
      </c>
      <c r="AS20" s="229" t="n">
        <v>4050466.081937243</v>
      </c>
      <c r="AT20" s="229" t="n">
        <v>6003118.4082635</v>
      </c>
      <c r="AU20" s="229" t="n">
        <v>9184970.297962118</v>
      </c>
      <c r="AV20" s="229" t="n">
        <v>11583483.09987406</v>
      </c>
    </row>
    <row r="21">
      <c r="A21" s="225" t="n">
        <v>2042</v>
      </c>
      <c r="B21" s="226" t="n">
        <v>1019621</v>
      </c>
      <c r="C21" s="226" t="n">
        <v>0</v>
      </c>
      <c r="D21" s="226" t="n">
        <v>2718938</v>
      </c>
      <c r="E21" s="226" t="n">
        <v>0</v>
      </c>
      <c r="F21" s="226" t="n">
        <v>0</v>
      </c>
      <c r="G21" s="226" t="n">
        <v>2170189</v>
      </c>
      <c r="H21" s="226" t="n">
        <v>20000</v>
      </c>
      <c r="I21" s="227" t="n">
        <v>5928748</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142546</v>
      </c>
      <c r="Y21" s="226" t="n">
        <v>0</v>
      </c>
      <c r="Z21" s="226" t="n">
        <v>0</v>
      </c>
      <c r="AA21" s="227" t="n">
        <v>366308</v>
      </c>
      <c r="AC21" s="225" t="n">
        <v>2042</v>
      </c>
      <c r="AD21" s="226" t="n">
        <v>194434</v>
      </c>
      <c r="AE21" s="226" t="n">
        <v>66209</v>
      </c>
      <c r="AF21" s="226" t="n">
        <v>74191</v>
      </c>
      <c r="AG21" s="226" t="n">
        <v>37113</v>
      </c>
      <c r="AH21" s="226" t="n">
        <v>0</v>
      </c>
      <c r="AI21" s="226" t="n">
        <v>20593</v>
      </c>
      <c r="AJ21" s="226" t="n">
        <v>489</v>
      </c>
      <c r="AK21" s="226" t="n">
        <v>0</v>
      </c>
      <c r="AL21" s="226" t="n">
        <v>0</v>
      </c>
      <c r="AM21" s="226" t="n">
        <v>0</v>
      </c>
      <c r="AN21" s="227" t="n">
        <v>393029</v>
      </c>
      <c r="AQ21" s="225" t="n">
        <v>2042</v>
      </c>
      <c r="AR21" s="226" t="n">
        <v>3217622.658387282</v>
      </c>
      <c r="AS21" s="226" t="n">
        <v>3863734.36880001</v>
      </c>
      <c r="AT21" s="226" t="n">
        <v>6226145.152066028</v>
      </c>
      <c r="AU21" s="226" t="n">
        <v>8700061.154662602</v>
      </c>
      <c r="AV21" s="226" t="n">
        <v>11489563.78946292</v>
      </c>
    </row>
    <row r="22">
      <c r="A22" s="228" t="n">
        <v>2043</v>
      </c>
      <c r="B22" s="229" t="n">
        <v>956542</v>
      </c>
      <c r="C22" s="229" t="n">
        <v>0</v>
      </c>
      <c r="D22" s="229" t="n">
        <v>2726591</v>
      </c>
      <c r="E22" s="229" t="n">
        <v>0</v>
      </c>
      <c r="F22" s="229" t="n">
        <v>0</v>
      </c>
      <c r="G22" s="229" t="n">
        <v>2235295</v>
      </c>
      <c r="H22" s="229" t="n">
        <v>20000</v>
      </c>
      <c r="I22" s="230" t="n">
        <v>5938428</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146682</v>
      </c>
      <c r="Y22" s="229" t="n">
        <v>0</v>
      </c>
      <c r="Z22" s="229" t="n">
        <v>0</v>
      </c>
      <c r="AA22" s="230" t="n">
        <v>371832</v>
      </c>
      <c r="AC22" s="228" t="n">
        <v>2043</v>
      </c>
      <c r="AD22" s="229" t="n">
        <v>194434</v>
      </c>
      <c r="AE22" s="229" t="n">
        <v>67864</v>
      </c>
      <c r="AF22" s="229" t="n">
        <v>78054</v>
      </c>
      <c r="AG22" s="229" t="n">
        <v>38040</v>
      </c>
      <c r="AH22" s="229" t="n">
        <v>0</v>
      </c>
      <c r="AI22" s="229" t="n">
        <v>20342</v>
      </c>
      <c r="AJ22" s="229" t="n">
        <v>487</v>
      </c>
      <c r="AK22" s="229" t="n">
        <v>0</v>
      </c>
      <c r="AL22" s="229" t="n">
        <v>0</v>
      </c>
      <c r="AM22" s="229" t="n">
        <v>0</v>
      </c>
      <c r="AN22" s="230" t="n">
        <v>399221</v>
      </c>
      <c r="AQ22" s="228" t="n">
        <v>2043</v>
      </c>
      <c r="AR22" s="229" t="n">
        <v>3211836.265508729</v>
      </c>
      <c r="AS22" s="229" t="n">
        <v>3712214.691710276</v>
      </c>
      <c r="AT22" s="229" t="n">
        <v>6189884.278803982</v>
      </c>
      <c r="AU22" s="229" t="n">
        <v>9188842.191682657</v>
      </c>
      <c r="AV22" s="229" t="n">
        <v>10789261.86362663</v>
      </c>
    </row>
    <row r="23">
      <c r="A23" s="225" t="n">
        <v>2044</v>
      </c>
      <c r="B23" s="226" t="n">
        <v>890464</v>
      </c>
      <c r="C23" s="226" t="n">
        <v>0</v>
      </c>
      <c r="D23" s="226" t="n">
        <v>2730161</v>
      </c>
      <c r="E23" s="226" t="n">
        <v>0</v>
      </c>
      <c r="F23" s="226" t="n">
        <v>0</v>
      </c>
      <c r="G23" s="226" t="n">
        <v>2302353</v>
      </c>
      <c r="H23" s="226" t="n">
        <v>20000</v>
      </c>
      <c r="I23" s="227" t="n">
        <v>5942978</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150968</v>
      </c>
      <c r="Y23" s="226" t="n">
        <v>0</v>
      </c>
      <c r="Z23" s="226" t="n">
        <v>0</v>
      </c>
      <c r="AA23" s="227" t="n">
        <v>377630</v>
      </c>
      <c r="AC23" s="225" t="n">
        <v>2044</v>
      </c>
      <c r="AD23" s="226" t="n">
        <v>194434</v>
      </c>
      <c r="AE23" s="226" t="n">
        <v>69561</v>
      </c>
      <c r="AF23" s="226" t="n">
        <v>82127</v>
      </c>
      <c r="AG23" s="226" t="n">
        <v>38991</v>
      </c>
      <c r="AH23" s="226" t="n">
        <v>0</v>
      </c>
      <c r="AI23" s="226" t="n">
        <v>20107</v>
      </c>
      <c r="AJ23" s="226" t="n">
        <v>485</v>
      </c>
      <c r="AK23" s="226" t="n">
        <v>0</v>
      </c>
      <c r="AL23" s="226" t="n">
        <v>0</v>
      </c>
      <c r="AM23" s="226" t="n">
        <v>0</v>
      </c>
      <c r="AN23" s="227" t="n">
        <v>405705</v>
      </c>
      <c r="AQ23" s="225" t="n">
        <v>2044</v>
      </c>
      <c r="AR23" s="226" t="n">
        <v>3212817.191660102</v>
      </c>
      <c r="AS23" s="226" t="n">
        <v>3570974.032183901</v>
      </c>
      <c r="AT23" s="226" t="n">
        <v>6505145.679501852</v>
      </c>
      <c r="AU23" s="226" t="n">
        <v>8513529.01513751</v>
      </c>
      <c r="AV23" s="226" t="n">
        <v>10898176.89020435</v>
      </c>
    </row>
    <row r="24">
      <c r="A24" s="228" t="n">
        <v>2045</v>
      </c>
      <c r="B24" s="229" t="n">
        <v>821122</v>
      </c>
      <c r="C24" s="229" t="n">
        <v>0</v>
      </c>
      <c r="D24" s="229" t="n">
        <v>2729225</v>
      </c>
      <c r="E24" s="229" t="n">
        <v>0</v>
      </c>
      <c r="F24" s="229" t="n">
        <v>0</v>
      </c>
      <c r="G24" s="229" t="n">
        <v>2371424</v>
      </c>
      <c r="H24" s="229" t="n">
        <v>20000</v>
      </c>
      <c r="I24" s="230" t="n">
        <v>5941771</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155420</v>
      </c>
      <c r="Y24" s="229" t="n">
        <v>0</v>
      </c>
      <c r="Z24" s="229" t="n">
        <v>0</v>
      </c>
      <c r="AA24" s="230" t="n">
        <v>383714</v>
      </c>
      <c r="AC24" s="228" t="n">
        <v>2045</v>
      </c>
      <c r="AD24" s="229" t="n">
        <v>194434</v>
      </c>
      <c r="AE24" s="229" t="n">
        <v>71300</v>
      </c>
      <c r="AF24" s="229" t="n">
        <v>86422</v>
      </c>
      <c r="AG24" s="229" t="n">
        <v>39966</v>
      </c>
      <c r="AH24" s="229" t="n">
        <v>0</v>
      </c>
      <c r="AI24" s="229" t="n">
        <v>19886</v>
      </c>
      <c r="AJ24" s="229" t="n">
        <v>483</v>
      </c>
      <c r="AK24" s="229" t="n">
        <v>0</v>
      </c>
      <c r="AL24" s="229" t="n">
        <v>0</v>
      </c>
      <c r="AM24" s="229" t="n">
        <v>0</v>
      </c>
      <c r="AN24" s="230" t="n">
        <v>412491</v>
      </c>
      <c r="AQ24" s="228" t="n">
        <v>2045</v>
      </c>
      <c r="AR24" s="229" t="n">
        <v>3212545.80921576</v>
      </c>
      <c r="AS24" s="229" t="n">
        <v>3384473.936204595</v>
      </c>
      <c r="AT24" s="229" t="n">
        <v>6380911.428787029</v>
      </c>
      <c r="AU24" s="229" t="n">
        <v>8641545.40082361</v>
      </c>
      <c r="AV24" s="229" t="n">
        <v>10626935.11974154</v>
      </c>
    </row>
    <row r="25">
      <c r="A25" s="225" t="n">
        <v>2046</v>
      </c>
      <c r="B25" s="226" t="n">
        <v>748240</v>
      </c>
      <c r="C25" s="226" t="n">
        <v>0</v>
      </c>
      <c r="D25" s="226" t="n">
        <v>2766745</v>
      </c>
      <c r="E25" s="226" t="n">
        <v>0</v>
      </c>
      <c r="F25" s="226" t="n">
        <v>0</v>
      </c>
      <c r="G25" s="226" t="n">
        <v>2442567</v>
      </c>
      <c r="H25" s="226" t="n">
        <v>20000</v>
      </c>
      <c r="I25" s="227" t="n">
        <v>5977552</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119088</v>
      </c>
      <c r="Y25" s="226" t="n">
        <v>0</v>
      </c>
      <c r="Z25" s="226" t="n">
        <v>0</v>
      </c>
      <c r="AA25" s="227" t="n">
        <v>349130</v>
      </c>
      <c r="AC25" s="225" t="n">
        <v>2046</v>
      </c>
      <c r="AD25" s="226" t="n">
        <v>194434</v>
      </c>
      <c r="AE25" s="226" t="n">
        <v>73082</v>
      </c>
      <c r="AF25" s="226" t="n">
        <v>90949</v>
      </c>
      <c r="AG25" s="226" t="n">
        <v>0</v>
      </c>
      <c r="AH25" s="226" t="n">
        <v>0</v>
      </c>
      <c r="AI25" s="226" t="n">
        <v>19678</v>
      </c>
      <c r="AJ25" s="226" t="n">
        <v>482</v>
      </c>
      <c r="AK25" s="226" t="n">
        <v>0</v>
      </c>
      <c r="AL25" s="226" t="n">
        <v>0</v>
      </c>
      <c r="AM25" s="226" t="n">
        <v>0</v>
      </c>
      <c r="AN25" s="227" t="n">
        <v>378625</v>
      </c>
      <c r="AQ25" s="225" t="n">
        <v>2046</v>
      </c>
      <c r="AR25" s="226" t="n">
        <v>3210806.515456209</v>
      </c>
      <c r="AS25" s="226" t="n">
        <v>3253145.920618621</v>
      </c>
      <c r="AT25" s="226" t="n">
        <v>6699577.794290362</v>
      </c>
      <c r="AU25" s="226" t="n">
        <v>8867945.294657564</v>
      </c>
      <c r="AV25" s="226" t="n">
        <v>11504509.48588355</v>
      </c>
    </row>
    <row r="26">
      <c r="A26" s="228" t="n">
        <v>2047</v>
      </c>
      <c r="B26" s="229" t="n">
        <v>671530</v>
      </c>
      <c r="C26" s="229" t="n">
        <v>0</v>
      </c>
      <c r="D26" s="229" t="n">
        <v>2794191</v>
      </c>
      <c r="E26" s="229" t="n">
        <v>0</v>
      </c>
      <c r="F26" s="229" t="n">
        <v>0</v>
      </c>
      <c r="G26" s="229" t="n">
        <v>2515844</v>
      </c>
      <c r="H26" s="229" t="n">
        <v>20000</v>
      </c>
      <c r="I26" s="230" t="n">
        <v>6001565</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130716</v>
      </c>
      <c r="Y26" s="229" t="n">
        <v>0</v>
      </c>
      <c r="Z26" s="229" t="n">
        <v>0</v>
      </c>
      <c r="AA26" s="230" t="n">
        <v>352616</v>
      </c>
      <c r="AC26" s="228" t="n">
        <v>2047</v>
      </c>
      <c r="AD26" s="229" t="n">
        <v>194434</v>
      </c>
      <c r="AE26" s="229" t="n">
        <v>74909</v>
      </c>
      <c r="AF26" s="229" t="n">
        <v>95723</v>
      </c>
      <c r="AG26" s="229" t="n">
        <v>0</v>
      </c>
      <c r="AH26" s="229" t="n">
        <v>0</v>
      </c>
      <c r="AI26" s="229" t="n">
        <v>17336</v>
      </c>
      <c r="AJ26" s="229" t="n">
        <v>447</v>
      </c>
      <c r="AK26" s="229" t="n">
        <v>0</v>
      </c>
      <c r="AL26" s="229" t="n">
        <v>0</v>
      </c>
      <c r="AM26" s="229" t="n">
        <v>0</v>
      </c>
      <c r="AN26" s="230" t="n">
        <v>382849</v>
      </c>
      <c r="AQ26" s="228" t="n">
        <v>2047</v>
      </c>
      <c r="AR26" s="229" t="n">
        <v>3207374.248848518</v>
      </c>
      <c r="AS26" s="229" t="n">
        <v>3207374.248848518</v>
      </c>
      <c r="AT26" s="229" t="n">
        <v>6784835.994966306</v>
      </c>
      <c r="AU26" s="229" t="n">
        <v>9761710.198544532</v>
      </c>
      <c r="AV26" s="229" t="n">
        <v>12290094.81527397</v>
      </c>
    </row>
    <row r="27">
      <c r="A27" s="225" t="n">
        <v>2048</v>
      </c>
      <c r="B27" s="226" t="n">
        <v>601293</v>
      </c>
      <c r="C27" s="226" t="n">
        <v>0</v>
      </c>
      <c r="D27" s="226" t="n">
        <v>2799065</v>
      </c>
      <c r="E27" s="226" t="n">
        <v>0</v>
      </c>
      <c r="F27" s="226" t="n">
        <v>0</v>
      </c>
      <c r="G27" s="226" t="n">
        <v>2591319</v>
      </c>
      <c r="H27" s="226" t="n">
        <v>20000</v>
      </c>
      <c r="I27" s="227" t="n">
        <v>6011677</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153564</v>
      </c>
      <c r="Y27" s="226" t="n">
        <v>0</v>
      </c>
      <c r="Z27" s="226" t="n">
        <v>0</v>
      </c>
      <c r="AA27" s="227" t="n">
        <v>354045</v>
      </c>
      <c r="AC27" s="225" t="n">
        <v>2048</v>
      </c>
      <c r="AD27" s="226" t="n">
        <v>194434</v>
      </c>
      <c r="AE27" s="226" t="n">
        <v>76782</v>
      </c>
      <c r="AF27" s="226" t="n">
        <v>100757</v>
      </c>
      <c r="AG27" s="226" t="n">
        <v>0</v>
      </c>
      <c r="AH27" s="226" t="n">
        <v>0</v>
      </c>
      <c r="AI27" s="226" t="n">
        <v>12683</v>
      </c>
      <c r="AJ27" s="226" t="n">
        <v>377</v>
      </c>
      <c r="AK27" s="226" t="n">
        <v>0</v>
      </c>
      <c r="AL27" s="226" t="n">
        <v>0</v>
      </c>
      <c r="AM27" s="226" t="n">
        <v>0</v>
      </c>
      <c r="AN27" s="227" t="n">
        <v>385033</v>
      </c>
      <c r="AQ27" s="225" t="n">
        <v>2048</v>
      </c>
      <c r="AR27" s="226" t="n">
        <v>3212612.162531917</v>
      </c>
      <c r="AS27" s="226" t="n">
        <v>3212612.162531917</v>
      </c>
      <c r="AT27" s="226" t="n">
        <v>7038615.314622616</v>
      </c>
      <c r="AU27" s="226" t="n">
        <v>10656651.31861095</v>
      </c>
      <c r="AV27" s="226" t="n">
        <v>12555360.1566672</v>
      </c>
    </row>
    <row r="28">
      <c r="A28" s="228" t="n">
        <v>2049</v>
      </c>
      <c r="B28" s="229" t="n">
        <v>552040</v>
      </c>
      <c r="C28" s="229" t="n">
        <v>0</v>
      </c>
      <c r="D28" s="229" t="n">
        <v>2800803</v>
      </c>
      <c r="E28" s="229" t="n">
        <v>0</v>
      </c>
      <c r="F28" s="229" t="n">
        <v>0</v>
      </c>
      <c r="G28" s="229" t="n">
        <v>2669059</v>
      </c>
      <c r="H28" s="229" t="n">
        <v>20000</v>
      </c>
      <c r="I28" s="230" t="n">
        <v>6041902</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156798</v>
      </c>
      <c r="Y28" s="229" t="n">
        <v>0</v>
      </c>
      <c r="Z28" s="229" t="n">
        <v>0</v>
      </c>
      <c r="AA28" s="230" t="n">
        <v>360705</v>
      </c>
      <c r="AC28" s="228" t="n">
        <v>2049</v>
      </c>
      <c r="AD28" s="229" t="n">
        <v>194434</v>
      </c>
      <c r="AE28" s="229" t="n">
        <v>78702</v>
      </c>
      <c r="AF28" s="229" t="n">
        <v>106064</v>
      </c>
      <c r="AG28" s="229" t="n">
        <v>0</v>
      </c>
      <c r="AH28" s="229" t="n">
        <v>0</v>
      </c>
      <c r="AI28" s="229" t="n">
        <v>12888</v>
      </c>
      <c r="AJ28" s="229" t="n">
        <v>380</v>
      </c>
      <c r="AK28" s="229" t="n">
        <v>0</v>
      </c>
      <c r="AL28" s="229" t="n">
        <v>0</v>
      </c>
      <c r="AM28" s="229" t="n">
        <v>0</v>
      </c>
      <c r="AN28" s="230" t="n">
        <v>392468</v>
      </c>
      <c r="AQ28" s="228" t="n">
        <v>2049</v>
      </c>
      <c r="AR28" s="229" t="n">
        <v>3241098.995544306</v>
      </c>
      <c r="AS28" s="229" t="n">
        <v>3241098.995544306</v>
      </c>
      <c r="AT28" s="229" t="n">
        <v>7563029.644284456</v>
      </c>
      <c r="AU28" s="229" t="n">
        <v>11110140.15244435</v>
      </c>
      <c r="AV28" s="229" t="n">
        <v>13754409.55736396</v>
      </c>
    </row>
    <row r="29">
      <c r="A29" s="225" t="n">
        <v>2050</v>
      </c>
      <c r="B29" s="226" t="n">
        <v>498744</v>
      </c>
      <c r="C29" s="226" t="n">
        <v>0</v>
      </c>
      <c r="D29" s="226" t="n">
        <v>2798943</v>
      </c>
      <c r="E29" s="226" t="n">
        <v>0</v>
      </c>
      <c r="F29" s="226" t="n">
        <v>0</v>
      </c>
      <c r="G29" s="226" t="n">
        <v>2749130</v>
      </c>
      <c r="H29" s="226" t="n">
        <v>20000</v>
      </c>
      <c r="I29" s="227" t="n">
        <v>6066817</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160290</v>
      </c>
      <c r="Y29" s="226" t="n">
        <v>0</v>
      </c>
      <c r="Z29" s="226" t="n">
        <v>0</v>
      </c>
      <c r="AA29" s="227" t="n">
        <v>367686</v>
      </c>
      <c r="AC29" s="225" t="n">
        <v>2050</v>
      </c>
      <c r="AD29" s="226" t="n">
        <v>194434</v>
      </c>
      <c r="AE29" s="226" t="n">
        <v>80669</v>
      </c>
      <c r="AF29" s="226" t="n">
        <v>111661</v>
      </c>
      <c r="AG29" s="226" t="n">
        <v>0</v>
      </c>
      <c r="AH29" s="226" t="n">
        <v>0</v>
      </c>
      <c r="AI29" s="226" t="n">
        <v>13096</v>
      </c>
      <c r="AJ29" s="226" t="n">
        <v>383</v>
      </c>
      <c r="AK29" s="226" t="n">
        <v>0</v>
      </c>
      <c r="AL29" s="226" t="n">
        <v>0</v>
      </c>
      <c r="AM29" s="226" t="n">
        <v>0</v>
      </c>
      <c r="AN29" s="227" t="n">
        <v>400243</v>
      </c>
      <c r="AQ29" s="225" t="n">
        <v>2050</v>
      </c>
      <c r="AR29" s="226" t="n">
        <v>3267874.435484978</v>
      </c>
      <c r="AS29" s="226" t="n">
        <v>3267874.435484978</v>
      </c>
      <c r="AT29" s="226" t="n">
        <v>7886971.754404115</v>
      </c>
      <c r="AU29" s="226" t="n">
        <v>11572623.22205474</v>
      </c>
      <c r="AV29" s="226" t="n">
        <v>12844566.09321594</v>
      </c>
    </row>
    <row r="30">
      <c r="A30" s="228" t="n">
        <v>2051</v>
      </c>
      <c r="B30" s="229" t="n">
        <v>441146</v>
      </c>
      <c r="C30" s="229" t="n">
        <v>0</v>
      </c>
      <c r="D30" s="229" t="n">
        <v>2792979</v>
      </c>
      <c r="E30" s="229" t="n">
        <v>0</v>
      </c>
      <c r="F30" s="229" t="n">
        <v>0</v>
      </c>
      <c r="G30" s="229" t="n">
        <v>2831604</v>
      </c>
      <c r="H30" s="229" t="n">
        <v>20000</v>
      </c>
      <c r="I30" s="230" t="n">
        <v>6085729</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164058</v>
      </c>
      <c r="Y30" s="229" t="n">
        <v>0</v>
      </c>
      <c r="Z30" s="229" t="n">
        <v>0</v>
      </c>
      <c r="AA30" s="230" t="n">
        <v>375005</v>
      </c>
      <c r="AC30" s="228" t="n">
        <v>2051</v>
      </c>
      <c r="AD30" s="229" t="n">
        <v>194434</v>
      </c>
      <c r="AE30" s="229" t="n">
        <v>82686</v>
      </c>
      <c r="AF30" s="229" t="n">
        <v>117562</v>
      </c>
      <c r="AG30" s="229" t="n">
        <v>0</v>
      </c>
      <c r="AH30" s="229" t="n">
        <v>0</v>
      </c>
      <c r="AI30" s="229" t="n">
        <v>13307</v>
      </c>
      <c r="AJ30" s="229" t="n">
        <v>387</v>
      </c>
      <c r="AK30" s="229" t="n">
        <v>0</v>
      </c>
      <c r="AL30" s="229" t="n">
        <v>0</v>
      </c>
      <c r="AM30" s="229" t="n">
        <v>0</v>
      </c>
      <c r="AN30" s="230" t="n">
        <v>408376</v>
      </c>
      <c r="AQ30" s="228" t="n">
        <v>2051</v>
      </c>
      <c r="AR30" s="229" t="n">
        <v>3292749.91110467</v>
      </c>
      <c r="AS30" s="229" t="n">
        <v>3292749.91110467</v>
      </c>
      <c r="AT30" s="229" t="n">
        <v>7924421.538844816</v>
      </c>
      <c r="AU30" s="229" t="n">
        <v>12126127.78311187</v>
      </c>
      <c r="AV30" s="229" t="n">
        <v>13284173.5915555</v>
      </c>
    </row>
    <row r="31">
      <c r="A31" s="225" t="n">
        <v>2052</v>
      </c>
      <c r="B31" s="226" t="n">
        <v>378974</v>
      </c>
      <c r="C31" s="226" t="n">
        <v>0</v>
      </c>
      <c r="D31" s="226" t="n">
        <v>2782378</v>
      </c>
      <c r="E31" s="226" t="n">
        <v>0</v>
      </c>
      <c r="F31" s="226" t="n">
        <v>0</v>
      </c>
      <c r="G31" s="226" t="n">
        <v>2916552</v>
      </c>
      <c r="H31" s="226" t="n">
        <v>20000</v>
      </c>
      <c r="I31" s="227" t="n">
        <v>6097904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168094</v>
      </c>
      <c r="Y31" s="226" t="n">
        <v>0</v>
      </c>
      <c r="Z31" s="226" t="n">
        <v>0</v>
      </c>
      <c r="AA31" s="227" t="n">
        <v>382683</v>
      </c>
      <c r="AC31" s="225" t="n">
        <v>2052</v>
      </c>
      <c r="AD31" s="226" t="n">
        <v>194434</v>
      </c>
      <c r="AE31" s="226" t="n">
        <v>84753</v>
      </c>
      <c r="AF31" s="226" t="n">
        <v>123785</v>
      </c>
      <c r="AG31" s="226" t="n">
        <v>0</v>
      </c>
      <c r="AH31" s="226" t="n">
        <v>0</v>
      </c>
      <c r="AI31" s="226" t="n">
        <v>13527</v>
      </c>
      <c r="AJ31" s="226" t="n">
        <v>390</v>
      </c>
      <c r="AK31" s="226" t="n">
        <v>0</v>
      </c>
      <c r="AL31" s="226" t="n">
        <v>0</v>
      </c>
      <c r="AM31" s="226" t="n">
        <v>0</v>
      </c>
      <c r="AN31" s="227" t="n">
        <v>416889</v>
      </c>
      <c r="AQ31" s="225" t="n">
        <v>2052</v>
      </c>
      <c r="AR31" s="226" t="n">
        <v>3315526.45314006</v>
      </c>
      <c r="AS31" s="226" t="n">
        <v>3315526.45314006</v>
      </c>
      <c r="AT31" s="226" t="n">
        <v>8091814.494667089</v>
      </c>
      <c r="AU31" s="226" t="n">
        <v>11639314.81729193</v>
      </c>
      <c r="AV31" s="226" t="n">
        <v>13302195.31053557</v>
      </c>
    </row>
    <row r="32">
      <c r="A32" s="228" t="n">
        <v>2053</v>
      </c>
      <c r="B32" s="229" t="n">
        <v>311910</v>
      </c>
      <c r="C32" s="229" t="n">
        <v>0</v>
      </c>
      <c r="D32" s="229" t="n">
        <v>2766636</v>
      </c>
      <c r="E32" s="229" t="n">
        <v>0</v>
      </c>
      <c r="F32" s="229" t="n">
        <v>0</v>
      </c>
      <c r="G32" s="229" t="n">
        <v>3004049</v>
      </c>
      <c r="H32" s="229" t="n">
        <v>20000</v>
      </c>
      <c r="I32" s="230" t="n">
        <v>6102595</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172344</v>
      </c>
      <c r="Y32" s="229" t="n">
        <v>0</v>
      </c>
      <c r="Z32" s="229" t="n">
        <v>0</v>
      </c>
      <c r="AA32" s="230" t="n">
        <v>390760</v>
      </c>
      <c r="AC32" s="228" t="n">
        <v>2053</v>
      </c>
      <c r="AD32" s="229" t="n">
        <v>194434</v>
      </c>
      <c r="AE32" s="229" t="n">
        <v>86872</v>
      </c>
      <c r="AF32" s="229" t="n">
        <v>130347</v>
      </c>
      <c r="AG32" s="229" t="n">
        <v>0</v>
      </c>
      <c r="AH32" s="229" t="n">
        <v>0</v>
      </c>
      <c r="AI32" s="229" t="n">
        <v>13775</v>
      </c>
      <c r="AJ32" s="229" t="n">
        <v>393</v>
      </c>
      <c r="AK32" s="229" t="n">
        <v>0</v>
      </c>
      <c r="AL32" s="229" t="n">
        <v>0</v>
      </c>
      <c r="AM32" s="229" t="n">
        <v>0</v>
      </c>
      <c r="AN32" s="230" t="n">
        <v>425821</v>
      </c>
      <c r="AQ32" s="228" t="n">
        <v>2053</v>
      </c>
      <c r="AR32" s="229" t="n">
        <v>3335958.900418749</v>
      </c>
      <c r="AS32" s="229" t="n">
        <v>3335958.900418749</v>
      </c>
      <c r="AT32" s="229" t="n">
        <v>8081017.059831124</v>
      </c>
      <c r="AU32" s="229" t="n">
        <v>13568687.04204516</v>
      </c>
      <c r="AV32" s="229" t="n">
        <v>14109221.92493587</v>
      </c>
    </row>
    <row r="33">
      <c r="A33" s="225" t="n">
        <v>2054</v>
      </c>
      <c r="B33" s="226" t="n">
        <v>239518</v>
      </c>
      <c r="C33" s="226" t="n">
        <v>0</v>
      </c>
      <c r="D33" s="226" t="n">
        <v>2745209</v>
      </c>
      <c r="E33" s="226" t="n">
        <v>0</v>
      </c>
      <c r="F33" s="226" t="n">
        <v>0</v>
      </c>
      <c r="G33" s="226" t="n">
        <v>3094171</v>
      </c>
      <c r="H33" s="226" t="n">
        <v>0</v>
      </c>
      <c r="I33" s="227" t="n">
        <v>6078898</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176817</v>
      </c>
      <c r="Y33" s="226" t="n">
        <v>0</v>
      </c>
      <c r="Z33" s="226" t="n">
        <v>0</v>
      </c>
      <c r="AA33" s="227" t="n">
        <v>399260</v>
      </c>
      <c r="AC33" s="225" t="n">
        <v>2054</v>
      </c>
      <c r="AD33" s="226" t="n">
        <v>194434</v>
      </c>
      <c r="AE33" s="226" t="n">
        <v>89044</v>
      </c>
      <c r="AF33" s="226" t="n">
        <v>137267</v>
      </c>
      <c r="AG33" s="226" t="n">
        <v>0</v>
      </c>
      <c r="AH33" s="226" t="n">
        <v>0</v>
      </c>
      <c r="AI33" s="226" t="n">
        <v>14055</v>
      </c>
      <c r="AJ33" s="226" t="n">
        <v>398</v>
      </c>
      <c r="AK33" s="226" t="n">
        <v>0</v>
      </c>
      <c r="AL33" s="226" t="n">
        <v>0</v>
      </c>
      <c r="AM33" s="226" t="n">
        <v>0</v>
      </c>
      <c r="AN33" s="227" t="n">
        <v>435198</v>
      </c>
      <c r="AQ33" s="225" t="n">
        <v>2054</v>
      </c>
      <c r="AR33" s="226" t="n">
        <v>3354888.410047719</v>
      </c>
      <c r="AS33" s="226" t="n">
        <v>3354888.410047719</v>
      </c>
      <c r="AT33" s="226" t="n">
        <v>8339912.038521745</v>
      </c>
      <c r="AU33" s="226" t="n">
        <v>13913496.93922841</v>
      </c>
      <c r="AV33" s="226" t="n">
        <v>16445821.27465812</v>
      </c>
    </row>
    <row r="34">
      <c r="A34" s="228" t="n">
        <v>2055</v>
      </c>
      <c r="B34" s="229" t="n">
        <v>161323</v>
      </c>
      <c r="C34" s="229" t="n">
        <v>0</v>
      </c>
      <c r="D34" s="229" t="n">
        <v>2718434</v>
      </c>
      <c r="E34" s="229" t="n">
        <v>0</v>
      </c>
      <c r="F34" s="229" t="n">
        <v>0</v>
      </c>
      <c r="G34" s="229" t="n">
        <v>3186996</v>
      </c>
      <c r="H34" s="229" t="n">
        <v>0</v>
      </c>
      <c r="I34" s="230" t="n">
        <v>6066753</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180648</v>
      </c>
      <c r="Y34" s="229" t="n">
        <v>0</v>
      </c>
      <c r="Z34" s="229" t="n">
        <v>0</v>
      </c>
      <c r="AA34" s="230" t="n">
        <v>336377</v>
      </c>
      <c r="AC34" s="228" t="n">
        <v>2055</v>
      </c>
      <c r="AD34" s="229" t="n">
        <v>194434</v>
      </c>
      <c r="AE34" s="229" t="n">
        <v>91270</v>
      </c>
      <c r="AF34" s="229" t="n">
        <v>72282</v>
      </c>
      <c r="AG34" s="229" t="n">
        <v>0</v>
      </c>
      <c r="AH34" s="229" t="n">
        <v>0</v>
      </c>
      <c r="AI34" s="229" t="n">
        <v>14826</v>
      </c>
      <c r="AJ34" s="229" t="n">
        <v>402</v>
      </c>
      <c r="AK34" s="229" t="n">
        <v>0</v>
      </c>
      <c r="AL34" s="229" t="n">
        <v>0</v>
      </c>
      <c r="AM34" s="229" t="n">
        <v>0</v>
      </c>
      <c r="AN34" s="230" t="n">
        <v>373214</v>
      </c>
      <c r="AQ34" s="228" t="n">
        <v>2055</v>
      </c>
      <c r="AR34" s="229" t="n">
        <v>3370790.16580873</v>
      </c>
      <c r="AS34" s="229" t="n">
        <v>3370790.16580873</v>
      </c>
      <c r="AT34" s="229" t="n">
        <v>8303264.538126519</v>
      </c>
      <c r="AU34" s="229" t="n">
        <v>13209566.89456774</v>
      </c>
      <c r="AV34" s="229" t="n">
        <v>18033085.15066164</v>
      </c>
    </row>
    <row r="35">
      <c r="A35" s="225" t="n">
        <v>2056</v>
      </c>
      <c r="B35" s="226" t="n">
        <v>83848</v>
      </c>
      <c r="C35" s="226" t="n">
        <v>0</v>
      </c>
      <c r="D35" s="226" t="n">
        <v>2686230</v>
      </c>
      <c r="E35" s="226" t="n">
        <v>0</v>
      </c>
      <c r="F35" s="226" t="n">
        <v>0</v>
      </c>
      <c r="G35" s="226" t="n">
        <v>3282605</v>
      </c>
      <c r="H35" s="226" t="n">
        <v>0</v>
      </c>
      <c r="I35" s="227" t="n">
        <v>6052683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184254</v>
      </c>
      <c r="Y35" s="226" t="n">
        <v>0</v>
      </c>
      <c r="Z35" s="226" t="n">
        <v>0</v>
      </c>
      <c r="AA35" s="227" t="n">
        <v>341611</v>
      </c>
      <c r="AC35" s="225" t="n">
        <v>2056</v>
      </c>
      <c r="AD35" s="226" t="n">
        <v>194434</v>
      </c>
      <c r="AE35" s="226" t="n">
        <v>93552</v>
      </c>
      <c r="AF35" s="226" t="n">
        <v>76130</v>
      </c>
      <c r="AG35" s="226" t="n">
        <v>0</v>
      </c>
      <c r="AH35" s="226" t="n">
        <v>0</v>
      </c>
      <c r="AI35" s="226" t="n">
        <v>14845</v>
      </c>
      <c r="AJ35" s="226" t="n">
        <v>407</v>
      </c>
      <c r="AK35" s="226" t="n">
        <v>0</v>
      </c>
      <c r="AL35" s="226" t="n">
        <v>0</v>
      </c>
      <c r="AM35" s="226" t="n">
        <v>0</v>
      </c>
      <c r="AN35" s="227" t="n">
        <v>379368</v>
      </c>
      <c r="AQ35" s="225" t="n">
        <v>2056</v>
      </c>
      <c r="AR35" s="226" t="n">
        <v>3390274.137803574</v>
      </c>
      <c r="AS35" s="226" t="n">
        <v>3390274.137803574</v>
      </c>
      <c r="AT35" s="226" t="n">
        <v>8632099.416141002</v>
      </c>
      <c r="AU35" s="226" t="n">
        <v>13115857.94731595</v>
      </c>
      <c r="AV35" s="226" t="n">
        <v>20878721.8898881</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2026-07-03T12:08:24Z</dcterms:created>
  <dcterms:modified xmlns:dcterms="http://purl.org/dc/terms/" xmlns:xsi="http://www.w3.org/2001/XMLSchema-instance" xsi:type="dcterms:W3CDTF">2026-07-03T12:08:36Z</dcterms:modified>
</cp:coreProperties>
</file>