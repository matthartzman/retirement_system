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s" sheetId="1" state="visible" r:id="rId1"/>
    <sheet xmlns:r="http://schemas.openxmlformats.org/officeDocument/2006/relationships" name="1A. Executive Summary" sheetId="2" state="visible" r:id="rId2"/>
    <sheet xmlns:r="http://schemas.openxmlformats.org/officeDocument/2006/relationships" name="1B. Net Worth" sheetId="3" state="visible" r:id="rId3"/>
    <sheet xmlns:r="http://schemas.openxmlformats.org/officeDocument/2006/relationships" name="1C. Cash Flow" sheetId="4" state="visible" r:id="rId4"/>
    <sheet xmlns:r="http://schemas.openxmlformats.org/officeDocument/2006/relationships" name="1D. Balance Sheet" sheetId="5" state="visible" r:id="rId5"/>
    <sheet xmlns:r="http://schemas.openxmlformats.org/officeDocument/2006/relationships" name="1E. Charts" sheetId="6" state="visible" r:id="rId6"/>
    <sheet xmlns:r="http://schemas.openxmlformats.org/officeDocument/2006/relationships" name="1F. Lifetime Taxes" sheetId="7" state="visible" r:id="rId7"/>
    <sheet xmlns:r="http://schemas.openxmlformats.org/officeDocument/2006/relationships" name="1G. Core Spending" sheetId="8" state="visible" r:id="rId8"/>
    <sheet xmlns:r="http://schemas.openxmlformats.org/officeDocument/2006/relationships" name="1H. Spending Summary" sheetId="9" state="visible" r:id="rId9"/>
    <sheet xmlns:r="http://schemas.openxmlformats.org/officeDocument/2006/relationships" name="2. Optimizers" sheetId="10" state="visible" r:id="rId10"/>
    <sheet xmlns:r="http://schemas.openxmlformats.org/officeDocument/2006/relationships" name="2A. Roth Conversion" sheetId="11" state="visible" r:id="rId11"/>
    <sheet xmlns:r="http://schemas.openxmlformats.org/officeDocument/2006/relationships" name="2B. Asset Allocation" sheetId="12" state="visible" r:id="rId12"/>
    <sheet xmlns:r="http://schemas.openxmlformats.org/officeDocument/2006/relationships" name="2C. State Residency" sheetId="13" state="visible" r:id="rId13"/>
    <sheet xmlns:r="http://schemas.openxmlformats.org/officeDocument/2006/relationships" name="2D. Social Security" sheetId="14" state="visible" r:id="rId14"/>
    <sheet xmlns:r="http://schemas.openxmlformats.org/officeDocument/2006/relationships" name="2E. S-Corp vs LLC" sheetId="15" state="visible" r:id="rId15"/>
    <sheet xmlns:r="http://schemas.openxmlformats.org/officeDocument/2006/relationships" name="2F. Charitable Giving" sheetId="16" state="visible" r:id="rId16"/>
    <sheet xmlns:r="http://schemas.openxmlformats.org/officeDocument/2006/relationships" name="2G. Estate &amp; Legacy Planning" sheetId="17" state="visible" r:id="rId17"/>
    <sheet xmlns:r="http://schemas.openxmlformats.org/officeDocument/2006/relationships" name="2H. Planning Levers" sheetId="18" state="visible" r:id="rId18"/>
    <sheet xmlns:r="http://schemas.openxmlformats.org/officeDocument/2006/relationships" name="3. Risk &amp; Stress Tests" sheetId="19" state="visible" r:id="rId19"/>
    <sheet xmlns:r="http://schemas.openxmlformats.org/officeDocument/2006/relationships" name="3A. Monte Carlo" sheetId="20" state="visible" r:id="rId20"/>
    <sheet xmlns:r="http://schemas.openxmlformats.org/officeDocument/2006/relationships" name="3B. Survivor" sheetId="21" state="visible" r:id="rId21"/>
    <sheet xmlns:r="http://schemas.openxmlformats.org/officeDocument/2006/relationships" name="3C. LTC + Life Insurance" sheetId="22" state="visible" r:id="rId22"/>
    <sheet xmlns:r="http://schemas.openxmlformats.org/officeDocument/2006/relationships" name="4. System" sheetId="23" state="visible" r:id="rId23"/>
    <sheet xmlns:r="http://schemas.openxmlformats.org/officeDocument/2006/relationships" name="4A. Plan Data" sheetId="24" state="visible" r:id="rId24"/>
    <sheet xmlns:r="http://schemas.openxmlformats.org/officeDocument/2006/relationships" name="4B. Assumptions" sheetId="25" state="visible" r:id="rId25"/>
    <sheet xmlns:r="http://schemas.openxmlformats.org/officeDocument/2006/relationships" name="4C. Account Reconciliation" sheetId="26" state="visible" r:id="rId26"/>
    <sheet xmlns:r="http://schemas.openxmlformats.org/officeDocument/2006/relationships" name="4D. Quality Control" sheetId="27" state="visible" r:id="rId27"/>
    <sheet xmlns:r="http://schemas.openxmlformats.org/officeDocument/2006/relationships" name="4E. RMD Audit" sheetId="28" state="visible" r:id="rId28"/>
    <sheet xmlns:r="http://schemas.openxmlformats.org/officeDocument/2006/relationships" name="4F. Methodology" sheetId="29" state="visible" r:id="rId29"/>
    <sheet xmlns:r="http://schemas.openxmlformats.org/officeDocument/2006/relationships" name="4G. Glossary" sheetId="30" state="visible" r:id="rId30"/>
    <sheet xmlns:r="http://schemas.openxmlformats.org/officeDocument/2006/relationships" name="16. Scenario Analysis" sheetId="31" state="hidden" r:id="rId31"/>
    <sheet xmlns:r="http://schemas.openxmlformats.org/officeDocument/2006/relationships" name="_Chart Dashboard Data" sheetId="32" state="hidden" r:id="rId32"/>
  </sheets>
  <definedNames>
    <definedName name="_xlnm._FilterDatabase" localSheetId="25" hidden="1">'4C. Account Reconciliation'!$A$4:$Q$314</definedName>
  </definedNames>
  <calcPr calcId="124519" fullCalcOnLoad="1"/>
</workbook>
</file>

<file path=xl/styles.xml><?xml version="1.0" encoding="utf-8"?>
<styleSheet xmlns="http://schemas.openxmlformats.org/spreadsheetml/2006/main">
  <numFmts count="5">
    <numFmt numFmtId="164" formatCode="$#,##0;($#,##0);&quot;-&quot;"/>
    <numFmt numFmtId="165" formatCode="0.0%"/>
    <numFmt numFmtId="166" formatCode="$#,##0"/>
    <numFmt numFmtId="167" formatCode="#,##0.000"/>
    <numFmt numFmtId="168" formatCode="+0.0%;-0.0%"/>
  </numFmts>
  <fonts count="26">
    <font>
      <name val="Calibri"/>
      <family val="2"/>
      <color theme="1"/>
      <sz val="11"/>
      <scheme val="minor"/>
    </font>
    <font>
      <name val="Arial"/>
      <b val="1"/>
      <color rgb="00FFFFFF"/>
      <sz val="13"/>
    </font>
    <font>
      <name val="Arial"/>
      <b val="1"/>
      <color rgb="00FFFFFF"/>
      <sz val="11"/>
    </font>
    <font>
      <name val="Arial"/>
      <b val="1"/>
      <color rgb="00000000"/>
      <sz val="10"/>
    </font>
    <font>
      <name val="Arial"/>
      <color rgb="00000000"/>
      <sz val="10"/>
    </font>
    <font>
      <name val="Arial"/>
      <color rgb="000000FF"/>
      <sz val="10"/>
    </font>
    <font>
      <name val="Arial"/>
      <b val="1"/>
      <color rgb="00FFFFFF"/>
      <sz val="10"/>
    </font>
    <font>
      <name val="Arial"/>
      <color rgb="00C55A11"/>
      <sz val="10"/>
    </font>
    <font>
      <name val="Arial"/>
      <i val="1"/>
      <color rgb="00C55A11"/>
      <sz val="10"/>
    </font>
    <font>
      <name val="Arial"/>
      <b val="1"/>
      <color rgb="00000000"/>
      <sz val="11"/>
    </font>
    <font>
      <name val="Arial"/>
      <b val="1"/>
      <color rgb="00FFFFFF"/>
      <sz val="9"/>
    </font>
    <font>
      <name val="Arial"/>
      <b val="1"/>
      <color rgb="00000000"/>
      <sz val="9"/>
    </font>
    <font>
      <name val="Arial"/>
      <b val="1"/>
      <color rgb="00FFFFFF"/>
      <sz val="14"/>
    </font>
    <font>
      <name val="Arial"/>
      <i val="1"/>
      <color rgb="00666666"/>
      <sz val="10"/>
    </font>
    <font>
      <name val="Arial"/>
      <b val="1"/>
      <color rgb="00FFFFFF"/>
      <sz val="12"/>
    </font>
    <font>
      <name val="Arial"/>
      <sz val="10"/>
    </font>
    <font>
      <name val="Arial"/>
      <b val="1"/>
      <sz val="10"/>
    </font>
    <font>
      <name val="Arial"/>
      <b val="1"/>
      <color rgb="00FFFFFF"/>
      <sz val="8"/>
    </font>
    <font>
      <name val="Arial"/>
      <color rgb="00888888"/>
      <sz val="10"/>
    </font>
    <font>
      <name val="Arial"/>
      <color rgb="00C00000"/>
      <sz val="10"/>
    </font>
    <font>
      <name val="Arial"/>
      <b val="1"/>
      <color rgb="00C00000"/>
      <sz val="10"/>
    </font>
    <font>
      <name val="Arial"/>
      <color rgb="00666666"/>
      <sz val="10"/>
    </font>
    <font>
      <name val="Arial"/>
      <color rgb="00000000"/>
      <sz val="9"/>
    </font>
    <font>
      <name val="Arial"/>
      <b val="1"/>
      <color rgb="00375623"/>
      <sz val="10"/>
    </font>
    <font>
      <name val="Arial"/>
      <color rgb="00595959"/>
      <sz val="10"/>
    </font>
    <font>
      <name val="Arial"/>
      <color rgb="000563C1"/>
      <sz val="10"/>
    </font>
  </fonts>
  <fills count="28">
    <fill>
      <patternFill/>
    </fill>
    <fill>
      <patternFill patternType="gray125"/>
    </fill>
    <fill>
      <patternFill patternType="solid">
        <fgColor rgb="001F3864"/>
      </patternFill>
    </fill>
    <fill>
      <patternFill patternType="solid">
        <fgColor rgb="002E75B6"/>
      </patternFill>
    </fill>
    <fill>
      <patternFill patternType="solid">
        <fgColor rgb="00D9D9D9"/>
      </patternFill>
    </fill>
    <fill>
      <patternFill patternType="solid">
        <fgColor rgb="00F2F2F2"/>
      </patternFill>
    </fill>
    <fill>
      <patternFill patternType="solid">
        <fgColor rgb="00C55A11"/>
      </patternFill>
    </fill>
    <fill>
      <patternFill patternType="solid">
        <fgColor rgb="00595959"/>
      </patternFill>
    </fill>
    <fill>
      <patternFill patternType="solid">
        <fgColor rgb="00FFFF00"/>
      </patternFill>
    </fill>
    <fill>
      <patternFill patternType="solid">
        <fgColor rgb="00EAF2FF"/>
      </patternFill>
    </fill>
    <fill>
      <patternFill patternType="solid">
        <fgColor rgb="00FFF2CC"/>
      </patternFill>
    </fill>
    <fill>
      <patternFill patternType="solid">
        <fgColor rgb="00FCE4D6"/>
      </patternFill>
    </fill>
    <fill>
      <patternFill patternType="solid">
        <fgColor rgb="00E2EFDA"/>
      </patternFill>
    </fill>
    <fill>
      <patternFill patternType="solid">
        <fgColor rgb="00375623"/>
      </patternFill>
    </fill>
    <fill>
      <patternFill patternType="solid">
        <fgColor rgb="007030A0"/>
      </patternFill>
    </fill>
    <fill>
      <patternFill patternType="solid">
        <fgColor rgb="00FFC000"/>
      </patternFill>
    </fill>
    <fill>
      <patternFill patternType="solid">
        <fgColor rgb="00C00000"/>
      </patternFill>
    </fill>
    <fill>
      <patternFill patternType="solid">
        <fgColor rgb="00F4F5F7"/>
      </patternFill>
    </fill>
    <fill>
      <patternFill patternType="solid">
        <fgColor rgb="00C6EFCE"/>
      </patternFill>
    </fill>
    <fill>
      <patternFill patternType="solid">
        <fgColor rgb="00FFEB9C"/>
      </patternFill>
    </fill>
    <fill>
      <patternFill patternType="solid">
        <fgColor rgb="00EDE7F6"/>
      </patternFill>
    </fill>
    <fill>
      <patternFill patternType="solid">
        <fgColor rgb="00FFC7CE"/>
      </patternFill>
    </fill>
    <fill>
      <patternFill patternType="solid">
        <fgColor rgb="00BDD7EE"/>
      </patternFill>
    </fill>
    <fill>
      <patternFill patternType="solid">
        <fgColor rgb="00EAF2F8"/>
      </patternFill>
    </fill>
    <fill>
      <patternFill patternType="solid">
        <fgColor rgb="00F0F4FA"/>
      </patternFill>
    </fill>
    <fill>
      <patternFill patternType="solid">
        <fgColor rgb="00FFF3E0"/>
      </patternFill>
    </fill>
    <fill>
      <patternFill patternType="solid">
        <fgColor rgb="00D6E4F0"/>
      </patternFill>
    </fill>
    <fill>
      <patternFill patternType="solid">
        <fgColor rgb="00B45F06"/>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237">
    <xf numFmtId="0" fontId="0" fillId="0" borderId="0" pivotButton="0" quotePrefix="0" xfId="0"/>
    <xf numFmtId="0" fontId="1" fillId="3" borderId="0" applyAlignment="1" pivotButton="0" quotePrefix="0" xfId="0">
      <alignment horizontal="left" vertical="top" wrapText="1"/>
    </xf>
    <xf numFmtId="0" fontId="3" fillId="0" borderId="1" applyAlignment="1" pivotButton="0" quotePrefix="0" xfId="0">
      <alignment horizontal="left" vertical="top" wrapText="1"/>
    </xf>
    <xf numFmtId="0" fontId="0" fillId="0" borderId="4" pivotButton="0" quotePrefix="0" xfId="0"/>
    <xf numFmtId="0" fontId="0" fillId="0" borderId="5" pivotButton="0" quotePrefix="0" xfId="0"/>
    <xf numFmtId="0" fontId="2" fillId="7" borderId="1" applyAlignment="1" pivotButton="0" quotePrefix="0" xfId="0">
      <alignment horizontal="center" vertical="top" wrapText="1"/>
    </xf>
    <xf numFmtId="0" fontId="3" fillId="23" borderId="1" applyAlignment="1" pivotButton="0" quotePrefix="0" xfId="0">
      <alignment horizontal="left" vertical="top" wrapText="1"/>
    </xf>
    <xf numFmtId="0" fontId="25" fillId="0" borderId="1" applyAlignment="1" pivotButton="0" quotePrefix="0" xfId="0">
      <alignment vertical="top" wrapText="1"/>
    </xf>
    <xf numFmtId="0" fontId="13" fillId="0" borderId="1" applyAlignment="1" pivotButton="0" quotePrefix="0" xfId="0">
      <alignment horizontal="left" vertical="top" wrapText="1"/>
    </xf>
    <xf numFmtId="0" fontId="1" fillId="2" borderId="0" applyAlignment="1" pivotButton="0" quotePrefix="0" xfId="0">
      <alignment horizontal="left" vertical="top" wrapText="1"/>
    </xf>
    <xf numFmtId="0" fontId="2" fillId="3" borderId="1" applyAlignment="1" pivotButton="0" quotePrefix="0" xfId="0">
      <alignment horizontal="center" vertical="top" wrapText="1"/>
    </xf>
    <xf numFmtId="0" fontId="3" fillId="4" borderId="1" applyAlignment="1" pivotButton="0" quotePrefix="0" xfId="0">
      <alignment horizontal="left" vertical="top" wrapText="1"/>
    </xf>
    <xf numFmtId="0" fontId="4" fillId="0" borderId="1" applyAlignment="1" pivotButton="0" quotePrefix="0" xfId="0">
      <alignment horizontal="left" vertical="top" wrapText="1"/>
    </xf>
    <xf numFmtId="0" fontId="2" fillId="2" borderId="1" applyAlignment="1" pivotButton="0" quotePrefix="0" xfId="0">
      <alignment horizontal="center" vertical="top" wrapText="1"/>
    </xf>
    <xf numFmtId="164" fontId="3" fillId="5" borderId="1" applyAlignment="1" pivotButton="0" quotePrefix="0" xfId="0">
      <alignment horizontal="left" vertical="top" wrapText="1"/>
    </xf>
    <xf numFmtId="165" fontId="3" fillId="5" borderId="1" applyAlignment="1" pivotButton="0" quotePrefix="0" xfId="0">
      <alignment horizontal="left" vertical="top" wrapText="1"/>
    </xf>
    <xf numFmtId="0" fontId="3" fillId="5" borderId="1" applyAlignment="1" pivotButton="0" quotePrefix="0" xfId="0">
      <alignment horizontal="left" vertical="top" wrapText="1"/>
    </xf>
    <xf numFmtId="0" fontId="2" fillId="6" borderId="1" applyAlignment="1" pivotButton="0" quotePrefix="0" xfId="0">
      <alignment horizontal="center" vertical="top" wrapText="1"/>
    </xf>
    <xf numFmtId="0" fontId="3" fillId="0" borderId="1" applyAlignment="1" pivotButton="0" quotePrefix="0" xfId="0">
      <alignment horizontal="center" vertical="top" wrapText="1"/>
    </xf>
    <xf numFmtId="0" fontId="4" fillId="5" borderId="1" applyAlignment="1" pivotButton="0" quotePrefix="0" xfId="0">
      <alignment horizontal="left"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xf numFmtId="0" fontId="9" fillId="15" borderId="1" applyAlignment="1" pivotButton="0" quotePrefix="0" xfId="0">
      <alignment horizontal="center" vertical="top" wrapText="1"/>
    </xf>
    <xf numFmtId="0" fontId="10" fillId="7" borderId="1" applyAlignment="1" pivotButton="0" quotePrefix="0" xfId="0">
      <alignment horizontal="center" vertical="top" wrapText="1"/>
    </xf>
    <xf numFmtId="0" fontId="11" fillId="4" borderId="1" applyAlignment="1" pivotButton="0" quotePrefix="0" xfId="0">
      <alignment horizontal="center" vertical="top" wrapText="1"/>
    </xf>
    <xf numFmtId="1" fontId="4" fillId="0" borderId="1" applyAlignment="1" pivotButton="0" quotePrefix="0" xfId="0">
      <alignment horizontal="center" vertical="top" wrapText="1"/>
    </xf>
    <xf numFmtId="1" fontId="4" fillId="0" borderId="1" applyAlignment="1" pivotButton="0" quotePrefix="0" xfId="0">
      <alignment horizontal="center" vertical="center"/>
    </xf>
    <xf numFmtId="164" fontId="4" fillId="0" borderId="1" applyAlignment="1" pivotButton="0" quotePrefix="0" xfId="0">
      <alignment horizontal="right" vertical="center"/>
    </xf>
    <xf numFmtId="164" fontId="3" fillId="4" borderId="1" applyAlignment="1" pivotButton="0" quotePrefix="0" xfId="0">
      <alignment horizontal="right" vertical="center"/>
    </xf>
    <xf numFmtId="165" fontId="4" fillId="0" borderId="1" applyAlignment="1" pivotButton="0" quotePrefix="0" xfId="0">
      <alignment horizontal="right" vertical="center"/>
    </xf>
    <xf numFmtId="164" fontId="3" fillId="4" borderId="1" applyAlignment="1" pivotButton="0" quotePrefix="0" xfId="0">
      <alignment horizontal="right" vertical="top" wrapText="1"/>
    </xf>
    <xf numFmtId="165" fontId="3" fillId="4" borderId="1" applyAlignment="1" pivotButton="0" quotePrefix="0" xfId="0">
      <alignment horizontal="right" vertical="top" wrapText="1"/>
    </xf>
    <xf numFmtId="0" fontId="2" fillId="16" borderId="1" applyAlignment="1" pivotButton="0" quotePrefix="0" xfId="0">
      <alignment horizontal="center" vertical="top" wrapText="1"/>
    </xf>
    <xf numFmtId="0" fontId="4" fillId="0" borderId="1" applyAlignment="1" pivotButton="0" quotePrefix="0" xfId="0">
      <alignment horizontal="left" vertical="center"/>
    </xf>
    <xf numFmtId="0" fontId="4" fillId="4" borderId="1" applyAlignment="1" pivotButton="0" quotePrefix="0" xfId="0">
      <alignment horizontal="left" vertical="center"/>
    </xf>
    <xf numFmtId="0" fontId="6" fillId="2" borderId="1" applyAlignment="1" pivotButton="0" quotePrefix="0" xfId="0">
      <alignment horizontal="left" vertical="top" wrapText="1"/>
    </xf>
    <xf numFmtId="164" fontId="6" fillId="2" borderId="1" applyAlignment="1" pivotButton="0" quotePrefix="0" xfId="0">
      <alignment horizontal="right" vertical="center"/>
    </xf>
    <xf numFmtId="0" fontId="12" fillId="2" borderId="0" applyAlignment="1" pivotButton="0" quotePrefix="0" xfId="0">
      <alignment horizontal="left" vertical="top" wrapText="1"/>
    </xf>
    <xf numFmtId="0" fontId="13" fillId="0" borderId="0" applyAlignment="1" pivotButton="0" quotePrefix="0" xfId="0">
      <alignment vertical="top" wrapText="1"/>
    </xf>
    <xf numFmtId="0" fontId="10" fillId="2" borderId="1" applyAlignment="1" pivotButton="0" quotePrefix="0" xfId="0">
      <alignment horizontal="center" vertical="top" wrapText="1"/>
    </xf>
    <xf numFmtId="164" fontId="4" fillId="0" borderId="1" applyAlignment="1" pivotButton="0" quotePrefix="0" xfId="0">
      <alignment horizontal="center" vertical="center"/>
    </xf>
    <xf numFmtId="0" fontId="4" fillId="0" borderId="1" applyAlignment="1" pivotButton="0" quotePrefix="0" xfId="0">
      <alignment horizontal="center" vertical="top" wrapText="1"/>
    </xf>
    <xf numFmtId="164" fontId="6" fillId="2" borderId="1" applyAlignment="1" pivotButton="0" quotePrefix="0" xfId="0">
      <alignment horizontal="left" vertical="top" wrapText="1"/>
    </xf>
    <xf numFmtId="0" fontId="1" fillId="16" borderId="0" applyAlignment="1" pivotButton="0" quotePrefix="0" xfId="0">
      <alignment horizontal="left" vertical="top" wrapText="1"/>
    </xf>
    <xf numFmtId="0" fontId="3" fillId="23" borderId="0" applyAlignment="1" pivotButton="0" quotePrefix="0" xfId="0">
      <alignment horizontal="left" vertical="top" wrapText="1"/>
    </xf>
    <xf numFmtId="164" fontId="3" fillId="23" borderId="0" applyAlignment="1" pivotButton="0" quotePrefix="0" xfId="0">
      <alignment horizontal="right" vertical="top" wrapText="1"/>
    </xf>
    <xf numFmtId="164" fontId="3" fillId="23" borderId="0" applyAlignment="1" pivotButton="0" quotePrefix="0" xfId="0">
      <alignment horizontal="right" vertical="center"/>
    </xf>
    <xf numFmtId="164" fontId="20" fillId="23" borderId="0" applyAlignment="1" pivotButton="0" quotePrefix="0" xfId="0">
      <alignment horizontal="right" vertical="center"/>
    </xf>
    <xf numFmtId="0" fontId="3" fillId="24" borderId="1" applyAlignment="1" pivotButton="0" quotePrefix="0" xfId="0">
      <alignment horizontal="left" vertical="top" wrapText="1"/>
    </xf>
    <xf numFmtId="164" fontId="3" fillId="24" borderId="1" applyAlignment="1" pivotButton="0" quotePrefix="0" xfId="0">
      <alignment horizontal="right" vertical="top" wrapText="1"/>
    </xf>
    <xf numFmtId="165" fontId="3" fillId="24" borderId="1" applyAlignment="1" pivotButton="0" quotePrefix="0" xfId="0">
      <alignment horizontal="right" vertical="top" wrapText="1"/>
    </xf>
    <xf numFmtId="0" fontId="3" fillId="24" borderId="1" applyAlignment="1" pivotButton="0" quotePrefix="0" xfId="0">
      <alignment horizontal="right" vertical="center"/>
    </xf>
    <xf numFmtId="0" fontId="1" fillId="6" borderId="0" applyAlignment="1" pivotButton="0" quotePrefix="0" xfId="0">
      <alignment horizontal="left" vertical="top" wrapText="1"/>
    </xf>
    <xf numFmtId="0" fontId="24" fillId="0" borderId="0" applyAlignment="1" pivotButton="0" quotePrefix="0" xfId="0">
      <alignment horizontal="left" vertical="top" wrapText="1"/>
    </xf>
    <xf numFmtId="0" fontId="3" fillId="25" borderId="1" applyAlignment="1" pivotButton="0" quotePrefix="0" xfId="0">
      <alignment horizontal="left" vertical="top" wrapText="1"/>
    </xf>
    <xf numFmtId="164" fontId="3" fillId="25" borderId="1" applyAlignment="1" pivotButton="0" quotePrefix="0" xfId="0">
      <alignment horizontal="right" vertical="center"/>
    </xf>
    <xf numFmtId="0" fontId="4" fillId="25" borderId="1" applyAlignment="1" pivotButton="0" quotePrefix="0" xfId="0">
      <alignment horizontal="left" vertical="center"/>
    </xf>
    <xf numFmtId="0" fontId="3" fillId="26" borderId="1" applyAlignment="1" pivotButton="0" quotePrefix="0" xfId="0">
      <alignment horizontal="left" vertical="top" wrapText="1"/>
    </xf>
    <xf numFmtId="164" fontId="3" fillId="26" borderId="1" applyAlignment="1" pivotButton="0" quotePrefix="0" xfId="0">
      <alignment horizontal="right" vertical="top" wrapText="1"/>
    </xf>
    <xf numFmtId="0" fontId="3" fillId="26" borderId="1" applyAlignment="1" pivotButton="0" quotePrefix="0" xfId="0">
      <alignment horizontal="right" vertical="center"/>
    </xf>
    <xf numFmtId="165" fontId="3" fillId="26" borderId="1" applyAlignment="1" pivotButton="0" quotePrefix="0" xfId="0">
      <alignment horizontal="right" vertical="top" wrapText="1"/>
    </xf>
    <xf numFmtId="164" fontId="3" fillId="23" borderId="1" applyAlignment="1" pivotButton="0" quotePrefix="0" xfId="0">
      <alignment horizontal="right" vertical="top" wrapText="1"/>
    </xf>
    <xf numFmtId="0" fontId="3" fillId="23" borderId="1" applyAlignment="1" pivotButton="0" quotePrefix="0" xfId="0">
      <alignment horizontal="right" vertical="center"/>
    </xf>
    <xf numFmtId="165" fontId="3" fillId="23" borderId="1" applyAlignment="1" pivotButton="0" quotePrefix="0" xfId="0">
      <alignment horizontal="right" vertical="top" wrapText="1"/>
    </xf>
    <xf numFmtId="0" fontId="4" fillId="0" borderId="1" applyAlignment="1" pivotButton="0" quotePrefix="0" xfId="0">
      <alignment horizontal="right" vertical="center"/>
    </xf>
    <xf numFmtId="164" fontId="20" fillId="26" borderId="1" applyAlignment="1" pivotButton="0" quotePrefix="0" xfId="0">
      <alignment horizontal="right" vertical="top" wrapText="1"/>
    </xf>
    <xf numFmtId="164" fontId="20" fillId="23" borderId="1" applyAlignment="1" pivotButton="0" quotePrefix="0" xfId="0">
      <alignment horizontal="right" vertical="top" wrapText="1"/>
    </xf>
    <xf numFmtId="164" fontId="19" fillId="0" borderId="1" applyAlignment="1" pivotButton="0" quotePrefix="0" xfId="0">
      <alignment horizontal="right" vertical="center"/>
    </xf>
    <xf numFmtId="164" fontId="20" fillId="4" borderId="1" applyAlignment="1" pivotButton="0" quotePrefix="0" xfId="0">
      <alignment horizontal="right" vertical="top" wrapText="1"/>
    </xf>
    <xf numFmtId="0" fontId="1" fillId="14" borderId="0" applyAlignment="1" pivotButton="0" quotePrefix="0" xfId="0">
      <alignment horizontal="left" vertical="top" wrapText="1"/>
    </xf>
    <xf numFmtId="165" fontId="4" fillId="0" borderId="1" applyAlignment="1" pivotButton="0" quotePrefix="0" xfId="0">
      <alignment horizontal="left" vertical="top" wrapText="1"/>
    </xf>
    <xf numFmtId="0" fontId="17" fillId="7" borderId="1" applyAlignment="1" pivotButton="0" quotePrefix="0" xfId="0">
      <alignment horizontal="center" vertical="top" wrapText="1"/>
    </xf>
    <xf numFmtId="0" fontId="17" fillId="2" borderId="1" applyAlignment="1" pivotButton="0" quotePrefix="0" xfId="0">
      <alignment horizontal="center" vertical="top" wrapText="1"/>
    </xf>
    <xf numFmtId="1" fontId="4" fillId="0" borderId="1" applyAlignment="1" pivotButton="0" quotePrefix="0" xfId="0">
      <alignment horizontal="right" vertical="top" wrapText="1"/>
    </xf>
    <xf numFmtId="0" fontId="4" fillId="11" borderId="1" applyAlignment="1" pivotButton="0" quotePrefix="0" xfId="0">
      <alignment horizontal="left" vertical="top" wrapText="1"/>
    </xf>
    <xf numFmtId="0" fontId="4" fillId="12" borderId="1" applyAlignment="1" pivotButton="0" quotePrefix="0" xfId="0">
      <alignment horizontal="left" vertical="top" wrapText="1"/>
    </xf>
    <xf numFmtId="164" fontId="3" fillId="4" borderId="1" applyAlignment="1" pivotButton="0" quotePrefix="0" xfId="0">
      <alignment horizontal="left" vertical="top" wrapText="1"/>
    </xf>
    <xf numFmtId="0" fontId="3" fillId="9" borderId="1" applyAlignment="1" pivotButton="0" quotePrefix="0" xfId="0">
      <alignment horizontal="left" vertical="top" wrapText="1"/>
    </xf>
    <xf numFmtId="164" fontId="4" fillId="0" borderId="1" applyAlignment="1" pivotButton="0" quotePrefix="0" xfId="0">
      <alignment horizontal="right" vertical="top" wrapText="1"/>
    </xf>
    <xf numFmtId="165" fontId="4" fillId="0" borderId="1" applyAlignment="1" pivotButton="0" quotePrefix="0" xfId="0">
      <alignment horizontal="right" vertical="top" wrapText="1"/>
    </xf>
    <xf numFmtId="164" fontId="4" fillId="12" borderId="1" applyAlignment="1" pivotButton="0" quotePrefix="0" xfId="0">
      <alignment horizontal="right" vertical="top" wrapText="1"/>
    </xf>
    <xf numFmtId="165" fontId="4" fillId="12" borderId="1" applyAlignment="1" pivotButton="0" quotePrefix="0" xfId="0">
      <alignment horizontal="right" vertical="top" wrapText="1"/>
    </xf>
    <xf numFmtId="0" fontId="4" fillId="10" borderId="1" applyAlignment="1" pivotButton="0" quotePrefix="0" xfId="0">
      <alignment horizontal="left" vertical="top" wrapText="1"/>
    </xf>
    <xf numFmtId="164" fontId="3" fillId="0" borderId="1" applyAlignment="1" pivotButton="0" quotePrefix="0" xfId="0">
      <alignment horizontal="right" vertical="top" wrapText="1"/>
    </xf>
    <xf numFmtId="165" fontId="3" fillId="0" borderId="1" applyAlignment="1" pivotButton="0" quotePrefix="0" xfId="0">
      <alignment horizontal="right" vertical="top" wrapText="1"/>
    </xf>
    <xf numFmtId="0" fontId="6" fillId="7" borderId="1" applyAlignment="1" pivotButton="0" quotePrefix="0" xfId="0">
      <alignment horizontal="left" vertical="top" wrapText="1"/>
    </xf>
    <xf numFmtId="0" fontId="7" fillId="0" borderId="1" applyAlignment="1" pivotButton="0" quotePrefix="0" xfId="0">
      <alignment horizontal="left" vertical="top" wrapText="1"/>
    </xf>
    <xf numFmtId="165" fontId="4" fillId="9" borderId="1" applyAlignment="1" pivotButton="0" quotePrefix="0" xfId="0">
      <alignment horizontal="right" vertical="top" wrapText="1"/>
    </xf>
    <xf numFmtId="165" fontId="8" fillId="0" borderId="1" applyAlignment="1" pivotButton="0" quotePrefix="0" xfId="0">
      <alignment horizontal="right" vertical="top" wrapText="1"/>
    </xf>
    <xf numFmtId="165" fontId="8" fillId="9" borderId="1" applyAlignment="1" pivotButton="0" quotePrefix="0" xfId="0">
      <alignment horizontal="right" vertical="top" wrapText="1"/>
    </xf>
    <xf numFmtId="165" fontId="4" fillId="11" borderId="1" applyAlignment="1" pivotButton="0" quotePrefix="0" xfId="0">
      <alignment horizontal="right" vertical="top" wrapText="1"/>
    </xf>
    <xf numFmtId="165" fontId="3" fillId="0" borderId="1" applyAlignment="1" pivotButton="0" quotePrefix="0" xfId="0">
      <alignment horizontal="left" vertical="top" wrapText="1"/>
    </xf>
    <xf numFmtId="0" fontId="3" fillId="12" borderId="1" applyAlignment="1" pivotButton="0" quotePrefix="0" xfId="0">
      <alignment horizontal="left" vertical="top" wrapText="1"/>
    </xf>
    <xf numFmtId="164" fontId="3" fillId="12" borderId="1" applyAlignment="1" pivotButton="0" quotePrefix="0" xfId="0">
      <alignment horizontal="right" vertical="top" wrapText="1"/>
    </xf>
    <xf numFmtId="167" fontId="4" fillId="0" borderId="1" applyAlignment="1" pivotButton="0" quotePrefix="0" xfId="0">
      <alignment horizontal="right" vertical="top" wrapText="1"/>
    </xf>
    <xf numFmtId="0" fontId="3" fillId="11" borderId="1" applyAlignment="1" pivotButton="0" quotePrefix="0" xfId="0">
      <alignment horizontal="left" vertical="top" wrapText="1"/>
    </xf>
    <xf numFmtId="4" fontId="4" fillId="0" borderId="1" applyAlignment="1" pivotButton="0" quotePrefix="0" xfId="0">
      <alignment horizontal="right" vertical="top" wrapText="1"/>
    </xf>
    <xf numFmtId="0" fontId="4" fillId="4" borderId="1" applyAlignment="1" pivotButton="0" quotePrefix="0" xfId="0">
      <alignment horizontal="left" vertical="top" wrapText="1"/>
    </xf>
    <xf numFmtId="0" fontId="2" fillId="7" borderId="1" applyAlignment="1" pivotButton="0" quotePrefix="0" xfId="0">
      <alignment horizontal="center" vertical="center" wrapText="1"/>
    </xf>
    <xf numFmtId="0" fontId="4" fillId="0" borderId="1" applyAlignment="1" pivotButton="0" quotePrefix="0" xfId="0">
      <alignment horizontal="center" vertical="center"/>
    </xf>
    <xf numFmtId="168" fontId="4" fillId="11" borderId="1" applyAlignment="1" pivotButton="0" quotePrefix="0" xfId="0">
      <alignment horizontal="right" vertical="top" wrapText="1"/>
    </xf>
    <xf numFmtId="168" fontId="4" fillId="0" borderId="1" applyAlignment="1" pivotButton="0" quotePrefix="0" xfId="0">
      <alignment horizontal="right" vertical="top" wrapText="1"/>
    </xf>
    <xf numFmtId="0" fontId="1" fillId="2" borderId="1" applyAlignment="1" pivotButton="0" quotePrefix="0" xfId="0">
      <alignment horizontal="left" vertical="top" wrapText="1"/>
    </xf>
    <xf numFmtId="164" fontId="4" fillId="0" borderId="1" applyAlignment="1" pivotButton="0" quotePrefix="0" xfId="0">
      <alignment horizontal="left" vertical="top" wrapText="1"/>
    </xf>
    <xf numFmtId="0" fontId="4" fillId="0" borderId="1" applyAlignment="1" pivotButton="0" quotePrefix="0" xfId="0">
      <alignment horizontal="right" vertical="top" wrapText="1"/>
    </xf>
    <xf numFmtId="164" fontId="3" fillId="0" borderId="1" applyAlignment="1" pivotButton="0" quotePrefix="0" xfId="0">
      <alignment horizontal="left" vertical="top" wrapText="1"/>
    </xf>
    <xf numFmtId="164" fontId="23" fillId="0" borderId="1" applyAlignment="1" pivotButton="0" quotePrefix="0" xfId="0">
      <alignment horizontal="left" vertical="top" wrapText="1"/>
    </xf>
    <xf numFmtId="0" fontId="18" fillId="0" borderId="1" applyAlignment="1" pivotButton="0" quotePrefix="0" xfId="0">
      <alignment horizontal="left" vertical="top" wrapText="1"/>
    </xf>
    <xf numFmtId="164" fontId="4" fillId="0" borderId="1" applyAlignment="1" pivotButton="0" quotePrefix="0" xfId="0">
      <alignment horizontal="left" vertical="center"/>
    </xf>
    <xf numFmtId="164" fontId="4" fillId="12" borderId="1" applyAlignment="1" pivotButton="0" quotePrefix="0" xfId="0">
      <alignment horizontal="left" vertical="center"/>
    </xf>
    <xf numFmtId="164" fontId="19" fillId="12" borderId="1" applyAlignment="1" pivotButton="0" quotePrefix="0" xfId="0">
      <alignment horizontal="left" vertical="top" wrapText="1"/>
    </xf>
    <xf numFmtId="164" fontId="4" fillId="12" borderId="1" applyAlignment="1" pivotButton="0" quotePrefix="0" xfId="0">
      <alignment horizontal="left" vertical="top" wrapText="1"/>
    </xf>
    <xf numFmtId="0" fontId="4" fillId="17" borderId="1" applyAlignment="1" pivotButton="0" quotePrefix="0" xfId="0">
      <alignment horizontal="left" vertical="top" wrapText="1"/>
    </xf>
    <xf numFmtId="164" fontId="4" fillId="17" borderId="1" applyAlignment="1" pivotButton="0" quotePrefix="0" xfId="0">
      <alignment horizontal="left" vertical="top" wrapText="1"/>
    </xf>
    <xf numFmtId="0" fontId="4" fillId="18" borderId="1" applyAlignment="1" pivotButton="0" quotePrefix="0" xfId="0">
      <alignment horizontal="left" vertical="top" wrapText="1"/>
    </xf>
    <xf numFmtId="0" fontId="4" fillId="19" borderId="1" applyAlignment="1" pivotButton="0" quotePrefix="0" xfId="0">
      <alignment horizontal="left" vertical="top" wrapText="1"/>
    </xf>
    <xf numFmtId="164" fontId="3" fillId="11" borderId="1" applyAlignment="1" pivotButton="0" quotePrefix="0" xfId="0">
      <alignment horizontal="left" vertical="top" wrapText="1"/>
    </xf>
    <xf numFmtId="0" fontId="20" fillId="11" borderId="1" applyAlignment="1" pivotButton="0" quotePrefix="0" xfId="0">
      <alignment horizontal="left" vertical="top" wrapText="1"/>
    </xf>
    <xf numFmtId="0" fontId="3" fillId="17" borderId="1" applyAlignment="1" pivotButton="0" quotePrefix="0" xfId="0">
      <alignment horizontal="left" vertical="top" wrapText="1"/>
    </xf>
    <xf numFmtId="0" fontId="3" fillId="18" borderId="1" applyAlignment="1" pivotButton="0" quotePrefix="0" xfId="0">
      <alignment horizontal="left" vertical="top" wrapText="1"/>
    </xf>
    <xf numFmtId="0" fontId="21" fillId="0" borderId="1" applyAlignment="1" pivotButton="0" quotePrefix="0" xfId="0">
      <alignment horizontal="left" vertical="top" wrapText="1"/>
    </xf>
    <xf numFmtId="0" fontId="3" fillId="20" borderId="1" applyAlignment="1" pivotButton="0" quotePrefix="0" xfId="0">
      <alignment horizontal="left" vertical="top" wrapText="1"/>
    </xf>
    <xf numFmtId="3" fontId="4" fillId="0" borderId="1" applyAlignment="1" pivotButton="0" quotePrefix="0" xfId="0">
      <alignment horizontal="left" vertical="top" wrapText="1"/>
    </xf>
    <xf numFmtId="164" fontId="5" fillId="8" borderId="1" applyAlignment="1" pivotButton="0" quotePrefix="0" xfId="0">
      <alignment horizontal="left" vertical="center"/>
    </xf>
    <xf numFmtId="0" fontId="4" fillId="0" borderId="1" applyAlignment="1" pivotButton="0" quotePrefix="0" xfId="0">
      <alignment vertical="top" wrapText="1"/>
    </xf>
    <xf numFmtId="3" fontId="5" fillId="8" borderId="1" applyAlignment="1" pivotButton="0" quotePrefix="0" xfId="0">
      <alignment horizontal="left" vertical="center"/>
    </xf>
    <xf numFmtId="0" fontId="4" fillId="0" borderId="0" applyAlignment="1" pivotButton="0" quotePrefix="0" xfId="0">
      <alignment horizontal="left" vertical="top" wrapText="1"/>
    </xf>
    <xf numFmtId="0" fontId="3" fillId="11" borderId="1" applyAlignment="1" pivotButton="0" quotePrefix="0" xfId="0">
      <alignment horizontal="center" vertical="top" wrapText="1"/>
    </xf>
    <xf numFmtId="0" fontId="3" fillId="12" borderId="1" applyAlignment="1" pivotButton="0" quotePrefix="0" xfId="0">
      <alignment horizontal="center" vertical="top" wrapText="1"/>
    </xf>
    <xf numFmtId="0" fontId="1" fillId="13" borderId="0" applyAlignment="1" pivotButton="0" quotePrefix="0" xfId="0">
      <alignment horizontal="left" vertical="top" wrapText="1"/>
    </xf>
    <xf numFmtId="0" fontId="4" fillId="4" borderId="1" applyAlignment="1" pivotButton="0" quotePrefix="0" xfId="0">
      <alignment horizontal="center" vertical="top" wrapText="1"/>
    </xf>
    <xf numFmtId="164" fontId="4" fillId="4" borderId="1" applyAlignment="1" pivotButton="0" quotePrefix="0" xfId="0">
      <alignment horizontal="right" vertical="top" wrapText="1"/>
    </xf>
    <xf numFmtId="0" fontId="3" fillId="5" borderId="1" applyAlignment="1" pivotButton="0" quotePrefix="0" xfId="0">
      <alignment horizontal="center" vertical="top" wrapText="1"/>
    </xf>
    <xf numFmtId="164" fontId="3" fillId="5" borderId="1" applyAlignment="1" pivotButton="0" quotePrefix="0" xfId="0">
      <alignment horizontal="right" vertical="top" wrapText="1"/>
    </xf>
    <xf numFmtId="164" fontId="4" fillId="5" borderId="1" applyAlignment="1" pivotButton="0" quotePrefix="0" xfId="0">
      <alignment horizontal="right" vertical="top" wrapText="1"/>
    </xf>
    <xf numFmtId="1" fontId="4" fillId="0" borderId="1" applyAlignment="1" pivotButton="0" quotePrefix="0" xfId="0">
      <alignment horizontal="left" vertical="top" wrapText="1"/>
    </xf>
    <xf numFmtId="164" fontId="3" fillId="0" borderId="1" applyAlignment="1" pivotButton="0" quotePrefix="0" xfId="0">
      <alignment horizontal="left" vertical="center"/>
    </xf>
    <xf numFmtId="165" fontId="4" fillId="0" borderId="1" applyAlignment="1" pivotButton="0" quotePrefix="0" xfId="0">
      <alignment horizontal="left" vertical="center"/>
    </xf>
    <xf numFmtId="1" fontId="4" fillId="4" borderId="1" applyAlignment="1" pivotButton="0" quotePrefix="0" xfId="0">
      <alignment horizontal="left" vertical="top" wrapText="1"/>
    </xf>
    <xf numFmtId="164" fontId="4" fillId="4" borderId="1" applyAlignment="1" pivotButton="0" quotePrefix="0" xfId="0">
      <alignment horizontal="left" vertical="top" wrapText="1"/>
    </xf>
    <xf numFmtId="165" fontId="4" fillId="4" borderId="1" applyAlignment="1" pivotButton="0" quotePrefix="0" xfId="0">
      <alignment horizontal="left" vertical="top" wrapText="1"/>
    </xf>
    <xf numFmtId="1" fontId="4" fillId="11" borderId="1" applyAlignment="1" pivotButton="0" quotePrefix="0" xfId="0">
      <alignment horizontal="left" vertical="top" wrapText="1"/>
    </xf>
    <xf numFmtId="164" fontId="4" fillId="11" borderId="1" applyAlignment="1" pivotButton="0" quotePrefix="0" xfId="0">
      <alignment horizontal="left" vertical="top" wrapText="1"/>
    </xf>
    <xf numFmtId="165" fontId="4" fillId="11" borderId="1" applyAlignment="1" pivotButton="0" quotePrefix="0" xfId="0">
      <alignment horizontal="left" vertical="top" wrapText="1"/>
    </xf>
    <xf numFmtId="164" fontId="4" fillId="11" borderId="1" applyAlignment="1" pivotButton="0" quotePrefix="0" xfId="0">
      <alignment horizontal="right" vertical="top" wrapText="1"/>
    </xf>
    <xf numFmtId="164" fontId="3" fillId="11" borderId="1" applyAlignment="1" pivotButton="0" quotePrefix="0" xfId="0">
      <alignment horizontal="right" vertical="top" wrapText="1"/>
    </xf>
    <xf numFmtId="165" fontId="3" fillId="11" borderId="1" applyAlignment="1" pivotButton="0" quotePrefix="0" xfId="0">
      <alignment horizontal="right" vertical="top" wrapText="1"/>
    </xf>
    <xf numFmtId="0" fontId="3" fillId="10" borderId="1" applyAlignment="1" pivotButton="0" quotePrefix="0" xfId="0">
      <alignment horizontal="left" vertical="top" wrapText="1"/>
    </xf>
    <xf numFmtId="165" fontId="4" fillId="10" borderId="1" applyAlignment="1" pivotButton="0" quotePrefix="0" xfId="0">
      <alignment horizontal="right" vertical="top" wrapText="1"/>
    </xf>
    <xf numFmtId="164" fontId="4" fillId="10" borderId="1" applyAlignment="1" pivotButton="0" quotePrefix="0" xfId="0">
      <alignment horizontal="right" vertical="top" wrapText="1"/>
    </xf>
    <xf numFmtId="164" fontId="3" fillId="10" borderId="1" applyAlignment="1" pivotButton="0" quotePrefix="0" xfId="0">
      <alignment horizontal="right" vertical="top" wrapText="1"/>
    </xf>
    <xf numFmtId="165" fontId="3" fillId="10" borderId="1" applyAlignment="1" pivotButton="0" quotePrefix="0" xfId="0">
      <alignment horizontal="right" vertical="top" wrapText="1"/>
    </xf>
    <xf numFmtId="165" fontId="4" fillId="17" borderId="1" applyAlignment="1" pivotButton="0" quotePrefix="0" xfId="0">
      <alignment horizontal="right" vertical="top" wrapText="1"/>
    </xf>
    <xf numFmtId="164" fontId="4" fillId="17" borderId="1" applyAlignment="1" pivotButton="0" quotePrefix="0" xfId="0">
      <alignment horizontal="right" vertical="top" wrapText="1"/>
    </xf>
    <xf numFmtId="164" fontId="3" fillId="17" borderId="1" applyAlignment="1" pivotButton="0" quotePrefix="0" xfId="0">
      <alignment horizontal="right" vertical="top" wrapText="1"/>
    </xf>
    <xf numFmtId="165" fontId="3" fillId="17" borderId="1" applyAlignment="1" pivotButton="0" quotePrefix="0" xfId="0">
      <alignment horizontal="right" vertical="top" wrapText="1"/>
    </xf>
    <xf numFmtId="165" fontId="3" fillId="12" borderId="1" applyAlignment="1" pivotButton="0" quotePrefix="0" xfId="0">
      <alignment horizontal="right" vertical="top" wrapText="1"/>
    </xf>
    <xf numFmtId="165" fontId="4" fillId="18" borderId="1" applyAlignment="1" pivotButton="0" quotePrefix="0" xfId="0">
      <alignment horizontal="right" vertical="top" wrapText="1"/>
    </xf>
    <xf numFmtId="164" fontId="4" fillId="18" borderId="1" applyAlignment="1" pivotButton="0" quotePrefix="0" xfId="0">
      <alignment horizontal="right" vertical="top" wrapText="1"/>
    </xf>
    <xf numFmtId="164" fontId="3" fillId="18" borderId="1" applyAlignment="1" pivotButton="0" quotePrefix="0" xfId="0">
      <alignment horizontal="right" vertical="top" wrapText="1"/>
    </xf>
    <xf numFmtId="165" fontId="3" fillId="18" borderId="1" applyAlignment="1" pivotButton="0" quotePrefix="0" xfId="0">
      <alignment horizontal="right" vertical="top" wrapText="1"/>
    </xf>
    <xf numFmtId="0" fontId="3" fillId="7" borderId="1" applyAlignment="1" pivotButton="0" quotePrefix="0" xfId="0">
      <alignment horizontal="center" vertical="top" wrapText="1"/>
    </xf>
    <xf numFmtId="165" fontId="4" fillId="21" borderId="1" applyAlignment="1" pivotButton="0" quotePrefix="0" xfId="0">
      <alignment horizontal="right" vertical="top" wrapText="1"/>
    </xf>
    <xf numFmtId="0" fontId="3" fillId="4" borderId="1" applyAlignment="1" pivotButton="0" quotePrefix="0" xfId="0">
      <alignment horizontal="center" vertical="top" wrapText="1"/>
    </xf>
    <xf numFmtId="165" fontId="3" fillId="22" borderId="1" applyAlignment="1" pivotButton="0" quotePrefix="0" xfId="0">
      <alignment horizontal="right" vertical="top" wrapText="1"/>
    </xf>
    <xf numFmtId="0" fontId="4" fillId="22" borderId="1" applyAlignment="1" pivotButton="0" quotePrefix="0" xfId="0">
      <alignment horizontal="right" vertical="center"/>
    </xf>
    <xf numFmtId="0" fontId="4" fillId="18" borderId="1" applyAlignment="1" pivotButton="0" quotePrefix="0" xfId="0">
      <alignment horizontal="right" vertical="center"/>
    </xf>
    <xf numFmtId="0" fontId="4" fillId="19" borderId="1" applyAlignment="1" pivotButton="0" quotePrefix="0" xfId="0">
      <alignment horizontal="right" vertical="center"/>
    </xf>
    <xf numFmtId="0" fontId="4" fillId="21" borderId="1" applyAlignment="1" pivotButton="0" quotePrefix="0" xfId="0">
      <alignment horizontal="right" vertical="center"/>
    </xf>
    <xf numFmtId="1" fontId="4" fillId="0" borderId="1" applyAlignment="1" pivotButton="0" quotePrefix="0" xfId="0">
      <alignment horizontal="left" vertical="center"/>
    </xf>
    <xf numFmtId="164" fontId="3" fillId="12" borderId="1" applyAlignment="1" pivotButton="0" quotePrefix="0" xfId="0">
      <alignment horizontal="left" vertical="center"/>
    </xf>
    <xf numFmtId="164" fontId="3" fillId="11" borderId="1" applyAlignment="1" pivotButton="0" quotePrefix="0" xfId="0">
      <alignment horizontal="left" vertical="center"/>
    </xf>
    <xf numFmtId="164" fontId="4" fillId="11" borderId="1" applyAlignment="1" pivotButton="0" quotePrefix="0" xfId="0">
      <alignment horizontal="left" vertical="center"/>
    </xf>
    <xf numFmtId="0" fontId="1" fillId="27" borderId="0" applyAlignment="1" pivotButton="0" quotePrefix="0" xfId="0">
      <alignment horizontal="left" vertical="top" wrapText="1"/>
    </xf>
    <xf numFmtId="0" fontId="5" fillId="8" borderId="1" applyAlignment="1" pivotButton="0" quotePrefix="0" xfId="0">
      <alignment vertical="top" wrapText="1"/>
    </xf>
    <xf numFmtId="165" fontId="5" fillId="8" borderId="1" applyAlignment="1" pivotButton="0" quotePrefix="0" xfId="0">
      <alignment vertical="top" wrapText="1"/>
    </xf>
    <xf numFmtId="1" fontId="5" fillId="8" borderId="1" applyAlignment="1" pivotButton="0" quotePrefix="0" xfId="0">
      <alignment vertical="top" wrapText="1"/>
    </xf>
    <xf numFmtId="166" fontId="5" fillId="8" borderId="1" applyAlignment="1" pivotButton="0" quotePrefix="0" xfId="0">
      <alignment vertical="top" wrapText="1"/>
    </xf>
    <xf numFmtId="0" fontId="10" fillId="13" borderId="1" applyAlignment="1" pivotButton="0" quotePrefix="0" xfId="0">
      <alignment horizontal="center" vertical="top" wrapText="1"/>
    </xf>
    <xf numFmtId="0" fontId="6" fillId="27" borderId="0" applyAlignment="1" pivotButton="0" quotePrefix="0" xfId="0">
      <alignment horizontal="left" vertical="top" wrapText="1"/>
    </xf>
    <xf numFmtId="0" fontId="10" fillId="3" borderId="1" applyAlignment="1" pivotButton="0" quotePrefix="0" xfId="0">
      <alignment horizontal="center" vertical="top" wrapText="1"/>
    </xf>
    <xf numFmtId="0" fontId="10" fillId="6" borderId="1" applyAlignment="1" pivotButton="0" quotePrefix="0" xfId="0">
      <alignment horizontal="center" vertical="top" wrapText="1"/>
    </xf>
    <xf numFmtId="1" fontId="22" fillId="0" borderId="1" applyAlignment="1" pivotButton="0" quotePrefix="0" xfId="0">
      <alignment horizontal="right" vertical="center"/>
    </xf>
    <xf numFmtId="1" fontId="22" fillId="0" borderId="1" applyAlignment="1" pivotButton="0" quotePrefix="0" xfId="0">
      <alignment horizontal="right" vertical="top" wrapText="1"/>
    </xf>
    <xf numFmtId="0" fontId="22" fillId="0" borderId="1" applyAlignment="1" pivotButton="0" quotePrefix="0" xfId="0">
      <alignment horizontal="center" vertical="top" wrapText="1"/>
    </xf>
    <xf numFmtId="164" fontId="22" fillId="0" borderId="1" applyAlignment="1" pivotButton="0" quotePrefix="0" xfId="0">
      <alignment horizontal="right" vertical="center"/>
    </xf>
    <xf numFmtId="164" fontId="11" fillId="0" borderId="1" applyAlignment="1" pivotButton="0" quotePrefix="0" xfId="0">
      <alignment horizontal="right" vertical="center"/>
    </xf>
    <xf numFmtId="0" fontId="22" fillId="4" borderId="1" applyAlignment="1" pivotButton="0" quotePrefix="0" xfId="0">
      <alignment horizontal="center" vertical="top" wrapText="1"/>
    </xf>
    <xf numFmtId="165" fontId="22" fillId="0" borderId="1" applyAlignment="1" pivotButton="0" quotePrefix="0" xfId="0">
      <alignment horizontal="right" vertical="center"/>
    </xf>
    <xf numFmtId="164" fontId="22" fillId="4" borderId="1" applyAlignment="1" pivotButton="0" quotePrefix="0" xfId="0">
      <alignment horizontal="right" vertical="center"/>
    </xf>
    <xf numFmtId="165" fontId="11" fillId="0" borderId="1" applyAlignment="1" pivotButton="0" quotePrefix="0" xfId="0">
      <alignment horizontal="right" vertical="center"/>
    </xf>
    <xf numFmtId="0" fontId="22" fillId="12" borderId="1" applyAlignment="1" pivotButton="0" quotePrefix="0" xfId="0">
      <alignment horizontal="center" vertical="top" wrapText="1"/>
    </xf>
    <xf numFmtId="0" fontId="22" fillId="0" borderId="1" applyAlignment="1" pivotButton="0" quotePrefix="0" xfId="0">
      <alignment horizontal="center" vertical="center"/>
    </xf>
    <xf numFmtId="1" fontId="22" fillId="12" borderId="1" applyAlignment="1" pivotButton="0" quotePrefix="0" xfId="0">
      <alignment horizontal="right" vertical="top" wrapText="1"/>
    </xf>
    <xf numFmtId="164" fontId="22" fillId="12" borderId="1" applyAlignment="1" pivotButton="0" quotePrefix="0" xfId="0">
      <alignment horizontal="right" vertical="top" wrapText="1"/>
    </xf>
    <xf numFmtId="164" fontId="11" fillId="12" borderId="1" applyAlignment="1" pivotButton="0" quotePrefix="0" xfId="0">
      <alignment horizontal="right" vertical="top" wrapText="1"/>
    </xf>
    <xf numFmtId="165" fontId="22" fillId="12" borderId="1" applyAlignment="1" pivotButton="0" quotePrefix="0" xfId="0">
      <alignment horizontal="right" vertical="top" wrapText="1"/>
    </xf>
    <xf numFmtId="164" fontId="22" fillId="4" borderId="1" applyAlignment="1" pivotButton="0" quotePrefix="0" xfId="0">
      <alignment horizontal="right" vertical="top" wrapText="1"/>
    </xf>
    <xf numFmtId="165" fontId="11" fillId="12" borderId="1" applyAlignment="1" pivotButton="0" quotePrefix="0" xfId="0">
      <alignment horizontal="right" vertical="center"/>
    </xf>
    <xf numFmtId="0" fontId="22" fillId="12" borderId="1" applyAlignment="1" pivotButton="0" quotePrefix="0" xfId="0">
      <alignment horizontal="center" vertical="center"/>
    </xf>
    <xf numFmtId="1" fontId="22" fillId="19" borderId="1" applyAlignment="1" pivotButton="0" quotePrefix="0" xfId="0">
      <alignment horizontal="right" vertical="top" wrapText="1"/>
    </xf>
    <xf numFmtId="0" fontId="22" fillId="19" borderId="1" applyAlignment="1" pivotButton="0" quotePrefix="0" xfId="0">
      <alignment horizontal="center" vertical="top" wrapText="1"/>
    </xf>
    <xf numFmtId="164" fontId="22" fillId="19" borderId="1" applyAlignment="1" pivotButton="0" quotePrefix="0" xfId="0">
      <alignment horizontal="right" vertical="top" wrapText="1"/>
    </xf>
    <xf numFmtId="164" fontId="11" fillId="19" borderId="1" applyAlignment="1" pivotButton="0" quotePrefix="0" xfId="0">
      <alignment horizontal="right" vertical="top" wrapText="1"/>
    </xf>
    <xf numFmtId="165" fontId="22" fillId="19" borderId="1" applyAlignment="1" pivotButton="0" quotePrefix="0" xfId="0">
      <alignment horizontal="right" vertical="center"/>
    </xf>
    <xf numFmtId="165" fontId="11" fillId="19" borderId="1" applyAlignment="1" pivotButton="0" quotePrefix="0" xfId="0">
      <alignment horizontal="right" vertical="center"/>
    </xf>
    <xf numFmtId="1" fontId="22" fillId="4" borderId="1" applyAlignment="1" pivotButton="0" quotePrefix="0" xfId="0">
      <alignment horizontal="right" vertical="top" wrapText="1"/>
    </xf>
    <xf numFmtId="164" fontId="11" fillId="4" borderId="1" applyAlignment="1" pivotButton="0" quotePrefix="0" xfId="0">
      <alignment horizontal="right" vertical="top" wrapText="1"/>
    </xf>
    <xf numFmtId="165" fontId="22" fillId="4" borderId="1" applyAlignment="1" pivotButton="0" quotePrefix="0" xfId="0">
      <alignment horizontal="right" vertical="center"/>
    </xf>
    <xf numFmtId="165" fontId="11" fillId="4" borderId="1" applyAlignment="1" pivotButton="0" quotePrefix="0" xfId="0">
      <alignment horizontal="right" vertical="center"/>
    </xf>
    <xf numFmtId="0" fontId="22" fillId="4" borderId="1" applyAlignment="1" pivotButton="0" quotePrefix="0" xfId="0">
      <alignment horizontal="center" vertical="center"/>
    </xf>
    <xf numFmtId="0" fontId="0" fillId="12" borderId="1" pivotButton="0" quotePrefix="0" xfId="0"/>
    <xf numFmtId="0" fontId="0" fillId="0" borderId="0" applyAlignment="1" pivotButton="0" quotePrefix="0" xfId="0">
      <alignment vertical="top" wrapText="1"/>
    </xf>
    <xf numFmtId="0" fontId="0" fillId="11" borderId="1" pivotButton="0" quotePrefix="0" xfId="0"/>
    <xf numFmtId="0" fontId="0" fillId="19" borderId="1" pivotButton="0" quotePrefix="0" xfId="0"/>
    <xf numFmtId="0" fontId="0" fillId="4" borderId="1" pivotButton="0" quotePrefix="0" xfId="0"/>
    <xf numFmtId="0" fontId="1" fillId="2" borderId="0" applyAlignment="1" pivotButton="0" quotePrefix="0" xfId="0">
      <alignment horizontal="left" vertical="center"/>
    </xf>
    <xf numFmtId="0" fontId="2" fillId="2" borderId="1" applyAlignment="1" pivotButton="0" quotePrefix="0" xfId="0">
      <alignment horizontal="center" vertical="center" wrapText="1"/>
    </xf>
    <xf numFmtId="0" fontId="4" fillId="12" borderId="1" applyAlignment="1" pivotButton="0" quotePrefix="0" xfId="0">
      <alignment horizontal="left" vertical="center"/>
    </xf>
    <xf numFmtId="0" fontId="2" fillId="3" borderId="1" applyAlignment="1" pivotButton="0" quotePrefix="0" xfId="0">
      <alignment horizontal="center" vertical="center" wrapText="1"/>
    </xf>
    <xf numFmtId="0" fontId="2" fillId="13" borderId="1" applyAlignment="1" pivotButton="0" quotePrefix="0" xfId="0">
      <alignment horizontal="center" vertical="center" wrapText="1"/>
    </xf>
    <xf numFmtId="0" fontId="3" fillId="0" borderId="1" applyAlignment="1" pivotButton="0" quotePrefix="0" xfId="0">
      <alignment horizontal="left" vertical="center"/>
    </xf>
    <xf numFmtId="0" fontId="14" fillId="2" borderId="0" applyAlignment="1" pivotButton="0" quotePrefix="0" xfId="0">
      <alignment horizontal="left" vertical="center"/>
    </xf>
    <xf numFmtId="0" fontId="2" fillId="3" borderId="0" applyAlignment="1" pivotButton="0" quotePrefix="0" xfId="0">
      <alignment horizontal="left" vertical="center"/>
    </xf>
    <xf numFmtId="0" fontId="2" fillId="13" borderId="0" applyAlignment="1" pivotButton="0" quotePrefix="0" xfId="0">
      <alignment horizontal="left" vertical="center"/>
    </xf>
    <xf numFmtId="0" fontId="2" fillId="16" borderId="0" applyAlignment="1" pivotButton="0" quotePrefix="0" xfId="0">
      <alignment horizontal="left" vertical="center"/>
    </xf>
    <xf numFmtId="0" fontId="2" fillId="14" borderId="0" applyAlignment="1" pivotButton="0" quotePrefix="0" xfId="0">
      <alignment horizontal="left" vertical="center"/>
    </xf>
    <xf numFmtId="0" fontId="6" fillId="7" borderId="1" applyAlignment="1" pivotButton="0" quotePrefix="0" xfId="0">
      <alignment horizontal="center" vertical="center" wrapText="1"/>
    </xf>
    <xf numFmtId="0" fontId="6" fillId="2" borderId="1" applyAlignment="1" pivotButton="0" quotePrefix="0" xfId="0">
      <alignment horizontal="center" vertical="center" wrapText="1"/>
    </xf>
    <xf numFmtId="0" fontId="6" fillId="13" borderId="1" applyAlignment="1" pivotButton="0" quotePrefix="0" xfId="0">
      <alignment horizontal="center" vertical="center" wrapText="1"/>
    </xf>
    <xf numFmtId="0" fontId="6" fillId="16" borderId="1" applyAlignment="1" pivotButton="0" quotePrefix="0" xfId="0">
      <alignment horizontal="center" vertical="center" wrapText="1"/>
    </xf>
    <xf numFmtId="1" fontId="15" fillId="5" borderId="1" applyAlignment="1" pivotButton="0" quotePrefix="0" xfId="0">
      <alignment horizontal="right" vertical="center"/>
    </xf>
    <xf numFmtId="164" fontId="15" fillId="5" borderId="1" applyAlignment="1" pivotButton="0" quotePrefix="0" xfId="0">
      <alignment horizontal="right" vertical="center"/>
    </xf>
    <xf numFmtId="164" fontId="16" fillId="5" borderId="1" applyAlignment="1" pivotButton="0" quotePrefix="0" xfId="0">
      <alignment horizontal="right" vertical="center"/>
    </xf>
    <xf numFmtId="1" fontId="15" fillId="0" borderId="1" applyAlignment="1" pivotButton="0" quotePrefix="0" xfId="0">
      <alignment horizontal="right" vertical="center"/>
    </xf>
    <xf numFmtId="164" fontId="15" fillId="0" borderId="1" applyAlignment="1" pivotButton="0" quotePrefix="0" xfId="0">
      <alignment horizontal="right" vertical="center"/>
    </xf>
    <xf numFmtId="164" fontId="16" fillId="0"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Net Worth by Component  ·  2026–2056</a:t>
            </a:r>
          </a:p>
        </rich>
      </tx>
    </title>
    <plotArea>
      <barChart>
        <barDir val="col"/>
        <grouping val="stacked"/>
        <ser>
          <idx val="0"/>
          <order val="0"/>
          <tx>
            <v>Annuities &amp; Pension</v>
          </tx>
          <spPr>
            <a:solidFill xmlns:a="http://schemas.openxmlformats.org/drawingml/2006/main">
              <a:srgbClr val="2E75B6"/>
            </a:solidFill>
            <a:ln xmlns:a="http://schemas.openxmlformats.org/drawingml/2006/main">
              <a:prstDash val="solid"/>
            </a:ln>
          </spPr>
          <cat>
            <numRef>
              <f>'_Chart Dashboard Data'!$A$5:$A$35</f>
            </numRef>
          </cat>
          <val>
            <numRef>
              <f>'_Chart Dashboard Data'!$B$5:$B$35</f>
            </numRef>
          </val>
        </ser>
        <ser>
          <idx val="1"/>
          <order val="1"/>
          <tx>
            <v>Pre-Tax IRA/401k</v>
          </tx>
          <spPr>
            <a:solidFill xmlns:a="http://schemas.openxmlformats.org/drawingml/2006/main">
              <a:srgbClr val="C55A11"/>
            </a:solidFill>
            <a:ln xmlns:a="http://schemas.openxmlformats.org/drawingml/2006/main">
              <a:prstDash val="solid"/>
            </a:ln>
          </spPr>
          <cat>
            <numRef>
              <f>'_Chart Dashboard Data'!$A$5:$A$35</f>
            </numRef>
          </cat>
          <val>
            <numRef>
              <f>'_Chart Dashboard Data'!$C$5:$C$35</f>
            </numRef>
          </val>
        </ser>
        <ser>
          <idx val="2"/>
          <order val="2"/>
          <tx>
            <v>Roth</v>
          </tx>
          <spPr>
            <a:solidFill xmlns:a="http://schemas.openxmlformats.org/drawingml/2006/main">
              <a:srgbClr val="0891B2"/>
            </a:solidFill>
            <a:ln xmlns:a="http://schemas.openxmlformats.org/drawingml/2006/main">
              <a:prstDash val="solid"/>
            </a:ln>
          </spPr>
          <cat>
            <numRef>
              <f>'_Chart Dashboard Data'!$A$5:$A$35</f>
            </numRef>
          </cat>
          <val>
            <numRef>
              <f>'_Chart Dashboard Data'!$D$5:$D$35</f>
            </numRef>
          </val>
        </ser>
        <ser>
          <idx val="3"/>
          <order val="3"/>
          <tx>
            <v>Trust</v>
          </tx>
          <spPr>
            <a:solidFill xmlns:a="http://schemas.openxmlformats.org/drawingml/2006/main">
              <a:srgbClr val="5A3E85"/>
            </a:solidFill>
            <a:ln xmlns:a="http://schemas.openxmlformats.org/drawingml/2006/main">
              <a:prstDash val="solid"/>
            </a:ln>
          </spPr>
          <cat>
            <numRef>
              <f>'_Chart Dashboard Data'!$A$5:$A$35</f>
            </numRef>
          </cat>
          <val>
            <numRef>
              <f>'_Chart Dashboard Data'!$E$5:$E$35</f>
            </numRef>
          </val>
        </ser>
        <ser>
          <idx val="4"/>
          <order val="4"/>
          <tx>
            <v>HSA</v>
          </tx>
          <spPr>
            <a:solidFill xmlns:a="http://schemas.openxmlformats.org/drawingml/2006/main">
              <a:srgbClr val="C9A84C"/>
            </a:solidFill>
            <a:ln xmlns:a="http://schemas.openxmlformats.org/drawingml/2006/main">
              <a:prstDash val="solid"/>
            </a:ln>
          </spPr>
          <cat>
            <numRef>
              <f>'_Chart Dashboard Data'!$A$5:$A$35</f>
            </numRef>
          </cat>
          <val>
            <numRef>
              <f>'_Chart Dashboard Data'!$F$5:$F$35</f>
            </numRef>
          </val>
        </ser>
        <ser>
          <idx val="5"/>
          <order val="5"/>
          <tx>
            <v>Home Equity</v>
          </tx>
          <spPr>
            <a:solidFill xmlns:a="http://schemas.openxmlformats.org/drawingml/2006/main">
              <a:srgbClr val="16A34A"/>
            </a:solidFill>
            <a:ln xmlns:a="http://schemas.openxmlformats.org/drawingml/2006/main">
              <a:prstDash val="solid"/>
            </a:ln>
          </spPr>
          <cat>
            <numRef>
              <f>'_Chart Dashboard Data'!$A$5:$A$35</f>
            </numRef>
          </cat>
          <val>
            <numRef>
              <f>'_Chart Dashboard Data'!$G$5:$G$35</f>
            </numRef>
          </val>
        </ser>
        <ser>
          <idx val="6"/>
          <order val="6"/>
          <tx>
            <v>Other Assets</v>
          </tx>
          <spPr>
            <a:solidFill xmlns:a="http://schemas.openxmlformats.org/drawingml/2006/main">
              <a:srgbClr val="6B7280"/>
            </a:solidFill>
            <a:ln xmlns:a="http://schemas.openxmlformats.org/drawingml/2006/main">
              <a:prstDash val="solid"/>
            </a:ln>
          </spPr>
          <cat>
            <numRef>
              <f>'_Chart Dashboard Data'!$A$5:$A$35</f>
            </numRef>
          </cat>
          <val>
            <numRef>
              <f>'_Chart Dashboard Data'!$H$5:$H$35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scaling>
        <delete val="0"/>
        <axPos val="l"/>
        <majorGridlines/>
        <numFmt formatCode="$#,##0,,&quot;M&quot;" sourceLinked="0"/>
        <majorTickMark val="none"/>
        <minorTickMark val="none"/>
        <tickLblPos val="nextTo"/>
        <crossAx val="10"/>
      </valAx>
    </plotArea>
    <legend>
      <legendPos val="r"/>
      <overlay val="0"/>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Cash Flow — Income &amp; Portfolio Draws  ·  2026–2056</a:t>
            </a:r>
          </a:p>
        </rich>
      </tx>
    </title>
    <plotArea>
      <barChart>
        <barDir val="col"/>
        <grouping val="stacked"/>
        <ser>
          <idx val="0"/>
          <order val="0"/>
          <tx>
            <v>Earned Income</v>
          </tx>
          <spPr>
            <a:solidFill xmlns:a="http://schemas.openxmlformats.org/drawingml/2006/main">
              <a:srgbClr val="1F3864"/>
            </a:solidFill>
            <a:ln xmlns:a="http://schemas.openxmlformats.org/drawingml/2006/main">
              <a:prstDash val="solid"/>
            </a:ln>
          </spPr>
          <cat>
            <numRef>
              <f>'_Chart Dashboard Data'!$K$5:$K$35</f>
            </numRef>
          </cat>
          <val>
            <numRef>
              <f>'_Chart Dashboard Data'!$L$5:$L$35</f>
            </numRef>
          </val>
        </ser>
        <ser>
          <idx val="1"/>
          <order val="1"/>
          <tx>
            <v>Matthew SS</v>
          </tx>
          <spPr>
            <a:solidFill xmlns:a="http://schemas.openxmlformats.org/drawingml/2006/main">
              <a:srgbClr val="2E75B6"/>
            </a:solidFill>
            <a:ln xmlns:a="http://schemas.openxmlformats.org/drawingml/2006/main">
              <a:prstDash val="solid"/>
            </a:ln>
          </spPr>
          <cat>
            <numRef>
              <f>'_Chart Dashboard Data'!$K$5:$K$35</f>
            </numRef>
          </cat>
          <val>
            <numRef>
              <f>'_Chart Dashboard Data'!$M$5:$M$35</f>
            </numRef>
          </val>
        </ser>
        <ser>
          <idx val="2"/>
          <order val="2"/>
          <tx>
            <v>Patricia SS</v>
          </tx>
          <spPr>
            <a:solidFill xmlns:a="http://schemas.openxmlformats.org/drawingml/2006/main">
              <a:srgbClr val="3D9AB8"/>
            </a:solidFill>
            <a:ln xmlns:a="http://schemas.openxmlformats.org/drawingml/2006/main">
              <a:prstDash val="solid"/>
            </a:ln>
          </spPr>
          <cat>
            <numRef>
              <f>'_Chart Dashboard Data'!$K$5:$K$35</f>
            </numRef>
          </cat>
          <val>
            <numRef>
              <f>'_Chart Dashboard Data'!$N$5:$N$35</f>
            </numRef>
          </val>
        </ser>
        <ser>
          <idx val="3"/>
          <order val="3"/>
          <tx>
            <v>Pension</v>
          </tx>
          <spPr>
            <a:solidFill xmlns:a="http://schemas.openxmlformats.org/drawingml/2006/main">
              <a:srgbClr val="C9A84C"/>
            </a:solidFill>
            <a:ln xmlns:a="http://schemas.openxmlformats.org/drawingml/2006/main">
              <a:prstDash val="solid"/>
            </a:ln>
          </spPr>
          <cat>
            <numRef>
              <f>'_Chart Dashboard Data'!$K$5:$K$35</f>
            </numRef>
          </cat>
          <val>
            <numRef>
              <f>'_Chart Dashboard Data'!$O$5:$O$35</f>
            </numRef>
          </val>
        </ser>
        <ser>
          <idx val="4"/>
          <order val="4"/>
          <tx>
            <v>Patricia Single Ann</v>
          </tx>
          <spPr>
            <a:solidFill xmlns:a="http://schemas.openxmlformats.org/drawingml/2006/main">
              <a:srgbClr val="2D6A4F"/>
            </a:solidFill>
            <a:ln xmlns:a="http://schemas.openxmlformats.org/drawingml/2006/main">
              <a:prstDash val="solid"/>
            </a:ln>
          </spPr>
          <cat>
            <numRef>
              <f>'_Chart Dashboard Data'!$K$5:$K$35</f>
            </numRef>
          </cat>
          <val>
            <numRef>
              <f>'_Chart Dashboard Data'!$P$5:$P$35</f>
            </numRef>
          </val>
        </ser>
        <ser>
          <idx val="5"/>
          <order val="5"/>
          <tx>
            <v>Patricia Joint Ann</v>
          </tx>
          <spPr>
            <a:solidFill xmlns:a="http://schemas.openxmlformats.org/drawingml/2006/main">
              <a:srgbClr val="40916C"/>
            </a:solidFill>
            <a:ln xmlns:a="http://schemas.openxmlformats.org/drawingml/2006/main">
              <a:prstDash val="solid"/>
            </a:ln>
          </spPr>
          <cat>
            <numRef>
              <f>'_Chart Dashboard Data'!$K$5:$K$35</f>
            </numRef>
          </cat>
          <val>
            <numRef>
              <f>'_Chart Dashboard Data'!$Q$5:$Q$35</f>
            </numRef>
          </val>
        </ser>
        <ser>
          <idx val="6"/>
          <order val="6"/>
          <tx>
            <v>Matthew Single Ann</v>
          </tx>
          <spPr>
            <a:solidFill xmlns:a="http://schemas.openxmlformats.org/drawingml/2006/main">
              <a:srgbClr val="C55A11"/>
            </a:solidFill>
            <a:ln xmlns:a="http://schemas.openxmlformats.org/drawingml/2006/main">
              <a:prstDash val="solid"/>
            </a:ln>
          </spPr>
          <cat>
            <numRef>
              <f>'_Chart Dashboard Data'!$K$5:$K$35</f>
            </numRef>
          </cat>
          <val>
            <numRef>
              <f>'_Chart Dashboard Data'!$R$5:$R$35</f>
            </numRef>
          </val>
        </ser>
        <ser>
          <idx val="7"/>
          <order val="7"/>
          <tx>
            <v>Matthew Joint Ann</v>
          </tx>
          <spPr>
            <a:solidFill xmlns:a="http://schemas.openxmlformats.org/drawingml/2006/main">
              <a:srgbClr val="E07540"/>
            </a:solidFill>
            <a:ln xmlns:a="http://schemas.openxmlformats.org/drawingml/2006/main">
              <a:prstDash val="solid"/>
            </a:ln>
          </spPr>
          <cat>
            <numRef>
              <f>'_Chart Dashboard Data'!$K$5:$K$35</f>
            </numRef>
          </cat>
          <val>
            <numRef>
              <f>'_Chart Dashboard Data'!$S$5:$S$35</f>
            </numRef>
          </val>
        </ser>
        <ser>
          <idx val="8"/>
          <order val="8"/>
          <tx>
            <v>Note P+I</v>
          </tx>
          <spPr>
            <a:solidFill xmlns:a="http://schemas.openxmlformats.org/drawingml/2006/main">
              <a:srgbClr val="5A3E85"/>
            </a:solidFill>
            <a:ln xmlns:a="http://schemas.openxmlformats.org/drawingml/2006/main">
              <a:prstDash val="solid"/>
            </a:ln>
          </spPr>
          <cat>
            <numRef>
              <f>'_Chart Dashboard Data'!$K$5:$K$35</f>
            </numRef>
          </cat>
          <val>
            <numRef>
              <f>'_Chart Dashboard Data'!$T$5:$T$35</f>
            </numRef>
          </val>
        </ser>
        <ser>
          <idx val="9"/>
          <order val="9"/>
          <tx>
            <v>RMD</v>
          </tx>
          <spPr>
            <a:solidFill xmlns:a="http://schemas.openxmlformats.org/drawingml/2006/main">
              <a:srgbClr val="9B2335"/>
            </a:solidFill>
            <a:ln xmlns:a="http://schemas.openxmlformats.org/drawingml/2006/main">
              <a:prstDash val="solid"/>
            </a:ln>
          </spPr>
          <cat>
            <numRef>
              <f>'_Chart Dashboard Data'!$K$5:$K$35</f>
            </numRef>
          </cat>
          <val>
            <numRef>
              <f>'_Chart Dashboard Data'!$U$5:$U$35</f>
            </numRef>
          </val>
        </ser>
        <ser>
          <idx val="10"/>
          <order val="10"/>
          <tx>
            <v>Trust Draw</v>
          </tx>
          <spPr>
            <a:solidFill xmlns:a="http://schemas.openxmlformats.org/drawingml/2006/main">
              <a:srgbClr val="7B3F9E"/>
            </a:solidFill>
            <a:ln xmlns:a="http://schemas.openxmlformats.org/drawingml/2006/main">
              <a:prstDash val="solid"/>
            </a:ln>
          </spPr>
          <cat>
            <numRef>
              <f>'_Chart Dashboard Data'!$K$5:$K$35</f>
            </numRef>
          </cat>
          <val>
            <numRef>
              <f>'_Chart Dashboard Data'!$V$5:$V$35</f>
            </numRef>
          </val>
        </ser>
        <ser>
          <idx val="11"/>
          <order val="11"/>
          <tx>
            <v>HSA Draw</v>
          </tx>
          <spPr>
            <a:solidFill xmlns:a="http://schemas.openxmlformats.org/drawingml/2006/main">
              <a:srgbClr val="1B7A9E"/>
            </a:solidFill>
            <a:ln xmlns:a="http://schemas.openxmlformats.org/drawingml/2006/main">
              <a:prstDash val="solid"/>
            </a:ln>
          </spPr>
          <cat>
            <numRef>
              <f>'_Chart Dashboard Data'!$K$5:$K$35</f>
            </numRef>
          </cat>
          <val>
            <numRef>
              <f>'_Chart Dashboard Data'!$W$5:$W$35</f>
            </numRef>
          </val>
        </ser>
        <ser>
          <idx val="12"/>
          <order val="12"/>
          <tx>
            <v>Roth Draw</v>
          </tx>
          <spPr>
            <a:solidFill xmlns:a="http://schemas.openxmlformats.org/drawingml/2006/main">
              <a:srgbClr val="156041"/>
            </a:solidFill>
            <a:ln xmlns:a="http://schemas.openxmlformats.org/drawingml/2006/main">
              <a:prstDash val="solid"/>
            </a:ln>
          </spPr>
          <cat>
            <numRef>
              <f>'_Chart Dashboard Data'!$K$5:$K$35</f>
            </numRef>
          </cat>
          <val>
            <numRef>
              <f>'_Chart Dashboard Data'!$X$5:$X$35</f>
            </numRef>
          </val>
        </ser>
        <ser>
          <idx val="13"/>
          <order val="13"/>
          <tx>
            <v>IRA Draw</v>
          </tx>
          <spPr>
            <a:solidFill xmlns:a="http://schemas.openxmlformats.org/drawingml/2006/main">
              <a:srgbClr val="B85C00"/>
            </a:solidFill>
            <a:ln xmlns:a="http://schemas.openxmlformats.org/drawingml/2006/main">
              <a:prstDash val="solid"/>
            </a:ln>
          </spPr>
          <cat>
            <numRef>
              <f>'_Chart Dashboard Data'!$K$5:$K$35</f>
            </numRef>
          </cat>
          <val>
            <numRef>
              <f>'_Chart Dashboard Data'!$Y$5:$Y$35</f>
            </numRef>
          </val>
        </ser>
        <ser>
          <idx val="14"/>
          <order val="14"/>
          <tx>
            <v>HELOC Draw</v>
          </tx>
          <spPr>
            <a:solidFill xmlns:a="http://schemas.openxmlformats.org/drawingml/2006/main">
              <a:srgbClr val="8B5E3C"/>
            </a:solidFill>
            <a:ln xmlns:a="http://schemas.openxmlformats.org/drawingml/2006/main">
              <a:prstDash val="solid"/>
            </a:ln>
          </spPr>
          <cat>
            <numRef>
              <f>'_Chart Dashboard Data'!$K$5:$K$35</f>
            </numRef>
          </cat>
          <val>
            <numRef>
              <f>'_Chart Dashboard Data'!$Z$5:$Z$35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max val="500000"/>
          <min val="0"/>
        </scaling>
        <delete val="0"/>
        <axPos val="l"/>
        <majorGridlines/>
        <numFmt formatCode="$#,##0,&quot;K&quot;" sourceLinked="0"/>
        <majorTickMark val="none"/>
        <minorTickMark val="none"/>
        <tickLblPos val="nextTo"/>
        <crossAx val="10"/>
        <majorUnit val="100000"/>
      </valAx>
    </plotArea>
    <legend>
      <legendPos val="r"/>
      <overlay val="0"/>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Cash Flow — Spending &amp; Taxes  ·  2026–2056</a:t>
            </a:r>
          </a:p>
        </rich>
      </tx>
    </title>
    <plotArea>
      <barChart>
        <barDir val="col"/>
        <grouping val="stacked"/>
        <ser>
          <idx val="0"/>
          <order val="0"/>
          <tx>
            <v>Base Spending</v>
          </tx>
          <spPr>
            <a:solidFill xmlns:a="http://schemas.openxmlformats.org/drawingml/2006/main">
              <a:srgbClr val="1F3864"/>
            </a:solidFill>
            <a:ln xmlns:a="http://schemas.openxmlformats.org/drawingml/2006/main">
              <a:prstDash val="solid"/>
            </a:ln>
          </spPr>
          <cat>
            <numRef>
              <f>'_Chart Dashboard Data'!$AC$5:$AC$35</f>
            </numRef>
          </cat>
          <val>
            <numRef>
              <f>'_Chart Dashboard Data'!$AD$5:$AD$35</f>
            </numRef>
          </val>
        </ser>
        <ser>
          <idx val="1"/>
          <order val="1"/>
          <tx>
            <v>Housing</v>
          </tx>
          <spPr>
            <a:solidFill xmlns:a="http://schemas.openxmlformats.org/drawingml/2006/main">
              <a:srgbClr val="2E75B6"/>
            </a:solidFill>
            <a:ln xmlns:a="http://schemas.openxmlformats.org/drawingml/2006/main">
              <a:prstDash val="solid"/>
            </a:ln>
          </spPr>
          <cat>
            <numRef>
              <f>'_Chart Dashboard Data'!$AC$5:$AC$35</f>
            </numRef>
          </cat>
          <val>
            <numRef>
              <f>'_Chart Dashboard Data'!$AE$5:$AE$35</f>
            </numRef>
          </val>
        </ser>
        <ser>
          <idx val="2"/>
          <order val="2"/>
          <tx>
            <v>Wellness</v>
          </tx>
          <spPr>
            <a:solidFill xmlns:a="http://schemas.openxmlformats.org/drawingml/2006/main">
              <a:srgbClr val="C55A11"/>
            </a:solidFill>
            <a:ln xmlns:a="http://schemas.openxmlformats.org/drawingml/2006/main">
              <a:prstDash val="solid"/>
            </a:ln>
          </spPr>
          <cat>
            <numRef>
              <f>'_Chart Dashboard Data'!$AC$5:$AC$35</f>
            </numRef>
          </cat>
          <val>
            <numRef>
              <f>'_Chart Dashboard Data'!$AF$5:$AF$35</f>
            </numRef>
          </val>
        </ser>
        <ser>
          <idx val="3"/>
          <order val="3"/>
          <tx>
            <v>Travel</v>
          </tx>
          <spPr>
            <a:solidFill xmlns:a="http://schemas.openxmlformats.org/drawingml/2006/main">
              <a:srgbClr val="C9A84C"/>
            </a:solidFill>
            <a:ln xmlns:a="http://schemas.openxmlformats.org/drawingml/2006/main">
              <a:prstDash val="solid"/>
            </a:ln>
          </spPr>
          <cat>
            <numRef>
              <f>'_Chart Dashboard Data'!$AC$5:$AC$35</f>
            </numRef>
          </cat>
          <val>
            <numRef>
              <f>'_Chart Dashboard Data'!$AG$5:$AG$35</f>
            </numRef>
          </val>
        </ser>
        <ser>
          <idx val="4"/>
          <order val="4"/>
          <tx>
            <v>Other</v>
          </tx>
          <spPr>
            <a:solidFill xmlns:a="http://schemas.openxmlformats.org/drawingml/2006/main">
              <a:srgbClr val="059669"/>
            </a:solidFill>
            <a:ln xmlns:a="http://schemas.openxmlformats.org/drawingml/2006/main">
              <a:prstDash val="solid"/>
            </a:ln>
          </spPr>
          <cat>
            <numRef>
              <f>'_Chart Dashboard Data'!$AC$5:$AC$35</f>
            </numRef>
          </cat>
          <val>
            <numRef>
              <f>'_Chart Dashboard Data'!$AH$5:$AH$35</f>
            </numRef>
          </val>
        </ser>
        <ser>
          <idx val="5"/>
          <order val="5"/>
          <tx>
            <v>Federal Tax</v>
          </tx>
          <spPr>
            <a:solidFill xmlns:a="http://schemas.openxmlformats.org/drawingml/2006/main">
              <a:srgbClr val="9B2335"/>
            </a:solidFill>
            <a:ln xmlns:a="http://schemas.openxmlformats.org/drawingml/2006/main">
              <a:prstDash val="solid"/>
            </a:ln>
          </spPr>
          <cat>
            <numRef>
              <f>'_Chart Dashboard Data'!$AC$5:$AC$35</f>
            </numRef>
          </cat>
          <val>
            <numRef>
              <f>'_Chart Dashboard Data'!$AI$5:$AI$35</f>
            </numRef>
          </val>
        </ser>
        <ser>
          <idx val="6"/>
          <order val="6"/>
          <tx>
            <v>State Tax (Il)</v>
          </tx>
          <spPr>
            <a:solidFill xmlns:a="http://schemas.openxmlformats.org/drawingml/2006/main">
              <a:srgbClr val="C5384E"/>
            </a:solidFill>
            <a:ln xmlns:a="http://schemas.openxmlformats.org/drawingml/2006/main">
              <a:prstDash val="solid"/>
            </a:ln>
          </spPr>
          <cat>
            <numRef>
              <f>'_Chart Dashboard Data'!$AC$5:$AC$35</f>
            </numRef>
          </cat>
          <val>
            <numRef>
              <f>'_Chart Dashboard Data'!$AJ$5:$AJ$35</f>
            </numRef>
          </val>
        </ser>
        <ser>
          <idx val="7"/>
          <order val="7"/>
          <tx>
            <v>NIIT</v>
          </tx>
          <spPr>
            <a:solidFill xmlns:a="http://schemas.openxmlformats.org/drawingml/2006/main">
              <a:srgbClr val="E07595"/>
            </a:solidFill>
            <a:ln xmlns:a="http://schemas.openxmlformats.org/drawingml/2006/main">
              <a:prstDash val="solid"/>
            </a:ln>
          </spPr>
          <cat>
            <numRef>
              <f>'_Chart Dashboard Data'!$AC$5:$AC$35</f>
            </numRef>
          </cat>
          <val>
            <numRef>
              <f>'_Chart Dashboard Data'!$AK$5:$AK$35</f>
            </numRef>
          </val>
        </ser>
        <ser>
          <idx val="8"/>
          <order val="8"/>
          <tx>
            <v>Payroll Tax</v>
          </tx>
          <spPr>
            <a:solidFill xmlns:a="http://schemas.openxmlformats.org/drawingml/2006/main">
              <a:srgbClr val="595959"/>
            </a:solidFill>
            <a:ln xmlns:a="http://schemas.openxmlformats.org/drawingml/2006/main">
              <a:prstDash val="solid"/>
            </a:ln>
          </spPr>
          <cat>
            <numRef>
              <f>'_Chart Dashboard Data'!$AC$5:$AC$35</f>
            </numRef>
          </cat>
          <val>
            <numRef>
              <f>'_Chart Dashboard Data'!$AL$5:$AL$35</f>
            </numRef>
          </val>
        </ser>
        <ser>
          <idx val="9"/>
          <order val="9"/>
          <tx>
            <v>HELOC P&amp;I</v>
          </tx>
          <spPr>
            <a:solidFill xmlns:a="http://schemas.openxmlformats.org/drawingml/2006/main">
              <a:srgbClr val="2D6A8F"/>
            </a:solidFill>
            <a:ln xmlns:a="http://schemas.openxmlformats.org/drawingml/2006/main">
              <a:prstDash val="solid"/>
            </a:ln>
          </spPr>
          <cat>
            <numRef>
              <f>'_Chart Dashboard Data'!$AC$5:$AC$35</f>
            </numRef>
          </cat>
          <val>
            <numRef>
              <f>'_Chart Dashboard Data'!$AM$5:$AM$35</f>
            </numRef>
          </val>
        </ser>
        <gapWidth val="20"/>
        <overlap val="100"/>
        <axId val="10"/>
        <axId val="100"/>
      </barChart>
      <catAx>
        <axId val="10"/>
        <scaling>
          <orientation val="minMax"/>
        </scaling>
        <delete val="0"/>
        <axPos val="l"/>
        <numFmt formatCode="0" sourceLinked="0"/>
        <majorTickMark val="none"/>
        <minorTickMark val="none"/>
        <tickLblPos val="low"/>
        <crossAx val="100"/>
        <lblOffset val="100"/>
      </catAx>
      <valAx>
        <axId val="100"/>
        <scaling>
          <orientation val="minMax"/>
          <max val="500000"/>
          <min val="0"/>
        </scaling>
        <delete val="0"/>
        <axPos val="l"/>
        <majorGridlines/>
        <numFmt formatCode="$#,##0,&quot;K&quot;" sourceLinked="0"/>
        <majorTickMark val="none"/>
        <minorTickMark val="none"/>
        <tickLblPos val="nextTo"/>
        <crossAx val="10"/>
        <majorUnit val="100000"/>
      </valAx>
    </plotArea>
    <legend>
      <legendPos val="r"/>
      <overlay val="0"/>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Net Worth Percentile Bands  ·  Monte Carlo Sims  ·  Plan Horizon</a:t>
            </a:r>
          </a:p>
        </rich>
      </tx>
    </title>
    <plotArea>
      <lineChart>
        <grouping val="standard"/>
        <ser>
          <idx val="0"/>
          <order val="0"/>
          <tx>
            <v>P10</v>
          </tx>
          <spPr>
            <a:solidFill xmlns:a="http://schemas.openxmlformats.org/drawingml/2006/main">
              <a:srgbClr val="9B2335"/>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Data'!$AR$5:$AR$35</f>
            </numRef>
          </val>
        </ser>
        <ser>
          <idx val="1"/>
          <order val="1"/>
          <tx>
            <v>P25</v>
          </tx>
          <spPr>
            <a:solidFill xmlns:a="http://schemas.openxmlformats.org/drawingml/2006/main">
              <a:srgbClr val="C55A11"/>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Data'!$AS$5:$AS$35</f>
            </numRef>
          </val>
        </ser>
        <ser>
          <idx val="2"/>
          <order val="2"/>
          <tx>
            <v>P50 Median</v>
          </tx>
          <spPr>
            <a:solidFill xmlns:a="http://schemas.openxmlformats.org/drawingml/2006/main">
              <a:srgbClr val="2D6A4F"/>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Data'!$AT$5:$AT$35</f>
            </numRef>
          </val>
        </ser>
        <ser>
          <idx val="3"/>
          <order val="3"/>
          <tx>
            <v>P75</v>
          </tx>
          <spPr>
            <a:solidFill xmlns:a="http://schemas.openxmlformats.org/drawingml/2006/main">
              <a:srgbClr val="2E75B6"/>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Data'!$AU$5:$AU$35</f>
            </numRef>
          </val>
        </ser>
        <ser>
          <idx val="4"/>
          <order val="4"/>
          <tx>
            <v>P90</v>
          </tx>
          <spPr>
            <a:solidFill xmlns:a="http://schemas.openxmlformats.org/drawingml/2006/main">
              <a:srgbClr val="1F3864"/>
            </a:solidFill>
            <a:ln xmlns:a="http://schemas.openxmlformats.org/drawingml/2006/main">
              <a:prstDash val="solid"/>
            </a:ln>
          </spPr>
          <marker>
            <symbol val="none"/>
            <spPr>
              <a:ln xmlns:a="http://schemas.openxmlformats.org/drawingml/2006/main">
                <a:prstDash val="solid"/>
              </a:ln>
            </spPr>
          </marker>
          <cat>
            <numRef>
              <f>'_Chart Dashboard Data'!$AQ$5:$AQ$35</f>
            </numRef>
          </cat>
          <val>
            <numRef>
              <f>'_Chart Dashboard Data'!$AV$5:$AV$35</f>
            </numRef>
          </val>
        </ser>
        <axId val="10"/>
        <axId val="100"/>
      </lineChart>
      <catAx>
        <axId val="10"/>
        <scaling>
          <orientation val="minMax"/>
        </scaling>
        <axPos val="l"/>
        <numFmt formatCode="0" sourceLinked="0"/>
        <majorTickMark val="none"/>
        <minorTickMark val="none"/>
        <tickLblPos val="low"/>
        <crossAx val="100"/>
        <lblOffset val="100"/>
      </catAx>
      <valAx>
        <axId val="100"/>
        <scaling>
          <orientation val="minMax"/>
        </scaling>
        <delete val="0"/>
        <axPos val="l"/>
        <majorGridlines/>
        <numFmt formatCode="$#,##0,,&quot;M&quot;" sourceLinked="0"/>
        <majorTickMark val="none"/>
        <minorTickMark val="none"/>
        <crossAx val="10"/>
      </valAx>
    </plotArea>
    <legend>
      <legendPos val="r"/>
      <overlay val="0"/>
    </legend>
    <plotVisOnly val="0"/>
    <dispBlanksAs val="gap"/>
  </chart>
</chartSpace>
</file>

<file path=xl/charts/chart5.xml><?xml version="1.0" encoding="utf-8"?>
<chartSpace xmlns="http://schemas.openxmlformats.org/drawingml/2006/chart">
  <style val="10"/>
  <chart>
    <title>
      <tx>
        <rich>
          <a:bodyPr xmlns:a="http://schemas.openxmlformats.org/drawingml/2006/main"/>
          <a:p xmlns:a="http://schemas.openxmlformats.org/drawingml/2006/main">
            <a:pPr>
              <a:defRPr/>
            </a:pPr>
            <a:r>
              <a:t>Current Portfolio Allocation</a:t>
            </a:r>
          </a:p>
        </rich>
      </tx>
    </title>
    <plotArea>
      <pieChart>
        <varyColors val="1"/>
        <ser>
          <idx val="0"/>
          <order val="0"/>
          <spPr>
            <a:ln xmlns:a="http://schemas.openxmlformats.org/drawingml/2006/main">
              <a:prstDash val="solid"/>
            </a:ln>
          </spPr>
          <dPt>
            <idx val="0"/>
            <spPr>
              <a:solidFill xmlns:a="http://schemas.openxmlformats.org/drawingml/2006/main">
                <a:srgbClr val="2D6A4F"/>
              </a:solidFill>
              <a:ln xmlns:a="http://schemas.openxmlformats.org/drawingml/2006/main">
                <a:prstDash val="solid"/>
              </a:ln>
            </spPr>
          </dPt>
          <dPt>
            <idx val="1"/>
            <spPr>
              <a:solidFill xmlns:a="http://schemas.openxmlformats.org/drawingml/2006/main">
                <a:srgbClr val="40916C"/>
              </a:solidFill>
              <a:ln xmlns:a="http://schemas.openxmlformats.org/drawingml/2006/main">
                <a:prstDash val="solid"/>
              </a:ln>
            </spPr>
          </dPt>
          <dPt>
            <idx val="2"/>
            <spPr>
              <a:solidFill xmlns:a="http://schemas.openxmlformats.org/drawingml/2006/main">
                <a:srgbClr val="74C69D"/>
              </a:solidFill>
              <a:ln xmlns:a="http://schemas.openxmlformats.org/drawingml/2006/main">
                <a:prstDash val="solid"/>
              </a:ln>
            </spPr>
          </dPt>
          <dPt>
            <idx val="3"/>
            <spPr>
              <a:solidFill xmlns:a="http://schemas.openxmlformats.org/drawingml/2006/main">
                <a:srgbClr val="B7E4C7"/>
              </a:solidFill>
              <a:ln xmlns:a="http://schemas.openxmlformats.org/drawingml/2006/main">
                <a:prstDash val="solid"/>
              </a:ln>
            </spPr>
          </dPt>
          <dPt>
            <idx val="4"/>
            <spPr>
              <a:solidFill xmlns:a="http://schemas.openxmlformats.org/drawingml/2006/main">
                <a:srgbClr val="BC6C25"/>
              </a:solidFill>
              <a:ln xmlns:a="http://schemas.openxmlformats.org/drawingml/2006/main">
                <a:prstDash val="solid"/>
              </a:ln>
            </spPr>
          </dPt>
          <dPt>
            <idx val="5"/>
            <spPr>
              <a:solidFill xmlns:a="http://schemas.openxmlformats.org/drawingml/2006/main">
                <a:srgbClr val="74C69D"/>
              </a:solidFill>
              <a:ln xmlns:a="http://schemas.openxmlformats.org/drawingml/2006/main">
                <a:prstDash val="solid"/>
              </a:ln>
            </spPr>
          </dPt>
          <dPt>
            <idx val="6"/>
            <spPr>
              <a:solidFill xmlns:a="http://schemas.openxmlformats.org/drawingml/2006/main">
                <a:srgbClr val="B7E4C7"/>
              </a:solidFill>
              <a:ln xmlns:a="http://schemas.openxmlformats.org/drawingml/2006/main">
                <a:prstDash val="solid"/>
              </a:ln>
            </spPr>
          </dPt>
          <cat>
            <strRef>
              <f>'_Chart Dashboard Data'!$A$211:$A$217</f>
              <strCache>
                <ptCount val="7"/>
                <pt idx="0">
                  <v>US Large Cap</v>
                </pt>
                <pt idx="1">
                  <v>International</v>
                </pt>
                <pt idx="2">
                  <v>US Small Cap</v>
                </pt>
                <pt idx="3">
                  <v>Commodities</v>
                </pt>
                <pt idx="4">
                  <v>Cash</v>
                </pt>
                <pt idx="5">
                  <v>Fixed Income (Non-Liquid)</v>
                </pt>
                <pt idx="6">
                  <v>Real Estate (Non-Liquid)</v>
                </pt>
              </strCache>
            </strRef>
          </cat>
          <val>
            <numRef>
              <f>'_Chart Dashboard Data'!$B$211:$B$217</f>
              <numCache>
                <ptCount val="7"/>
                <pt idx="0">
                  <v>1329502.60797</v>
                </pt>
                <pt idx="1">
                  <v>897149.1413760001</v>
                </pt>
                <pt idx="2">
                  <v>310315.117414</v>
                </pt>
                <pt idx="3">
                  <v>166714.35</v>
                </pt>
                <pt idx="4">
                  <v>17926.75</v>
                </pt>
                <pt idx="5">
                  <v>1274327.16356137</v>
                </pt>
                <pt idx="6">
                  <v>1313000</v>
                </pt>
              </numCache>
            </numRef>
          </val>
        </ser>
        <dLbls>
          <showLegendKey val="0"/>
          <showVal val="0"/>
          <showCatName val="1"/>
          <showSerName val="0"/>
          <showPercent val="1"/>
          <showLeaderLines val="1"/>
        </dLbls>
        <firstSliceAng val="0"/>
      </pieChart>
    </plotArea>
    <plotVisOnly val="1"/>
    <dispBlanksAs val="gap"/>
  </chart>
</chartSpace>
</file>

<file path=xl/charts/chart6.xml><?xml version="1.0" encoding="utf-8"?>
<chartSpace xmlns="http://schemas.openxmlformats.org/drawingml/2006/chart">
  <style val="10"/>
  <chart>
    <title>
      <tx>
        <rich>
          <a:bodyPr xmlns:a="http://schemas.openxmlformats.org/drawingml/2006/main"/>
          <a:p xmlns:a="http://schemas.openxmlformats.org/drawingml/2006/main">
            <a:pPr>
              <a:defRPr/>
            </a:pPr>
            <a:r>
              <a:t>Target Portfolio Allocation</a:t>
            </a:r>
          </a:p>
        </rich>
      </tx>
    </title>
    <plotArea>
      <pieChart>
        <varyColors val="1"/>
        <ser>
          <idx val="0"/>
          <order val="0"/>
          <spPr>
            <a:ln xmlns:a="http://schemas.openxmlformats.org/drawingml/2006/main">
              <a:prstDash val="solid"/>
            </a:ln>
          </spPr>
          <dPt>
            <idx val="0"/>
            <spPr>
              <a:solidFill xmlns:a="http://schemas.openxmlformats.org/drawingml/2006/main">
                <a:srgbClr val="2D6A4F"/>
              </a:solidFill>
              <a:ln xmlns:a="http://schemas.openxmlformats.org/drawingml/2006/main">
                <a:prstDash val="solid"/>
              </a:ln>
            </spPr>
          </dPt>
          <dPt>
            <idx val="1"/>
            <spPr>
              <a:solidFill xmlns:a="http://schemas.openxmlformats.org/drawingml/2006/main">
                <a:srgbClr val="40916C"/>
              </a:solidFill>
              <a:ln xmlns:a="http://schemas.openxmlformats.org/drawingml/2006/main">
                <a:prstDash val="solid"/>
              </a:ln>
            </spPr>
          </dPt>
          <dPt>
            <idx val="2"/>
            <spPr>
              <a:solidFill xmlns:a="http://schemas.openxmlformats.org/drawingml/2006/main">
                <a:srgbClr val="74C69D"/>
              </a:solidFill>
              <a:ln xmlns:a="http://schemas.openxmlformats.org/drawingml/2006/main">
                <a:prstDash val="solid"/>
              </a:ln>
            </spPr>
          </dPt>
          <dPt>
            <idx val="3"/>
            <spPr>
              <a:solidFill xmlns:a="http://schemas.openxmlformats.org/drawingml/2006/main">
                <a:srgbClr val="B7E4C7"/>
              </a:solidFill>
              <a:ln xmlns:a="http://schemas.openxmlformats.org/drawingml/2006/main">
                <a:prstDash val="solid"/>
              </a:ln>
            </spPr>
          </dPt>
          <dPt>
            <idx val="4"/>
            <spPr>
              <a:solidFill xmlns:a="http://schemas.openxmlformats.org/drawingml/2006/main">
                <a:srgbClr val="BC6C25"/>
              </a:solidFill>
              <a:ln xmlns:a="http://schemas.openxmlformats.org/drawingml/2006/main">
                <a:prstDash val="solid"/>
              </a:ln>
            </spPr>
          </dPt>
          <dPt>
            <idx val="5"/>
            <spPr>
              <a:solidFill xmlns:a="http://schemas.openxmlformats.org/drawingml/2006/main">
                <a:srgbClr val="023E8A"/>
              </a:solidFill>
              <a:ln xmlns:a="http://schemas.openxmlformats.org/drawingml/2006/main">
                <a:prstDash val="solid"/>
              </a:ln>
            </spPr>
          </dPt>
          <dPt>
            <idx val="6"/>
            <spPr>
              <a:solidFill xmlns:a="http://schemas.openxmlformats.org/drawingml/2006/main">
                <a:srgbClr val="40916C"/>
              </a:solidFill>
              <a:ln xmlns:a="http://schemas.openxmlformats.org/drawingml/2006/main">
                <a:prstDash val="solid"/>
              </a:ln>
            </spPr>
          </dPt>
          <dPt>
            <idx val="7"/>
            <spPr>
              <a:solidFill xmlns:a="http://schemas.openxmlformats.org/drawingml/2006/main">
                <a:srgbClr val="74C69D"/>
              </a:solidFill>
              <a:ln xmlns:a="http://schemas.openxmlformats.org/drawingml/2006/main">
                <a:prstDash val="solid"/>
              </a:ln>
            </spPr>
          </dPt>
          <dPt>
            <idx val="8"/>
            <spPr>
              <a:solidFill xmlns:a="http://schemas.openxmlformats.org/drawingml/2006/main">
                <a:srgbClr val="B7E4C7"/>
              </a:solidFill>
              <a:ln xmlns:a="http://schemas.openxmlformats.org/drawingml/2006/main">
                <a:prstDash val="solid"/>
              </a:ln>
            </spPr>
          </dPt>
          <cat>
            <strRef>
              <f>'_Chart Dashboard Data'!$D$211:$D$219</f>
              <strCache>
                <ptCount val="9"/>
                <pt idx="0">
                  <v>US Large Cap</v>
                </pt>
                <pt idx="1">
                  <v>International</v>
                </pt>
                <pt idx="2">
                  <v>US Small Cap</v>
                </pt>
                <pt idx="3">
                  <v>Commodities</v>
                </pt>
                <pt idx="4">
                  <v>Cash</v>
                </pt>
                <pt idx="5">
                  <v>Emerging Markets</v>
                </pt>
                <pt idx="6">
                  <v>US Mid Cap</v>
                </pt>
                <pt idx="7">
                  <v>Fixed Income (Non-Liquid)</v>
                </pt>
                <pt idx="8">
                  <v>Real Estate (Non-Liquid)</v>
                </pt>
              </strCache>
            </strRef>
          </cat>
          <val>
            <numRef>
              <f>'_Chart Dashboard Data'!$E$211:$E$219</f>
              <numCache>
                <ptCount val="9"/>
                <pt idx="0">
                  <v>1190703.60797</v>
                </pt>
                <pt idx="1">
                  <v>680402.1413760001</v>
                </pt>
                <pt idx="2">
                  <v>170100.237414</v>
                </pt>
                <pt idx="3">
                  <v>170100.35</v>
                </pt>
                <pt idx="4">
                  <v>170100.75</v>
                </pt>
                <pt idx="5">
                  <v>170101</v>
                </pt>
                <pt idx="6">
                  <v>170100</v>
                </pt>
                <pt idx="7">
                  <v>1274327.16356137</v>
                </pt>
                <pt idx="8">
                  <v>1313000</v>
                </pt>
              </numCache>
            </numRef>
          </val>
        </ser>
        <dLbls>
          <showLegendKey val="0"/>
          <showVal val="0"/>
          <showCatName val="1"/>
          <showSerName val="0"/>
          <showPercent val="1"/>
          <showLeaderLines val="1"/>
        </dLbls>
        <firstSliceAng val="0"/>
      </pieChart>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0</col>
      <colOff>0</colOff>
      <row>3</row>
      <rowOff>0</rowOff>
    </from>
    <ext cx="108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41</row>
      <rowOff>0</rowOff>
    </from>
    <ext cx="10800000" cy="64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10800000" cy="64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117</row>
      <rowOff>0</rowOff>
    </from>
    <ext cx="10800000" cy="64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155</row>
      <rowOff>0</rowOff>
    </from>
    <ext cx="7920000" cy="100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11</col>
      <colOff>0</colOff>
      <row>155</row>
      <rowOff>0</rowOff>
    </from>
    <ext cx="7920000" cy="100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A. Executive Summary'!A1" TargetMode="External" Id="rId1"/><Relationship Type="http://schemas.openxmlformats.org/officeDocument/2006/relationships/hyperlink" Target="#'1B. Net Worth'!A1" TargetMode="External" Id="rId2"/><Relationship Type="http://schemas.openxmlformats.org/officeDocument/2006/relationships/hyperlink" Target="#'1C. Cash Flow'!A1" TargetMode="External" Id="rId3"/><Relationship Type="http://schemas.openxmlformats.org/officeDocument/2006/relationships/hyperlink" Target="#'1D. Balance Sheet'!A1" TargetMode="External" Id="rId4"/><Relationship Type="http://schemas.openxmlformats.org/officeDocument/2006/relationships/hyperlink" Target="#'1E. Charts'!A1" TargetMode="External" Id="rId5"/><Relationship Type="http://schemas.openxmlformats.org/officeDocument/2006/relationships/hyperlink" Target="#'1F. Lifetime Taxes'!A1" TargetMode="External" Id="rId6"/><Relationship Type="http://schemas.openxmlformats.org/officeDocument/2006/relationships/hyperlink" Target="#'1G. Core Spending'!A1" TargetMode="External" Id="rId7"/><Relationship Type="http://schemas.openxmlformats.org/officeDocument/2006/relationships/hyperlink" Target="#'1H. Spending Summary'!A1" TargetMode="External" Id="rId8"/></Relationships>
</file>

<file path=xl/worksheets/_rels/sheet6.xml.rels><Relationships xmlns="http://schemas.openxmlformats.org/package/2006/relationships"><Relationship Type="http://schemas.openxmlformats.org/officeDocument/2006/relationships/drawing" Target="/xl/drawings/drawing1.xml" Id="rId1"/></Relationships>
</file>

<file path=xl/worksheets/_rels/sheet10.xml.rels><Relationships xmlns="http://schemas.openxmlformats.org/package/2006/relationships"><Relationship Type="http://schemas.openxmlformats.org/officeDocument/2006/relationships/hyperlink" Target="#'2A. Roth Conversion'!A1" TargetMode="External" Id="rId1"/><Relationship Type="http://schemas.openxmlformats.org/officeDocument/2006/relationships/hyperlink" Target="#'2B. Asset Allocation'!A1" TargetMode="External" Id="rId2"/><Relationship Type="http://schemas.openxmlformats.org/officeDocument/2006/relationships/hyperlink" Target="#'2C. State Residency'!A1" TargetMode="External" Id="rId3"/><Relationship Type="http://schemas.openxmlformats.org/officeDocument/2006/relationships/hyperlink" Target="#'2D. Social Security'!A1" TargetMode="External" Id="rId4"/><Relationship Type="http://schemas.openxmlformats.org/officeDocument/2006/relationships/hyperlink" Target="#'2E. S-Corp vs LLC'!A1" TargetMode="External" Id="rId5"/><Relationship Type="http://schemas.openxmlformats.org/officeDocument/2006/relationships/hyperlink" Target="#'2F. Charitable Giving'!A1" TargetMode="External" Id="rId6"/><Relationship Type="http://schemas.openxmlformats.org/officeDocument/2006/relationships/hyperlink" Target="#'2G. Estate &amp; Legacy Planning'!A1" TargetMode="External" Id="rId7"/><Relationship Type="http://schemas.openxmlformats.org/officeDocument/2006/relationships/hyperlink" Target="#'2H. Planning Levers'!A1" TargetMode="External" Id="rId8"/></Relationships>
</file>

<file path=xl/worksheets/_rels/sheet19.xml.rels><Relationships xmlns="http://schemas.openxmlformats.org/package/2006/relationships"><Relationship Type="http://schemas.openxmlformats.org/officeDocument/2006/relationships/hyperlink" Target="#'3A. Monte Carlo'!A1" TargetMode="External" Id="rId1"/><Relationship Type="http://schemas.openxmlformats.org/officeDocument/2006/relationships/hyperlink" Target="#'3B. Survivor'!A1" TargetMode="External" Id="rId2"/><Relationship Type="http://schemas.openxmlformats.org/officeDocument/2006/relationships/hyperlink" Target="#'3C. LTC + Life Insurance'!A1" TargetMode="External" Id="rId3"/></Relationships>
</file>

<file path=xl/worksheets/_rels/sheet23.xml.rels><Relationships xmlns="http://schemas.openxmlformats.org/package/2006/relationships"><Relationship Type="http://schemas.openxmlformats.org/officeDocument/2006/relationships/hyperlink" Target="#'4A. Plan Data'!A1" TargetMode="External" Id="rId1"/><Relationship Type="http://schemas.openxmlformats.org/officeDocument/2006/relationships/hyperlink" Target="#'4B. Assumptions'!A1" TargetMode="External" Id="rId2"/><Relationship Type="http://schemas.openxmlformats.org/officeDocument/2006/relationships/hyperlink" Target="#'4C. Account Reconciliation'!A1" TargetMode="External" Id="rId3"/><Relationship Type="http://schemas.openxmlformats.org/officeDocument/2006/relationships/hyperlink" Target="#'4D. Quality Control'!A1" TargetMode="External" Id="rId4"/><Relationship Type="http://schemas.openxmlformats.org/officeDocument/2006/relationships/hyperlink" Target="#'4E. RMD Audit'!A1" TargetMode="External" Id="rId5"/><Relationship Type="http://schemas.openxmlformats.org/officeDocument/2006/relationships/hyperlink" Target="#'4F. Methodology'!A1" TargetMode="External" Id="rId6"/><Relationship Type="http://schemas.openxmlformats.org/officeDocument/2006/relationships/hyperlink" Target="#'4G. Glossary'!A1" TargetMode="External" Id="rId7"/></Relationships>
</file>

<file path=xl/worksheets/sheet1.xml><?xml version="1.0" encoding="utf-8"?>
<worksheet xmlns="http://schemas.openxmlformats.org/spreadsheetml/2006/main">
  <sheetPr>
    <tabColor rgb="002E75B6"/>
    <outlinePr summaryBelow="1" summaryRight="1"/>
    <pageSetUpPr/>
  </sheetPr>
  <dimension ref="A1:H15"/>
  <sheetViews>
    <sheetView showGridLines="0" workbookViewId="0">
      <selection activeCell="A1" sqref="A1"/>
    </sheetView>
  </sheetViews>
  <sheetFormatPr baseColWidth="8" defaultRowHeight="15"/>
  <cols>
    <col width="12" customWidth="1" min="1" max="1"/>
    <col width="14" customWidth="1" min="2" max="2"/>
    <col width="20" customWidth="1" min="3" max="3"/>
    <col width="14" customWidth="1" min="4" max="4"/>
    <col width="14" customWidth="1" min="5" max="5"/>
    <col width="14" customWidth="1" min="6" max="6"/>
    <col width="14" customWidth="1" min="7" max="7"/>
    <col width="14" customWidth="1" min="8" max="8"/>
  </cols>
  <sheetData>
    <row r="1" ht="18" customHeight="1">
      <c r="A1" s="1" t="inlineStr">
        <is>
          <t>1. REPORTS</t>
        </is>
      </c>
    </row>
    <row r="2" ht="20" customHeight="1"/>
    <row r="3" ht="15" customHeight="1">
      <c r="A3" s="2" t="inlineStr">
        <is>
          <t>Read-only plan reports and advisor-review outputs.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1. Reports</t>
        </is>
      </c>
      <c r="B6" s="4" t="n"/>
      <c r="C6" s="7" t="inlineStr">
        <is>
          <t>1A. Executive Summary</t>
        </is>
      </c>
      <c r="D6" s="3" t="n"/>
      <c r="E6" s="3" t="n"/>
      <c r="F6" s="3" t="n"/>
      <c r="G6" s="4" t="n"/>
    </row>
    <row r="7" ht="15" customHeight="1">
      <c r="C7" s="7" t="inlineStr">
        <is>
          <t>1B. Net Worth</t>
        </is>
      </c>
      <c r="D7" s="3" t="n"/>
      <c r="E7" s="3" t="n"/>
      <c r="F7" s="3" t="n"/>
      <c r="G7" s="4" t="n"/>
    </row>
    <row r="8" ht="15" customHeight="1">
      <c r="C8" s="7" t="inlineStr">
        <is>
          <t>1C. Cash Flow</t>
        </is>
      </c>
      <c r="D8" s="3" t="n"/>
      <c r="E8" s="3" t="n"/>
      <c r="F8" s="3" t="n"/>
      <c r="G8" s="4" t="n"/>
    </row>
    <row r="9" ht="15" customHeight="1">
      <c r="C9" s="7" t="inlineStr">
        <is>
          <t>1D. Balance Sheet</t>
        </is>
      </c>
      <c r="D9" s="3" t="n"/>
      <c r="E9" s="3" t="n"/>
      <c r="F9" s="3" t="n"/>
      <c r="G9" s="4" t="n"/>
    </row>
    <row r="10" ht="15" customHeight="1">
      <c r="C10" s="7" t="inlineStr">
        <is>
          <t>1E. Charts</t>
        </is>
      </c>
      <c r="D10" s="3" t="n"/>
      <c r="E10" s="3" t="n"/>
      <c r="F10" s="3" t="n"/>
      <c r="G10" s="4" t="n"/>
    </row>
    <row r="11" ht="15" customHeight="1">
      <c r="C11" s="7" t="inlineStr">
        <is>
          <t>1F. Lifetime Taxes</t>
        </is>
      </c>
      <c r="D11" s="3" t="n"/>
      <c r="E11" s="3" t="n"/>
      <c r="F11" s="3" t="n"/>
      <c r="G11" s="4" t="n"/>
    </row>
    <row r="12" ht="15" customHeight="1">
      <c r="C12" s="7" t="inlineStr">
        <is>
          <t>1G. Core Spending</t>
        </is>
      </c>
      <c r="D12" s="3" t="n"/>
      <c r="E12" s="3" t="n"/>
      <c r="F12" s="3" t="n"/>
      <c r="G12" s="4" t="n"/>
    </row>
    <row r="13" ht="15" customHeight="1">
      <c r="C13" s="7" t="inlineStr">
        <is>
          <t>1H. Spending Summary</t>
        </is>
      </c>
      <c r="D13" s="3" t="n"/>
      <c r="E13" s="3" t="n"/>
      <c r="F13" s="3" t="n"/>
      <c r="G13" s="4" t="n"/>
    </row>
    <row r="14" ht="20" customHeight="1"/>
    <row r="15" ht="30" customHeight="1">
      <c r="A15" s="8" t="inlineStr">
        <is>
          <t>This workbook is an output/reporting surface. Edit plan data in the app database; use CSV only for import/export utilities.</t>
        </is>
      </c>
      <c r="B15" s="3" t="n"/>
      <c r="C15" s="3" t="n"/>
      <c r="D15" s="3" t="n"/>
      <c r="E15" s="3" t="n"/>
      <c r="F15" s="3" t="n"/>
      <c r="G15" s="3" t="n"/>
      <c r="H15" s="4" t="n"/>
    </row>
    <row r="16" ht="20" customHeight="1"/>
  </sheetData>
  <mergeCells count="14">
    <mergeCell ref="A3:H3"/>
    <mergeCell ref="C7:G7"/>
    <mergeCell ref="C12:G12"/>
    <mergeCell ref="A15:H15"/>
    <mergeCell ref="C6:G6"/>
    <mergeCell ref="C10:G10"/>
    <mergeCell ref="A5:B5"/>
    <mergeCell ref="C11:G11"/>
    <mergeCell ref="C5:G5"/>
    <mergeCell ref="A1:H1"/>
    <mergeCell ref="C13:G13"/>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s>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H65"/>
  <sheetViews>
    <sheetView showGridLines="0" workbookViewId="0">
      <selection activeCell="A1" sqref="A1"/>
    </sheetView>
  </sheetViews>
  <sheetFormatPr baseColWidth="8" defaultRowHeight="15"/>
  <cols>
    <col width="15.9" customWidth="1" min="1" max="1"/>
    <col width="16.7" customWidth="1" min="2" max="2"/>
    <col width="16.7" customWidth="1" min="3" max="3"/>
    <col width="15" customWidth="1" min="4" max="4"/>
    <col width="16.7" customWidth="1" min="5" max="5"/>
    <col width="15.9" customWidth="1" min="6" max="6"/>
    <col width="10.6" customWidth="1" min="7" max="7"/>
    <col width="10.6" customWidth="1" min="8" max="8"/>
  </cols>
  <sheetData>
    <row r="1" ht="18" customHeight="1">
      <c r="A1" s="9" t="inlineStr">
        <is>
          <t>EXECUTIVE SUMMARY — Matthew &amp; Patricia Family</t>
        </is>
      </c>
    </row>
    <row r="2" ht="18" customHeight="1">
      <c r="A2" s="10" t="inlineStr">
        <is>
          <t>Plan Overview</t>
        </is>
      </c>
      <c r="B2" s="3" t="n"/>
      <c r="C2" s="3" t="n"/>
      <c r="D2" s="3" t="n"/>
      <c r="E2" s="3" t="n"/>
      <c r="F2" s="4" t="n"/>
    </row>
    <row r="3" ht="15" customHeight="1">
      <c r="A3" s="11" t="inlineStr">
        <is>
          <t>Plan Prepared</t>
        </is>
      </c>
      <c r="B3" s="12" t="inlineStr">
        <is>
          <t>2026-07-01</t>
        </is>
      </c>
      <c r="C3" s="3" t="n"/>
      <c r="D3" s="3" t="n"/>
      <c r="E3" s="3" t="n"/>
      <c r="F3" s="4" t="n"/>
    </row>
    <row r="4" ht="15" customHeight="1">
      <c r="A4" s="11" t="inlineStr">
        <is>
          <t>Clients</t>
        </is>
      </c>
      <c r="B4" s="12" t="inlineStr">
        <is>
          <t>Matthew (DOB: 1962) &amp; Patricia (DOB: 1961)</t>
        </is>
      </c>
      <c r="C4" s="3" t="n"/>
      <c r="D4" s="3" t="n"/>
      <c r="E4" s="3" t="n"/>
      <c r="F4" s="4" t="n"/>
    </row>
    <row r="5" ht="15" customHeight="1">
      <c r="A5" s="11" t="inlineStr">
        <is>
          <t>Residence State</t>
        </is>
      </c>
      <c r="B5" s="12" t="inlineStr">
        <is>
          <t>Illinois</t>
        </is>
      </c>
      <c r="C5" s="3" t="n"/>
      <c r="D5" s="3" t="n"/>
      <c r="E5" s="3" t="n"/>
      <c r="F5" s="4" t="n"/>
    </row>
    <row r="6" ht="15" customHeight="1">
      <c r="A6" s="11" t="inlineStr">
        <is>
          <t>Plan Horizon</t>
        </is>
      </c>
      <c r="B6" s="12" t="inlineStr">
        <is>
          <t>2026 – 2056</t>
        </is>
      </c>
      <c r="C6" s="3" t="n"/>
      <c r="D6" s="3" t="n"/>
      <c r="E6" s="3" t="n"/>
      <c r="F6" s="4" t="n"/>
    </row>
    <row r="7" ht="30" customHeight="1">
      <c r="A7" s="11" t="inlineStr">
        <is>
          <t>Statutory Version</t>
        </is>
      </c>
      <c r="B7" s="12" t="inlineStr">
        <is>
          <t>OBBBA (One Big Beautiful Bill Act), signed July 4 2025</t>
        </is>
      </c>
      <c r="C7" s="3" t="n"/>
      <c r="D7" s="3" t="n"/>
      <c r="E7" s="3" t="n"/>
      <c r="F7" s="4" t="n"/>
    </row>
    <row r="8" ht="30" customHeight="1">
      <c r="A8" s="11" t="inlineStr">
        <is>
          <t>Workbook Pricing Source</t>
        </is>
      </c>
      <c r="B8" s="12" t="inlineStr">
        <is>
          <t>CACHE — as of 06/29/2026 09:35 AM</t>
        </is>
      </c>
      <c r="C8" s="3" t="n"/>
      <c r="D8" s="3" t="n"/>
      <c r="E8" s="3" t="n"/>
      <c r="F8" s="4" t="n"/>
    </row>
    <row r="9"/>
    <row r="10" ht="15" customHeight="1">
      <c r="A10" s="13" t="inlineStr">
        <is>
          <t>Headline Numbers</t>
        </is>
      </c>
      <c r="B10" s="3" t="n"/>
      <c r="C10" s="3" t="n"/>
      <c r="D10" s="3" t="n"/>
      <c r="E10" s="3" t="n"/>
      <c r="F10" s="4" t="n"/>
    </row>
    <row r="11" ht="30" customHeight="1">
      <c r="A11" s="11" t="inlineStr">
        <is>
          <t>Starting Net Worth (Y0)</t>
        </is>
      </c>
      <c r="B11" s="14" t="n">
        <v>5928977.585458326</v>
      </c>
      <c r="C11" s="3" t="n"/>
      <c r="D11" s="3" t="n"/>
      <c r="E11" s="3" t="n"/>
      <c r="F11" s="4" t="n"/>
    </row>
    <row r="12" ht="30" customHeight="1">
      <c r="A12" s="11" t="inlineStr">
        <is>
          <t>Terminal Net Worth (Yn)</t>
        </is>
      </c>
      <c r="B12" s="14" t="n">
        <v>4805659.30177631</v>
      </c>
      <c r="C12" s="3" t="n"/>
      <c r="D12" s="3" t="n"/>
      <c r="E12" s="3" t="n"/>
      <c r="F12" s="4" t="n"/>
    </row>
    <row r="13" ht="45" customHeight="1">
      <c r="A13" s="11" t="inlineStr">
        <is>
          <t>Lifetime Federal Tax (estimated)</t>
        </is>
      </c>
      <c r="B13" s="14" t="n">
        <v>768150.4215334217</v>
      </c>
      <c r="C13" s="3" t="n"/>
      <c r="D13" s="3" t="n"/>
      <c r="E13" s="3" t="n"/>
      <c r="F13" s="4" t="n"/>
    </row>
    <row r="14" ht="30" customHeight="1">
      <c r="A14" s="11" t="inlineStr">
        <is>
          <t>Plan Success Rate (Monte Carlo)</t>
        </is>
      </c>
      <c r="B14" s="15" t="n">
        <v>0.6875</v>
      </c>
      <c r="C14" s="3" t="n"/>
      <c r="D14" s="3" t="n"/>
      <c r="E14" s="3" t="n"/>
      <c r="F14" s="4" t="n"/>
    </row>
    <row r="15" ht="30" customHeight="1">
      <c r="A15" s="11" t="inlineStr">
        <is>
          <t>Model Risk Rating</t>
        </is>
      </c>
      <c r="B15" s="16" t="inlineStr">
        <is>
          <t>APPROXIMATE_VECTORIZED_MC</t>
        </is>
      </c>
      <c r="C15" s="3" t="n"/>
      <c r="D15" s="3" t="n"/>
      <c r="E15" s="3" t="n"/>
      <c r="F15" s="4" t="n"/>
    </row>
    <row r="16" ht="30" customHeight="1">
      <c r="A16" s="11" t="inlineStr">
        <is>
          <t>Advisor-ready status</t>
        </is>
      </c>
      <c r="B16" s="16" t="inlineStr">
        <is>
          <t>BLOCKED</t>
        </is>
      </c>
      <c r="C16" s="3" t="n"/>
      <c r="D16" s="3" t="n"/>
      <c r="E16" s="3" t="n"/>
      <c r="F16" s="4" t="n"/>
    </row>
    <row r="17" ht="30" customHeight="1">
      <c r="A17" s="11" t="inlineStr">
        <is>
          <t>MC Success 95% CI Low</t>
        </is>
      </c>
      <c r="B17" s="15" t="n">
        <v>0.4440393186673406</v>
      </c>
      <c r="C17" s="3" t="n"/>
      <c r="D17" s="3" t="n"/>
      <c r="E17" s="3" t="n"/>
      <c r="F17" s="4" t="n"/>
    </row>
    <row r="18" ht="30" customHeight="1">
      <c r="A18" s="11" t="inlineStr">
        <is>
          <t>MC Success 95% CI High</t>
        </is>
      </c>
      <c r="B18" s="15" t="n">
        <v>0.8583556494803894</v>
      </c>
      <c r="C18" s="3" t="n"/>
      <c r="D18" s="3" t="n"/>
      <c r="E18" s="3" t="n"/>
      <c r="F18" s="4" t="n"/>
    </row>
    <row r="19" ht="45" customHeight="1">
      <c r="A19" s="11" t="inlineStr">
        <is>
          <t>Estimated Tax Saved — Roth Strategy</t>
        </is>
      </c>
      <c r="B19" s="14" t="n">
        <v>168803.5312561723</v>
      </c>
      <c r="C19" s="3" t="n"/>
      <c r="D19" s="3" t="n"/>
      <c r="E19" s="3" t="n"/>
      <c r="F19" s="4" t="n"/>
    </row>
    <row r="20" ht="30" customHeight="1">
      <c r="A20" s="11" t="inlineStr">
        <is>
          <t>Recommended SS Claim Age</t>
        </is>
      </c>
      <c r="B20" s="16" t="n">
        <v>70</v>
      </c>
      <c r="C20" s="3" t="n"/>
      <c r="D20" s="3" t="n"/>
      <c r="E20" s="3" t="n"/>
      <c r="F20" s="4" t="n"/>
    </row>
    <row r="21"/>
    <row r="22" ht="15" customHeight="1">
      <c r="A22" s="17" t="inlineStr">
        <is>
          <t>Priority Recommendations &amp; Action Items</t>
        </is>
      </c>
      <c r="B22" s="3" t="n"/>
      <c r="C22" s="3" t="n"/>
      <c r="D22" s="3" t="n"/>
      <c r="E22" s="3" t="n"/>
      <c r="F22" s="4" t="n"/>
    </row>
    <row r="23" ht="30" customHeight="1">
      <c r="A23" s="5" t="inlineStr">
        <is>
          <t>#</t>
        </is>
      </c>
      <c r="B23" s="5" t="inlineStr">
        <is>
          <t>Recommendation</t>
        </is>
      </c>
      <c r="C23" s="5" t="inlineStr">
        <is>
          <t>Rationale</t>
        </is>
      </c>
      <c r="D23" s="5" t="inlineStr">
        <is>
          <t>Est. Cost ($/yr)</t>
        </is>
      </c>
      <c r="E23" s="5" t="inlineStr">
        <is>
          <t>Est. Value ($/yr)</t>
        </is>
      </c>
      <c r="F23" s="5" t="inlineStr">
        <is>
          <t>Source Sheet</t>
        </is>
      </c>
    </row>
    <row r="24" ht="90" customHeight="1">
      <c r="A24" s="18" t="n">
        <v>1</v>
      </c>
      <c r="B24" s="12" t="inlineStr">
        <is>
          <t>Claim Social Security at Age 70</t>
        </is>
      </c>
      <c r="C24" s="12" t="inlineStr">
        <is>
          <t>Maximizes benefit by 32% vs age 67; break-even ~12 yrs; survivor gets 100% of higher benefit</t>
        </is>
      </c>
      <c r="D24" s="12" t="inlineStr">
        <is>
          <t>$0</t>
        </is>
      </c>
      <c r="E24" s="12" t="inlineStr">
        <is>
          <t>~$9,700/yr incremental vs age 67</t>
        </is>
      </c>
      <c r="F24" s="12" t="inlineStr">
        <is>
          <t>2D. Social Security</t>
        </is>
      </c>
    </row>
    <row r="25" ht="90" customHeight="1">
      <c r="A25" s="18" t="n">
        <v>2</v>
      </c>
      <c r="B25" s="12" t="inlineStr">
        <is>
          <t>Roth conversions through the configured conversion window</t>
        </is>
      </c>
      <c r="C25" s="12" t="inlineStr">
        <is>
          <t>Use the selected Roth strategy from 2A. Roth Conversion; forced conversions are separated from voluntary optimizer choices.</t>
        </is>
      </c>
      <c r="D25" s="12" t="inlineStr">
        <is>
          <t>Tax cost depends on selected strategy</t>
        </is>
      </c>
      <c r="E25" s="12" t="inlineStr">
        <is>
          <t>Compare candidate scores, lifetime tax, terminal value, and legacy/estate components on 2A. Roth Conversion</t>
        </is>
      </c>
      <c r="F25" s="12" t="inlineStr">
        <is>
          <t>2A. Roth Conversion</t>
        </is>
      </c>
    </row>
    <row r="26" ht="90" customHeight="1">
      <c r="A26" s="18" t="n">
        <v>3</v>
      </c>
      <c r="B26" s="12" t="inlineStr">
        <is>
          <t>Credit Shelter Trust at First Death</t>
        </is>
      </c>
      <c r="C26" s="12" t="inlineStr">
        <is>
          <t>Preserves IL $4M exemption at first death; assets bypass survivor estate for IL tax purposes</t>
        </is>
      </c>
      <c r="D26" s="12" t="inlineStr">
        <is>
          <t>$2,500–$5,000 (legal)</t>
        </is>
      </c>
      <c r="E26" s="12" t="inlineStr">
        <is>
          <t>~$320K IL estate tax avoided on $4M (8% avg rate)</t>
        </is>
      </c>
      <c r="F26" s="12" t="inlineStr">
        <is>
          <t>2G. Estate &amp; Legacy Planning</t>
        </is>
      </c>
    </row>
    <row r="27" ht="90" customHeight="1">
      <c r="A27" s="18" t="n">
        <v>4</v>
      </c>
      <c r="B27" s="12" t="inlineStr">
        <is>
          <t>DAF contribution in the highest-income planning year</t>
        </is>
      </c>
      <c r="C27" s="12" t="inlineStr">
        <is>
          <t>Fund DAF in high-income year; claim deduction while SALT still elevated; grant out over 2027-2035</t>
        </is>
      </c>
      <c r="D27" s="12" t="inlineStr">
        <is>
          <t>$0 (charitable intent)</t>
        </is>
      </c>
      <c r="E27" s="12" t="inlineStr">
        <is>
          <t>~$9,600 tax deduction at 24% marginal rate</t>
        </is>
      </c>
      <c r="F27" s="12" t="inlineStr">
        <is>
          <t>2F. Charitable Giving</t>
        </is>
      </c>
    </row>
    <row r="28" ht="90" customHeight="1">
      <c r="A28" s="18" t="n">
        <v>5</v>
      </c>
      <c r="B28" s="12" t="inlineStr">
        <is>
          <t>Hybrid Life/LTC Policy — Start 2027</t>
        </is>
      </c>
      <c r="C28" s="12" t="inlineStr">
        <is>
          <t>Face value $250K–$500K covers facility care risk; avoids $113K–$213K annual deficit in worst case</t>
        </is>
      </c>
      <c r="D28" s="12" t="inlineStr">
        <is>
          <t>$8,000–$15,000/yr premiums</t>
        </is>
      </c>
      <c r="E28" s="12" t="inlineStr">
        <is>
          <t>Protects $500K–$2M of estate from LTC depletion</t>
        </is>
      </c>
      <c r="F28" s="12" t="inlineStr">
        <is>
          <t>3C. LTC + Life Insurance</t>
        </is>
      </c>
    </row>
    <row r="29" ht="90" customHeight="1">
      <c r="A29" s="18" t="n">
        <v>6</v>
      </c>
      <c r="B29" s="12" t="inlineStr">
        <is>
          <t>S-Corporation vs LLC (Current: S-Corp)</t>
        </is>
      </c>
      <c r="C29" s="12" t="inlineStr">
        <is>
          <t>S-Corp reasonable salary $80K on $290K income saves ~$30K SE tax minus $2,500 admin cost</t>
        </is>
      </c>
      <c r="D29" s="12" t="inlineStr">
        <is>
          <t>$2,500/yr admin cost</t>
        </is>
      </c>
      <c r="E29" s="12" t="inlineStr">
        <is>
          <t>~$27,500/yr net SE tax savings</t>
        </is>
      </c>
      <c r="F29" s="12" t="inlineStr">
        <is>
          <t>2E. S-Corp vs LLC</t>
        </is>
      </c>
    </row>
    <row r="30" ht="90" customHeight="1">
      <c r="A30" s="18" t="n">
        <v>7</v>
      </c>
      <c r="B30" s="12" t="inlineStr">
        <is>
          <t>QTIP Trust to Manage Annuity Post-First-Death</t>
        </is>
      </c>
      <c r="C30" s="12" t="inlineStr">
        <is>
          <t>Annuity income flows to QTIP for survivor benefit; controls ultimate disposition to heirs</t>
        </is>
      </c>
      <c r="D30" s="12" t="inlineStr">
        <is>
          <t>$3,000–$5,000 (legal)</t>
        </is>
      </c>
      <c r="E30" s="12" t="inlineStr">
        <is>
          <t>Qualifies for marital deduction; defers estate tax</t>
        </is>
      </c>
      <c r="F30" s="12" t="inlineStr">
        <is>
          <t>2G. Estate &amp; Legacy Planning</t>
        </is>
      </c>
    </row>
    <row r="31" ht="75" customHeight="1">
      <c r="A31" s="18" t="n">
        <v>8</v>
      </c>
      <c r="B31" s="12" t="inlineStr">
        <is>
          <t>Set Reserve Requirement by Year Range</t>
        </is>
      </c>
      <c r="C31" s="12" t="inlineStr">
        <is>
          <t>Use start year, end year, and years of expenses to retain; default is 0 years</t>
        </is>
      </c>
      <c r="D31" s="12" t="inlineStr">
        <is>
          <t>$0 (allocation only)</t>
        </is>
      </c>
      <c r="E31" s="12" t="inlineStr">
        <is>
          <t>Can reduce sequence-of-returns risk when a reserve is intentionally selected</t>
        </is>
      </c>
      <c r="F31" s="12" t="inlineStr">
        <is>
          <t>1C. Cash Flow</t>
        </is>
      </c>
    </row>
    <row r="32" ht="90" customHeight="1">
      <c r="A32" s="18" t="n">
        <v>9</v>
      </c>
      <c r="B32" s="12" t="inlineStr">
        <is>
          <t>Illinois Residency Review</t>
        </is>
      </c>
      <c r="C32" s="12" t="inlineStr">
        <is>
          <t>Moving to FL/TX saves $0 income tax (IL exempts retirement income) but saves IL estate tax</t>
        </is>
      </c>
      <c r="D32" s="12" t="inlineStr">
        <is>
          <t>Relocation costs</t>
        </is>
      </c>
      <c r="E32" s="12" t="inlineStr">
        <is>
          <t>~$320K IL estate tax if estate &gt; $4M; no income tax savings</t>
        </is>
      </c>
      <c r="F32" s="12" t="inlineStr">
        <is>
          <t>2C. State Residency</t>
        </is>
      </c>
    </row>
    <row r="33"/>
    <row r="34" ht="15" customHeight="1">
      <c r="A34" s="11" t="inlineStr">
        <is>
          <t>Release Notes</t>
        </is>
      </c>
      <c r="B34" s="3" t="n"/>
      <c r="C34" s="3" t="n"/>
      <c r="D34" s="3" t="n"/>
      <c r="E34" s="3" t="n"/>
      <c r="F34" s="4" t="n"/>
    </row>
    <row r="35" ht="15" customHeight="1">
      <c r="A35" s="19" t="inlineStr">
        <is>
          <t>Built: 2026-07-01</t>
        </is>
      </c>
      <c r="B35" s="3" t="n"/>
      <c r="C35" s="3" t="n"/>
      <c r="D35" s="3" t="n"/>
      <c r="E35" s="3" t="n"/>
      <c r="F35" s="4" t="n"/>
    </row>
    <row r="36" ht="60" customHeight="1">
      <c r="A36" s="19" t="inlineStr">
        <is>
          <t>Workbook pricing source: CACHE — as of 06/29/2026 09:35 AM. Cached quotes were used as of 06/29/2026 09:35 AM; cache TTL is 24.0 hours. CACHE mode checks the cache before calling live providers; this cache passed its 24.0-hour TTL (expired 06/30/2026 09:35 AM) but was used anyway. Ticker-level source counts: cash: 1, stale_cache_from_fixture_cache: 7.</t>
        </is>
      </c>
      <c r="B36" s="3" t="n"/>
      <c r="C36" s="3" t="n"/>
      <c r="D36" s="3" t="n"/>
      <c r="E36" s="3" t="n"/>
      <c r="F36" s="4" t="n"/>
    </row>
    <row r="37" ht="30" customHeight="1">
      <c r="A37" s="19" t="inlineStr">
        <is>
          <t>Law assumptions are data-driven in tax_data.py / tax_constants.csv; see Methodology for tax-year provenance.</t>
        </is>
      </c>
      <c r="B37" s="3" t="n"/>
      <c r="C37" s="3" t="n"/>
      <c r="D37" s="3" t="n"/>
      <c r="E37" s="3" t="n"/>
      <c r="F37" s="4" t="n"/>
    </row>
    <row r="38" ht="30" customHeight="1">
      <c r="A38" s="19" t="inlineStr">
        <is>
          <t>Annuity Model: Age-86 principal recovery; 20% dividends reinvested, 80% cash; flat guaranteed payment continues post-recovery</t>
        </is>
      </c>
      <c r="B38" s="3" t="n"/>
      <c r="C38" s="3" t="n"/>
      <c r="D38" s="3" t="n"/>
      <c r="E38" s="3" t="n"/>
      <c r="F38" s="4" t="n"/>
    </row>
    <row r="39" ht="30" customHeight="1">
      <c r="A39" s="19" t="inlineStr">
        <is>
          <t>Auto Depreciation: Straight-line over 7 years (App setting: Other Assets &gt; Autos &gt; depreciation_years)</t>
        </is>
      </c>
      <c r="B39" s="3" t="n"/>
      <c r="C39" s="3" t="n"/>
      <c r="D39" s="3" t="n"/>
      <c r="E39" s="3" t="n"/>
      <c r="F39" s="4" t="n"/>
    </row>
    <row r="40" ht="30" customHeight="1">
      <c r="A40" s="19" t="inlineStr">
        <is>
          <t>Live ETF prices use FMP → Yahoo → Alpha Vantage → Stooq → cache → cost basis; ticker-level pricing source is shown on holdings reports.</t>
        </is>
      </c>
      <c r="B40" s="3" t="n"/>
      <c r="C40" s="3" t="n"/>
      <c r="D40" s="3" t="n"/>
      <c r="E40" s="3" t="n"/>
      <c r="F40" s="4" t="n"/>
    </row>
    <row r="41"/>
    <row r="42"/>
    <row r="43" ht="15" customHeight="1">
      <c r="A43" s="9" t="inlineStr">
        <is>
          <t>RETIREMENT STRATEGY &amp; INVESTMENT POLICY STATEMENT</t>
        </is>
      </c>
    </row>
    <row r="44"/>
    <row r="45" ht="15" customHeight="1">
      <c r="A45" s="13" t="inlineStr">
        <is>
          <t>WITHDRAWAL SEQUENCE STRATEGY</t>
        </is>
      </c>
      <c r="B45" s="3" t="n"/>
      <c r="C45" s="3" t="n"/>
      <c r="D45" s="3" t="n"/>
      <c r="E45" s="3" t="n"/>
      <c r="F45" s="4" t="n"/>
    </row>
    <row r="46" ht="45" customHeight="1">
      <c r="A46" s="11" t="inlineStr">
        <is>
          <t>Phase 1: Pre-SS / Pre-RMD</t>
        </is>
      </c>
      <c r="B46" s="12" t="inlineStr">
        <is>
          <t>Draw from: RMDs (mandatory), Trust headroom above liquidity buffer, Roth (tax-free). Defer IRA withdrawals. Execute Roth conversions only under the selected strategy and configured guardrails.</t>
        </is>
      </c>
      <c r="C46" s="3" t="n"/>
      <c r="D46" s="3" t="n"/>
      <c r="E46" s="3" t="n"/>
      <c r="F46" s="4" t="n"/>
    </row>
    <row r="47" ht="30" customHeight="1">
      <c r="A47" s="11" t="inlineStr">
        <is>
          <t>Phase 2: Post-SS / Pre-RMD</t>
        </is>
      </c>
      <c r="B47" s="12" t="inlineStr">
        <is>
          <t>Social Security begins. Reduce taxable draws. Continue Roth conversions through the configured window.</t>
        </is>
      </c>
      <c r="C47" s="3" t="n"/>
      <c r="D47" s="3" t="n"/>
      <c r="E47" s="3" t="n"/>
      <c r="F47" s="4" t="n"/>
    </row>
    <row r="48" ht="30" customHeight="1">
      <c r="A48" s="11" t="inlineStr">
        <is>
          <t>Phase 3: RMD Era (2037+)</t>
        </is>
      </c>
      <c r="B48" s="12" t="inlineStr">
        <is>
          <t>RMDs from IRAs drive income. Supplement with SS, annuities, Trust. Use QCDs for charitable giving to reduce AGI.</t>
        </is>
      </c>
      <c r="C48" s="3" t="n"/>
      <c r="D48" s="3" t="n"/>
      <c r="E48" s="3" t="n"/>
      <c r="F48" s="4" t="n"/>
    </row>
    <row r="49"/>
    <row r="50" ht="15" customHeight="1">
      <c r="A50" s="13" t="inlineStr">
        <is>
          <t>INVESTMENT POLICY STATEMENT</t>
        </is>
      </c>
      <c r="B50" s="3" t="n"/>
      <c r="C50" s="3" t="n"/>
      <c r="D50" s="3" t="n"/>
      <c r="E50" s="3" t="n"/>
      <c r="F50" s="4" t="n"/>
    </row>
    <row r="51" ht="30" customHeight="1">
      <c r="A51" s="11" t="inlineStr">
        <is>
          <t>Return Objective</t>
        </is>
      </c>
      <c r="B51" s="12" t="inlineStr">
        <is>
          <t>6.0% nominal; ~3.5% real</t>
        </is>
      </c>
      <c r="C51" s="3" t="n"/>
      <c r="D51" s="3" t="n"/>
      <c r="E51" s="3" t="n"/>
      <c r="F51" s="4" t="n"/>
    </row>
    <row r="52" ht="15" customHeight="1">
      <c r="A52" s="11" t="inlineStr">
        <is>
          <t>Risk Tolerance</t>
        </is>
      </c>
      <c r="B52" s="12" t="inlineStr">
        <is>
          <t>Moderate-aggressive; long horizon and annuity income reduce sequence risk</t>
        </is>
      </c>
      <c r="C52" s="3" t="n"/>
      <c r="D52" s="3" t="n"/>
      <c r="E52" s="3" t="n"/>
      <c r="F52" s="4" t="n"/>
    </row>
    <row r="53" ht="30" customHeight="1">
      <c r="A53" s="11" t="inlineStr">
        <is>
          <t>Asset Allocation Target</t>
        </is>
      </c>
      <c r="B53" s="12" t="inlineStr">
        <is>
          <t>35% US Large | 10% US Small | 25% Intl Dev | 5% Intl Emg | 10% Commodities | 10% Cash | 5% Other</t>
        </is>
      </c>
      <c r="C53" s="3" t="n"/>
      <c r="D53" s="3" t="n"/>
      <c r="E53" s="3" t="n"/>
      <c r="F53" s="4" t="n"/>
    </row>
    <row r="54" ht="15" customHeight="1">
      <c r="A54" s="11" t="inlineStr">
        <is>
          <t>Rebalancing</t>
        </is>
      </c>
      <c r="B54" s="12" t="inlineStr">
        <is>
          <t>Annual review; rebalance when any bucket drifts &gt;±5 percentage points</t>
        </is>
      </c>
      <c r="C54" s="3" t="n"/>
      <c r="D54" s="3" t="n"/>
      <c r="E54" s="3" t="n"/>
      <c r="F54" s="4" t="n"/>
    </row>
    <row r="55" ht="30" customHeight="1">
      <c r="A55" s="11" t="inlineStr">
        <is>
          <t>Asset Location</t>
        </is>
      </c>
      <c r="B55" s="12" t="inlineStr">
        <is>
          <t>Bonds/REIT/Commodities → IRA; High-growth small-cap → Roth; Tax-efficient equity → Trust</t>
        </is>
      </c>
      <c r="C55" s="3" t="n"/>
      <c r="D55" s="3" t="n"/>
      <c r="E55" s="3" t="n"/>
      <c r="F55" s="4" t="n"/>
    </row>
    <row r="56"/>
    <row r="57" ht="15" customHeight="1">
      <c r="A57" s="13" t="inlineStr">
        <is>
          <t>KEY RISKS &amp; MITIGATIONS</t>
        </is>
      </c>
      <c r="B57" s="3" t="n"/>
      <c r="C57" s="3" t="n"/>
      <c r="D57" s="3" t="n"/>
      <c r="E57" s="3" t="n"/>
      <c r="F57" s="4" t="n"/>
    </row>
    <row r="58" ht="15" customHeight="1">
      <c r="A58" s="11" t="inlineStr">
        <is>
          <t>Longevity Risk</t>
        </is>
      </c>
      <c r="B58" s="12" t="inlineStr">
        <is>
          <t>Modeled to age 92/95; annuities provide floor income for life</t>
        </is>
      </c>
      <c r="C58" s="3" t="n"/>
      <c r="D58" s="3" t="n"/>
      <c r="E58" s="3" t="n"/>
      <c r="F58" s="4" t="n"/>
    </row>
    <row r="59" ht="30" customHeight="1">
      <c r="A59" s="11" t="inlineStr">
        <is>
          <t>Sequence-of-Returns</t>
        </is>
      </c>
      <c r="B59" s="12" t="inlineStr">
        <is>
          <t>configurable reserve requirement can retain selected years of expenses; default is 0</t>
        </is>
      </c>
      <c r="C59" s="3" t="n"/>
      <c r="D59" s="3" t="n"/>
      <c r="E59" s="3" t="n"/>
      <c r="F59" s="4" t="n"/>
    </row>
    <row r="60" ht="30" customHeight="1">
      <c r="A60" s="11" t="inlineStr">
        <is>
          <t>Long-Term Care</t>
        </is>
      </c>
      <c r="B60" s="12" t="inlineStr">
        <is>
          <t>LTC stress test on 3C. LTC + Life Insurance; no LTC policy in force — consider hybrid life/LTC</t>
        </is>
      </c>
      <c r="C60" s="3" t="n"/>
      <c r="D60" s="3" t="n"/>
      <c r="E60" s="3" t="n"/>
      <c r="F60" s="4" t="n"/>
    </row>
    <row r="61" ht="15" customHeight="1">
      <c r="A61" s="11" t="inlineStr">
        <is>
          <t>Premature Death</t>
        </is>
      </c>
      <c r="B61" s="12" t="inlineStr">
        <is>
          <t>Survivor analysis on 3B. Survivor; joint annuities continue at 100% J&amp;S</t>
        </is>
      </c>
      <c r="C61" s="3" t="n"/>
      <c r="D61" s="3" t="n"/>
      <c r="E61" s="3" t="n"/>
      <c r="F61" s="4" t="n"/>
    </row>
    <row r="62" ht="30" customHeight="1">
      <c r="A62" s="11" t="inlineStr">
        <is>
          <t>Inflation Regime</t>
        </is>
      </c>
      <c r="B62" s="12" t="inlineStr">
        <is>
          <t>Base case 2.5%; stress test at 4.5% on Scenario Analysis</t>
        </is>
      </c>
      <c r="C62" s="3" t="n"/>
      <c r="D62" s="3" t="n"/>
      <c r="E62" s="3" t="n"/>
      <c r="F62" s="4" t="n"/>
    </row>
    <row r="63" ht="30" customHeight="1">
      <c r="A63" s="11" t="inlineStr">
        <is>
          <t>Illinois Residency</t>
        </is>
      </c>
      <c r="B63" s="12" t="inlineStr">
        <is>
          <t>Estate exposure above $4M IL exemption; see 2C. State Residency &amp; 2G. Estate &amp; Legacy Planning</t>
        </is>
      </c>
      <c r="C63" s="3" t="n"/>
      <c r="D63" s="3" t="n"/>
      <c r="E63" s="3" t="n"/>
      <c r="F63" s="4" t="n"/>
    </row>
    <row r="64" ht="30" customHeight="1">
      <c r="A64" s="11" t="inlineStr">
        <is>
          <t>Concentrated/Illiquid Holdings</t>
        </is>
      </c>
      <c r="B64" s="12" t="inlineStr">
        <is>
          <t>Startup equity $66K at 2%/yr — illiquid; annuity death benefits decline to $0 by 2042</t>
        </is>
      </c>
      <c r="C64" s="3" t="n"/>
      <c r="D64" s="3" t="n"/>
      <c r="E64" s="3" t="n"/>
      <c r="F64" s="4" t="n"/>
    </row>
    <row r="65"/>
  </sheetData>
  <mergeCells count="46">
    <mergeCell ref="B4:F4"/>
    <mergeCell ref="B7:F7"/>
    <mergeCell ref="B47:F47"/>
    <mergeCell ref="B16:F16"/>
    <mergeCell ref="B54:F54"/>
    <mergeCell ref="B62:F62"/>
    <mergeCell ref="A37:F37"/>
    <mergeCell ref="B3:F3"/>
    <mergeCell ref="B59:F59"/>
    <mergeCell ref="B46:F46"/>
    <mergeCell ref="A50:F50"/>
    <mergeCell ref="B18:F18"/>
    <mergeCell ref="B58:F58"/>
    <mergeCell ref="B52:F52"/>
    <mergeCell ref="A57:F57"/>
    <mergeCell ref="A2:F2"/>
    <mergeCell ref="B12:F12"/>
    <mergeCell ref="B48:F48"/>
    <mergeCell ref="B11:F11"/>
    <mergeCell ref="B60:F60"/>
    <mergeCell ref="A22:F22"/>
    <mergeCell ref="B61:F61"/>
    <mergeCell ref="A35:F35"/>
    <mergeCell ref="B14:F14"/>
    <mergeCell ref="B8:F8"/>
    <mergeCell ref="B17:F17"/>
    <mergeCell ref="B13:F13"/>
    <mergeCell ref="A38:F38"/>
    <mergeCell ref="B53:F53"/>
    <mergeCell ref="A10:F10"/>
    <mergeCell ref="B19:F19"/>
    <mergeCell ref="A34:F34"/>
    <mergeCell ref="A40:F40"/>
    <mergeCell ref="A39:F39"/>
    <mergeCell ref="B55:F55"/>
    <mergeCell ref="B6:F6"/>
    <mergeCell ref="A36:F36"/>
    <mergeCell ref="B20:F20"/>
    <mergeCell ref="B15:F15"/>
    <mergeCell ref="B64:F64"/>
    <mergeCell ref="A1:F1"/>
    <mergeCell ref="A43:H43"/>
    <mergeCell ref="A45:F45"/>
    <mergeCell ref="B5:F5"/>
    <mergeCell ref="B51:F51"/>
    <mergeCell ref="B63:F63"/>
  </mergeCells>
  <pageMargins left="0.75" right="0.75" top="1" bottom="1" header="0.5" footer="0.5"/>
</worksheet>
</file>

<file path=xl/worksheets/sheet3.xml><?xml version="1.0" encoding="utf-8"?>
<worksheet xmlns="http://schemas.openxmlformats.org/spreadsheetml/2006/main">
  <sheetPr>
    <tabColor rgb="002E75B6"/>
    <outlinePr summaryBelow="1" summaryRight="1"/>
    <pageSetUpPr/>
  </sheetPr>
  <dimension ref="A1:AB43"/>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10" customWidth="1" min="1" max="1"/>
    <col outlineLevel="1" width="9.4" customWidth="1" min="2" max="2"/>
    <col outlineLevel="1" width="9.4" customWidth="1" min="3" max="3"/>
    <col outlineLevel="1" width="9.4" customWidth="1" min="4" max="4"/>
    <col outlineLevel="1" width="9.4" customWidth="1" min="5" max="5"/>
    <col outlineLevel="1" width="9.4" customWidth="1" min="6" max="6"/>
    <col outlineLevel="1" width="9.4" customWidth="1" min="7" max="7"/>
    <col outlineLevel="1" width="9.4" customWidth="1" min="8" max="8"/>
    <col width="9.4" customWidth="1" min="9" max="9"/>
    <col outlineLevel="1" width="9.4" customWidth="1" min="10" max="10"/>
    <col outlineLevel="1" width="9.4" customWidth="1" min="11" max="11"/>
    <col outlineLevel="1" width="9.4" customWidth="1" min="12" max="12"/>
    <col width="9.4" customWidth="1" min="13" max="13"/>
    <col outlineLevel="1" width="9.4" customWidth="1" min="14" max="14"/>
    <col outlineLevel="1" width="9.4" customWidth="1" min="15" max="15"/>
    <col width="9.4" customWidth="1" min="16" max="16"/>
    <col outlineLevel="1" width="9.4" customWidth="1" min="17" max="17"/>
    <col outlineLevel="1" width="9.4" customWidth="1" min="18" max="18"/>
    <col width="9.4" customWidth="1" min="19" max="19"/>
    <col width="9.4" customWidth="1" min="20" max="20"/>
    <col outlineLevel="1" width="9.4" customWidth="1" min="21" max="21"/>
    <col outlineLevel="1" width="9.4" customWidth="1" min="22" max="22"/>
    <col outlineLevel="1" width="9.4" customWidth="1" min="23" max="23"/>
    <col outlineLevel="1" width="9.4" customWidth="1" min="24" max="24"/>
    <col outlineLevel="1" width="9.4" customWidth="1" min="25" max="25"/>
    <col outlineLevel="1" width="9.4" customWidth="1" min="26" max="26"/>
    <col width="9.4" customWidth="1" min="27" max="27"/>
    <col width="9.4" customWidth="1" min="28" max="28"/>
  </cols>
  <sheetData>
    <row r="1" ht="18" customHeight="1">
      <c r="A1" s="5" t="inlineStr">
        <is>
          <t>Identifiers</t>
        </is>
      </c>
      <c r="B1" s="3" t="n"/>
      <c r="C1" s="4" t="n"/>
      <c r="D1" s="10" t="inlineStr">
        <is>
          <t>ANNUITIES &amp; PENSION</t>
        </is>
      </c>
      <c r="E1" s="3" t="n"/>
      <c r="F1" s="3" t="n"/>
      <c r="G1" s="3" t="n"/>
      <c r="H1" s="3" t="n"/>
      <c r="I1" s="4" t="n"/>
      <c r="J1" s="17" t="inlineStr">
        <is>
          <t>PRE-TAX (IRA / 401k)</t>
        </is>
      </c>
      <c r="K1" s="3" t="n"/>
      <c r="L1" s="3" t="n"/>
      <c r="M1" s="4" t="n"/>
      <c r="N1" s="20" t="inlineStr">
        <is>
          <t>ROTH</t>
        </is>
      </c>
      <c r="O1" s="3" t="n"/>
      <c r="P1" s="4" t="n"/>
      <c r="Q1" s="21" t="inlineStr">
        <is>
          <t>TRUSTS</t>
        </is>
      </c>
      <c r="R1" s="3" t="n"/>
      <c r="S1" s="4" t="n"/>
      <c r="T1" s="22" t="inlineStr">
        <is>
          <t>HSA</t>
        </is>
      </c>
      <c r="U1" s="5" t="inlineStr">
        <is>
          <t>OTHER ASSETS</t>
        </is>
      </c>
      <c r="V1" s="3" t="n"/>
      <c r="W1" s="3" t="n"/>
      <c r="X1" s="3" t="n"/>
      <c r="Y1" s="3" t="n"/>
      <c r="Z1" s="3" t="n"/>
      <c r="AA1" s="4" t="n"/>
      <c r="AB1" s="13" t="inlineStr">
        <is>
          <t>TOTAL</t>
        </is>
      </c>
    </row>
    <row r="2" ht="54" customHeight="1">
      <c r="A2" s="23" t="inlineStr">
        <is>
          <t>Year</t>
        </is>
      </c>
      <c r="B2" s="23" t="inlineStr">
        <is>
          <t>H Age</t>
        </is>
      </c>
      <c r="C2" s="23" t="inlineStr">
        <is>
          <t>W Age</t>
        </is>
      </c>
      <c r="D2" s="23" t="inlineStr">
        <is>
          <t>Pension PV</t>
        </is>
      </c>
      <c r="E2" s="23" t="inlineStr">
        <is>
          <t>W Single PV</t>
        </is>
      </c>
      <c r="F2" s="23" t="inlineStr">
        <is>
          <t>W Joint PV</t>
        </is>
      </c>
      <c r="G2" s="23" t="inlineStr">
        <is>
          <t>H Single PV</t>
        </is>
      </c>
      <c r="H2" s="23" t="inlineStr">
        <is>
          <t>H Joint PV</t>
        </is>
      </c>
      <c r="I2" s="24" t="inlineStr">
        <is>
          <t>Σ Ann</t>
        </is>
      </c>
      <c r="J2" s="23" t="inlineStr">
        <is>
          <t>Matthew IRA</t>
        </is>
      </c>
      <c r="K2" s="23" t="inlineStr">
        <is>
          <t>Matthew 401k</t>
        </is>
      </c>
      <c r="L2" s="23" t="inlineStr">
        <is>
          <t>Patricia IRA</t>
        </is>
      </c>
      <c r="M2" s="24" t="inlineStr">
        <is>
          <t>Σ PreTax</t>
        </is>
      </c>
      <c r="N2" s="23" t="inlineStr">
        <is>
          <t>Matthew Roth</t>
        </is>
      </c>
      <c r="O2" s="23" t="inlineStr">
        <is>
          <t>Patricia Roth</t>
        </is>
      </c>
      <c r="P2" s="24" t="inlineStr">
        <is>
          <t>Σ Roth</t>
        </is>
      </c>
      <c r="Q2" s="23" t="inlineStr">
        <is>
          <t>Matthew Trust</t>
        </is>
      </c>
      <c r="R2" s="23" t="inlineStr">
        <is>
          <t>Patricia Trust</t>
        </is>
      </c>
      <c r="S2" s="24" t="inlineStr">
        <is>
          <t>Σ Trust</t>
        </is>
      </c>
      <c r="T2" s="23" t="inlineStr">
        <is>
          <t>Matthew HSA</t>
        </is>
      </c>
      <c r="U2" s="23" t="inlineStr">
        <is>
          <t>Home Equity</t>
        </is>
      </c>
      <c r="V2" s="23" t="inlineStr">
        <is>
          <t>Next Housing Equity</t>
        </is>
      </c>
      <c r="W2" s="23" t="inlineStr">
        <is>
          <t>Startup</t>
        </is>
      </c>
      <c r="X2" s="23" t="inlineStr">
        <is>
          <t>Autos</t>
        </is>
      </c>
      <c r="Y2" s="23" t="inlineStr">
        <is>
          <t>Note</t>
        </is>
      </c>
      <c r="Z2" s="23" t="inlineStr">
        <is>
          <t>Cash</t>
        </is>
      </c>
      <c r="AA2" s="24" t="inlineStr">
        <is>
          <t>Σ Other</t>
        </is>
      </c>
      <c r="AB2" s="24" t="inlineStr">
        <is>
          <t>TOTAL NW</t>
        </is>
      </c>
    </row>
    <row r="3" ht="15" customHeight="1">
      <c r="A3" s="25" t="n">
        <v>2026</v>
      </c>
      <c r="B3" s="26" t="n">
        <v>64</v>
      </c>
      <c r="C3" s="26" t="n">
        <v>65</v>
      </c>
      <c r="D3" s="27" t="n">
        <v>66618.91815552025</v>
      </c>
      <c r="E3" s="27" t="n">
        <v>53198.32320054132</v>
      </c>
      <c r="F3" s="27" t="n">
        <v>336263.3497205881</v>
      </c>
      <c r="G3" s="27" t="n">
        <v>91417.59968588264</v>
      </c>
      <c r="H3" s="27" t="n">
        <v>813167.6252691793</v>
      </c>
      <c r="I3" s="28" t="n">
        <v>1360665.816031712</v>
      </c>
      <c r="J3" s="27" t="n">
        <v>1389960.8138384</v>
      </c>
      <c r="K3" s="27" t="n">
        <v>39242.525</v>
      </c>
      <c r="L3" s="27" t="n">
        <v>482153.19713486</v>
      </c>
      <c r="M3" s="28" t="n">
        <v>1911356.53597326</v>
      </c>
      <c r="N3" s="27" t="n">
        <v>145656.825841</v>
      </c>
      <c r="O3" s="27" t="n">
        <v>216168.19522158</v>
      </c>
      <c r="P3" s="28" t="n">
        <v>361825.0210625801</v>
      </c>
      <c r="Q3" s="27" t="n">
        <v>262813.1588045288</v>
      </c>
      <c r="R3" s="27" t="n">
        <v>340203.36700576</v>
      </c>
      <c r="S3" s="28" t="n">
        <v>603016.5258102887</v>
      </c>
      <c r="T3" s="27" t="n">
        <v>82867.40086620001</v>
      </c>
      <c r="U3" s="27" t="n">
        <v>1061620.66</v>
      </c>
      <c r="V3" s="27" t="n">
        <v>0</v>
      </c>
      <c r="W3" s="27" t="n">
        <v>66000</v>
      </c>
      <c r="X3" s="27" t="n">
        <v>46654.28571428572</v>
      </c>
      <c r="Y3" s="27" t="n">
        <v>414971.34</v>
      </c>
      <c r="Z3" s="27" t="n">
        <v>20000</v>
      </c>
      <c r="AA3" s="28" t="n">
        <v>1609246.285714286</v>
      </c>
      <c r="AB3" s="28" t="n">
        <v>5928977.585458326</v>
      </c>
    </row>
    <row r="4" ht="15" customHeight="1">
      <c r="A4" s="25" t="n">
        <v>2027</v>
      </c>
      <c r="B4" s="26" t="n">
        <v>65</v>
      </c>
      <c r="C4" s="26" t="n">
        <v>66</v>
      </c>
      <c r="D4" s="27" t="n">
        <v>65833.33324485147</v>
      </c>
      <c r="E4" s="27" t="n">
        <v>56390.22259257379</v>
      </c>
      <c r="F4" s="27" t="n">
        <v>356439.1507038235</v>
      </c>
      <c r="G4" s="27" t="n">
        <v>96902.65566703565</v>
      </c>
      <c r="H4" s="27" t="n">
        <v>861957.6827853301</v>
      </c>
      <c r="I4" s="28" t="n">
        <v>1437523.044993615</v>
      </c>
      <c r="J4" s="27" t="n">
        <v>1424116.689807208</v>
      </c>
      <c r="K4" s="27" t="n">
        <v>40206.8419816431</v>
      </c>
      <c r="L4" s="27" t="n">
        <v>323216.4196972499</v>
      </c>
      <c r="M4" s="28" t="n">
        <v>1787539.9514861</v>
      </c>
      <c r="N4" s="27" t="n">
        <v>154396.23539146</v>
      </c>
      <c r="O4" s="27" t="n">
        <v>405828.3816126643</v>
      </c>
      <c r="P4" s="28" t="n">
        <v>560224.6170041243</v>
      </c>
      <c r="Q4" s="27" t="n">
        <v>144906.7415245457</v>
      </c>
      <c r="R4" s="27" t="n">
        <v>188206.8990607444</v>
      </c>
      <c r="S4" s="28" t="n">
        <v>333113.6405852902</v>
      </c>
      <c r="T4" s="27" t="n">
        <v>87839.44491817201</v>
      </c>
      <c r="U4" s="27" t="n">
        <v>1132406.050134</v>
      </c>
      <c r="V4" s="27" t="n">
        <v>0</v>
      </c>
      <c r="W4" s="27" t="n">
        <v>66000</v>
      </c>
      <c r="X4" s="27" t="n">
        <v>38878.57142857143</v>
      </c>
      <c r="Y4" s="27" t="n">
        <v>355689.72</v>
      </c>
      <c r="Z4" s="27" t="n">
        <v>20000</v>
      </c>
      <c r="AA4" s="28" t="n">
        <v>1612974.341562571</v>
      </c>
      <c r="AB4" s="28" t="n">
        <v>5819215.040549873</v>
      </c>
    </row>
    <row r="5" ht="15" customHeight="1">
      <c r="A5" s="25" t="n">
        <v>2028</v>
      </c>
      <c r="B5" s="26" t="n">
        <v>66</v>
      </c>
      <c r="C5" s="26" t="n">
        <v>67</v>
      </c>
      <c r="D5" s="27" t="n">
        <v>65000.61323954256</v>
      </c>
      <c r="E5" s="27" t="n">
        <v>59773.63594812822</v>
      </c>
      <c r="F5" s="27" t="n">
        <v>377825.4997460528</v>
      </c>
      <c r="G5" s="27" t="n">
        <v>102716.8150070578</v>
      </c>
      <c r="H5" s="27" t="n">
        <v>913675.1437524499</v>
      </c>
      <c r="I5" s="28" t="n">
        <v>1518991.707693231</v>
      </c>
      <c r="J5" s="27" t="n">
        <v>1454624.773767576</v>
      </c>
      <c r="K5" s="27" t="n">
        <v>41068.17147783998</v>
      </c>
      <c r="L5" s="27" t="n">
        <v>173532.1744014696</v>
      </c>
      <c r="M5" s="28" t="n">
        <v>1669225.119646885</v>
      </c>
      <c r="N5" s="27" t="n">
        <v>163660.0095149477</v>
      </c>
      <c r="O5" s="27" t="n">
        <v>592701.274403871</v>
      </c>
      <c r="P5" s="28" t="n">
        <v>756361.2839188187</v>
      </c>
      <c r="Q5" s="27" t="n">
        <v>47855.0287088089</v>
      </c>
      <c r="R5" s="27" t="n">
        <v>62363.42760257755</v>
      </c>
      <c r="S5" s="28" t="n">
        <v>110218.4563113865</v>
      </c>
      <c r="T5" s="27" t="n">
        <v>93109.81161326234</v>
      </c>
      <c r="U5" s="27" t="n">
        <v>1205009.843701667</v>
      </c>
      <c r="V5" s="27" t="n">
        <v>0</v>
      </c>
      <c r="W5" s="27" t="n">
        <v>66000</v>
      </c>
      <c r="X5" s="27" t="n">
        <v>31102.85714285714</v>
      </c>
      <c r="Y5" s="27" t="n">
        <v>296408.1</v>
      </c>
      <c r="Z5" s="27" t="n">
        <v>20000</v>
      </c>
      <c r="AA5" s="28" t="n">
        <v>1618520.800844524</v>
      </c>
      <c r="AB5" s="28" t="n">
        <v>5766427.180028108</v>
      </c>
    </row>
    <row r="6" ht="15" customHeight="1">
      <c r="A6" s="25" t="n">
        <v>2029</v>
      </c>
      <c r="B6" s="26" t="n">
        <v>67</v>
      </c>
      <c r="C6" s="26" t="n">
        <v>68</v>
      </c>
      <c r="D6" s="27" t="n">
        <v>64117.93003391512</v>
      </c>
      <c r="E6" s="27" t="n">
        <v>63360.05410501592</v>
      </c>
      <c r="F6" s="27" t="n">
        <v>371226.8956586745</v>
      </c>
      <c r="G6" s="27" t="n">
        <v>108879.8239074812</v>
      </c>
      <c r="H6" s="27" t="n">
        <v>968495.6523775969</v>
      </c>
      <c r="I6" s="28" t="n">
        <v>1576080.356082684</v>
      </c>
      <c r="J6" s="27" t="n">
        <v>1480100.376372979</v>
      </c>
      <c r="K6" s="27" t="n">
        <v>41787.41979202221</v>
      </c>
      <c r="L6" s="27" t="n">
        <v>92259.79906398551</v>
      </c>
      <c r="M6" s="28" t="n">
        <v>1614147.595228987</v>
      </c>
      <c r="N6" s="27" t="n">
        <v>173479.6100858445</v>
      </c>
      <c r="O6" s="27" t="n">
        <v>716095.3305206603</v>
      </c>
      <c r="P6" s="28" t="n">
        <v>889574.9406065048</v>
      </c>
      <c r="Q6" s="27" t="n">
        <v>4118.253647624335</v>
      </c>
      <c r="R6" s="27" t="n">
        <v>5384.816825400451</v>
      </c>
      <c r="S6" s="28" t="n">
        <v>9503.070473024785</v>
      </c>
      <c r="T6" s="27" t="n">
        <v>98696.40031005807</v>
      </c>
      <c r="U6" s="27" t="n">
        <v>1279480.52015643</v>
      </c>
      <c r="V6" s="27" t="n">
        <v>0</v>
      </c>
      <c r="W6" s="27" t="n">
        <v>66000</v>
      </c>
      <c r="X6" s="27" t="n">
        <v>23327.14285714286</v>
      </c>
      <c r="Y6" s="27" t="n">
        <v>237126.48</v>
      </c>
      <c r="Z6" s="27" t="n">
        <v>20000</v>
      </c>
      <c r="AA6" s="28" t="n">
        <v>1625934.143013573</v>
      </c>
      <c r="AB6" s="28" t="n">
        <v>5813936.505714832</v>
      </c>
    </row>
    <row r="7" ht="15" customHeight="1">
      <c r="A7" s="25" t="n">
        <v>2030</v>
      </c>
      <c r="B7" s="26" t="n">
        <v>68</v>
      </c>
      <c r="C7" s="26" t="n">
        <v>69</v>
      </c>
      <c r="D7" s="27" t="n">
        <v>63182.28583595002</v>
      </c>
      <c r="E7" s="27" t="n">
        <v>62285.9043810567</v>
      </c>
      <c r="F7" s="27" t="n">
        <v>364416.9410685535</v>
      </c>
      <c r="G7" s="27" t="n">
        <v>106802.7216534661</v>
      </c>
      <c r="H7" s="27" t="n">
        <v>950988.7713654771</v>
      </c>
      <c r="I7" s="28" t="n">
        <v>1547676.624304503</v>
      </c>
      <c r="J7" s="27" t="n">
        <v>1491201.805008892</v>
      </c>
      <c r="K7" s="27" t="n">
        <v>0</v>
      </c>
      <c r="L7" s="27" t="n">
        <v>0</v>
      </c>
      <c r="M7" s="28" t="n">
        <v>1491201.805008892</v>
      </c>
      <c r="N7" s="27" t="n">
        <v>184921.4577260874</v>
      </c>
      <c r="O7" s="27" t="n">
        <v>856856.4373597244</v>
      </c>
      <c r="P7" s="28" t="n">
        <v>1041777.895085812</v>
      </c>
      <c r="Q7" s="27" t="n">
        <v>0</v>
      </c>
      <c r="R7" s="27" t="n">
        <v>0</v>
      </c>
      <c r="S7" s="28" t="n">
        <v>0</v>
      </c>
      <c r="T7" s="27" t="n">
        <v>104618.1843286616</v>
      </c>
      <c r="U7" s="27" t="n">
        <v>1355867.892489596</v>
      </c>
      <c r="V7" s="27" t="n">
        <v>0</v>
      </c>
      <c r="W7" s="27" t="n">
        <v>0</v>
      </c>
      <c r="X7" s="27" t="n">
        <v>15551.42857142857</v>
      </c>
      <c r="Y7" s="27" t="n">
        <v>177844.86</v>
      </c>
      <c r="Z7" s="27" t="n">
        <v>20000</v>
      </c>
      <c r="AA7" s="28" t="n">
        <v>1569264.181061025</v>
      </c>
      <c r="AB7" s="28" t="n">
        <v>5754538.689788893</v>
      </c>
    </row>
    <row r="8" ht="15" customHeight="1">
      <c r="A8" s="25" t="n">
        <v>2031</v>
      </c>
      <c r="B8" s="26" t="n">
        <v>69</v>
      </c>
      <c r="C8" s="26" t="n">
        <v>70</v>
      </c>
      <c r="D8" s="27" t="n">
        <v>62190.50298610703</v>
      </c>
      <c r="E8" s="27" t="n">
        <v>61165.23542846116</v>
      </c>
      <c r="F8" s="27" t="n">
        <v>357378.3408019627</v>
      </c>
      <c r="G8" s="27" t="n">
        <v>104637.4551728652</v>
      </c>
      <c r="H8" s="27" t="n">
        <v>932878.5945026301</v>
      </c>
      <c r="I8" s="28" t="n">
        <v>1518250.128892026</v>
      </c>
      <c r="J8" s="27" t="n">
        <v>1390819.486806385</v>
      </c>
      <c r="K8" s="27" t="n">
        <v>0</v>
      </c>
      <c r="L8" s="27" t="n">
        <v>0</v>
      </c>
      <c r="M8" s="28" t="n">
        <v>1390819.486806385</v>
      </c>
      <c r="N8" s="27" t="n">
        <v>261897.1490972743</v>
      </c>
      <c r="O8" s="27" t="n">
        <v>908267.8236013079</v>
      </c>
      <c r="P8" s="28" t="n">
        <v>1170164.972698582</v>
      </c>
      <c r="Q8" s="27" t="n">
        <v>0</v>
      </c>
      <c r="R8" s="27" t="n">
        <v>0</v>
      </c>
      <c r="S8" s="28" t="n">
        <v>0</v>
      </c>
      <c r="T8" s="27" t="n">
        <v>99805.74784954313</v>
      </c>
      <c r="U8" s="27" t="n">
        <v>1434223.144831653</v>
      </c>
      <c r="V8" s="27" t="n">
        <v>0</v>
      </c>
      <c r="W8" s="27" t="n">
        <v>0</v>
      </c>
      <c r="X8" s="27" t="n">
        <v>7775.71428571429</v>
      </c>
      <c r="Y8" s="27" t="n">
        <v>118563.24</v>
      </c>
      <c r="Z8" s="27" t="n">
        <v>20000</v>
      </c>
      <c r="AA8" s="28" t="n">
        <v>1580562.099117368</v>
      </c>
      <c r="AB8" s="28" t="n">
        <v>5759602.435363904</v>
      </c>
    </row>
    <row r="9" ht="15" customHeight="1">
      <c r="A9" s="25" t="n">
        <v>2032</v>
      </c>
      <c r="B9" s="26" t="n">
        <v>70</v>
      </c>
      <c r="C9" s="26" t="n">
        <v>71</v>
      </c>
      <c r="D9" s="27" t="n">
        <v>61139.21316527345</v>
      </c>
      <c r="E9" s="27" t="n">
        <v>59994.1085892038</v>
      </c>
      <c r="F9" s="27" t="n">
        <v>350085.859215982</v>
      </c>
      <c r="G9" s="27" t="n">
        <v>102377.8230643673</v>
      </c>
      <c r="H9" s="27" t="n">
        <v>914117.7461127625</v>
      </c>
      <c r="I9" s="28" t="n">
        <v>1487714.750147589</v>
      </c>
      <c r="J9" s="27" t="n">
        <v>1194968.591108165</v>
      </c>
      <c r="K9" s="27" t="n">
        <v>0</v>
      </c>
      <c r="L9" s="27" t="n">
        <v>0</v>
      </c>
      <c r="M9" s="28" t="n">
        <v>1194968.591108165</v>
      </c>
      <c r="N9" s="27" t="n">
        <v>324813.084591755</v>
      </c>
      <c r="O9" s="27" t="n">
        <v>962763.8930173864</v>
      </c>
      <c r="P9" s="28" t="n">
        <v>1287576.977609141</v>
      </c>
      <c r="Q9" s="27" t="n">
        <v>0</v>
      </c>
      <c r="R9" s="27" t="n">
        <v>0</v>
      </c>
      <c r="S9" s="28" t="n">
        <v>0</v>
      </c>
      <c r="T9" s="27" t="n">
        <v>94039.19352934731</v>
      </c>
      <c r="U9" s="27" t="n">
        <v>1514598.871133763</v>
      </c>
      <c r="V9" s="27" t="n">
        <v>0</v>
      </c>
      <c r="W9" s="27" t="n">
        <v>0</v>
      </c>
      <c r="X9" s="27" t="n">
        <v>0</v>
      </c>
      <c r="Y9" s="27" t="n">
        <v>59281.62000000005</v>
      </c>
      <c r="Z9" s="27" t="n">
        <v>20000</v>
      </c>
      <c r="AA9" s="28" t="n">
        <v>1593880.491133763</v>
      </c>
      <c r="AB9" s="28" t="n">
        <v>5658180.003528006</v>
      </c>
    </row>
    <row r="10" ht="15" customHeight="1">
      <c r="A10" s="25" t="n">
        <v>2033</v>
      </c>
      <c r="B10" s="26" t="n">
        <v>71</v>
      </c>
      <c r="C10" s="26" t="n">
        <v>72</v>
      </c>
      <c r="D10" s="27" t="n">
        <v>60024.84595518986</v>
      </c>
      <c r="E10" s="27" t="n">
        <v>58768.39505489624</v>
      </c>
      <c r="F10" s="27" t="n">
        <v>342513.209904483</v>
      </c>
      <c r="G10" s="27" t="n">
        <v>100015.8881671982</v>
      </c>
      <c r="H10" s="27" t="n">
        <v>894639.2858028286</v>
      </c>
      <c r="I10" s="28" t="n">
        <v>1455961.624884596</v>
      </c>
      <c r="J10" s="27" t="n">
        <v>1104685.825796226</v>
      </c>
      <c r="K10" s="27" t="n">
        <v>0</v>
      </c>
      <c r="L10" s="27" t="n">
        <v>0</v>
      </c>
      <c r="M10" s="28" t="n">
        <v>1104685.825796226</v>
      </c>
      <c r="N10" s="27" t="n">
        <v>397893.0120395861</v>
      </c>
      <c r="O10" s="27" t="n">
        <v>1020529.72659843</v>
      </c>
      <c r="P10" s="28" t="n">
        <v>1418422.738638016</v>
      </c>
      <c r="Q10" s="27" t="n">
        <v>0</v>
      </c>
      <c r="R10" s="27" t="n">
        <v>0</v>
      </c>
      <c r="S10" s="28" t="n">
        <v>0</v>
      </c>
      <c r="T10" s="27" t="n">
        <v>87221.35199846963</v>
      </c>
      <c r="U10" s="27" t="n">
        <v>1597049.114960884</v>
      </c>
      <c r="V10" s="27" t="n">
        <v>0</v>
      </c>
      <c r="W10" s="27" t="n">
        <v>0</v>
      </c>
      <c r="X10" s="27" t="n">
        <v>0</v>
      </c>
      <c r="Y10" s="27" t="n">
        <v>0</v>
      </c>
      <c r="Z10" s="27" t="n">
        <v>20000</v>
      </c>
      <c r="AA10" s="28" t="n">
        <v>1617049.114960884</v>
      </c>
      <c r="AB10" s="28" t="n">
        <v>5683340.656278191</v>
      </c>
    </row>
    <row r="11" ht="15" customHeight="1">
      <c r="A11" s="25" t="n">
        <v>2034</v>
      </c>
      <c r="B11" s="26" t="n">
        <v>72</v>
      </c>
      <c r="C11" s="26" t="n">
        <v>73</v>
      </c>
      <c r="D11" s="27" t="n">
        <v>58843.61671250126</v>
      </c>
      <c r="E11" s="27" t="n">
        <v>57483.7628664997</v>
      </c>
      <c r="F11" s="27" t="n">
        <v>334632.9766816331</v>
      </c>
      <c r="G11" s="27" t="n">
        <v>97543.32863311704</v>
      </c>
      <c r="H11" s="27" t="n">
        <v>874373.3792993439</v>
      </c>
      <c r="I11" s="28" t="n">
        <v>1422877.064193095</v>
      </c>
      <c r="J11" s="27" t="n">
        <v>909455.4718179952</v>
      </c>
      <c r="K11" s="27" t="n">
        <v>0</v>
      </c>
      <c r="L11" s="27" t="n">
        <v>0</v>
      </c>
      <c r="M11" s="28" t="n">
        <v>909455.4718179952</v>
      </c>
      <c r="N11" s="27" t="n">
        <v>481778.5996586708</v>
      </c>
      <c r="O11" s="27" t="n">
        <v>1081761.510194335</v>
      </c>
      <c r="P11" s="28" t="n">
        <v>1563540.109853006</v>
      </c>
      <c r="Q11" s="27" t="n">
        <v>0</v>
      </c>
      <c r="R11" s="27" t="n">
        <v>0</v>
      </c>
      <c r="S11" s="28" t="n">
        <v>0</v>
      </c>
      <c r="T11" s="27" t="n">
        <v>79246.82838718098</v>
      </c>
      <c r="U11" s="27" t="n">
        <v>1681629.410428911</v>
      </c>
      <c r="V11" s="27" t="n">
        <v>0</v>
      </c>
      <c r="W11" s="27" t="n">
        <v>0</v>
      </c>
      <c r="X11" s="27" t="n">
        <v>0</v>
      </c>
      <c r="Y11" s="27" t="n">
        <v>0</v>
      </c>
      <c r="Z11" s="27" t="n">
        <v>20000</v>
      </c>
      <c r="AA11" s="28" t="n">
        <v>1701629.410428911</v>
      </c>
      <c r="AB11" s="28" t="n">
        <v>5676748.884680188</v>
      </c>
    </row>
    <row r="12" ht="15" customHeight="1">
      <c r="A12" s="25" t="n">
        <v>2035</v>
      </c>
      <c r="B12" s="26" t="n">
        <v>73</v>
      </c>
      <c r="C12" s="26" t="n">
        <v>74</v>
      </c>
      <c r="D12" s="27" t="n">
        <v>57591.51371525133</v>
      </c>
      <c r="E12" s="27" t="n">
        <v>56135.66318472779</v>
      </c>
      <c r="F12" s="27" t="n">
        <v>326416.5303333333</v>
      </c>
      <c r="G12" s="27" t="n">
        <v>94951.41169007332</v>
      </c>
      <c r="H12" s="27" t="n">
        <v>853247.0861259641</v>
      </c>
      <c r="I12" s="28" t="n">
        <v>1388342.20504935</v>
      </c>
      <c r="J12" s="27" t="n">
        <v>745107.6488641477</v>
      </c>
      <c r="K12" s="27" t="n">
        <v>0</v>
      </c>
      <c r="L12" s="27" t="n">
        <v>0</v>
      </c>
      <c r="M12" s="28" t="n">
        <v>745107.6488641477</v>
      </c>
      <c r="N12" s="27" t="n">
        <v>571452.0387885553</v>
      </c>
      <c r="O12" s="27" t="n">
        <v>1146667.200805995</v>
      </c>
      <c r="P12" s="28" t="n">
        <v>1718119.239594551</v>
      </c>
      <c r="Q12" s="27" t="n">
        <v>7.557201301597796e-12</v>
      </c>
      <c r="R12" s="27" t="n">
        <v>0</v>
      </c>
      <c r="S12" s="28" t="n">
        <v>7.557201301597796e-12</v>
      </c>
      <c r="T12" s="27" t="n">
        <v>70001.3650753432</v>
      </c>
      <c r="U12" s="27" t="n">
        <v>1764562.206078832</v>
      </c>
      <c r="V12" s="27" t="n">
        <v>0</v>
      </c>
      <c r="W12" s="27" t="n">
        <v>0</v>
      </c>
      <c r="X12" s="27" t="n">
        <v>0</v>
      </c>
      <c r="Y12" s="27" t="n">
        <v>0</v>
      </c>
      <c r="Z12" s="27" t="n">
        <v>20000</v>
      </c>
      <c r="AA12" s="28" t="n">
        <v>1784562.206078832</v>
      </c>
      <c r="AB12" s="28" t="n">
        <v>5706132.664662224</v>
      </c>
    </row>
    <row r="13" ht="15" customHeight="1">
      <c r="A13" s="25" t="n">
        <v>2036</v>
      </c>
      <c r="B13" s="26" t="n">
        <v>74</v>
      </c>
      <c r="C13" s="26" t="n">
        <v>75</v>
      </c>
      <c r="D13" s="27" t="n">
        <v>56264.28453816642</v>
      </c>
      <c r="E13" s="27" t="n">
        <v>54719.31578584022</v>
      </c>
      <c r="F13" s="27" t="n">
        <v>314492.8787819525</v>
      </c>
      <c r="G13" s="27" t="n">
        <v>92230.96593222478</v>
      </c>
      <c r="H13" s="27" t="n">
        <v>831184.1357746096</v>
      </c>
      <c r="I13" s="28" t="n">
        <v>1348891.580812794</v>
      </c>
      <c r="J13" s="27" t="n">
        <v>648684.4819791964</v>
      </c>
      <c r="K13" s="27" t="n">
        <v>0</v>
      </c>
      <c r="L13" s="27" t="n">
        <v>0</v>
      </c>
      <c r="M13" s="28" t="n">
        <v>648684.4819791964</v>
      </c>
      <c r="N13" s="27" t="n">
        <v>605739.1611158686</v>
      </c>
      <c r="O13" s="27" t="n">
        <v>1215467.232854355</v>
      </c>
      <c r="P13" s="28" t="n">
        <v>1821206.393970224</v>
      </c>
      <c r="Q13" s="27" t="n">
        <v>0</v>
      </c>
      <c r="R13" s="27" t="n">
        <v>0</v>
      </c>
      <c r="S13" s="28" t="n">
        <v>0</v>
      </c>
      <c r="T13" s="27" t="n">
        <v>59361.15758389104</v>
      </c>
      <c r="U13" s="27" t="n">
        <v>1817499.072261197</v>
      </c>
      <c r="V13" s="27" t="n">
        <v>0</v>
      </c>
      <c r="W13" s="27" t="n">
        <v>0</v>
      </c>
      <c r="X13" s="27" t="n">
        <v>0</v>
      </c>
      <c r="Y13" s="27" t="n">
        <v>0</v>
      </c>
      <c r="Z13" s="27" t="n">
        <v>20000</v>
      </c>
      <c r="AA13" s="28" t="n">
        <v>1837499.072261197</v>
      </c>
      <c r="AB13" s="28" t="n">
        <v>5715642.686607302</v>
      </c>
    </row>
    <row r="14" ht="15" customHeight="1">
      <c r="A14" s="25" t="n">
        <v>2037</v>
      </c>
      <c r="B14" s="26" t="n">
        <v>75</v>
      </c>
      <c r="C14" s="26" t="n">
        <v>76</v>
      </c>
      <c r="D14" s="27" t="n">
        <v>54857.4216104564</v>
      </c>
      <c r="E14" s="27" t="n">
        <v>52905.12416331562</v>
      </c>
      <c r="F14" s="27" t="n">
        <v>302238.6619587352</v>
      </c>
      <c r="G14" s="27" t="n">
        <v>88712.30810107483</v>
      </c>
      <c r="H14" s="27" t="n">
        <v>800010.8510977313</v>
      </c>
      <c r="I14" s="28" t="n">
        <v>1298724.366931313</v>
      </c>
      <c r="J14" s="27" t="n">
        <v>536289.7273093145</v>
      </c>
      <c r="K14" s="27" t="n">
        <v>0</v>
      </c>
      <c r="L14" s="27" t="n">
        <v>0</v>
      </c>
      <c r="M14" s="28" t="n">
        <v>536289.7273093145</v>
      </c>
      <c r="N14" s="27" t="n">
        <v>642083.5107828208</v>
      </c>
      <c r="O14" s="27" t="n">
        <v>1288395.266825616</v>
      </c>
      <c r="P14" s="28" t="n">
        <v>1930478.777608437</v>
      </c>
      <c r="Q14" s="27" t="n">
        <v>0</v>
      </c>
      <c r="R14" s="27" t="n">
        <v>0</v>
      </c>
      <c r="S14" s="28" t="n">
        <v>0</v>
      </c>
      <c r="T14" s="27" t="n">
        <v>47192.12027919338</v>
      </c>
      <c r="U14" s="27" t="n">
        <v>1872024.044429033</v>
      </c>
      <c r="V14" s="27" t="n">
        <v>0</v>
      </c>
      <c r="W14" s="27" t="n">
        <v>0</v>
      </c>
      <c r="X14" s="27" t="n">
        <v>0</v>
      </c>
      <c r="Y14" s="27" t="n">
        <v>0</v>
      </c>
      <c r="Z14" s="27" t="n">
        <v>20000</v>
      </c>
      <c r="AA14" s="28" t="n">
        <v>1892024.044429033</v>
      </c>
      <c r="AB14" s="28" t="n">
        <v>5704709.036557292</v>
      </c>
    </row>
    <row r="15" ht="15" customHeight="1">
      <c r="A15" s="25" t="n">
        <v>2038</v>
      </c>
      <c r="B15" s="26" t="n">
        <v>76</v>
      </c>
      <c r="C15" s="26" t="n">
        <v>77</v>
      </c>
      <c r="D15" s="27" t="n">
        <v>53366.14690708379</v>
      </c>
      <c r="E15" s="27" t="n">
        <v>51018.7049119949</v>
      </c>
      <c r="F15" s="27" t="n">
        <v>289611.1118012883</v>
      </c>
      <c r="G15" s="27" t="n">
        <v>85058.56064549639</v>
      </c>
      <c r="H15" s="27" t="n">
        <v>767899.4912733997</v>
      </c>
      <c r="I15" s="28" t="n">
        <v>1246954.015539263</v>
      </c>
      <c r="J15" s="27" t="n">
        <v>406756.9593910935</v>
      </c>
      <c r="K15" s="27" t="n">
        <v>0</v>
      </c>
      <c r="L15" s="27" t="n">
        <v>0</v>
      </c>
      <c r="M15" s="28" t="n">
        <v>406756.9593910935</v>
      </c>
      <c r="N15" s="27" t="n">
        <v>680608.52142979</v>
      </c>
      <c r="O15" s="27" t="n">
        <v>1365698.982835153</v>
      </c>
      <c r="P15" s="28" t="n">
        <v>2046307.504264943</v>
      </c>
      <c r="Q15" s="27" t="n">
        <v>0</v>
      </c>
      <c r="R15" s="27" t="n">
        <v>0</v>
      </c>
      <c r="S15" s="28" t="n">
        <v>0</v>
      </c>
      <c r="T15" s="27" t="n">
        <v>33349.09833062998</v>
      </c>
      <c r="U15" s="27" t="n">
        <v>1928184.765761904</v>
      </c>
      <c r="V15" s="27" t="n">
        <v>0</v>
      </c>
      <c r="W15" s="27" t="n">
        <v>0</v>
      </c>
      <c r="X15" s="27" t="n">
        <v>0</v>
      </c>
      <c r="Y15" s="27" t="n">
        <v>0</v>
      </c>
      <c r="Z15" s="27" t="n">
        <v>20000</v>
      </c>
      <c r="AA15" s="28" t="n">
        <v>1948184.765761904</v>
      </c>
      <c r="AB15" s="28" t="n">
        <v>5681552.343287834</v>
      </c>
    </row>
    <row r="16" ht="15" customHeight="1">
      <c r="A16" s="25" t="n">
        <v>2039</v>
      </c>
      <c r="B16" s="26" t="n">
        <v>77</v>
      </c>
      <c r="C16" s="26" t="n">
        <v>78</v>
      </c>
      <c r="D16" s="27" t="n">
        <v>51785.39572150882</v>
      </c>
      <c r="E16" s="27" t="n">
        <v>49052.42822598031</v>
      </c>
      <c r="F16" s="27" t="n">
        <v>276555.2555387937</v>
      </c>
      <c r="G16" s="27" t="n">
        <v>81257.08742988744</v>
      </c>
      <c r="H16" s="27" t="n">
        <v>734738.2130163426</v>
      </c>
      <c r="I16" s="28" t="n">
        <v>1193388.379932513</v>
      </c>
      <c r="J16" s="27" t="n">
        <v>258861.1595584564</v>
      </c>
      <c r="K16" s="27" t="n">
        <v>0</v>
      </c>
      <c r="L16" s="27" t="n">
        <v>0</v>
      </c>
      <c r="M16" s="28" t="n">
        <v>258861.1595584564</v>
      </c>
      <c r="N16" s="27" t="n">
        <v>721445.0327155774</v>
      </c>
      <c r="O16" s="27" t="n">
        <v>1447640.921805263</v>
      </c>
      <c r="P16" s="28" t="n">
        <v>2169085.95452084</v>
      </c>
      <c r="Q16" s="27" t="n">
        <v>0</v>
      </c>
      <c r="R16" s="27" t="n">
        <v>0</v>
      </c>
      <c r="S16" s="28" t="n">
        <v>0</v>
      </c>
      <c r="T16" s="27" t="n">
        <v>17675.02211523389</v>
      </c>
      <c r="U16" s="27" t="n">
        <v>1986030.308734762</v>
      </c>
      <c r="V16" s="27" t="n">
        <v>0</v>
      </c>
      <c r="W16" s="27" t="n">
        <v>0</v>
      </c>
      <c r="X16" s="27" t="n">
        <v>0</v>
      </c>
      <c r="Y16" s="27" t="n">
        <v>0</v>
      </c>
      <c r="Z16" s="27" t="n">
        <v>20000</v>
      </c>
      <c r="AA16" s="28" t="n">
        <v>2006030.308734762</v>
      </c>
      <c r="AB16" s="28" t="n">
        <v>5645040.824861805</v>
      </c>
    </row>
    <row r="17" ht="15" customHeight="1">
      <c r="A17" s="25" t="n">
        <v>2040</v>
      </c>
      <c r="B17" s="26" t="n">
        <v>78</v>
      </c>
      <c r="C17" s="26" t="n">
        <v>79</v>
      </c>
      <c r="D17" s="27" t="n">
        <v>50109.79946479935</v>
      </c>
      <c r="E17" s="27" t="n">
        <v>46998.41160468414</v>
      </c>
      <c r="F17" s="27" t="n">
        <v>263014.8487843646</v>
      </c>
      <c r="G17" s="27" t="n">
        <v>77292.58999078862</v>
      </c>
      <c r="H17" s="27" t="n">
        <v>700385.1125364907</v>
      </c>
      <c r="I17" s="28" t="n">
        <v>1137800.762381127</v>
      </c>
      <c r="J17" s="27" t="n">
        <v>91284.24346622778</v>
      </c>
      <c r="K17" s="27" t="n">
        <v>0</v>
      </c>
      <c r="L17" s="27" t="n">
        <v>0</v>
      </c>
      <c r="M17" s="28" t="n">
        <v>91284.24346622778</v>
      </c>
      <c r="N17" s="27" t="n">
        <v>764731.7346785121</v>
      </c>
      <c r="O17" s="27" t="n">
        <v>1534499.377113578</v>
      </c>
      <c r="P17" s="28" t="n">
        <v>2299231.11179209</v>
      </c>
      <c r="Q17" s="27" t="n">
        <v>0</v>
      </c>
      <c r="R17" s="27" t="n">
        <v>0</v>
      </c>
      <c r="S17" s="28" t="n">
        <v>0</v>
      </c>
      <c r="T17" s="27" t="n">
        <v>0</v>
      </c>
      <c r="U17" s="27" t="n">
        <v>2045611.217996805</v>
      </c>
      <c r="V17" s="27" t="n">
        <v>0</v>
      </c>
      <c r="W17" s="27" t="n">
        <v>0</v>
      </c>
      <c r="X17" s="27" t="n">
        <v>0</v>
      </c>
      <c r="Y17" s="27" t="n">
        <v>0</v>
      </c>
      <c r="Z17" s="27" t="n">
        <v>20000</v>
      </c>
      <c r="AA17" s="28" t="n">
        <v>2065611.217996805</v>
      </c>
      <c r="AB17" s="28" t="n">
        <v>5593927.335636251</v>
      </c>
    </row>
    <row r="18" ht="15" customHeight="1">
      <c r="A18" s="25" t="n">
        <v>2041</v>
      </c>
      <c r="B18" s="26" t="n">
        <v>79</v>
      </c>
      <c r="C18" s="26" t="n">
        <v>80</v>
      </c>
      <c r="D18" s="27" t="n">
        <v>48333.66743268732</v>
      </c>
      <c r="E18" s="27" t="n">
        <v>44848.49355749129</v>
      </c>
      <c r="F18" s="27" t="n">
        <v>248932.1892145007</v>
      </c>
      <c r="G18" s="27" t="n">
        <v>73149.25235182216</v>
      </c>
      <c r="H18" s="27" t="n">
        <v>664694.6816900476</v>
      </c>
      <c r="I18" s="28" t="n">
        <v>1079958.284246549</v>
      </c>
      <c r="J18" s="27" t="n">
        <v>0</v>
      </c>
      <c r="K18" s="27" t="n">
        <v>0</v>
      </c>
      <c r="L18" s="27" t="n">
        <v>0</v>
      </c>
      <c r="M18" s="28" t="n">
        <v>0</v>
      </c>
      <c r="N18" s="27" t="n">
        <v>780664.0222046386</v>
      </c>
      <c r="O18" s="27" t="n">
        <v>1566468.869389341</v>
      </c>
      <c r="P18" s="28" t="n">
        <v>2347132.89159398</v>
      </c>
      <c r="Q18" s="27" t="n">
        <v>0</v>
      </c>
      <c r="R18" s="27" t="n">
        <v>0</v>
      </c>
      <c r="S18" s="28" t="n">
        <v>0</v>
      </c>
      <c r="T18" s="27" t="n">
        <v>0</v>
      </c>
      <c r="U18" s="27" t="n">
        <v>2106979.554536709</v>
      </c>
      <c r="V18" s="27" t="n">
        <v>0</v>
      </c>
      <c r="W18" s="27" t="n">
        <v>0</v>
      </c>
      <c r="X18" s="27" t="n">
        <v>0</v>
      </c>
      <c r="Y18" s="27" t="n">
        <v>0</v>
      </c>
      <c r="Z18" s="27" t="n">
        <v>20000</v>
      </c>
      <c r="AA18" s="28" t="n">
        <v>2126979.554536709</v>
      </c>
      <c r="AB18" s="28" t="n">
        <v>5554070.730377238</v>
      </c>
    </row>
    <row r="19" ht="15" customHeight="1">
      <c r="A19" s="25" t="n">
        <v>2042</v>
      </c>
      <c r="B19" s="26" t="n">
        <v>80</v>
      </c>
      <c r="C19" s="26" t="n">
        <v>81</v>
      </c>
      <c r="D19" s="27" t="n">
        <v>46450.96747864856</v>
      </c>
      <c r="E19" s="27" t="n">
        <v>42594.20629324421</v>
      </c>
      <c r="F19" s="27" t="n">
        <v>234247.9246283964</v>
      </c>
      <c r="G19" s="27" t="n">
        <v>68810.6882371939</v>
      </c>
      <c r="H19" s="27" t="n">
        <v>627517.3251822682</v>
      </c>
      <c r="I19" s="28" t="n">
        <v>1019621.111819751</v>
      </c>
      <c r="J19" s="27" t="n">
        <v>0</v>
      </c>
      <c r="K19" s="27" t="n">
        <v>0</v>
      </c>
      <c r="L19" s="27" t="n">
        <v>0</v>
      </c>
      <c r="M19" s="28" t="n">
        <v>0</v>
      </c>
      <c r="N19" s="27" t="n">
        <v>771089.6130458006</v>
      </c>
      <c r="O19" s="27" t="n">
        <v>1547257.001718329</v>
      </c>
      <c r="P19" s="28" t="n">
        <v>2318346.61476413</v>
      </c>
      <c r="Q19" s="27" t="n">
        <v>0</v>
      </c>
      <c r="R19" s="27" t="n">
        <v>0</v>
      </c>
      <c r="S19" s="28" t="n">
        <v>0</v>
      </c>
      <c r="T19" s="27" t="n">
        <v>0</v>
      </c>
      <c r="U19" s="27" t="n">
        <v>2170188.94117281</v>
      </c>
      <c r="V19" s="27" t="n">
        <v>0</v>
      </c>
      <c r="W19" s="27" t="n">
        <v>0</v>
      </c>
      <c r="X19" s="27" t="n">
        <v>0</v>
      </c>
      <c r="Y19" s="27" t="n">
        <v>0</v>
      </c>
      <c r="Z19" s="27" t="n">
        <v>20000</v>
      </c>
      <c r="AA19" s="28" t="n">
        <v>2190188.94117281</v>
      </c>
      <c r="AB19" s="28" t="n">
        <v>5528156.667756692</v>
      </c>
    </row>
    <row r="20" ht="15" customHeight="1">
      <c r="A20" s="25" t="n">
        <v>2043</v>
      </c>
      <c r="B20" s="26" t="n">
        <v>81</v>
      </c>
      <c r="C20" s="26" t="n">
        <v>82</v>
      </c>
      <c r="D20" s="27" t="n">
        <v>44455.30552736748</v>
      </c>
      <c r="E20" s="27" t="n">
        <v>40226.74730644998</v>
      </c>
      <c r="F20" s="27" t="n">
        <v>218900.8547812045</v>
      </c>
      <c r="G20" s="27" t="n">
        <v>64259.88621623179</v>
      </c>
      <c r="H20" s="27" t="n">
        <v>588698.8622694813</v>
      </c>
      <c r="I20" s="28" t="n">
        <v>956541.6561007351</v>
      </c>
      <c r="J20" s="27" t="n">
        <v>0</v>
      </c>
      <c r="K20" s="27" t="n">
        <v>0</v>
      </c>
      <c r="L20" s="27" t="n">
        <v>0</v>
      </c>
      <c r="M20" s="28" t="n">
        <v>0</v>
      </c>
      <c r="N20" s="27" t="n">
        <v>759534.7972051314</v>
      </c>
      <c r="O20" s="27" t="n">
        <v>1524071.279319058</v>
      </c>
      <c r="P20" s="28" t="n">
        <v>2283606.076524189</v>
      </c>
      <c r="Q20" s="27" t="n">
        <v>0</v>
      </c>
      <c r="R20" s="27" t="n">
        <v>0</v>
      </c>
      <c r="S20" s="28" t="n">
        <v>0</v>
      </c>
      <c r="T20" s="27" t="n">
        <v>0</v>
      </c>
      <c r="U20" s="27" t="n">
        <v>2235294.609407994</v>
      </c>
      <c r="V20" s="27" t="n">
        <v>0</v>
      </c>
      <c r="W20" s="27" t="n">
        <v>0</v>
      </c>
      <c r="X20" s="27" t="n">
        <v>0</v>
      </c>
      <c r="Y20" s="27" t="n">
        <v>0</v>
      </c>
      <c r="Z20" s="27" t="n">
        <v>20000</v>
      </c>
      <c r="AA20" s="28" t="n">
        <v>2255294.609407994</v>
      </c>
      <c r="AB20" s="28" t="n">
        <v>5495442.342032919</v>
      </c>
    </row>
    <row r="21" ht="15" customHeight="1">
      <c r="A21" s="25" t="n">
        <v>2044</v>
      </c>
      <c r="B21" s="26" t="n">
        <v>82</v>
      </c>
      <c r="C21" s="26" t="n">
        <v>83</v>
      </c>
      <c r="D21" s="27" t="n">
        <v>42339.90385900953</v>
      </c>
      <c r="E21" s="27" t="n">
        <v>37736.94976809845</v>
      </c>
      <c r="F21" s="27" t="n">
        <v>202827.7263616039</v>
      </c>
      <c r="G21" s="27" t="n">
        <v>59479.15260174183</v>
      </c>
      <c r="H21" s="27" t="n">
        <v>548080.0113794138</v>
      </c>
      <c r="I21" s="28" t="n">
        <v>890463.7439698675</v>
      </c>
      <c r="J21" s="27" t="n">
        <v>0</v>
      </c>
      <c r="K21" s="27" t="n">
        <v>0</v>
      </c>
      <c r="L21" s="27" t="n">
        <v>0</v>
      </c>
      <c r="M21" s="28" t="n">
        <v>0</v>
      </c>
      <c r="N21" s="27" t="n">
        <v>745829.1507492713</v>
      </c>
      <c r="O21" s="27" t="n">
        <v>1496569.732049939</v>
      </c>
      <c r="P21" s="28" t="n">
        <v>2242398.882799211</v>
      </c>
      <c r="Q21" s="27" t="n">
        <v>0</v>
      </c>
      <c r="R21" s="27" t="n">
        <v>0</v>
      </c>
      <c r="S21" s="28" t="n">
        <v>0</v>
      </c>
      <c r="T21" s="27" t="n">
        <v>0</v>
      </c>
      <c r="U21" s="27" t="n">
        <v>2302353.447690234</v>
      </c>
      <c r="V21" s="27" t="n">
        <v>0</v>
      </c>
      <c r="W21" s="27" t="n">
        <v>0</v>
      </c>
      <c r="X21" s="27" t="n">
        <v>0</v>
      </c>
      <c r="Y21" s="27" t="n">
        <v>0</v>
      </c>
      <c r="Z21" s="27" t="n">
        <v>20000</v>
      </c>
      <c r="AA21" s="28" t="n">
        <v>2322353.447690234</v>
      </c>
      <c r="AB21" s="28" t="n">
        <v>5455216.074459312</v>
      </c>
    </row>
    <row r="22" ht="15" customHeight="1">
      <c r="A22" s="25" t="n">
        <v>2045</v>
      </c>
      <c r="B22" s="26" t="n">
        <v>83</v>
      </c>
      <c r="C22" s="26" t="n">
        <v>84</v>
      </c>
      <c r="D22" s="27" t="n">
        <v>40097.5780905501</v>
      </c>
      <c r="E22" s="27" t="n">
        <v>35115.25162467014</v>
      </c>
      <c r="F22" s="27" t="n">
        <v>185963.0204582641</v>
      </c>
      <c r="G22" s="27" t="n">
        <v>54450.05191681857</v>
      </c>
      <c r="H22" s="27" t="n">
        <v>505495.8560045158</v>
      </c>
      <c r="I22" s="28" t="n">
        <v>821121.7580948187</v>
      </c>
      <c r="J22" s="27" t="n">
        <v>0</v>
      </c>
      <c r="K22" s="27" t="n">
        <v>0</v>
      </c>
      <c r="L22" s="27" t="n">
        <v>0</v>
      </c>
      <c r="M22" s="28" t="n">
        <v>0</v>
      </c>
      <c r="N22" s="27" t="n">
        <v>729786.4385391281</v>
      </c>
      <c r="O22" s="27" t="n">
        <v>1464378.663238043</v>
      </c>
      <c r="P22" s="28" t="n">
        <v>2194165.101777171</v>
      </c>
      <c r="Q22" s="27" t="n">
        <v>0</v>
      </c>
      <c r="R22" s="27" t="n">
        <v>0</v>
      </c>
      <c r="S22" s="28" t="n">
        <v>0</v>
      </c>
      <c r="T22" s="27" t="n">
        <v>0</v>
      </c>
      <c r="U22" s="27" t="n">
        <v>2371424.051120941</v>
      </c>
      <c r="V22" s="27" t="n">
        <v>0</v>
      </c>
      <c r="W22" s="27" t="n">
        <v>0</v>
      </c>
      <c r="X22" s="27" t="n">
        <v>0</v>
      </c>
      <c r="Y22" s="27" t="n">
        <v>0</v>
      </c>
      <c r="Z22" s="27" t="n">
        <v>20000</v>
      </c>
      <c r="AA22" s="28" t="n">
        <v>2391424.051120941</v>
      </c>
      <c r="AB22" s="28" t="n">
        <v>5406710.910992931</v>
      </c>
    </row>
    <row r="23" ht="15" customHeight="1">
      <c r="A23" s="25" t="n">
        <v>2046</v>
      </c>
      <c r="B23" s="26" t="n">
        <v>84</v>
      </c>
      <c r="C23" s="26" t="n">
        <v>85</v>
      </c>
      <c r="D23" s="27" t="n">
        <v>37720.71277598311</v>
      </c>
      <c r="E23" s="27" t="n">
        <v>32351.66330428823</v>
      </c>
      <c r="F23" s="27" t="n">
        <v>168238.7318319445</v>
      </c>
      <c r="G23" s="27" t="n">
        <v>49153.34473600145</v>
      </c>
      <c r="H23" s="27" t="n">
        <v>460775.2901534218</v>
      </c>
      <c r="I23" s="28" t="n">
        <v>748239.742801639</v>
      </c>
      <c r="J23" s="27" t="n">
        <v>0</v>
      </c>
      <c r="K23" s="27" t="n">
        <v>0</v>
      </c>
      <c r="L23" s="27" t="n">
        <v>0</v>
      </c>
      <c r="M23" s="28" t="n">
        <v>0</v>
      </c>
      <c r="N23" s="27" t="n">
        <v>725646.2623695707</v>
      </c>
      <c r="O23" s="27" t="n">
        <v>1456071.047030645</v>
      </c>
      <c r="P23" s="28" t="n">
        <v>2181717.309400216</v>
      </c>
      <c r="Q23" s="27" t="n">
        <v>0</v>
      </c>
      <c r="R23" s="27" t="n">
        <v>0</v>
      </c>
      <c r="S23" s="28" t="n">
        <v>0</v>
      </c>
      <c r="T23" s="27" t="n">
        <v>0</v>
      </c>
      <c r="U23" s="27" t="n">
        <v>2442566.772654569</v>
      </c>
      <c r="V23" s="27" t="n">
        <v>0</v>
      </c>
      <c r="W23" s="27" t="n">
        <v>0</v>
      </c>
      <c r="X23" s="27" t="n">
        <v>0</v>
      </c>
      <c r="Y23" s="27" t="n">
        <v>0</v>
      </c>
      <c r="Z23" s="27" t="n">
        <v>20000</v>
      </c>
      <c r="AA23" s="28" t="n">
        <v>2462566.772654569</v>
      </c>
      <c r="AB23" s="28" t="n">
        <v>5392523.824856425</v>
      </c>
    </row>
    <row r="24" ht="15" customHeight="1">
      <c r="A24" s="25" t="n">
        <v>2047</v>
      </c>
      <c r="B24" s="26" t="n">
        <v>85</v>
      </c>
      <c r="C24" s="26" t="n">
        <v>86</v>
      </c>
      <c r="D24" s="27" t="n">
        <v>35201.2355425421</v>
      </c>
      <c r="E24" s="27" t="n">
        <v>29435.73392401355</v>
      </c>
      <c r="F24" s="27" t="n">
        <v>149584.1392799129</v>
      </c>
      <c r="G24" s="27" t="n">
        <v>43568.92269728665</v>
      </c>
      <c r="H24" s="27" t="n">
        <v>413740.4415705569</v>
      </c>
      <c r="I24" s="28" t="n">
        <v>671530.4730143121</v>
      </c>
      <c r="J24" s="27" t="n">
        <v>0</v>
      </c>
      <c r="K24" s="27" t="n">
        <v>0</v>
      </c>
      <c r="L24" s="27" t="n">
        <v>0</v>
      </c>
      <c r="M24" s="28" t="n">
        <v>0</v>
      </c>
      <c r="N24" s="27" t="n">
        <v>717215.8542724709</v>
      </c>
      <c r="O24" s="27" t="n">
        <v>1439154.714953422</v>
      </c>
      <c r="P24" s="28" t="n">
        <v>2156370.569225893</v>
      </c>
      <c r="Q24" s="27" t="n">
        <v>0</v>
      </c>
      <c r="R24" s="27" t="n">
        <v>0</v>
      </c>
      <c r="S24" s="28" t="n">
        <v>0</v>
      </c>
      <c r="T24" s="27" t="n">
        <v>0</v>
      </c>
      <c r="U24" s="27" t="n">
        <v>2515843.775834206</v>
      </c>
      <c r="V24" s="27" t="n">
        <v>0</v>
      </c>
      <c r="W24" s="27" t="n">
        <v>0</v>
      </c>
      <c r="X24" s="27" t="n">
        <v>0</v>
      </c>
      <c r="Y24" s="27" t="n">
        <v>0</v>
      </c>
      <c r="Z24" s="27" t="n">
        <v>20000</v>
      </c>
      <c r="AA24" s="28" t="n">
        <v>2535843.775834206</v>
      </c>
      <c r="AB24" s="28" t="n">
        <v>5363744.818074412</v>
      </c>
    </row>
    <row r="25" ht="15" customHeight="1">
      <c r="A25" s="25" t="n">
        <v>2048</v>
      </c>
      <c r="B25" s="26" t="n">
        <v>86</v>
      </c>
      <c r="C25" s="26" t="n">
        <v>87</v>
      </c>
      <c r="D25" s="27" t="n">
        <v>32530.58967509462</v>
      </c>
      <c r="E25" s="27" t="n">
        <v>27330.46560985206</v>
      </c>
      <c r="F25" s="27" t="n">
        <v>139550.2068132623</v>
      </c>
      <c r="G25" s="27" t="n">
        <v>37675.74047145784</v>
      </c>
      <c r="H25" s="27" t="n">
        <v>364206.0708530178</v>
      </c>
      <c r="I25" s="28" t="n">
        <v>601293.0734226846</v>
      </c>
      <c r="J25" s="27" t="n">
        <v>0</v>
      </c>
      <c r="K25" s="27" t="n">
        <v>0</v>
      </c>
      <c r="L25" s="27" t="n">
        <v>0</v>
      </c>
      <c r="M25" s="28" t="n">
        <v>0</v>
      </c>
      <c r="N25" s="27" t="n">
        <v>700283.577933599</v>
      </c>
      <c r="O25" s="27" t="n">
        <v>1405178.659930628</v>
      </c>
      <c r="P25" s="28" t="n">
        <v>2105462.237864227</v>
      </c>
      <c r="Q25" s="27" t="n">
        <v>0</v>
      </c>
      <c r="R25" s="27" t="n">
        <v>0</v>
      </c>
      <c r="S25" s="28" t="n">
        <v>0</v>
      </c>
      <c r="T25" s="27" t="n">
        <v>0</v>
      </c>
      <c r="U25" s="27" t="n">
        <v>2591319.089109233</v>
      </c>
      <c r="V25" s="27" t="n">
        <v>0</v>
      </c>
      <c r="W25" s="27" t="n">
        <v>0</v>
      </c>
      <c r="X25" s="27" t="n">
        <v>0</v>
      </c>
      <c r="Y25" s="27" t="n">
        <v>0</v>
      </c>
      <c r="Z25" s="27" t="n">
        <v>20000</v>
      </c>
      <c r="AA25" s="28" t="n">
        <v>2611319.089109233</v>
      </c>
      <c r="AB25" s="28" t="n">
        <v>5318074.400396144</v>
      </c>
    </row>
    <row r="26" ht="15" customHeight="1">
      <c r="A26" s="25" t="n">
        <v>2049</v>
      </c>
      <c r="B26" s="26" t="n">
        <v>87</v>
      </c>
      <c r="C26" s="26" t="n">
        <v>88</v>
      </c>
      <c r="D26" s="27" t="n">
        <v>29699.7050556003</v>
      </c>
      <c r="E26" s="27" t="n">
        <v>25069.41921772394</v>
      </c>
      <c r="F26" s="27" t="n">
        <v>128623.0930245084</v>
      </c>
      <c r="G26" s="27" t="n">
        <v>33353.14153178348</v>
      </c>
      <c r="H26" s="27" t="n">
        <v>335294.9749321799</v>
      </c>
      <c r="I26" s="28" t="n">
        <v>552040.3337617961</v>
      </c>
      <c r="J26" s="27" t="n">
        <v>0</v>
      </c>
      <c r="K26" s="27" t="n">
        <v>0</v>
      </c>
      <c r="L26" s="27" t="n">
        <v>0</v>
      </c>
      <c r="M26" s="28" t="n">
        <v>0</v>
      </c>
      <c r="N26" s="27" t="n">
        <v>681255.4944923926</v>
      </c>
      <c r="O26" s="27" t="n">
        <v>1366997.189404272</v>
      </c>
      <c r="P26" s="28" t="n">
        <v>2048252.683896665</v>
      </c>
      <c r="Q26" s="27" t="n">
        <v>0</v>
      </c>
      <c r="R26" s="27" t="n">
        <v>0</v>
      </c>
      <c r="S26" s="28" t="n">
        <v>0</v>
      </c>
      <c r="T26" s="27" t="n">
        <v>0</v>
      </c>
      <c r="U26" s="27" t="n">
        <v>2669058.66178251</v>
      </c>
      <c r="V26" s="27" t="n">
        <v>0</v>
      </c>
      <c r="W26" s="27" t="n">
        <v>0</v>
      </c>
      <c r="X26" s="27" t="n">
        <v>0</v>
      </c>
      <c r="Y26" s="27" t="n">
        <v>0</v>
      </c>
      <c r="Z26" s="27" t="n">
        <v>20000</v>
      </c>
      <c r="AA26" s="28" t="n">
        <v>2689058.66178251</v>
      </c>
      <c r="AB26" s="28" t="n">
        <v>5289351.679440971</v>
      </c>
    </row>
    <row r="27" ht="15" customHeight="1">
      <c r="A27" s="25" t="n">
        <v>2050</v>
      </c>
      <c r="B27" s="26" t="n">
        <v>88</v>
      </c>
      <c r="C27" s="26" t="n">
        <v>89</v>
      </c>
      <c r="D27" s="27" t="n">
        <v>26698.96735893632</v>
      </c>
      <c r="E27" s="27" t="n">
        <v>22642.79030658142</v>
      </c>
      <c r="F27" s="27" t="n">
        <v>116744.6834533062</v>
      </c>
      <c r="G27" s="27" t="n">
        <v>28713.66939444178</v>
      </c>
      <c r="H27" s="27" t="n">
        <v>303943.9033357269</v>
      </c>
      <c r="I27" s="28" t="n">
        <v>498744.0138489926</v>
      </c>
      <c r="J27" s="27" t="n">
        <v>0</v>
      </c>
      <c r="K27" s="27" t="n">
        <v>0</v>
      </c>
      <c r="L27" s="27" t="n">
        <v>0</v>
      </c>
      <c r="M27" s="28" t="n">
        <v>0</v>
      </c>
      <c r="N27" s="27" t="n">
        <v>659916.566230065</v>
      </c>
      <c r="O27" s="27" t="n">
        <v>1324178.811871425</v>
      </c>
      <c r="P27" s="28" t="n">
        <v>1984095.37810149</v>
      </c>
      <c r="Q27" s="27" t="n">
        <v>0</v>
      </c>
      <c r="R27" s="27" t="n">
        <v>0</v>
      </c>
      <c r="S27" s="28" t="n">
        <v>0</v>
      </c>
      <c r="T27" s="27" t="n">
        <v>0</v>
      </c>
      <c r="U27" s="27" t="n">
        <v>2749130.421635985</v>
      </c>
      <c r="V27" s="27" t="n">
        <v>0</v>
      </c>
      <c r="W27" s="27" t="n">
        <v>0</v>
      </c>
      <c r="X27" s="27" t="n">
        <v>0</v>
      </c>
      <c r="Y27" s="27" t="n">
        <v>0</v>
      </c>
      <c r="Z27" s="27" t="n">
        <v>20000</v>
      </c>
      <c r="AA27" s="28" t="n">
        <v>2769130.421635985</v>
      </c>
      <c r="AB27" s="28" t="n">
        <v>5251969.813586468</v>
      </c>
    </row>
    <row r="28" ht="15" customHeight="1">
      <c r="A28" s="25" t="n">
        <v>2051</v>
      </c>
      <c r="B28" s="26" t="n">
        <v>89</v>
      </c>
      <c r="C28" s="26" t="n">
        <v>90</v>
      </c>
      <c r="D28" s="27" t="n">
        <v>23518.1854004725</v>
      </c>
      <c r="E28" s="27" t="n">
        <v>20040.26992859006</v>
      </c>
      <c r="F28" s="27" t="n">
        <v>103854.2044907696</v>
      </c>
      <c r="G28" s="27" t="n">
        <v>23737.41801095103</v>
      </c>
      <c r="H28" s="27" t="n">
        <v>269995.498988822</v>
      </c>
      <c r="I28" s="28" t="n">
        <v>441145.5768196052</v>
      </c>
      <c r="J28" s="27" t="n">
        <v>0</v>
      </c>
      <c r="K28" s="27" t="n">
        <v>0</v>
      </c>
      <c r="L28" s="27" t="n">
        <v>0</v>
      </c>
      <c r="M28" s="28" t="n">
        <v>0</v>
      </c>
      <c r="N28" s="27" t="n">
        <v>636032.6076637194</v>
      </c>
      <c r="O28" s="27" t="n">
        <v>1276253.614209175</v>
      </c>
      <c r="P28" s="28" t="n">
        <v>1912286.221872894</v>
      </c>
      <c r="Q28" s="27" t="n">
        <v>0</v>
      </c>
      <c r="R28" s="27" t="n">
        <v>0</v>
      </c>
      <c r="S28" s="28" t="n">
        <v>0</v>
      </c>
      <c r="T28" s="27" t="n">
        <v>0</v>
      </c>
      <c r="U28" s="27" t="n">
        <v>2831604.334285065</v>
      </c>
      <c r="V28" s="27" t="n">
        <v>0</v>
      </c>
      <c r="W28" s="27" t="n">
        <v>0</v>
      </c>
      <c r="X28" s="27" t="n">
        <v>0</v>
      </c>
      <c r="Y28" s="27" t="n">
        <v>0</v>
      </c>
      <c r="Z28" s="27" t="n">
        <v>20000</v>
      </c>
      <c r="AA28" s="28" t="n">
        <v>2851604.334285065</v>
      </c>
      <c r="AB28" s="28" t="n">
        <v>5205036.132977564</v>
      </c>
    </row>
    <row r="29" ht="15" customHeight="1">
      <c r="A29" s="25" t="n">
        <v>2052</v>
      </c>
      <c r="B29" s="26" t="n">
        <v>90</v>
      </c>
      <c r="C29" s="26" t="n">
        <v>91</v>
      </c>
      <c r="D29" s="27" t="n">
        <v>20146.55652450085</v>
      </c>
      <c r="E29" s="27" t="n">
        <v>17251.00839035763</v>
      </c>
      <c r="F29" s="27" t="n">
        <v>89888.00485076271</v>
      </c>
      <c r="G29" s="27" t="n">
        <v>18403.45049006846</v>
      </c>
      <c r="H29" s="27" t="n">
        <v>233284.9685707547</v>
      </c>
      <c r="I29" s="28" t="n">
        <v>378973.9888264444</v>
      </c>
      <c r="J29" s="27" t="n">
        <v>0</v>
      </c>
      <c r="K29" s="27" t="n">
        <v>0</v>
      </c>
      <c r="L29" s="27" t="n">
        <v>0</v>
      </c>
      <c r="M29" s="28" t="n">
        <v>0</v>
      </c>
      <c r="N29" s="27" t="n">
        <v>609357.9153618487</v>
      </c>
      <c r="O29" s="27" t="n">
        <v>1222728.571549444</v>
      </c>
      <c r="P29" s="28" t="n">
        <v>1832086.486911293</v>
      </c>
      <c r="Q29" s="27" t="n">
        <v>0</v>
      </c>
      <c r="R29" s="27" t="n">
        <v>0</v>
      </c>
      <c r="S29" s="28" t="n">
        <v>0</v>
      </c>
      <c r="T29" s="27" t="n">
        <v>0</v>
      </c>
      <c r="U29" s="27" t="n">
        <v>2916552.464313617</v>
      </c>
      <c r="V29" s="27" t="n">
        <v>0</v>
      </c>
      <c r="W29" s="27" t="n">
        <v>0</v>
      </c>
      <c r="X29" s="27" t="n">
        <v>0</v>
      </c>
      <c r="Y29" s="27" t="n">
        <v>0</v>
      </c>
      <c r="Z29" s="27" t="n">
        <v>20000</v>
      </c>
      <c r="AA29" s="28" t="n">
        <v>2936552.464313617</v>
      </c>
      <c r="AB29" s="28" t="n">
        <v>5147612.940051354</v>
      </c>
    </row>
    <row r="30" ht="15" customHeight="1">
      <c r="A30" s="25" t="n">
        <v>2053</v>
      </c>
      <c r="B30" s="26" t="n">
        <v>91</v>
      </c>
      <c r="C30" s="26" t="n">
        <v>92</v>
      </c>
      <c r="D30" s="27" t="n">
        <v>16572.6299159709</v>
      </c>
      <c r="E30" s="27" t="n">
        <v>14263.57718329032</v>
      </c>
      <c r="F30" s="27" t="n">
        <v>74744.4360214453</v>
      </c>
      <c r="G30" s="27" t="n">
        <v>12689.72559546325</v>
      </c>
      <c r="H30" s="27" t="n">
        <v>193639.4934595543</v>
      </c>
      <c r="I30" s="28" t="n">
        <v>311909.862175724</v>
      </c>
      <c r="J30" s="27" t="n">
        <v>0</v>
      </c>
      <c r="K30" s="27" t="n">
        <v>0</v>
      </c>
      <c r="L30" s="27" t="n">
        <v>0</v>
      </c>
      <c r="M30" s="28" t="n">
        <v>0</v>
      </c>
      <c r="N30" s="27" t="n">
        <v>579651.0276135942</v>
      </c>
      <c r="O30" s="27" t="n">
        <v>1163119.170398016</v>
      </c>
      <c r="P30" s="28" t="n">
        <v>1742770.19801161</v>
      </c>
      <c r="Q30" s="27" t="n">
        <v>0</v>
      </c>
      <c r="R30" s="27" t="n">
        <v>0</v>
      </c>
      <c r="S30" s="28" t="n">
        <v>0</v>
      </c>
      <c r="T30" s="27" t="n">
        <v>0</v>
      </c>
      <c r="U30" s="27" t="n">
        <v>3004049.038243025</v>
      </c>
      <c r="V30" s="27" t="n">
        <v>0</v>
      </c>
      <c r="W30" s="27" t="n">
        <v>0</v>
      </c>
      <c r="X30" s="27" t="n">
        <v>0</v>
      </c>
      <c r="Y30" s="27" t="n">
        <v>0</v>
      </c>
      <c r="Z30" s="27" t="n">
        <v>20000</v>
      </c>
      <c r="AA30" s="28" t="n">
        <v>3024049.038243025</v>
      </c>
      <c r="AB30" s="28" t="n">
        <v>5078729.098430359</v>
      </c>
    </row>
    <row r="31" ht="15" customHeight="1">
      <c r="A31" s="25" t="n">
        <v>2054</v>
      </c>
      <c r="B31" s="26" t="n">
        <v>92</v>
      </c>
      <c r="C31" s="26" t="n">
        <v>93</v>
      </c>
      <c r="D31" s="27" t="n">
        <v>12784.26771092916</v>
      </c>
      <c r="E31" s="27" t="n">
        <v>11062.38017786466</v>
      </c>
      <c r="F31" s="27" t="n">
        <v>58312.03707280431</v>
      </c>
      <c r="G31" s="27" t="n">
        <v>6566.127548158184</v>
      </c>
      <c r="H31" s="27" t="n">
        <v>150793.0881476459</v>
      </c>
      <c r="I31" s="28" t="n">
        <v>239517.9006574022</v>
      </c>
      <c r="J31" s="27" t="n">
        <v>0</v>
      </c>
      <c r="K31" s="27" t="n">
        <v>0</v>
      </c>
      <c r="L31" s="27" t="n">
        <v>0</v>
      </c>
      <c r="M31" s="28" t="n">
        <v>0</v>
      </c>
      <c r="N31" s="27" t="n">
        <v>0</v>
      </c>
      <c r="O31" s="27" t="n">
        <v>1643559.500198736</v>
      </c>
      <c r="P31" s="28" t="n">
        <v>1643559.500198736</v>
      </c>
      <c r="Q31" s="27" t="n">
        <v>0</v>
      </c>
      <c r="R31" s="27" t="n">
        <v>0</v>
      </c>
      <c r="S31" s="28" t="n">
        <v>0</v>
      </c>
      <c r="T31" s="27" t="n">
        <v>0</v>
      </c>
      <c r="U31" s="27" t="n">
        <v>3094170.509390316</v>
      </c>
      <c r="V31" s="27" t="n">
        <v>0</v>
      </c>
      <c r="W31" s="27" t="n">
        <v>0</v>
      </c>
      <c r="X31" s="27" t="n">
        <v>0</v>
      </c>
      <c r="Y31" s="27" t="n">
        <v>0</v>
      </c>
      <c r="Z31" s="27" t="n">
        <v>20000</v>
      </c>
      <c r="AA31" s="28" t="n">
        <v>3114170.509390316</v>
      </c>
      <c r="AB31" s="28" t="n">
        <v>4998447.910246454</v>
      </c>
    </row>
    <row r="32" ht="15" customHeight="1">
      <c r="A32" s="25" t="n">
        <v>2055</v>
      </c>
      <c r="B32" s="26" t="n">
        <v>93</v>
      </c>
      <c r="C32" s="26" t="n">
        <v>94</v>
      </c>
      <c r="D32" s="27" t="n">
        <v>8768.603773584906</v>
      </c>
      <c r="E32" s="27" t="n">
        <v>7630.517632355747</v>
      </c>
      <c r="F32" s="27" t="n">
        <v>40468.60783634771</v>
      </c>
      <c r="G32" s="27" t="n">
        <v>0</v>
      </c>
      <c r="H32" s="27" t="n">
        <v>104454.811894416</v>
      </c>
      <c r="I32" s="28" t="n">
        <v>161322.5411367043</v>
      </c>
      <c r="J32" s="27" t="n">
        <v>0</v>
      </c>
      <c r="K32" s="27" t="n">
        <v>0</v>
      </c>
      <c r="L32" s="27" t="n">
        <v>0</v>
      </c>
      <c r="M32" s="28" t="n">
        <v>0</v>
      </c>
      <c r="N32" s="27" t="n">
        <v>0</v>
      </c>
      <c r="O32" s="27" t="n">
        <v>1534545.642411505</v>
      </c>
      <c r="P32" s="28" t="n">
        <v>1534545.642411505</v>
      </c>
      <c r="Q32" s="27" t="n">
        <v>0</v>
      </c>
      <c r="R32" s="27" t="n">
        <v>0</v>
      </c>
      <c r="S32" s="28" t="n">
        <v>0</v>
      </c>
      <c r="T32" s="27" t="n">
        <v>0</v>
      </c>
      <c r="U32" s="27" t="n">
        <v>3186995.624672025</v>
      </c>
      <c r="V32" s="27" t="n">
        <v>0</v>
      </c>
      <c r="W32" s="27" t="n">
        <v>0</v>
      </c>
      <c r="X32" s="27" t="n">
        <v>0</v>
      </c>
      <c r="Y32" s="27" t="n">
        <v>0</v>
      </c>
      <c r="Z32" s="27" t="n">
        <v>20000</v>
      </c>
      <c r="AA32" s="28" t="n">
        <v>3206995.624672025</v>
      </c>
      <c r="AB32" s="28" t="n">
        <v>4905335.808220235</v>
      </c>
    </row>
    <row r="33" ht="15" customHeight="1">
      <c r="A33" s="25" t="n">
        <v>2056</v>
      </c>
      <c r="B33" s="26" t="n">
        <v>94</v>
      </c>
      <c r="C33" s="26" t="n">
        <v>95</v>
      </c>
      <c r="D33" s="27" t="n">
        <v>4512</v>
      </c>
      <c r="E33" s="27" t="n">
        <v>3949.674637036996</v>
      </c>
      <c r="F33" s="27" t="n">
        <v>21080.19734123627</v>
      </c>
      <c r="G33" s="27" t="n">
        <v>0</v>
      </c>
      <c r="H33" s="27" t="n">
        <v>54306.45241311462</v>
      </c>
      <c r="I33" s="28" t="n">
        <v>83848.32439138788</v>
      </c>
      <c r="J33" s="27" t="n">
        <v>0</v>
      </c>
      <c r="K33" s="27" t="n">
        <v>0</v>
      </c>
      <c r="L33" s="27" t="n">
        <v>0</v>
      </c>
      <c r="M33" s="28" t="n">
        <v>0</v>
      </c>
      <c r="N33" s="27" t="n">
        <v>0</v>
      </c>
      <c r="O33" s="27" t="n">
        <v>1415385.163972736</v>
      </c>
      <c r="P33" s="28" t="n">
        <v>1415385.163972736</v>
      </c>
      <c r="Q33" s="27" t="n">
        <v>0</v>
      </c>
      <c r="R33" s="27" t="n">
        <v>0</v>
      </c>
      <c r="S33" s="28" t="n">
        <v>0</v>
      </c>
      <c r="T33" s="27" t="n">
        <v>0</v>
      </c>
      <c r="U33" s="27" t="n">
        <v>3282605.493412186</v>
      </c>
      <c r="V33" s="27" t="n">
        <v>0</v>
      </c>
      <c r="W33" s="27" t="n">
        <v>0</v>
      </c>
      <c r="X33" s="27" t="n">
        <v>0</v>
      </c>
      <c r="Y33" s="27" t="n">
        <v>0</v>
      </c>
      <c r="Z33" s="27" t="n">
        <v>20000</v>
      </c>
      <c r="AA33" s="28" t="n">
        <v>3302605.493412186</v>
      </c>
      <c r="AB33" s="28" t="n">
        <v>4805659.30177631</v>
      </c>
    </row>
    <row r="34"/>
    <row r="35" ht="15" customHeight="1">
      <c r="A35" s="13" t="inlineStr">
        <is>
          <t>Summary: Plan Start vs Plan End</t>
        </is>
      </c>
      <c r="B35" s="3" t="n"/>
      <c r="C35" s="3" t="n"/>
      <c r="D35" s="3" t="n"/>
      <c r="E35" s="4" t="n"/>
    </row>
    <row r="36" ht="30" customHeight="1">
      <c r="A36" s="5" t="inlineStr">
        <is>
          <t>Group</t>
        </is>
      </c>
      <c r="B36" s="5" t="inlineStr">
        <is>
          <t>Plan Start (2026)</t>
        </is>
      </c>
      <c r="C36" s="5" t="inlineStr">
        <is>
          <t>Plan End (2056)</t>
        </is>
      </c>
      <c r="D36" s="5" t="inlineStr">
        <is>
          <t>Change</t>
        </is>
      </c>
      <c r="E36" s="5" t="inlineStr">
        <is>
          <t>% Change</t>
        </is>
      </c>
    </row>
    <row r="37" ht="30" customHeight="1">
      <c r="A37" s="12" t="inlineStr">
        <is>
          <t>Annuities &amp; Pension</t>
        </is>
      </c>
      <c r="B37" s="27" t="n">
        <v>1360665.816031712</v>
      </c>
      <c r="C37" s="27" t="n">
        <v>83848.32439138788</v>
      </c>
      <c r="D37" s="27" t="n">
        <v>-1276817.491640324</v>
      </c>
      <c r="E37" s="29" t="n">
        <v>-0.9383769891155745</v>
      </c>
    </row>
    <row r="38" ht="15" customHeight="1">
      <c r="A38" s="12" t="inlineStr">
        <is>
          <t>Pre-Tax</t>
        </is>
      </c>
      <c r="B38" s="27" t="n">
        <v>1911356.53597326</v>
      </c>
      <c r="C38" s="27" t="n">
        <v>0</v>
      </c>
      <c r="D38" s="27" t="n">
        <v>-1911356.53597326</v>
      </c>
      <c r="E38" s="29" t="n">
        <v>-1</v>
      </c>
    </row>
    <row r="39" ht="15" customHeight="1">
      <c r="A39" s="12" t="inlineStr">
        <is>
          <t>Roth</t>
        </is>
      </c>
      <c r="B39" s="27" t="n">
        <v>361825.0210625801</v>
      </c>
      <c r="C39" s="27" t="n">
        <v>1415385.163972736</v>
      </c>
      <c r="D39" s="27" t="n">
        <v>1053560.142910156</v>
      </c>
      <c r="E39" s="29" t="n">
        <v>2.911794601202927</v>
      </c>
    </row>
    <row r="40" ht="15" customHeight="1">
      <c r="A40" s="12" t="inlineStr">
        <is>
          <t>Trusts</t>
        </is>
      </c>
      <c r="B40" s="27" t="n">
        <v>603016.5258102887</v>
      </c>
      <c r="C40" s="27" t="n">
        <v>0</v>
      </c>
      <c r="D40" s="27" t="n">
        <v>-603016.5258102887</v>
      </c>
      <c r="E40" s="29" t="n">
        <v>-1</v>
      </c>
    </row>
    <row r="41" ht="15" customHeight="1">
      <c r="A41" s="12" t="inlineStr">
        <is>
          <t>HSA</t>
        </is>
      </c>
      <c r="B41" s="27" t="n">
        <v>82867.40086620001</v>
      </c>
      <c r="C41" s="27" t="n">
        <v>0</v>
      </c>
      <c r="D41" s="27" t="n">
        <v>-82867.40086620001</v>
      </c>
      <c r="E41" s="29" t="n">
        <v>-1</v>
      </c>
    </row>
    <row r="42" ht="30" customHeight="1">
      <c r="A42" s="12" t="inlineStr">
        <is>
          <t>Other Assets</t>
        </is>
      </c>
      <c r="B42" s="27" t="n">
        <v>1609246.285714286</v>
      </c>
      <c r="C42" s="27" t="n">
        <v>3282605.493412186</v>
      </c>
      <c r="D42" s="27" t="n">
        <v>1673359.207697901</v>
      </c>
      <c r="E42" s="29" t="n">
        <v>1.039840341750522</v>
      </c>
    </row>
    <row r="43" ht="45" customHeight="1">
      <c r="A43" s="11" t="inlineStr">
        <is>
          <t>TOTAL</t>
        </is>
      </c>
      <c r="B43" s="30" t="n">
        <v>5928977.585458326</v>
      </c>
      <c r="C43" s="30" t="n">
        <v>4805659.30177631</v>
      </c>
      <c r="D43" s="30" t="n">
        <v>-1123318.283682016</v>
      </c>
      <c r="E43" s="31" t="n">
        <v>-0.1894623933875406</v>
      </c>
    </row>
  </sheetData>
  <mergeCells count="7">
    <mergeCell ref="U1:AA1"/>
    <mergeCell ref="A35:E35"/>
    <mergeCell ref="A1:C1"/>
    <mergeCell ref="N1:P1"/>
    <mergeCell ref="Q1:S1"/>
    <mergeCell ref="J1:M1"/>
    <mergeCell ref="D1:I1"/>
  </mergeCells>
  <pageMargins left="0.75" right="0.75" top="1" bottom="1" header="0.5" footer="0.5"/>
</worksheet>
</file>

<file path=xl/worksheets/sheet4.xml><?xml version="1.0" encoding="utf-8"?>
<worksheet xmlns="http://schemas.openxmlformats.org/spreadsheetml/2006/main">
  <sheetPr>
    <tabColor rgb="002E75B6"/>
    <outlinePr summaryBelow="0" summaryRight="0"/>
    <pageSetUpPr/>
  </sheetPr>
  <dimension ref="A1:BO33"/>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4.4" customWidth="1" min="3" max="3"/>
    <col outlineLevel="1" width="9.4" customWidth="1" min="4" max="4"/>
    <col outlineLevel="1" width="9.4" customWidth="1" min="5" max="5"/>
    <col outlineLevel="1" width="9.4" customWidth="1" min="6" max="6"/>
    <col outlineLevel="1" width="9.4" customWidth="1" min="7" max="7"/>
    <col outlineLevel="1" width="9.4" customWidth="1" min="8" max="8"/>
    <col outlineLevel="1" width="9.4" customWidth="1" min="9" max="9"/>
    <col outlineLevel="1" width="9.4" customWidth="1" min="10" max="10"/>
    <col outlineLevel="1" width="9.4" customWidth="1" min="11" max="11"/>
    <col outlineLevel="1" width="9.4" customWidth="1" min="12" max="12"/>
    <col outlineLevel="1" width="9.4" customWidth="1" min="13" max="13"/>
    <col width="9.4" customWidth="1" min="14" max="14"/>
    <col width="9.4" customWidth="1" min="15" max="15"/>
    <col width="9.4" customWidth="1" min="16" max="16"/>
    <col width="9.4" customWidth="1" min="17" max="17"/>
    <col width="9.4" customWidth="1" min="18" max="18"/>
    <col width="9.4" customWidth="1" min="19" max="19"/>
    <col width="9.4" customWidth="1" min="20" max="20"/>
    <col width="9.4" customWidth="1" min="21" max="21"/>
    <col width="9.4" customWidth="1" min="22" max="22"/>
    <col width="9.4" customWidth="1" min="23" max="23"/>
    <col outlineLevel="1" width="9.4" customWidth="1" min="24" max="24"/>
    <col outlineLevel="1" width="9.4" customWidth="1" min="25" max="25"/>
    <col outlineLevel="1" width="9.4" customWidth="1" min="26" max="26"/>
    <col outlineLevel="1" width="9.4" customWidth="1" min="27" max="27"/>
    <col outlineLevel="1" width="9.4" customWidth="1" min="28" max="28"/>
    <col outlineLevel="1" width="9.4" customWidth="1" min="29" max="29"/>
    <col width="9.4" customWidth="1" min="30" max="30"/>
    <col outlineLevel="1" width="9.4" customWidth="1" min="31" max="31"/>
    <col outlineLevel="1" width="9.4" customWidth="1" min="32" max="32"/>
    <col outlineLevel="1" width="9.4" customWidth="1" min="33" max="33"/>
    <col outlineLevel="1" width="9.4" customWidth="1" min="34" max="34"/>
    <col outlineLevel="1" width="9.4" customWidth="1" min="35" max="35"/>
    <col outlineLevel="1" width="9.4" customWidth="1" min="36" max="36"/>
    <col width="9.4" customWidth="1" min="37" max="37"/>
    <col width="9.4" customWidth="1" min="38" max="38"/>
    <col width="9.4" customWidth="1" min="39" max="39"/>
    <col width="9.4" customWidth="1" min="40" max="40"/>
    <col width="9.4" customWidth="1" min="41" max="41"/>
    <col width="9.4" customWidth="1" min="42" max="42"/>
    <col width="9.4" customWidth="1" min="43" max="43"/>
    <col width="9.4" customWidth="1" min="44" max="44"/>
    <col width="9.4" customWidth="1" min="45" max="45"/>
    <col width="9.4" customWidth="1" min="46" max="46"/>
    <col width="9.4" customWidth="1" min="47" max="47"/>
    <col outlineLevel="1" width="9.4" customWidth="1" min="48" max="48"/>
    <col outlineLevel="1" width="9.4" customWidth="1" min="49" max="49"/>
    <col width="9.4" customWidth="1" min="50" max="50"/>
    <col width="9.4" customWidth="1" min="51" max="51"/>
    <col outlineLevel="1" width="9.4" customWidth="1" min="52" max="52"/>
    <col outlineLevel="1" width="9.4" customWidth="1" min="53" max="53"/>
    <col width="9.4" customWidth="1" min="54" max="54"/>
    <col outlineLevel="1" width="9.4" customWidth="1" min="55" max="55"/>
    <col outlineLevel="1" width="9.4" customWidth="1" min="56" max="56"/>
    <col outlineLevel="1" width="9.4" customWidth="1" min="57" max="57"/>
    <col width="9.4" customWidth="1" min="58" max="58"/>
    <col outlineLevel="1" width="9.4" customWidth="1" min="59" max="59"/>
    <col outlineLevel="1" width="9.4" customWidth="1" min="60" max="60"/>
    <col outlineLevel="1" width="9.4" customWidth="1" min="61" max="61"/>
    <col width="9.4" customWidth="1" min="62" max="62"/>
    <col outlineLevel="1" width="9.4" customWidth="1" min="63" max="63"/>
    <col width="9.4" customWidth="1" min="64" max="64"/>
    <col width="9.4" customWidth="1" min="65" max="65"/>
    <col width="9.4" customWidth="1" min="66" max="66"/>
    <col width="9.4" customWidth="1" min="67" max="67"/>
  </cols>
  <sheetData>
    <row r="1" ht="18" customHeight="1">
      <c r="A1" s="5" t="inlineStr">
        <is>
          <t>Identifiers</t>
        </is>
      </c>
      <c r="B1" s="3" t="n"/>
      <c r="C1" s="4" t="n"/>
      <c r="D1" s="10" t="inlineStr">
        <is>
          <t>INCOME</t>
        </is>
      </c>
      <c r="E1" s="3" t="n"/>
      <c r="F1" s="3" t="n"/>
      <c r="G1" s="3" t="n"/>
      <c r="H1" s="3" t="n"/>
      <c r="I1" s="3" t="n"/>
      <c r="J1" s="3" t="n"/>
      <c r="K1" s="3" t="n"/>
      <c r="L1" s="3" t="n"/>
      <c r="M1" s="3" t="n"/>
      <c r="N1" s="4" t="n"/>
      <c r="O1" s="17" t="inlineStr">
        <is>
          <t>TAX &amp; RMD</t>
        </is>
      </c>
      <c r="P1" s="3" t="n"/>
      <c r="Q1" s="3" t="n"/>
      <c r="R1" s="3" t="n"/>
      <c r="S1" s="3" t="n"/>
      <c r="T1" s="3" t="n"/>
      <c r="U1" s="4" t="n"/>
      <c r="V1" s="32" t="inlineStr">
        <is>
          <t>SPENDING</t>
        </is>
      </c>
      <c r="W1" s="3" t="n"/>
      <c r="X1" s="3" t="n"/>
      <c r="Y1" s="3" t="n"/>
      <c r="Z1" s="3" t="n"/>
      <c r="AA1" s="3" t="n"/>
      <c r="AB1" s="3" t="n"/>
      <c r="AC1" s="3" t="n"/>
      <c r="AD1" s="3" t="n"/>
      <c r="AE1" s="3" t="n"/>
      <c r="AF1" s="3" t="n"/>
      <c r="AG1" s="3" t="n"/>
      <c r="AH1" s="3" t="n"/>
      <c r="AI1" s="3" t="n"/>
      <c r="AJ1" s="3" t="n"/>
      <c r="AK1" s="3" t="n"/>
      <c r="AL1" s="3" t="n"/>
      <c r="AM1" s="3" t="n"/>
      <c r="AN1" s="4" t="n"/>
      <c r="AO1" s="13" t="inlineStr">
        <is>
          <t>CASH BRIDGE</t>
        </is>
      </c>
      <c r="AP1" s="3" t="n"/>
      <c r="AQ1" s="3" t="n"/>
      <c r="AR1" s="3" t="n"/>
      <c r="AS1" s="3" t="n"/>
      <c r="AT1" s="3" t="n"/>
      <c r="AU1" s="4" t="n"/>
      <c r="AV1" s="20" t="inlineStr">
        <is>
          <t>ACCOUNT OUTFLOWS — CASH DRAWS &amp; IRA CONVERSIONS</t>
        </is>
      </c>
      <c r="AW1" s="3" t="n"/>
      <c r="AX1" s="3" t="n"/>
      <c r="AY1" s="3" t="n"/>
      <c r="AZ1" s="3" t="n"/>
      <c r="BA1" s="3" t="n"/>
      <c r="BB1" s="3" t="n"/>
      <c r="BC1" s="3" t="n"/>
      <c r="BD1" s="3" t="n"/>
      <c r="BE1" s="3" t="n"/>
      <c r="BF1" s="3" t="n"/>
      <c r="BG1" s="3" t="n"/>
      <c r="BH1" s="3" t="n"/>
      <c r="BI1" s="3" t="n"/>
      <c r="BJ1" s="3" t="n"/>
      <c r="BK1" s="3" t="n"/>
      <c r="BL1" s="3" t="n"/>
      <c r="BM1" s="4" t="n"/>
      <c r="BN1" s="13" t="inlineStr">
        <is>
          <t>SURPLUS</t>
        </is>
      </c>
      <c r="BO1" s="4" t="n"/>
    </row>
    <row r="2" ht="72" customHeight="1">
      <c r="A2" s="23" t="inlineStr">
        <is>
          <t>Year</t>
        </is>
      </c>
      <c r="B2" s="23" t="inlineStr">
        <is>
          <t>H Age</t>
        </is>
      </c>
      <c r="C2" s="23" t="inlineStr">
        <is>
          <t>W Age</t>
        </is>
      </c>
      <c r="D2" s="23" t="inlineStr">
        <is>
          <t>Earned</t>
        </is>
      </c>
      <c r="E2" s="23" t="inlineStr">
        <is>
          <t>Matthew SS</t>
        </is>
      </c>
      <c r="F2" s="23" t="inlineStr">
        <is>
          <t>Patricia SS</t>
        </is>
      </c>
      <c r="G2" s="23" t="inlineStr">
        <is>
          <t>Pension</t>
        </is>
      </c>
      <c r="H2" s="23" t="inlineStr">
        <is>
          <t>W Single Ann</t>
        </is>
      </c>
      <c r="I2" s="23" t="inlineStr">
        <is>
          <t>W Joint Ann</t>
        </is>
      </c>
      <c r="J2" s="23" t="inlineStr">
        <is>
          <t>H Single Ann</t>
        </is>
      </c>
      <c r="K2" s="23" t="inlineStr">
        <is>
          <t>H Joint Ann</t>
        </is>
      </c>
      <c r="L2" s="23" t="inlineStr">
        <is>
          <t>Note P+I</t>
        </is>
      </c>
      <c r="M2" s="23" t="inlineStr">
        <is>
          <t>RMD Dist</t>
        </is>
      </c>
      <c r="N2" s="24" t="inlineStr">
        <is>
          <t>Σ Income</t>
        </is>
      </c>
      <c r="O2" s="23" t="inlineStr">
        <is>
          <t>Roth Conv</t>
        </is>
      </c>
      <c r="P2" s="24" t="inlineStr">
        <is>
          <t>AGI</t>
        </is>
      </c>
      <c r="Q2" s="23" t="inlineStr">
        <is>
          <t>Taxable Inc</t>
        </is>
      </c>
      <c r="R2" s="23" t="inlineStr">
        <is>
          <t>Fed Tax</t>
        </is>
      </c>
      <c r="S2" s="23" t="inlineStr">
        <is>
          <t>State Tax</t>
        </is>
      </c>
      <c r="T2" s="23" t="inlineStr">
        <is>
          <t>NIIT</t>
        </is>
      </c>
      <c r="U2" s="23" t="inlineStr">
        <is>
          <t>IRMAA</t>
        </is>
      </c>
      <c r="V2" s="23" t="inlineStr">
        <is>
          <t>Spend Base</t>
        </is>
      </c>
      <c r="W2" s="23" t="inlineStr">
        <is>
          <t>Housing</t>
        </is>
      </c>
      <c r="X2" s="23" t="inlineStr">
        <is>
          <t>Mortgage P&amp;I</t>
        </is>
      </c>
      <c r="Y2" s="23" t="inlineStr">
        <is>
          <t>Property Tax</t>
        </is>
      </c>
      <c r="Z2" s="23" t="inlineStr">
        <is>
          <t>Utilities</t>
        </is>
      </c>
      <c r="AA2" s="23" t="inlineStr">
        <is>
          <t>Home Impr</t>
        </is>
      </c>
      <c r="AB2" s="23" t="inlineStr">
        <is>
          <t>Maintenance</t>
        </is>
      </c>
      <c r="AC2" s="23" t="inlineStr">
        <is>
          <t>Other</t>
        </is>
      </c>
      <c r="AD2" s="23" t="inlineStr">
        <is>
          <t>Wellness</t>
        </is>
      </c>
      <c r="AE2" s="23" t="inlineStr">
        <is>
          <t>Healthcare Premiums</t>
        </is>
      </c>
      <c r="AF2" s="23" t="inlineStr">
        <is>
          <t>Medical</t>
        </is>
      </c>
      <c r="AG2" s="23" t="inlineStr">
        <is>
          <t>Dental</t>
        </is>
      </c>
      <c r="AH2" s="23" t="inlineStr">
        <is>
          <t>Vision</t>
        </is>
      </c>
      <c r="AI2" s="23" t="inlineStr">
        <is>
          <t>Rx/OTC</t>
        </is>
      </c>
      <c r="AJ2" s="23" t="inlineStr">
        <is>
          <t>Other Wellness</t>
        </is>
      </c>
      <c r="AK2" s="23" t="inlineStr">
        <is>
          <t>Travel</t>
        </is>
      </c>
      <c r="AL2" s="23" t="inlineStr">
        <is>
          <t>Other</t>
        </is>
      </c>
      <c r="AM2" s="24" t="inlineStr">
        <is>
          <t>HELOC P&amp;I</t>
        </is>
      </c>
      <c r="AN2" s="24" t="inlineStr">
        <is>
          <t>Σ Spend</t>
        </is>
      </c>
      <c r="AO2" s="23" t="inlineStr">
        <is>
          <t>Taxes</t>
        </is>
      </c>
      <c r="AP2" s="24" t="inlineStr">
        <is>
          <t>Total Cash Need</t>
        </is>
      </c>
      <c r="AQ2" s="23" t="inlineStr">
        <is>
          <t>Income Funding</t>
        </is>
      </c>
      <c r="AR2" s="23" t="inlineStr">
        <is>
          <t>Portfolio Income</t>
        </is>
      </c>
      <c r="AS2" s="23" t="inlineStr">
        <is>
          <t>Other Funding</t>
        </is>
      </c>
      <c r="AT2" s="24" t="inlineStr">
        <is>
          <t>Required Portfolio Cash Draws</t>
        </is>
      </c>
      <c r="AU2" s="24" t="inlineStr">
        <is>
          <t>Cash Bridge Gap / (Surplus)</t>
        </is>
      </c>
      <c r="AV2" s="23" t="inlineStr">
        <is>
          <t>H Trust WD</t>
        </is>
      </c>
      <c r="AW2" s="23" t="inlineStr">
        <is>
          <t>W Trust WD</t>
        </is>
      </c>
      <c r="AX2" s="24" t="inlineStr">
        <is>
          <t>Σ Trust</t>
        </is>
      </c>
      <c r="AY2" s="23" t="inlineStr">
        <is>
          <t>HSA WD</t>
        </is>
      </c>
      <c r="AZ2" s="23" t="inlineStr">
        <is>
          <t>H Roth WD</t>
        </is>
      </c>
      <c r="BA2" s="23" t="inlineStr">
        <is>
          <t>W Roth WD</t>
        </is>
      </c>
      <c r="BB2" s="24" t="inlineStr">
        <is>
          <t>Σ Roth</t>
        </is>
      </c>
      <c r="BC2" s="23" t="inlineStr">
        <is>
          <t>H IRA RMD</t>
        </is>
      </c>
      <c r="BD2" s="23" t="inlineStr">
        <is>
          <t>H IRA Elec</t>
        </is>
      </c>
      <c r="BE2" s="23" t="inlineStr">
        <is>
          <t>H IRA Conv</t>
        </is>
      </c>
      <c r="BF2" s="24" t="inlineStr">
        <is>
          <t>H IRA Outflow</t>
        </is>
      </c>
      <c r="BG2" s="23" t="inlineStr">
        <is>
          <t>W IRA RMD</t>
        </is>
      </c>
      <c r="BH2" s="23" t="inlineStr">
        <is>
          <t>W IRA Elec</t>
        </is>
      </c>
      <c r="BI2" s="23" t="inlineStr">
        <is>
          <t>W IRA Conv</t>
        </is>
      </c>
      <c r="BJ2" s="24" t="inlineStr">
        <is>
          <t>W IRA Outflow</t>
        </is>
      </c>
      <c r="BK2" s="23" t="inlineStr">
        <is>
          <t>HELOC Draw</t>
        </is>
      </c>
      <c r="BL2" s="24" t="inlineStr">
        <is>
          <t>HELOC Bal</t>
        </is>
      </c>
      <c r="BM2" s="24" t="inlineStr">
        <is>
          <t>Σ Cash Draws</t>
        </is>
      </c>
      <c r="BN2" s="23" t="inlineStr">
        <is>
          <t>Surplus</t>
        </is>
      </c>
      <c r="BO2" s="23" t="inlineStr">
        <is>
          <t>NW Check</t>
        </is>
      </c>
    </row>
    <row r="3">
      <c r="A3" s="26" t="n">
        <v>2026</v>
      </c>
      <c r="B3" s="26" t="n">
        <v>64</v>
      </c>
      <c r="C3" s="26" t="n">
        <v>65</v>
      </c>
      <c r="D3" s="27" t="n">
        <v>290000</v>
      </c>
      <c r="E3" s="27" t="n">
        <v>0</v>
      </c>
      <c r="F3" s="27" t="n">
        <v>0</v>
      </c>
      <c r="G3" s="27" t="n">
        <v>4512</v>
      </c>
      <c r="H3" s="27" t="n">
        <v>0</v>
      </c>
      <c r="I3" s="27" t="n">
        <v>0</v>
      </c>
      <c r="J3" s="27" t="n">
        <v>0</v>
      </c>
      <c r="K3" s="27" t="n">
        <v>0</v>
      </c>
      <c r="L3" s="27" t="n">
        <v>100546.63</v>
      </c>
      <c r="M3" s="27" t="n">
        <v>0</v>
      </c>
      <c r="N3" s="28" t="n">
        <v>395058.63</v>
      </c>
      <c r="O3" s="27" t="n">
        <v>0</v>
      </c>
      <c r="P3" s="28" t="n">
        <v>322202.71581734</v>
      </c>
      <c r="Q3" s="27" t="n">
        <v>244548.4090974684</v>
      </c>
      <c r="R3" s="27" t="n">
        <v>44099.49818339241</v>
      </c>
      <c r="S3" s="27" t="n">
        <v>15725.69043295833</v>
      </c>
      <c r="T3" s="27" t="n">
        <v>0</v>
      </c>
      <c r="U3" s="27" t="n">
        <v>2725.2</v>
      </c>
      <c r="V3" s="27" t="n">
        <v>154158</v>
      </c>
      <c r="W3" s="27" t="n">
        <v>101612</v>
      </c>
      <c r="X3" s="27" t="n">
        <v>36000</v>
      </c>
      <c r="Y3" s="27" t="n">
        <v>18000</v>
      </c>
      <c r="Z3" s="27" t="n">
        <v>11576</v>
      </c>
      <c r="AA3" s="27" t="n">
        <v>25000</v>
      </c>
      <c r="AB3" s="27" t="n">
        <v>2100</v>
      </c>
      <c r="AC3" s="27" t="n">
        <v>8936</v>
      </c>
      <c r="AD3" s="27" t="n">
        <v>21760.12</v>
      </c>
      <c r="AE3" s="27" t="n">
        <v>11760.12</v>
      </c>
      <c r="AF3" s="27" t="n">
        <v>4332.807096677191</v>
      </c>
      <c r="AG3" s="27" t="n">
        <v>1090.061644865434</v>
      </c>
      <c r="AH3" s="27" t="n">
        <v>789.3549842129003</v>
      </c>
      <c r="AI3" s="27" t="n">
        <v>1879.416629078334</v>
      </c>
      <c r="AJ3" s="27" t="n">
        <v>1908.35964516614</v>
      </c>
      <c r="AK3" s="27" t="n">
        <v>25000</v>
      </c>
      <c r="AL3" s="27" t="n">
        <v>0</v>
      </c>
      <c r="AM3" s="28" t="n">
        <v>0</v>
      </c>
      <c r="AN3" s="28" t="n">
        <v>302530.12</v>
      </c>
      <c r="AO3" s="27" t="n">
        <v>71730.38861635074</v>
      </c>
      <c r="AP3" s="28" t="n">
        <v>356260.5086163507</v>
      </c>
      <c r="AQ3" s="27" t="n">
        <v>395058.63</v>
      </c>
      <c r="AR3" s="27" t="n">
        <v>10185.82581734</v>
      </c>
      <c r="AS3" s="27" t="n">
        <v>0</v>
      </c>
      <c r="AT3" s="28" t="n">
        <v>0</v>
      </c>
      <c r="AU3" s="28" t="n">
        <v>-48983.9472009893</v>
      </c>
      <c r="AV3" s="27" t="n">
        <v>0</v>
      </c>
      <c r="AW3" s="27" t="n">
        <v>0</v>
      </c>
      <c r="AX3" s="28" t="n">
        <v>0</v>
      </c>
      <c r="AY3" s="27" t="n">
        <v>0</v>
      </c>
      <c r="AZ3" s="27" t="n">
        <v>0</v>
      </c>
      <c r="BA3" s="27" t="n">
        <v>0</v>
      </c>
      <c r="BB3" s="28" t="n">
        <v>0</v>
      </c>
      <c r="BC3" s="27" t="n">
        <v>0</v>
      </c>
      <c r="BD3" s="27" t="n">
        <v>0</v>
      </c>
      <c r="BE3" s="27" t="n">
        <v>0</v>
      </c>
      <c r="BF3" s="28" t="n">
        <v>0</v>
      </c>
      <c r="BG3" s="27" t="n">
        <v>0</v>
      </c>
      <c r="BH3" s="27" t="n">
        <v>0</v>
      </c>
      <c r="BI3" s="27" t="n">
        <v>0</v>
      </c>
      <c r="BJ3" s="28" t="n">
        <v>0</v>
      </c>
      <c r="BK3" s="27" t="n">
        <v>0</v>
      </c>
      <c r="BL3" s="28" t="n">
        <v>0</v>
      </c>
      <c r="BM3" s="28" t="n">
        <v>0</v>
      </c>
      <c r="BN3" s="27" t="n">
        <v>48983.94720098929</v>
      </c>
      <c r="BO3" s="27" t="n">
        <v>5928977.585458326</v>
      </c>
    </row>
    <row r="4">
      <c r="A4" s="26" t="n">
        <v>2027</v>
      </c>
      <c r="B4" s="26" t="n">
        <v>65</v>
      </c>
      <c r="C4" s="26" t="n">
        <v>66</v>
      </c>
      <c r="D4" s="27" t="n">
        <v>0</v>
      </c>
      <c r="E4" s="27" t="n">
        <v>0</v>
      </c>
      <c r="F4" s="27" t="n">
        <v>0</v>
      </c>
      <c r="G4" s="27" t="n">
        <v>4512</v>
      </c>
      <c r="H4" s="27" t="n">
        <v>0</v>
      </c>
      <c r="I4" s="27" t="n">
        <v>0</v>
      </c>
      <c r="J4" s="27" t="n">
        <v>0</v>
      </c>
      <c r="K4" s="27" t="n">
        <v>0</v>
      </c>
      <c r="L4" s="27" t="n">
        <v>91445.62</v>
      </c>
      <c r="M4" s="27" t="n">
        <v>0</v>
      </c>
      <c r="N4" s="28" t="n">
        <v>95957.62</v>
      </c>
      <c r="O4" s="27" t="n">
        <v>166688.7685639524</v>
      </c>
      <c r="P4" s="28" t="n">
        <v>215050.68</v>
      </c>
      <c r="Q4" s="27" t="n">
        <v>172412.4408</v>
      </c>
      <c r="R4" s="27" t="n">
        <v>27347.78817599999</v>
      </c>
      <c r="S4" s="27" t="n">
        <v>2170.570616084357</v>
      </c>
      <c r="T4" s="27" t="n">
        <v>0</v>
      </c>
      <c r="U4" s="27" t="n">
        <v>0</v>
      </c>
      <c r="V4" s="27" t="n">
        <v>158011.95</v>
      </c>
      <c r="W4" s="27" t="n">
        <v>103252.3</v>
      </c>
      <c r="X4" s="27" t="n">
        <v>36000</v>
      </c>
      <c r="Y4" s="27" t="n">
        <v>18450</v>
      </c>
      <c r="Z4" s="27" t="n">
        <v>11865.4</v>
      </c>
      <c r="AA4" s="27" t="n">
        <v>25625</v>
      </c>
      <c r="AB4" s="27" t="n">
        <v>2152.5</v>
      </c>
      <c r="AC4" s="27" t="n">
        <v>9159.4</v>
      </c>
      <c r="AD4" s="27" t="n">
        <v>35185.751</v>
      </c>
      <c r="AE4" s="27" t="n">
        <v>24635.751</v>
      </c>
      <c r="AF4" s="27" t="n">
        <v>4605.983896086551</v>
      </c>
      <c r="AG4" s="27" t="n">
        <v>1158.788348976403</v>
      </c>
      <c r="AH4" s="27" t="n">
        <v>839.1225975346368</v>
      </c>
      <c r="AI4" s="27" t="n">
        <v>1917.426382315098</v>
      </c>
      <c r="AJ4" s="27" t="n">
        <v>2028.67877508731</v>
      </c>
      <c r="AK4" s="27" t="n">
        <v>25625</v>
      </c>
      <c r="AL4" s="27" t="n">
        <v>100000</v>
      </c>
      <c r="AM4" s="28" t="n">
        <v>0</v>
      </c>
      <c r="AN4" s="28" t="n">
        <v>422075.001</v>
      </c>
      <c r="AO4" s="27" t="n">
        <v>32405.86562255173</v>
      </c>
      <c r="AP4" s="28" t="n">
        <v>433143.3597920843</v>
      </c>
      <c r="AQ4" s="27" t="n">
        <v>95957.62</v>
      </c>
      <c r="AR4" s="27" t="n">
        <v>11685.91143604763</v>
      </c>
      <c r="AS4" s="27" t="n">
        <v>0</v>
      </c>
      <c r="AT4" s="28" t="n">
        <v>341215.3861609459</v>
      </c>
      <c r="AU4" s="28" t="n">
        <v>-15715.55780490924</v>
      </c>
      <c r="AV4" s="27" t="n">
        <v>123299.1684706848</v>
      </c>
      <c r="AW4" s="27" t="n">
        <v>159606.8950791614</v>
      </c>
      <c r="AX4" s="28" t="n">
        <v>282906.0635498462</v>
      </c>
      <c r="AY4" s="27" t="n">
        <v>0</v>
      </c>
      <c r="AZ4" s="27" t="n">
        <v>0</v>
      </c>
      <c r="BA4" s="27" t="n">
        <v>0</v>
      </c>
      <c r="BB4" s="28" t="n">
        <v>0</v>
      </c>
      <c r="BC4" s="27" t="n">
        <v>0</v>
      </c>
      <c r="BD4" s="27" t="n">
        <v>47766.04469797487</v>
      </c>
      <c r="BE4" s="27" t="n">
        <v>0</v>
      </c>
      <c r="BF4" s="28" t="n">
        <v>47766.04469797487</v>
      </c>
      <c r="BG4" s="27" t="n">
        <v>0</v>
      </c>
      <c r="BH4" s="27" t="n">
        <v>10543.27791312477</v>
      </c>
      <c r="BI4" s="27" t="n">
        <v>166688.7685639524</v>
      </c>
      <c r="BJ4" s="28" t="n">
        <v>177232.0464770771</v>
      </c>
      <c r="BK4" s="27" t="n">
        <v>0</v>
      </c>
      <c r="BL4" s="28" t="n">
        <v>0</v>
      </c>
      <c r="BM4" s="28" t="n">
        <v>341215.3861609459</v>
      </c>
      <c r="BN4" s="27" t="n">
        <v>0</v>
      </c>
      <c r="BO4" s="27" t="n">
        <v>5819215.040549873</v>
      </c>
    </row>
    <row r="5">
      <c r="A5" s="26" t="n">
        <v>2028</v>
      </c>
      <c r="B5" s="26" t="n">
        <v>66</v>
      </c>
      <c r="C5" s="26" t="n">
        <v>67</v>
      </c>
      <c r="D5" s="27" t="n">
        <v>0</v>
      </c>
      <c r="E5" s="27" t="n">
        <v>0</v>
      </c>
      <c r="F5" s="27" t="n">
        <v>0</v>
      </c>
      <c r="G5" s="27" t="n">
        <v>4512</v>
      </c>
      <c r="H5" s="27" t="n">
        <v>0</v>
      </c>
      <c r="I5" s="27" t="n">
        <v>27611.44723786938</v>
      </c>
      <c r="J5" s="27" t="n">
        <v>0</v>
      </c>
      <c r="K5" s="27" t="n">
        <v>0</v>
      </c>
      <c r="L5" s="27" t="n">
        <v>86731.62</v>
      </c>
      <c r="M5" s="27" t="n">
        <v>0</v>
      </c>
      <c r="N5" s="28" t="n">
        <v>118855.0672378694</v>
      </c>
      <c r="O5" s="27" t="n">
        <v>153323.764051365</v>
      </c>
      <c r="P5" s="28" t="n">
        <v>219351.6936</v>
      </c>
      <c r="Q5" s="27" t="n">
        <v>176280.689616</v>
      </c>
      <c r="R5" s="27" t="n">
        <v>27987.14393952</v>
      </c>
      <c r="S5" s="27" t="n">
        <v>1678.271874382898</v>
      </c>
      <c r="T5" s="27" t="n">
        <v>0</v>
      </c>
      <c r="U5" s="27" t="n">
        <v>5450.4</v>
      </c>
      <c r="V5" s="27" t="n">
        <v>161962.24875</v>
      </c>
      <c r="W5" s="27" t="n">
        <v>104933.6075</v>
      </c>
      <c r="X5" s="27" t="n">
        <v>36000</v>
      </c>
      <c r="Y5" s="27" t="n">
        <v>18911.25</v>
      </c>
      <c r="Z5" s="27" t="n">
        <v>12162.035</v>
      </c>
      <c r="AA5" s="27" t="n">
        <v>26265.625</v>
      </c>
      <c r="AB5" s="27" t="n">
        <v>2206.3125</v>
      </c>
      <c r="AC5" s="27" t="n">
        <v>9388.384999999998</v>
      </c>
      <c r="AD5" s="27" t="n">
        <v>36940.6388275</v>
      </c>
      <c r="AE5" s="27" t="n">
        <v>25810.3888275</v>
      </c>
      <c r="AF5" s="27" t="n">
        <v>4895.153091821279</v>
      </c>
      <c r="AG5" s="27" t="n">
        <v>1231.538471959895</v>
      </c>
      <c r="AH5" s="27" t="n">
        <v>891.8037210744069</v>
      </c>
      <c r="AI5" s="27" t="n">
        <v>1955.713052337388</v>
      </c>
      <c r="AJ5" s="27" t="n">
        <v>2156.04166280703</v>
      </c>
      <c r="AK5" s="27" t="n">
        <v>26265.625</v>
      </c>
      <c r="AL5" s="27" t="n">
        <v>50000</v>
      </c>
      <c r="AM5" s="28" t="n">
        <v>0</v>
      </c>
      <c r="AN5" s="28" t="n">
        <v>380102.1200775</v>
      </c>
      <c r="AO5" s="27" t="n">
        <v>37707.45910581735</v>
      </c>
      <c r="AP5" s="28" t="n">
        <v>396306.6858914029</v>
      </c>
      <c r="AQ5" s="27" t="n">
        <v>118855.0672378694</v>
      </c>
      <c r="AR5" s="27" t="n">
        <v>6454.48231076562</v>
      </c>
      <c r="AS5" s="27" t="n">
        <v>0</v>
      </c>
      <c r="AT5" s="28" t="n">
        <v>286673.3915096499</v>
      </c>
      <c r="AU5" s="28" t="n">
        <v>-15676.25516688195</v>
      </c>
      <c r="AV5" s="27" t="n">
        <v>98832.65316630552</v>
      </c>
      <c r="AW5" s="27" t="n">
        <v>128365.2298207645</v>
      </c>
      <c r="AX5" s="28" t="n">
        <v>227197.88298707</v>
      </c>
      <c r="AY5" s="27" t="n">
        <v>0</v>
      </c>
      <c r="AZ5" s="27" t="n">
        <v>0</v>
      </c>
      <c r="BA5" s="27" t="n">
        <v>0</v>
      </c>
      <c r="BB5" s="28" t="n">
        <v>0</v>
      </c>
      <c r="BC5" s="27" t="n">
        <v>0</v>
      </c>
      <c r="BD5" s="27" t="n">
        <v>53292.45136864739</v>
      </c>
      <c r="BE5" s="27" t="n">
        <v>0</v>
      </c>
      <c r="BF5" s="28" t="n">
        <v>53292.45136864739</v>
      </c>
      <c r="BG5" s="27" t="n">
        <v>0</v>
      </c>
      <c r="BH5" s="27" t="n">
        <v>6183.057153932444</v>
      </c>
      <c r="BI5" s="27" t="n">
        <v>153323.764051365</v>
      </c>
      <c r="BJ5" s="28" t="n">
        <v>159506.8212052975</v>
      </c>
      <c r="BK5" s="27" t="n">
        <v>0</v>
      </c>
      <c r="BL5" s="28" t="n">
        <v>0</v>
      </c>
      <c r="BM5" s="28" t="n">
        <v>286673.3915096499</v>
      </c>
      <c r="BN5" s="27" t="n">
        <v>0</v>
      </c>
      <c r="BO5" s="27" t="n">
        <v>5766427.180028108</v>
      </c>
    </row>
    <row r="6">
      <c r="A6" s="26" t="n">
        <v>2029</v>
      </c>
      <c r="B6" s="26" t="n">
        <v>67</v>
      </c>
      <c r="C6" s="26" t="n">
        <v>68</v>
      </c>
      <c r="D6" s="27" t="n">
        <v>0</v>
      </c>
      <c r="E6" s="27" t="n">
        <v>0</v>
      </c>
      <c r="F6" s="27" t="n">
        <v>0</v>
      </c>
      <c r="G6" s="27" t="n">
        <v>4512</v>
      </c>
      <c r="H6" s="27" t="n">
        <v>4599.766953075623</v>
      </c>
      <c r="I6" s="27" t="n">
        <v>27437.32861286937</v>
      </c>
      <c r="J6" s="27" t="n">
        <v>8122.539328739651</v>
      </c>
      <c r="K6" s="27" t="n">
        <v>71336.43410827895</v>
      </c>
      <c r="L6" s="27" t="n">
        <v>82016.62</v>
      </c>
      <c r="M6" s="27" t="n">
        <v>0</v>
      </c>
      <c r="N6" s="28" t="n">
        <v>198024.6890029636</v>
      </c>
      <c r="O6" s="27" t="n">
        <v>82860.35816278958</v>
      </c>
      <c r="P6" s="28" t="n">
        <v>220819.7327319301</v>
      </c>
      <c r="Q6" s="27" t="n">
        <v>184662.8036826252</v>
      </c>
      <c r="R6" s="27" t="n">
        <v>29615.31687865754</v>
      </c>
      <c r="S6" s="27" t="n">
        <v>1716.343786475615</v>
      </c>
      <c r="T6" s="27" t="n">
        <v>0</v>
      </c>
      <c r="U6" s="27" t="n">
        <v>0</v>
      </c>
      <c r="V6" s="27" t="n">
        <v>166011.30496875</v>
      </c>
      <c r="W6" s="27" t="n">
        <v>106656.9476875</v>
      </c>
      <c r="X6" s="27" t="n">
        <v>36000</v>
      </c>
      <c r="Y6" s="27" t="n">
        <v>19384.03124999999</v>
      </c>
      <c r="Z6" s="27" t="n">
        <v>12466.085875</v>
      </c>
      <c r="AA6" s="27" t="n">
        <v>26922.26562499999</v>
      </c>
      <c r="AB6" s="27" t="n">
        <v>2261.470312499999</v>
      </c>
      <c r="AC6" s="27" t="n">
        <v>9623.094624999996</v>
      </c>
      <c r="AD6" s="27" t="n">
        <v>38789.79137954375</v>
      </c>
      <c r="AE6" s="27" t="n">
        <v>27047.37762954375</v>
      </c>
      <c r="AF6" s="27" t="n">
        <v>5201.202840372714</v>
      </c>
      <c r="AG6" s="27" t="n">
        <v>1308.535459103051</v>
      </c>
      <c r="AH6" s="27" t="n">
        <v>947.5601600401407</v>
      </c>
      <c r="AI6" s="27" t="n">
        <v>1994.275798806094</v>
      </c>
      <c r="AJ6" s="27" t="n">
        <v>2290.839491677997</v>
      </c>
      <c r="AK6" s="27" t="n">
        <v>26922.26562499999</v>
      </c>
      <c r="AL6" s="27" t="n">
        <v>0</v>
      </c>
      <c r="AM6" s="28" t="n">
        <v>0</v>
      </c>
      <c r="AN6" s="28" t="n">
        <v>338380.3096607936</v>
      </c>
      <c r="AO6" s="27" t="n">
        <v>31845.63077851632</v>
      </c>
      <c r="AP6" s="28" t="n">
        <v>350327.9390759269</v>
      </c>
      <c r="AQ6" s="27" t="n">
        <v>198024.6890029636</v>
      </c>
      <c r="AR6" s="27" t="n">
        <v>2135.300306246821</v>
      </c>
      <c r="AS6" s="27" t="n">
        <v>0</v>
      </c>
      <c r="AT6" s="28" t="n">
        <v>164670.402359075</v>
      </c>
      <c r="AU6" s="28" t="n">
        <v>-14502.45259235855</v>
      </c>
      <c r="AV6" s="27" t="n">
        <v>43890.0372008765</v>
      </c>
      <c r="AW6" s="27" t="n">
        <v>57196.35389012859</v>
      </c>
      <c r="AX6" s="28" t="n">
        <v>101086.3910910051</v>
      </c>
      <c r="AY6" s="27" t="n">
        <v>0</v>
      </c>
      <c r="AZ6" s="27" t="n">
        <v>0</v>
      </c>
      <c r="BA6" s="27" t="n">
        <v>0</v>
      </c>
      <c r="BB6" s="28" t="n">
        <v>0</v>
      </c>
      <c r="BC6" s="27" t="n">
        <v>0</v>
      </c>
      <c r="BD6" s="27" t="n">
        <v>59949.74131616871</v>
      </c>
      <c r="BE6" s="27" t="n">
        <v>0</v>
      </c>
      <c r="BF6" s="28" t="n">
        <v>59949.74131616871</v>
      </c>
      <c r="BG6" s="27" t="n">
        <v>0</v>
      </c>
      <c r="BH6" s="27" t="n">
        <v>3634.269951901221</v>
      </c>
      <c r="BI6" s="27" t="n">
        <v>82860.35816278958</v>
      </c>
      <c r="BJ6" s="28" t="n">
        <v>86494.6281146908</v>
      </c>
      <c r="BK6" s="27" t="n">
        <v>0</v>
      </c>
      <c r="BL6" s="28" t="n">
        <v>0</v>
      </c>
      <c r="BM6" s="28" t="n">
        <v>164670.402359075</v>
      </c>
      <c r="BN6" s="27" t="n">
        <v>0</v>
      </c>
      <c r="BO6" s="27" t="n">
        <v>5813936.505714832</v>
      </c>
    </row>
    <row r="7">
      <c r="A7" s="26" t="n">
        <v>2030</v>
      </c>
      <c r="B7" s="26" t="n">
        <v>68</v>
      </c>
      <c r="C7" s="26" t="n">
        <v>69</v>
      </c>
      <c r="D7" s="27" t="n">
        <v>0</v>
      </c>
      <c r="E7" s="27" t="n">
        <v>0</v>
      </c>
      <c r="F7" s="27" t="n">
        <v>0</v>
      </c>
      <c r="G7" s="27" t="n">
        <v>4512</v>
      </c>
      <c r="H7" s="27" t="n">
        <v>4582.852090055623</v>
      </c>
      <c r="I7" s="27" t="n">
        <v>27267.56295349437</v>
      </c>
      <c r="J7" s="27" t="n">
        <v>8088.141301706401</v>
      </c>
      <c r="K7" s="27" t="n">
        <v>70914.62560827895</v>
      </c>
      <c r="L7" s="27" t="n">
        <v>77302.62</v>
      </c>
      <c r="M7" s="27" t="n">
        <v>0</v>
      </c>
      <c r="N7" s="28" t="n">
        <v>192667.8019535354</v>
      </c>
      <c r="O7" s="27" t="n">
        <v>93234.3943801102</v>
      </c>
      <c r="P7" s="28" t="n">
        <v>225306.1969591854</v>
      </c>
      <c r="Q7" s="27" t="n">
        <v>188650.7142929453</v>
      </c>
      <c r="R7" s="27" t="n">
        <v>30272.44721429758</v>
      </c>
      <c r="S7" s="27" t="n">
        <v>1454.191893856442</v>
      </c>
      <c r="T7" s="27" t="n">
        <v>0</v>
      </c>
      <c r="U7" s="27" t="n">
        <v>0</v>
      </c>
      <c r="V7" s="27" t="n">
        <v>170161.5875929687</v>
      </c>
      <c r="W7" s="27" t="n">
        <v>108423.3713796875</v>
      </c>
      <c r="X7" s="27" t="n">
        <v>36000</v>
      </c>
      <c r="Y7" s="27" t="n">
        <v>19868.63203124999</v>
      </c>
      <c r="Z7" s="27" t="n">
        <v>12777.73802187499</v>
      </c>
      <c r="AA7" s="27" t="n">
        <v>27595.32226562499</v>
      </c>
      <c r="AB7" s="27" t="n">
        <v>2318.007070312499</v>
      </c>
      <c r="AC7" s="27" t="n">
        <v>9863.671990624996</v>
      </c>
      <c r="AD7" s="27" t="n">
        <v>40738.36503965654</v>
      </c>
      <c r="AE7" s="27" t="n">
        <v>28350.11853340654</v>
      </c>
      <c r="AF7" s="27" t="n">
        <v>5525.069891948609</v>
      </c>
      <c r="AG7" s="27" t="n">
        <v>1390.014981057601</v>
      </c>
      <c r="AH7" s="27" t="n">
        <v>1006.562572489987</v>
      </c>
      <c r="AI7" s="27" t="n">
        <v>2033.114212881583</v>
      </c>
      <c r="AJ7" s="27" t="n">
        <v>2433.484847872221</v>
      </c>
      <c r="AK7" s="27" t="n">
        <v>27595.32226562499</v>
      </c>
      <c r="AL7" s="27" t="n">
        <v>0</v>
      </c>
      <c r="AM7" s="28" t="n">
        <v>0</v>
      </c>
      <c r="AN7" s="28" t="n">
        <v>346918.6462779377</v>
      </c>
      <c r="AO7" s="27" t="n">
        <v>31726.63910815402</v>
      </c>
      <c r="AP7" s="28" t="n">
        <v>358776.6533548417</v>
      </c>
      <c r="AQ7" s="27" t="n">
        <v>192667.8019535354</v>
      </c>
      <c r="AR7" s="27" t="n">
        <v>1592.925687794451</v>
      </c>
      <c r="AS7" s="27" t="n">
        <v>0</v>
      </c>
      <c r="AT7" s="28" t="n">
        <v>189622.1156531364</v>
      </c>
      <c r="AU7" s="28" t="n">
        <v>-25106.18993962454</v>
      </c>
      <c r="AV7" s="27" t="n">
        <v>70118.25364762434</v>
      </c>
      <c r="AW7" s="27" t="n">
        <v>5384.816825400451</v>
      </c>
      <c r="AX7" s="28" t="n">
        <v>75503.0704730248</v>
      </c>
      <c r="AY7" s="27" t="n">
        <v>0</v>
      </c>
      <c r="AZ7" s="27" t="n">
        <v>0</v>
      </c>
      <c r="BA7" s="27" t="n">
        <v>0</v>
      </c>
      <c r="BB7" s="28" t="n">
        <v>0</v>
      </c>
      <c r="BC7" s="27" t="n">
        <v>0</v>
      </c>
      <c r="BD7" s="27" t="n">
        <v>114119.0451801116</v>
      </c>
      <c r="BE7" s="27" t="n">
        <v>974.5953161246871</v>
      </c>
      <c r="BF7" s="28" t="n">
        <v>115093.6404962363</v>
      </c>
      <c r="BG7" s="27" t="n">
        <v>0</v>
      </c>
      <c r="BH7" s="27" t="n">
        <v>0</v>
      </c>
      <c r="BI7" s="27" t="n">
        <v>92259.79906398551</v>
      </c>
      <c r="BJ7" s="28" t="n">
        <v>92259.79906398551</v>
      </c>
      <c r="BK7" s="27" t="n">
        <v>0</v>
      </c>
      <c r="BL7" s="28" t="n">
        <v>0</v>
      </c>
      <c r="BM7" s="28" t="n">
        <v>189622.1156531364</v>
      </c>
      <c r="BN7" s="27" t="n">
        <v>0</v>
      </c>
      <c r="BO7" s="27" t="n">
        <v>5754538.689788893</v>
      </c>
    </row>
    <row r="8">
      <c r="A8" s="26" t="n">
        <v>2031</v>
      </c>
      <c r="B8" s="26" t="n">
        <v>69</v>
      </c>
      <c r="C8" s="26" t="n">
        <v>70</v>
      </c>
      <c r="D8" s="27" t="n">
        <v>0</v>
      </c>
      <c r="E8" s="27" t="n">
        <v>0</v>
      </c>
      <c r="F8" s="27" t="n">
        <v>50088</v>
      </c>
      <c r="G8" s="27" t="n">
        <v>4512</v>
      </c>
      <c r="H8" s="27" t="n">
        <v>4567.019778268903</v>
      </c>
      <c r="I8" s="27" t="n">
        <v>27108.66229631937</v>
      </c>
      <c r="J8" s="27" t="n">
        <v>8054.603225348983</v>
      </c>
      <c r="K8" s="27" t="n">
        <v>70503.36232077895</v>
      </c>
      <c r="L8" s="27" t="n">
        <v>72587.62</v>
      </c>
      <c r="M8" s="27" t="n">
        <v>0</v>
      </c>
      <c r="N8" s="28" t="n">
        <v>237421.2676207162</v>
      </c>
      <c r="O8" s="27" t="n">
        <v>62151.3244411526</v>
      </c>
      <c r="P8" s="28" t="n">
        <v>229881.6915994137</v>
      </c>
      <c r="Q8" s="27" t="n">
        <v>192493.0992798489</v>
      </c>
      <c r="R8" s="27" t="n">
        <v>30893.15771281334</v>
      </c>
      <c r="S8" s="27" t="n">
        <v>1140.061355787559</v>
      </c>
      <c r="T8" s="27" t="n">
        <v>0</v>
      </c>
      <c r="U8" s="27" t="n">
        <v>0</v>
      </c>
      <c r="V8" s="27" t="n">
        <v>174415.6272827929</v>
      </c>
      <c r="W8" s="27" t="n">
        <v>81948.75034191404</v>
      </c>
      <c r="X8" s="27" t="n">
        <v>36000</v>
      </c>
      <c r="Y8" s="27" t="n">
        <v>20365.34783203124</v>
      </c>
      <c r="Z8" s="27" t="n">
        <v>13097.18147242187</v>
      </c>
      <c r="AA8" s="27" t="n">
        <v>0</v>
      </c>
      <c r="AB8" s="27" t="n">
        <v>2375.957247070311</v>
      </c>
      <c r="AC8" s="27" t="n">
        <v>10110.26379039062</v>
      </c>
      <c r="AD8" s="27" t="n">
        <v>42791.79944025352</v>
      </c>
      <c r="AE8" s="27" t="n">
        <v>29722.19937615977</v>
      </c>
      <c r="AF8" s="27" t="n">
        <v>5867.742278426734</v>
      </c>
      <c r="AG8" s="27" t="n">
        <v>1476.225610083936</v>
      </c>
      <c r="AH8" s="27" t="n">
        <v>1068.990959026298</v>
      </c>
      <c r="AI8" s="27" t="n">
        <v>2072.228312282247</v>
      </c>
      <c r="AJ8" s="27" t="n">
        <v>2584.412904274532</v>
      </c>
      <c r="AK8" s="27" t="n">
        <v>28285.20532226561</v>
      </c>
      <c r="AL8" s="27" t="n">
        <v>0</v>
      </c>
      <c r="AM8" s="28" t="n">
        <v>0</v>
      </c>
      <c r="AN8" s="28" t="n">
        <v>327441.382387226</v>
      </c>
      <c r="AO8" s="27" t="n">
        <v>32033.2190686009</v>
      </c>
      <c r="AP8" s="28" t="n">
        <v>339109.2536237958</v>
      </c>
      <c r="AQ8" s="27" t="n">
        <v>237421.2676207162</v>
      </c>
      <c r="AR8" s="27" t="n">
        <v>0</v>
      </c>
      <c r="AS8" s="27" t="n">
        <v>0</v>
      </c>
      <c r="AT8" s="28" t="n">
        <v>127418.4435228833</v>
      </c>
      <c r="AU8" s="28" t="n">
        <v>-25730.45751980378</v>
      </c>
      <c r="AV8" s="27" t="n">
        <v>0</v>
      </c>
      <c r="AW8" s="27" t="n">
        <v>0</v>
      </c>
      <c r="AX8" s="28" t="n">
        <v>0</v>
      </c>
      <c r="AY8" s="27" t="n">
        <v>10461.81843286616</v>
      </c>
      <c r="AZ8" s="27" t="n">
        <v>0</v>
      </c>
      <c r="BA8" s="27" t="n">
        <v>0</v>
      </c>
      <c r="BB8" s="28" t="n">
        <v>0</v>
      </c>
      <c r="BC8" s="27" t="n">
        <v>0</v>
      </c>
      <c r="BD8" s="27" t="n">
        <v>116956.6250900172</v>
      </c>
      <c r="BE8" s="27" t="n">
        <v>62151.3244411526</v>
      </c>
      <c r="BF8" s="28" t="n">
        <v>179107.9495311698</v>
      </c>
      <c r="BG8" s="27" t="n">
        <v>0</v>
      </c>
      <c r="BH8" s="27" t="n">
        <v>0</v>
      </c>
      <c r="BI8" s="27" t="n">
        <v>0</v>
      </c>
      <c r="BJ8" s="28" t="n">
        <v>0</v>
      </c>
      <c r="BK8" s="27" t="n">
        <v>0</v>
      </c>
      <c r="BL8" s="28" t="n">
        <v>0</v>
      </c>
      <c r="BM8" s="28" t="n">
        <v>127418.4435228833</v>
      </c>
      <c r="BN8" s="27" t="n">
        <v>0</v>
      </c>
      <c r="BO8" s="27" t="n">
        <v>5759602.435363904</v>
      </c>
    </row>
    <row r="9">
      <c r="A9" s="26" t="n">
        <v>2032</v>
      </c>
      <c r="B9" s="26" t="n">
        <v>70</v>
      </c>
      <c r="C9" s="26" t="n">
        <v>71</v>
      </c>
      <c r="D9" s="27" t="n">
        <v>0</v>
      </c>
      <c r="E9" s="27" t="n">
        <v>47548.8</v>
      </c>
      <c r="F9" s="27" t="n">
        <v>39850.0128</v>
      </c>
      <c r="G9" s="27" t="n">
        <v>4512</v>
      </c>
      <c r="H9" s="27" t="n">
        <v>4552.226461943186</v>
      </c>
      <c r="I9" s="27" t="n">
        <v>26960.18949477148</v>
      </c>
      <c r="J9" s="27" t="n">
        <v>8023.211585878438</v>
      </c>
      <c r="K9" s="27" t="n">
        <v>70118.41988367894</v>
      </c>
      <c r="L9" s="27" t="n">
        <v>63729.62</v>
      </c>
      <c r="M9" s="27" t="n">
        <v>0</v>
      </c>
      <c r="N9" s="28" t="n">
        <v>265294.4802262721</v>
      </c>
      <c r="O9" s="27" t="n">
        <v>44530.28919683411</v>
      </c>
      <c r="P9" s="28" t="n">
        <v>234547.7465254567</v>
      </c>
      <c r="Q9" s="27" t="n">
        <v>196411.3823595006</v>
      </c>
      <c r="R9" s="27" t="n">
        <v>31526.07350776166</v>
      </c>
      <c r="S9" s="27" t="n">
        <v>699.8239249735219</v>
      </c>
      <c r="T9" s="27" t="n">
        <v>0</v>
      </c>
      <c r="U9" s="27" t="n">
        <v>0</v>
      </c>
      <c r="V9" s="27" t="n">
        <v>178776.0179648627</v>
      </c>
      <c r="W9" s="27" t="n">
        <v>83097.46910046189</v>
      </c>
      <c r="X9" s="27" t="n">
        <v>36000</v>
      </c>
      <c r="Y9" s="27" t="n">
        <v>20874.48152783202</v>
      </c>
      <c r="Z9" s="27" t="n">
        <v>13424.61100923241</v>
      </c>
      <c r="AA9" s="27" t="n">
        <v>0</v>
      </c>
      <c r="AB9" s="27" t="n">
        <v>2435.356178247069</v>
      </c>
      <c r="AC9" s="27" t="n">
        <v>10363.02038515038</v>
      </c>
      <c r="AD9" s="27" t="n">
        <v>44955.83303692601</v>
      </c>
      <c r="AE9" s="27" t="n">
        <v>31167.40496930711</v>
      </c>
      <c r="AF9" s="27" t="n">
        <v>6230.262149597422</v>
      </c>
      <c r="AG9" s="27" t="n">
        <v>1567.429533602197</v>
      </c>
      <c r="AH9" s="27" t="n">
        <v>1135.035179505039</v>
      </c>
      <c r="AI9" s="27" t="n">
        <v>2111.618535225155</v>
      </c>
      <c r="AJ9" s="27" t="n">
        <v>2744.082669689087</v>
      </c>
      <c r="AK9" s="27" t="n">
        <v>28992.33545532225</v>
      </c>
      <c r="AL9" s="27" t="n">
        <v>100000</v>
      </c>
      <c r="AM9" s="28" t="n">
        <v>0</v>
      </c>
      <c r="AN9" s="28" t="n">
        <v>435821.6555575728</v>
      </c>
      <c r="AO9" s="27" t="n">
        <v>32225.89743273518</v>
      </c>
      <c r="AP9" s="28" t="n">
        <v>447173.071462476</v>
      </c>
      <c r="AQ9" s="27" t="n">
        <v>265294.4802262721</v>
      </c>
      <c r="AR9" s="27" t="n">
        <v>0</v>
      </c>
      <c r="AS9" s="27" t="n">
        <v>0</v>
      </c>
      <c r="AT9" s="28" t="n">
        <v>230049.865612384</v>
      </c>
      <c r="AU9" s="28" t="n">
        <v>-48171.27437618008</v>
      </c>
      <c r="AV9" s="27" t="n">
        <v>0</v>
      </c>
      <c r="AW9" s="27" t="n">
        <v>0</v>
      </c>
      <c r="AX9" s="28" t="n">
        <v>0</v>
      </c>
      <c r="AY9" s="27" t="n">
        <v>11089.52753883813</v>
      </c>
      <c r="AZ9" s="27" t="n">
        <v>0</v>
      </c>
      <c r="BA9" s="27" t="n">
        <v>0</v>
      </c>
      <c r="BB9" s="28" t="n">
        <v>0</v>
      </c>
      <c r="BC9" s="27" t="n">
        <v>0</v>
      </c>
      <c r="BD9" s="27" t="n">
        <v>218960.3380735459</v>
      </c>
      <c r="BE9" s="27" t="n">
        <v>44530.28919683411</v>
      </c>
      <c r="BF9" s="28" t="n">
        <v>263490.62727038</v>
      </c>
      <c r="BG9" s="27" t="n">
        <v>0</v>
      </c>
      <c r="BH9" s="27" t="n">
        <v>0</v>
      </c>
      <c r="BI9" s="27" t="n">
        <v>0</v>
      </c>
      <c r="BJ9" s="28" t="n">
        <v>0</v>
      </c>
      <c r="BK9" s="27" t="n">
        <v>0</v>
      </c>
      <c r="BL9" s="28" t="n">
        <v>0</v>
      </c>
      <c r="BM9" s="28" t="n">
        <v>230049.865612384</v>
      </c>
      <c r="BN9" s="27" t="n">
        <v>0</v>
      </c>
      <c r="BO9" s="27" t="n">
        <v>5658180.003528006</v>
      </c>
    </row>
    <row r="10">
      <c r="A10" s="26" t="n">
        <v>2033</v>
      </c>
      <c r="B10" s="26" t="n">
        <v>71</v>
      </c>
      <c r="C10" s="26" t="n">
        <v>72</v>
      </c>
      <c r="D10" s="27" t="n">
        <v>0</v>
      </c>
      <c r="E10" s="27" t="n">
        <v>48499.77600000001</v>
      </c>
      <c r="F10" s="27" t="n">
        <v>40647.013056</v>
      </c>
      <c r="G10" s="27" t="n">
        <v>4512</v>
      </c>
      <c r="H10" s="27" t="n">
        <v>4538.43008650029</v>
      </c>
      <c r="I10" s="27" t="n">
        <v>26821.72246898008</v>
      </c>
      <c r="J10" s="27" t="n">
        <v>7993.88002274815</v>
      </c>
      <c r="K10" s="27" t="n">
        <v>69758.73929401363</v>
      </c>
      <c r="L10" s="27" t="n">
        <v>61552.27</v>
      </c>
      <c r="M10" s="27" t="n">
        <v>0</v>
      </c>
      <c r="N10" s="28" t="n">
        <v>264323.8309282422</v>
      </c>
      <c r="O10" s="27" t="n">
        <v>50557.68148332619</v>
      </c>
      <c r="P10" s="28" t="n">
        <v>239306.2166857054</v>
      </c>
      <c r="Q10" s="27" t="n">
        <v>200407.1252364302</v>
      </c>
      <c r="R10" s="27" t="n">
        <v>32171.4483284596</v>
      </c>
      <c r="S10" s="27" t="n">
        <v>588.1244857183825</v>
      </c>
      <c r="T10" s="27" t="n">
        <v>0</v>
      </c>
      <c r="U10" s="27" t="n">
        <v>0</v>
      </c>
      <c r="V10" s="27" t="n">
        <v>183245.4184139843</v>
      </c>
      <c r="W10" s="27" t="n">
        <v>84274.90582797343</v>
      </c>
      <c r="X10" s="27" t="n">
        <v>36000</v>
      </c>
      <c r="Y10" s="27" t="n">
        <v>21396.34356602782</v>
      </c>
      <c r="Z10" s="27" t="n">
        <v>13760.22628446323</v>
      </c>
      <c r="AA10" s="27" t="n">
        <v>0</v>
      </c>
      <c r="AB10" s="27" t="n">
        <v>2496.240082703246</v>
      </c>
      <c r="AC10" s="27" t="n">
        <v>10622.09589477914</v>
      </c>
      <c r="AD10" s="27" t="n">
        <v>47236.51953925873</v>
      </c>
      <c r="AE10" s="27" t="n">
        <v>32689.72792792079</v>
      </c>
      <c r="AF10" s="27" t="n">
        <v>6613.728765755164</v>
      </c>
      <c r="AG10" s="27" t="n">
        <v>1663.903307078162</v>
      </c>
      <c r="AH10" s="27" t="n">
        <v>1204.895498229014</v>
      </c>
      <c r="AI10" s="27" t="n">
        <v>2151.285733366689</v>
      </c>
      <c r="AJ10" s="27" t="n">
        <v>2912.978306908907</v>
      </c>
      <c r="AK10" s="27" t="n">
        <v>29717.14384170531</v>
      </c>
      <c r="AL10" s="27" t="n">
        <v>0</v>
      </c>
      <c r="AM10" s="28" t="n">
        <v>0</v>
      </c>
      <c r="AN10" s="28" t="n">
        <v>344473.9876229217</v>
      </c>
      <c r="AO10" s="27" t="n">
        <v>32759.57281417798</v>
      </c>
      <c r="AP10" s="28" t="n">
        <v>355837.2168710719</v>
      </c>
      <c r="AQ10" s="27" t="n">
        <v>264323.8309282422</v>
      </c>
      <c r="AR10" s="27" t="n">
        <v>0</v>
      </c>
      <c r="AS10" s="27" t="n">
        <v>0</v>
      </c>
      <c r="AT10" s="28" t="n">
        <v>114009.369385606</v>
      </c>
      <c r="AU10" s="28" t="n">
        <v>-22495.98344277627</v>
      </c>
      <c r="AV10" s="27" t="n">
        <v>0</v>
      </c>
      <c r="AW10" s="27" t="n">
        <v>0</v>
      </c>
      <c r="AX10" s="28" t="n">
        <v>0</v>
      </c>
      <c r="AY10" s="27" t="n">
        <v>11754.89919116841</v>
      </c>
      <c r="AZ10" s="27" t="n">
        <v>0</v>
      </c>
      <c r="BA10" s="27" t="n">
        <v>0</v>
      </c>
      <c r="BB10" s="28" t="n">
        <v>0</v>
      </c>
      <c r="BC10" s="27" t="n">
        <v>0</v>
      </c>
      <c r="BD10" s="27" t="n">
        <v>102254.4701944376</v>
      </c>
      <c r="BE10" s="27" t="n">
        <v>50557.68148332619</v>
      </c>
      <c r="BF10" s="28" t="n">
        <v>152812.1516777638</v>
      </c>
      <c r="BG10" s="27" t="n">
        <v>0</v>
      </c>
      <c r="BH10" s="27" t="n">
        <v>0</v>
      </c>
      <c r="BI10" s="27" t="n">
        <v>0</v>
      </c>
      <c r="BJ10" s="28" t="n">
        <v>0</v>
      </c>
      <c r="BK10" s="27" t="n">
        <v>0</v>
      </c>
      <c r="BL10" s="28" t="n">
        <v>0</v>
      </c>
      <c r="BM10" s="28" t="n">
        <v>114009.369385606</v>
      </c>
      <c r="BN10" s="27" t="n">
        <v>0</v>
      </c>
      <c r="BO10" s="27" t="n">
        <v>5683340.656278191</v>
      </c>
    </row>
    <row r="11">
      <c r="A11" s="26" t="n">
        <v>2034</v>
      </c>
      <c r="B11" s="26" t="n">
        <v>72</v>
      </c>
      <c r="C11" s="26" t="n">
        <v>73</v>
      </c>
      <c r="D11" s="27" t="n">
        <v>0</v>
      </c>
      <c r="E11" s="27" t="n">
        <v>49469.77152</v>
      </c>
      <c r="F11" s="27" t="n">
        <v>41459.95331712001</v>
      </c>
      <c r="G11" s="27" t="n">
        <v>4512</v>
      </c>
      <c r="H11" s="27" t="n">
        <v>4525.590050718775</v>
      </c>
      <c r="I11" s="27" t="n">
        <v>26692.85372565831</v>
      </c>
      <c r="J11" s="27" t="n">
        <v>7966.52515191577</v>
      </c>
      <c r="K11" s="27" t="n">
        <v>69423.29804843446</v>
      </c>
      <c r="L11" s="27" t="n">
        <v>0</v>
      </c>
      <c r="M11" s="27" t="n">
        <v>0</v>
      </c>
      <c r="N11" s="28" t="n">
        <v>204049.9918138473</v>
      </c>
      <c r="O11" s="27" t="n">
        <v>56615.1008459524</v>
      </c>
      <c r="P11" s="28" t="n">
        <v>244158.9925338892</v>
      </c>
      <c r="Q11" s="27" t="n">
        <v>204481.9192556285</v>
      </c>
      <c r="R11" s="27" t="n">
        <v>32829.54062821211</v>
      </c>
      <c r="S11" s="27" t="n">
        <v>476.460953213454</v>
      </c>
      <c r="T11" s="27" t="n">
        <v>0</v>
      </c>
      <c r="U11" s="27" t="n">
        <v>0</v>
      </c>
      <c r="V11" s="27" t="n">
        <v>187826.5538743338</v>
      </c>
      <c r="W11" s="27" t="n">
        <v>85481.77847367276</v>
      </c>
      <c r="X11" s="27" t="n">
        <v>36000</v>
      </c>
      <c r="Y11" s="27" t="n">
        <v>21931.25215517851</v>
      </c>
      <c r="Z11" s="27" t="n">
        <v>14104.2319415748</v>
      </c>
      <c r="AA11" s="27" t="n">
        <v>0</v>
      </c>
      <c r="AB11" s="27" t="n">
        <v>2558.646084770826</v>
      </c>
      <c r="AC11" s="27" t="n">
        <v>10887.64829214862</v>
      </c>
      <c r="AD11" s="27" t="n">
        <v>49640.24524528603</v>
      </c>
      <c r="AE11" s="27" t="n">
        <v>34293.38009532451</v>
      </c>
      <c r="AF11" s="27" t="n">
        <v>7019.301655147509</v>
      </c>
      <c r="AG11" s="27" t="n">
        <v>1765.938648384469</v>
      </c>
      <c r="AH11" s="27" t="n">
        <v>1278.78315917496</v>
      </c>
      <c r="AI11" s="27" t="n">
        <v>2191.231163858742</v>
      </c>
      <c r="AJ11" s="27" t="n">
        <v>3091.610523395845</v>
      </c>
      <c r="AK11" s="27" t="n">
        <v>30460.07243774793</v>
      </c>
      <c r="AL11" s="27" t="n">
        <v>0</v>
      </c>
      <c r="AM11" s="28" t="n">
        <v>0</v>
      </c>
      <c r="AN11" s="28" t="n">
        <v>353408.6500310405</v>
      </c>
      <c r="AO11" s="27" t="n">
        <v>33306.00158142557</v>
      </c>
      <c r="AP11" s="28" t="n">
        <v>364783.3994572876</v>
      </c>
      <c r="AQ11" s="27" t="n">
        <v>204049.9918138473</v>
      </c>
      <c r="AR11" s="27" t="n">
        <v>0</v>
      </c>
      <c r="AS11" s="27" t="n">
        <v>0</v>
      </c>
      <c r="AT11" s="28" t="n">
        <v>202554.0578872561</v>
      </c>
      <c r="AU11" s="28" t="n">
        <v>-41820.65024381588</v>
      </c>
      <c r="AV11" s="27" t="n">
        <v>0</v>
      </c>
      <c r="AW11" s="27" t="n">
        <v>0</v>
      </c>
      <c r="AX11" s="28" t="n">
        <v>0</v>
      </c>
      <c r="AY11" s="27" t="n">
        <v>12460.19314263852</v>
      </c>
      <c r="AZ11" s="27" t="n">
        <v>0</v>
      </c>
      <c r="BA11" s="27" t="n">
        <v>0</v>
      </c>
      <c r="BB11" s="28" t="n">
        <v>0</v>
      </c>
      <c r="BC11" s="27" t="n">
        <v>0</v>
      </c>
      <c r="BD11" s="27" t="n">
        <v>190093.8647446176</v>
      </c>
      <c r="BE11" s="27" t="n">
        <v>56615.1008459524</v>
      </c>
      <c r="BF11" s="28" t="n">
        <v>246708.96559057</v>
      </c>
      <c r="BG11" s="27" t="n">
        <v>0</v>
      </c>
      <c r="BH11" s="27" t="n">
        <v>0</v>
      </c>
      <c r="BI11" s="27" t="n">
        <v>0</v>
      </c>
      <c r="BJ11" s="28" t="n">
        <v>0</v>
      </c>
      <c r="BK11" s="27" t="n">
        <v>0</v>
      </c>
      <c r="BL11" s="28" t="n">
        <v>0</v>
      </c>
      <c r="BM11" s="28" t="n">
        <v>202554.0578872561</v>
      </c>
      <c r="BN11" s="27" t="n">
        <v>0</v>
      </c>
      <c r="BO11" s="27" t="n">
        <v>5676748.884680188</v>
      </c>
    </row>
    <row r="12">
      <c r="A12" s="26" t="n">
        <v>2035</v>
      </c>
      <c r="B12" s="26" t="n">
        <v>73</v>
      </c>
      <c r="C12" s="26" t="n">
        <v>74</v>
      </c>
      <c r="D12" s="27" t="n">
        <v>0</v>
      </c>
      <c r="E12" s="27" t="n">
        <v>50459.16695040001</v>
      </c>
      <c r="F12" s="27" t="n">
        <v>42289.15238346239</v>
      </c>
      <c r="G12" s="27" t="n">
        <v>4512</v>
      </c>
      <c r="H12" s="27" t="n">
        <v>4513.667160350227</v>
      </c>
      <c r="I12" s="27" t="n">
        <v>29725.13525601958</v>
      </c>
      <c r="J12" s="27" t="n">
        <v>7941.066470993364</v>
      </c>
      <c r="K12" s="27" t="n">
        <v>69111.10898010567</v>
      </c>
      <c r="L12" s="27" t="n">
        <v>0</v>
      </c>
      <c r="M12" s="27" t="n">
        <v>0</v>
      </c>
      <c r="N12" s="28" t="n">
        <v>208551.2972013312</v>
      </c>
      <c r="O12" s="27" t="n">
        <v>57327.09731166446</v>
      </c>
      <c r="P12" s="28" t="n">
        <v>249108.0007915249</v>
      </c>
      <c r="Q12" s="27" t="n">
        <v>208637.386047699</v>
      </c>
      <c r="R12" s="27" t="n">
        <v>33500.61369030711</v>
      </c>
      <c r="S12" s="27" t="n">
        <v>475.0310965926355</v>
      </c>
      <c r="T12" s="27" t="n">
        <v>0</v>
      </c>
      <c r="U12" s="27" t="n">
        <v>0</v>
      </c>
      <c r="V12" s="27" t="n">
        <v>192522.2177211922</v>
      </c>
      <c r="W12" s="27" t="n">
        <v>50718.82293551458</v>
      </c>
      <c r="X12" s="27" t="n">
        <v>0</v>
      </c>
      <c r="Y12" s="27" t="n">
        <v>22479.53345905797</v>
      </c>
      <c r="Z12" s="27" t="n">
        <v>14456.83774011417</v>
      </c>
      <c r="AA12" s="27" t="n">
        <v>0</v>
      </c>
      <c r="AB12" s="27" t="n">
        <v>2622.612236890097</v>
      </c>
      <c r="AC12" s="27" t="n">
        <v>11159.83949945234</v>
      </c>
      <c r="AD12" s="27" t="n">
        <v>52173.74732928693</v>
      </c>
      <c r="AE12" s="27" t="n">
        <v>35982.80459607752</v>
      </c>
      <c r="AF12" s="27" t="n">
        <v>7448.203945262447</v>
      </c>
      <c r="AG12" s="27" t="n">
        <v>1873.843275896686</v>
      </c>
      <c r="AH12" s="27" t="n">
        <v>1356.920992890703</v>
      </c>
      <c r="AI12" s="27" t="n">
        <v>2231.456480632859</v>
      </c>
      <c r="AJ12" s="27" t="n">
        <v>3280.518038526714</v>
      </c>
      <c r="AK12" s="27" t="n">
        <v>31221.57424869163</v>
      </c>
      <c r="AL12" s="27" t="n">
        <v>0</v>
      </c>
      <c r="AM12" s="28" t="n">
        <v>0</v>
      </c>
      <c r="AN12" s="28" t="n">
        <v>326636.3622346853</v>
      </c>
      <c r="AO12" s="27" t="n">
        <v>33975.64478689974</v>
      </c>
      <c r="AP12" s="28" t="n">
        <v>338132.4735625271</v>
      </c>
      <c r="AQ12" s="27" t="n">
        <v>208551.2972013312</v>
      </c>
      <c r="AR12" s="27" t="n">
        <v>0</v>
      </c>
      <c r="AS12" s="27" t="n">
        <v>0</v>
      </c>
      <c r="AT12" s="28" t="n">
        <v>162404.4350260674</v>
      </c>
      <c r="AU12" s="28" t="n">
        <v>-32823.25866487154</v>
      </c>
      <c r="AV12" s="27" t="n">
        <v>0</v>
      </c>
      <c r="AW12" s="27" t="n">
        <v>0</v>
      </c>
      <c r="AX12" s="28" t="n">
        <v>0</v>
      </c>
      <c r="AY12" s="27" t="n">
        <v>13207.80473119683</v>
      </c>
      <c r="AZ12" s="27" t="n">
        <v>0</v>
      </c>
      <c r="BA12" s="27" t="n">
        <v>0</v>
      </c>
      <c r="BB12" s="28" t="n">
        <v>0</v>
      </c>
      <c r="BC12" s="27" t="n">
        <v>0</v>
      </c>
      <c r="BD12" s="27" t="n">
        <v>149196.6302948706</v>
      </c>
      <c r="BE12" s="27" t="n">
        <v>57327.09731166446</v>
      </c>
      <c r="BF12" s="28" t="n">
        <v>206523.727606535</v>
      </c>
      <c r="BG12" s="27" t="n">
        <v>0</v>
      </c>
      <c r="BH12" s="27" t="n">
        <v>0</v>
      </c>
      <c r="BI12" s="27" t="n">
        <v>0</v>
      </c>
      <c r="BJ12" s="28" t="n">
        <v>0</v>
      </c>
      <c r="BK12" s="27" t="n">
        <v>0</v>
      </c>
      <c r="BL12" s="28" t="n">
        <v>0</v>
      </c>
      <c r="BM12" s="28" t="n">
        <v>162404.4350260674</v>
      </c>
      <c r="BN12" s="27" t="n">
        <v>7.275957614183426e-12</v>
      </c>
      <c r="BO12" s="27" t="n">
        <v>5706132.664662224</v>
      </c>
    </row>
    <row r="13">
      <c r="A13" s="26" t="n">
        <v>2036</v>
      </c>
      <c r="B13" s="26" t="n">
        <v>74</v>
      </c>
      <c r="C13" s="26" t="n">
        <v>75</v>
      </c>
      <c r="D13" s="27" t="n">
        <v>0</v>
      </c>
      <c r="E13" s="27" t="n">
        <v>51468.350289408</v>
      </c>
      <c r="F13" s="27" t="n">
        <v>43134.93543113165</v>
      </c>
      <c r="G13" s="27" t="n">
        <v>4512</v>
      </c>
      <c r="H13" s="27" t="n">
        <v>4808.82129214624</v>
      </c>
      <c r="I13" s="27" t="n">
        <v>29362.06561333455</v>
      </c>
      <c r="J13" s="27" t="n">
        <v>8540.109233097599</v>
      </c>
      <c r="K13" s="27" t="n">
        <v>76456.91775788227</v>
      </c>
      <c r="L13" s="27" t="n">
        <v>0</v>
      </c>
      <c r="M13" s="27" t="n">
        <v>0</v>
      </c>
      <c r="N13" s="28" t="n">
        <v>218283.1996170003</v>
      </c>
      <c r="O13" s="27" t="n">
        <v>0</v>
      </c>
      <c r="P13" s="28" t="n">
        <v>201030.8325321935</v>
      </c>
      <c r="Q13" s="27" t="n">
        <v>159750.805493491</v>
      </c>
      <c r="R13" s="27" t="n">
        <v>22497.57374357762</v>
      </c>
      <c r="S13" s="27" t="n">
        <v>509.2092867766376</v>
      </c>
      <c r="T13" s="27" t="n">
        <v>0</v>
      </c>
      <c r="U13" s="27" t="n">
        <v>0</v>
      </c>
      <c r="V13" s="27" t="n">
        <v>197335.273164222</v>
      </c>
      <c r="W13" s="27" t="n">
        <v>51986.79350890244</v>
      </c>
      <c r="X13" s="27" t="n">
        <v>0</v>
      </c>
      <c r="Y13" s="27" t="n">
        <v>23041.52179553442</v>
      </c>
      <c r="Z13" s="27" t="n">
        <v>14818.25868361702</v>
      </c>
      <c r="AA13" s="27" t="n">
        <v>0</v>
      </c>
      <c r="AB13" s="27" t="n">
        <v>2688.177542812349</v>
      </c>
      <c r="AC13" s="27" t="n">
        <v>11438.83548693864</v>
      </c>
      <c r="AD13" s="27" t="n">
        <v>54844.13313535175</v>
      </c>
      <c r="AE13" s="27" t="n">
        <v>37762.68855181582</v>
      </c>
      <c r="AF13" s="27" t="n">
        <v>7901.725877434905</v>
      </c>
      <c r="AG13" s="27" t="n">
        <v>1987.941792709398</v>
      </c>
      <c r="AH13" s="27" t="n">
        <v>1439.544056789564</v>
      </c>
      <c r="AI13" s="27" t="n">
        <v>2271.963725020814</v>
      </c>
      <c r="AJ13" s="27" t="n">
        <v>3480.269131581245</v>
      </c>
      <c r="AK13" s="27" t="n">
        <v>32002.11360490891</v>
      </c>
      <c r="AL13" s="27" t="n">
        <v>0</v>
      </c>
      <c r="AM13" s="28" t="n">
        <v>0</v>
      </c>
      <c r="AN13" s="28" t="n">
        <v>336168.3134133851</v>
      </c>
      <c r="AO13" s="27" t="n">
        <v>23006.78303035425</v>
      </c>
      <c r="AP13" s="28" t="n">
        <v>336133.5746482049</v>
      </c>
      <c r="AQ13" s="27" t="n">
        <v>218283.1996170003</v>
      </c>
      <c r="AR13" s="27" t="n">
        <v>1.613172427303008e-13</v>
      </c>
      <c r="AS13" s="27" t="n">
        <v>0</v>
      </c>
      <c r="AT13" s="28" t="n">
        <v>147141.4294460121</v>
      </c>
      <c r="AU13" s="28" t="n">
        <v>-29291.05441480756</v>
      </c>
      <c r="AV13" s="27" t="n">
        <v>7.557201301597796e-12</v>
      </c>
      <c r="AW13" s="27" t="n">
        <v>0</v>
      </c>
      <c r="AX13" s="28" t="n">
        <v>7.557201301597796e-12</v>
      </c>
      <c r="AY13" s="27" t="n">
        <v>14000.27301506864</v>
      </c>
      <c r="AZ13" s="27" t="n">
        <v>0</v>
      </c>
      <c r="BA13" s="27" t="n">
        <v>0</v>
      </c>
      <c r="BB13" s="28" t="n">
        <v>0</v>
      </c>
      <c r="BC13" s="27" t="n">
        <v>0</v>
      </c>
      <c r="BD13" s="27" t="n">
        <v>133141.1564309435</v>
      </c>
      <c r="BE13" s="27" t="n">
        <v>0</v>
      </c>
      <c r="BF13" s="28" t="n">
        <v>133141.1564309435</v>
      </c>
      <c r="BG13" s="27" t="n">
        <v>0</v>
      </c>
      <c r="BH13" s="27" t="n">
        <v>0</v>
      </c>
      <c r="BI13" s="27" t="n">
        <v>0</v>
      </c>
      <c r="BJ13" s="28" t="n">
        <v>0</v>
      </c>
      <c r="BK13" s="27" t="n">
        <v>0</v>
      </c>
      <c r="BL13" s="28" t="n">
        <v>0</v>
      </c>
      <c r="BM13" s="28" t="n">
        <v>147141.4294460121</v>
      </c>
      <c r="BN13" s="27" t="n">
        <v>0</v>
      </c>
      <c r="BO13" s="27" t="n">
        <v>5715642.686607302</v>
      </c>
    </row>
    <row r="14">
      <c r="A14" s="26" t="n">
        <v>2037</v>
      </c>
      <c r="B14" s="26" t="n">
        <v>75</v>
      </c>
      <c r="C14" s="26" t="n">
        <v>76</v>
      </c>
      <c r="D14" s="27" t="n">
        <v>0</v>
      </c>
      <c r="E14" s="27" t="n">
        <v>52497.71729519617</v>
      </c>
      <c r="F14" s="27" t="n">
        <v>43997.63413975429</v>
      </c>
      <c r="G14" s="27" t="n">
        <v>4512</v>
      </c>
      <c r="H14" s="27" t="n">
        <v>4774.270472754399</v>
      </c>
      <c r="I14" s="27" t="n">
        <v>29020.63195751974</v>
      </c>
      <c r="J14" s="27" t="n">
        <v>8468.382963814049</v>
      </c>
      <c r="K14" s="27" t="n">
        <v>75577.36876433545</v>
      </c>
      <c r="L14" s="27" t="n">
        <v>0</v>
      </c>
      <c r="M14" s="27" t="n">
        <v>26369.28788533319</v>
      </c>
      <c r="N14" s="28" t="n">
        <v>245217.2934787073</v>
      </c>
      <c r="O14" s="27" t="n">
        <v>0</v>
      </c>
      <c r="P14" s="28" t="n">
        <v>227705.3030942383</v>
      </c>
      <c r="Q14" s="27" t="n">
        <v>185599.6755147618</v>
      </c>
      <c r="R14" s="27" t="n">
        <v>27931.37307895737</v>
      </c>
      <c r="S14" s="27" t="n">
        <v>505.1458054834306</v>
      </c>
      <c r="T14" s="27" t="n">
        <v>0</v>
      </c>
      <c r="U14" s="27" t="n">
        <v>0</v>
      </c>
      <c r="V14" s="27" t="n">
        <v>202268.6549933275</v>
      </c>
      <c r="W14" s="27" t="n">
        <v>53286.46334662499</v>
      </c>
      <c r="X14" s="27" t="n">
        <v>0</v>
      </c>
      <c r="Y14" s="27" t="n">
        <v>23617.55984042278</v>
      </c>
      <c r="Z14" s="27" t="n">
        <v>15188.71515070745</v>
      </c>
      <c r="AA14" s="27" t="n">
        <v>0</v>
      </c>
      <c r="AB14" s="27" t="n">
        <v>2755.381981382658</v>
      </c>
      <c r="AC14" s="27" t="n">
        <v>11724.80637411211</v>
      </c>
      <c r="AD14" s="27" t="n">
        <v>57658.90053203706</v>
      </c>
      <c r="AE14" s="27" t="n">
        <v>39637.97649640666</v>
      </c>
      <c r="AF14" s="27" t="n">
        <v>8381.228514779919</v>
      </c>
      <c r="AG14" s="27" t="n">
        <v>2108.576619490046</v>
      </c>
      <c r="AH14" s="27" t="n">
        <v>1526.900310665206</v>
      </c>
      <c r="AI14" s="27" t="n">
        <v>2312.755315815584</v>
      </c>
      <c r="AJ14" s="27" t="n">
        <v>3691.463274879643</v>
      </c>
      <c r="AK14" s="27" t="n">
        <v>32802.16644503164</v>
      </c>
      <c r="AL14" s="27" t="n">
        <v>0</v>
      </c>
      <c r="AM14" s="28" t="n">
        <v>0</v>
      </c>
      <c r="AN14" s="28" t="n">
        <v>346016.1853170212</v>
      </c>
      <c r="AO14" s="27" t="n">
        <v>28436.5188844408</v>
      </c>
      <c r="AP14" s="28" t="n">
        <v>350835.1443610393</v>
      </c>
      <c r="AQ14" s="27" t="n">
        <v>245217.2934787073</v>
      </c>
      <c r="AR14" s="27" t="n">
        <v>0</v>
      </c>
      <c r="AS14" s="27" t="n">
        <v>0</v>
      </c>
      <c r="AT14" s="28" t="n">
        <v>131221.7784810487</v>
      </c>
      <c r="AU14" s="28" t="n">
        <v>-25603.92759871669</v>
      </c>
      <c r="AV14" s="27" t="n">
        <v>0</v>
      </c>
      <c r="AW14" s="27" t="n">
        <v>0</v>
      </c>
      <c r="AX14" s="28" t="n">
        <v>0</v>
      </c>
      <c r="AY14" s="27" t="n">
        <v>14840.28939597276</v>
      </c>
      <c r="AZ14" s="27" t="n">
        <v>0</v>
      </c>
      <c r="BA14" s="27" t="n">
        <v>0</v>
      </c>
      <c r="BB14" s="28" t="n">
        <v>0</v>
      </c>
      <c r="BC14" s="27" t="n">
        <v>26369.28788533319</v>
      </c>
      <c r="BD14" s="27" t="n">
        <v>116381.489085076</v>
      </c>
      <c r="BE14" s="27" t="n">
        <v>0</v>
      </c>
      <c r="BF14" s="28" t="n">
        <v>142750.7769704091</v>
      </c>
      <c r="BG14" s="27" t="n">
        <v>0</v>
      </c>
      <c r="BH14" s="27" t="n">
        <v>0</v>
      </c>
      <c r="BI14" s="27" t="n">
        <v>0</v>
      </c>
      <c r="BJ14" s="28" t="n">
        <v>0</v>
      </c>
      <c r="BK14" s="27" t="n">
        <v>0</v>
      </c>
      <c r="BL14" s="28" t="n">
        <v>0</v>
      </c>
      <c r="BM14" s="28" t="n">
        <v>157591.0663663819</v>
      </c>
      <c r="BN14" s="27" t="n">
        <v>0</v>
      </c>
      <c r="BO14" s="27" t="n">
        <v>5704709.036557292</v>
      </c>
    </row>
    <row r="15">
      <c r="A15" s="26" t="n">
        <v>2038</v>
      </c>
      <c r="B15" s="26" t="n">
        <v>76</v>
      </c>
      <c r="C15" s="26" t="n">
        <v>77</v>
      </c>
      <c r="D15" s="27" t="n">
        <v>0</v>
      </c>
      <c r="E15" s="27" t="n">
        <v>53547.67164110009</v>
      </c>
      <c r="F15" s="27" t="n">
        <v>44877.58682254937</v>
      </c>
      <c r="G15" s="27" t="n">
        <v>4512</v>
      </c>
      <c r="H15" s="27" t="n">
        <v>4742.829227107823</v>
      </c>
      <c r="I15" s="27" t="n">
        <v>28709.92733072826</v>
      </c>
      <c r="J15" s="27" t="n">
        <v>8400.930994659229</v>
      </c>
      <c r="K15" s="27" t="n">
        <v>74750.23371081223</v>
      </c>
      <c r="L15" s="27" t="n">
        <v>0</v>
      </c>
      <c r="M15" s="27" t="n">
        <v>22628.258536258</v>
      </c>
      <c r="N15" s="28" t="n">
        <v>242169.438263215</v>
      </c>
      <c r="O15" s="27" t="n">
        <v>0</v>
      </c>
      <c r="P15" s="28" t="n">
        <v>224390.4317962922</v>
      </c>
      <c r="Q15" s="27" t="n">
        <v>181442.6916652262</v>
      </c>
      <c r="R15" s="27" t="n">
        <v>26758.82552137374</v>
      </c>
      <c r="S15" s="27" t="n">
        <v>501.3628549573895</v>
      </c>
      <c r="T15" s="27" t="n">
        <v>0</v>
      </c>
      <c r="U15" s="27" t="n">
        <v>0</v>
      </c>
      <c r="V15" s="27" t="n">
        <v>207325.3713681607</v>
      </c>
      <c r="W15" s="27" t="n">
        <v>54618.62493029061</v>
      </c>
      <c r="X15" s="27" t="n">
        <v>0</v>
      </c>
      <c r="Y15" s="27" t="n">
        <v>24207.99883643335</v>
      </c>
      <c r="Z15" s="27" t="n">
        <v>15568.43302947513</v>
      </c>
      <c r="AA15" s="27" t="n">
        <v>0</v>
      </c>
      <c r="AB15" s="27" t="n">
        <v>2824.266530917224</v>
      </c>
      <c r="AC15" s="27" t="n">
        <v>12017.92653346491</v>
      </c>
      <c r="AD15" s="27" t="n">
        <v>60625.95938646809</v>
      </c>
      <c r="AE15" s="27" t="n">
        <v>41613.88452887801</v>
      </c>
      <c r="AF15" s="27" t="n">
        <v>8888.14765401622</v>
      </c>
      <c r="AG15" s="27" t="n">
        <v>2236.108978628181</v>
      </c>
      <c r="AH15" s="27" t="n">
        <v>1619.251329351441</v>
      </c>
      <c r="AI15" s="27" t="n">
        <v>2353.834038871722</v>
      </c>
      <c r="AJ15" s="27" t="n">
        <v>3914.732856722509</v>
      </c>
      <c r="AK15" s="27" t="n">
        <v>33622.22060615743</v>
      </c>
      <c r="AL15" s="27" t="n">
        <v>0</v>
      </c>
      <c r="AM15" s="28" t="n">
        <v>0</v>
      </c>
      <c r="AN15" s="28" t="n">
        <v>356192.1762910768</v>
      </c>
      <c r="AO15" s="27" t="n">
        <v>27260.18837633113</v>
      </c>
      <c r="AP15" s="28" t="n">
        <v>359244.3658309746</v>
      </c>
      <c r="AQ15" s="27" t="n">
        <v>242169.438263215</v>
      </c>
      <c r="AR15" s="27" t="n">
        <v>0</v>
      </c>
      <c r="AS15" s="27" t="n">
        <v>0</v>
      </c>
      <c r="AT15" s="28" t="n">
        <v>145659.1949751522</v>
      </c>
      <c r="AU15" s="28" t="n">
        <v>-28584.26740739265</v>
      </c>
      <c r="AV15" s="27" t="n">
        <v>0</v>
      </c>
      <c r="AW15" s="27" t="n">
        <v>0</v>
      </c>
      <c r="AX15" s="28" t="n">
        <v>0</v>
      </c>
      <c r="AY15" s="27" t="n">
        <v>15730.70675973113</v>
      </c>
      <c r="AZ15" s="27" t="n">
        <v>0</v>
      </c>
      <c r="BA15" s="27" t="n">
        <v>0</v>
      </c>
      <c r="BB15" s="28" t="n">
        <v>0</v>
      </c>
      <c r="BC15" s="27" t="n">
        <v>22628.258536258</v>
      </c>
      <c r="BD15" s="27" t="n">
        <v>129928.4882154211</v>
      </c>
      <c r="BE15" s="27" t="n">
        <v>0</v>
      </c>
      <c r="BF15" s="28" t="n">
        <v>152556.7467516791</v>
      </c>
      <c r="BG15" s="27" t="n">
        <v>0</v>
      </c>
      <c r="BH15" s="27" t="n">
        <v>0</v>
      </c>
      <c r="BI15" s="27" t="n">
        <v>0</v>
      </c>
      <c r="BJ15" s="28" t="n">
        <v>0</v>
      </c>
      <c r="BK15" s="27" t="n">
        <v>0</v>
      </c>
      <c r="BL15" s="28" t="n">
        <v>0</v>
      </c>
      <c r="BM15" s="28" t="n">
        <v>168287.4535114102</v>
      </c>
      <c r="BN15" s="27" t="n">
        <v>0</v>
      </c>
      <c r="BO15" s="27" t="n">
        <v>5681552.343287834</v>
      </c>
    </row>
    <row r="16">
      <c r="A16" s="26" t="n">
        <v>2039</v>
      </c>
      <c r="B16" s="26" t="n">
        <v>77</v>
      </c>
      <c r="C16" s="26" t="n">
        <v>78</v>
      </c>
      <c r="D16" s="27" t="n">
        <v>0</v>
      </c>
      <c r="E16" s="27" t="n">
        <v>54618.62507392209</v>
      </c>
      <c r="F16" s="27" t="n">
        <v>45775.13855900036</v>
      </c>
      <c r="G16" s="27" t="n">
        <v>4512</v>
      </c>
      <c r="H16" s="27" t="n">
        <v>4714.30407061792</v>
      </c>
      <c r="I16" s="27" t="n">
        <v>28428.03970448755</v>
      </c>
      <c r="J16" s="27" t="n">
        <v>8339.549702728345</v>
      </c>
      <c r="K16" s="27" t="n">
        <v>73997.54081210612</v>
      </c>
      <c r="L16" s="27" t="n">
        <v>0</v>
      </c>
      <c r="M16" s="27" t="n">
        <v>17762.31263716565</v>
      </c>
      <c r="N16" s="28" t="n">
        <v>238147.510560028</v>
      </c>
      <c r="O16" s="27" t="n">
        <v>0</v>
      </c>
      <c r="P16" s="28" t="n">
        <v>220093.6533613121</v>
      </c>
      <c r="Q16" s="27" t="n">
        <v>176286.9584276247</v>
      </c>
      <c r="R16" s="27" t="n">
        <v>25361.39287620191</v>
      </c>
      <c r="S16" s="27" t="n">
        <v>497.9235254186502</v>
      </c>
      <c r="T16" s="27" t="n">
        <v>0</v>
      </c>
      <c r="U16" s="27" t="n">
        <v>0</v>
      </c>
      <c r="V16" s="27" t="n">
        <v>212508.5056523646</v>
      </c>
      <c r="W16" s="27" t="n">
        <v>55984.09055354787</v>
      </c>
      <c r="X16" s="27" t="n">
        <v>0</v>
      </c>
      <c r="Y16" s="27" t="n">
        <v>24813.19880734418</v>
      </c>
      <c r="Z16" s="27" t="n">
        <v>15957.64385521201</v>
      </c>
      <c r="AA16" s="27" t="n">
        <v>0</v>
      </c>
      <c r="AB16" s="27" t="n">
        <v>2894.873194190154</v>
      </c>
      <c r="AC16" s="27" t="n">
        <v>12318.37469680153</v>
      </c>
      <c r="AD16" s="27" t="n">
        <v>63753.65421945743</v>
      </c>
      <c r="AE16" s="27" t="n">
        <v>43695.9152446999</v>
      </c>
      <c r="AF16" s="27" t="n">
        <v>9423.997952330765</v>
      </c>
      <c r="AG16" s="27" t="n">
        <v>2370.919932485401</v>
      </c>
      <c r="AH16" s="27" t="n">
        <v>1716.873054558394</v>
      </c>
      <c r="AI16" s="27" t="n">
        <v>2395.203036338693</v>
      </c>
      <c r="AJ16" s="27" t="n">
        <v>4150.744999044269</v>
      </c>
      <c r="AK16" s="27" t="n">
        <v>34462.77612131136</v>
      </c>
      <c r="AL16" s="27" t="n">
        <v>0</v>
      </c>
      <c r="AM16" s="28" t="n">
        <v>0</v>
      </c>
      <c r="AN16" s="28" t="n">
        <v>366709.0265466813</v>
      </c>
      <c r="AO16" s="27" t="n">
        <v>25859.31640162056</v>
      </c>
      <c r="AP16" s="28" t="n">
        <v>367755.1441409577</v>
      </c>
      <c r="AQ16" s="27" t="n">
        <v>238147.510560028</v>
      </c>
      <c r="AR16" s="27" t="n">
        <v>0</v>
      </c>
      <c r="AS16" s="27" t="n">
        <v>0</v>
      </c>
      <c r="AT16" s="28" t="n">
        <v>161460.5548263594</v>
      </c>
      <c r="AU16" s="28" t="n">
        <v>-31852.92124542978</v>
      </c>
      <c r="AV16" s="27" t="n">
        <v>0</v>
      </c>
      <c r="AW16" s="27" t="n">
        <v>0</v>
      </c>
      <c r="AX16" s="28" t="n">
        <v>0</v>
      </c>
      <c r="AY16" s="27" t="n">
        <v>16674.54916531499</v>
      </c>
      <c r="AZ16" s="27" t="n">
        <v>0</v>
      </c>
      <c r="BA16" s="27" t="n">
        <v>0</v>
      </c>
      <c r="BB16" s="28" t="n">
        <v>0</v>
      </c>
      <c r="BC16" s="27" t="n">
        <v>17762.31263716565</v>
      </c>
      <c r="BD16" s="27" t="n">
        <v>144786.0056610444</v>
      </c>
      <c r="BE16" s="27" t="n">
        <v>0</v>
      </c>
      <c r="BF16" s="28" t="n">
        <v>162548.3182982101</v>
      </c>
      <c r="BG16" s="27" t="n">
        <v>0</v>
      </c>
      <c r="BH16" s="27" t="n">
        <v>0</v>
      </c>
      <c r="BI16" s="27" t="n">
        <v>0</v>
      </c>
      <c r="BJ16" s="28" t="n">
        <v>0</v>
      </c>
      <c r="BK16" s="27" t="n">
        <v>0</v>
      </c>
      <c r="BL16" s="28" t="n">
        <v>0</v>
      </c>
      <c r="BM16" s="28" t="n">
        <v>179222.8674635251</v>
      </c>
      <c r="BN16" s="27" t="n">
        <v>0</v>
      </c>
      <c r="BO16" s="27" t="n">
        <v>5645040.824861805</v>
      </c>
    </row>
    <row r="17">
      <c r="A17" s="26" t="n">
        <v>2040</v>
      </c>
      <c r="B17" s="26" t="n">
        <v>78</v>
      </c>
      <c r="C17" s="26" t="n">
        <v>79</v>
      </c>
      <c r="D17" s="27" t="n">
        <v>0</v>
      </c>
      <c r="E17" s="27" t="n">
        <v>55710.99757540054</v>
      </c>
      <c r="F17" s="27" t="n">
        <v>46690.64133018037</v>
      </c>
      <c r="G17" s="27" t="n">
        <v>4512</v>
      </c>
      <c r="H17" s="27" t="n">
        <v>4688.512022145189</v>
      </c>
      <c r="I17" s="27" t="n">
        <v>28173.16084615641</v>
      </c>
      <c r="J17" s="27" t="n">
        <v>8283.861356994126</v>
      </c>
      <c r="K17" s="27" t="n">
        <v>73314.65811191735</v>
      </c>
      <c r="L17" s="27" t="n">
        <v>0</v>
      </c>
      <c r="M17" s="27" t="n">
        <v>11766.4163435662</v>
      </c>
      <c r="N17" s="28" t="n">
        <v>233140.2475863602</v>
      </c>
      <c r="O17" s="27" t="n">
        <v>0</v>
      </c>
      <c r="P17" s="28" t="n">
        <v>214803.7168543952</v>
      </c>
      <c r="Q17" s="27" t="n">
        <v>170120.8880220341</v>
      </c>
      <c r="R17" s="27" t="n">
        <v>23736.42262741445</v>
      </c>
      <c r="S17" s="27" t="n">
        <v>494.80637990907</v>
      </c>
      <c r="T17" s="27" t="n">
        <v>0</v>
      </c>
      <c r="U17" s="27" t="n">
        <v>0</v>
      </c>
      <c r="V17" s="27" t="n">
        <v>217821.2182936738</v>
      </c>
      <c r="W17" s="27" t="n">
        <v>57383.69281738657</v>
      </c>
      <c r="X17" s="27" t="n">
        <v>0</v>
      </c>
      <c r="Y17" s="27" t="n">
        <v>25433.52877752778</v>
      </c>
      <c r="Z17" s="27" t="n">
        <v>16356.58495159231</v>
      </c>
      <c r="AA17" s="27" t="n">
        <v>0</v>
      </c>
      <c r="AB17" s="27" t="n">
        <v>2967.245024044908</v>
      </c>
      <c r="AC17" s="27" t="n">
        <v>12626.33406422157</v>
      </c>
      <c r="AD17" s="27" t="n">
        <v>67050.78810659534</v>
      </c>
      <c r="AE17" s="27" t="n">
        <v>45889.87348822615</v>
      </c>
      <c r="AF17" s="27" t="n">
        <v>9990.377281053779</v>
      </c>
      <c r="AG17" s="27" t="n">
        <v>2513.411478707032</v>
      </c>
      <c r="AH17" s="27" t="n">
        <v>1820.05658802923</v>
      </c>
      <c r="AI17" s="27" t="n">
        <v>2436.865795615141</v>
      </c>
      <c r="AJ17" s="27" t="n">
        <v>4400.203474964001</v>
      </c>
      <c r="AK17" s="27" t="n">
        <v>35324.34552434414</v>
      </c>
      <c r="AL17" s="27" t="n">
        <v>0</v>
      </c>
      <c r="AM17" s="28" t="n">
        <v>0</v>
      </c>
      <c r="AN17" s="28" t="n">
        <v>377580.0447419998</v>
      </c>
      <c r="AO17" s="27" t="n">
        <v>24231.22900732352</v>
      </c>
      <c r="AP17" s="28" t="n">
        <v>376377.7449717955</v>
      </c>
      <c r="AQ17" s="27" t="n">
        <v>233140.2475863602</v>
      </c>
      <c r="AR17" s="27" t="n">
        <v>0</v>
      </c>
      <c r="AS17" s="27" t="n">
        <v>0</v>
      </c>
      <c r="AT17" s="28" t="n">
        <v>178652.554512928</v>
      </c>
      <c r="AU17" s="28" t="n">
        <v>-35415.05712749268</v>
      </c>
      <c r="AV17" s="27" t="n">
        <v>0</v>
      </c>
      <c r="AW17" s="27" t="n">
        <v>0</v>
      </c>
      <c r="AX17" s="28" t="n">
        <v>0</v>
      </c>
      <c r="AY17" s="27" t="n">
        <v>17675.02211523389</v>
      </c>
      <c r="AZ17" s="27" t="n">
        <v>0</v>
      </c>
      <c r="BA17" s="27" t="n">
        <v>0</v>
      </c>
      <c r="BB17" s="28" t="n">
        <v>0</v>
      </c>
      <c r="BC17" s="27" t="n">
        <v>11766.4163435662</v>
      </c>
      <c r="BD17" s="27" t="n">
        <v>160977.5323976941</v>
      </c>
      <c r="BE17" s="27" t="n">
        <v>0</v>
      </c>
      <c r="BF17" s="28" t="n">
        <v>172743.9487412603</v>
      </c>
      <c r="BG17" s="27" t="n">
        <v>0</v>
      </c>
      <c r="BH17" s="27" t="n">
        <v>0</v>
      </c>
      <c r="BI17" s="27" t="n">
        <v>0</v>
      </c>
      <c r="BJ17" s="28" t="n">
        <v>0</v>
      </c>
      <c r="BK17" s="27" t="n">
        <v>0</v>
      </c>
      <c r="BL17" s="28" t="n">
        <v>0</v>
      </c>
      <c r="BM17" s="28" t="n">
        <v>190418.9708564942</v>
      </c>
      <c r="BN17" s="27" t="n">
        <v>0</v>
      </c>
      <c r="BO17" s="27" t="n">
        <v>5593927.335636251</v>
      </c>
    </row>
    <row r="18">
      <c r="A18" s="26" t="n">
        <v>2041</v>
      </c>
      <c r="B18" s="26" t="n">
        <v>79</v>
      </c>
      <c r="C18" s="26" t="n">
        <v>80</v>
      </c>
      <c r="D18" s="27" t="n">
        <v>0</v>
      </c>
      <c r="E18" s="27" t="n">
        <v>56825.21752690854</v>
      </c>
      <c r="F18" s="27" t="n">
        <v>47624.45415678398</v>
      </c>
      <c r="G18" s="27" t="n">
        <v>4512</v>
      </c>
      <c r="H18" s="27" t="n">
        <v>4665.280073298639</v>
      </c>
      <c r="I18" s="27" t="n">
        <v>27943.58107450407</v>
      </c>
      <c r="J18" s="27" t="n">
        <v>8233.508731827931</v>
      </c>
      <c r="K18" s="27" t="n">
        <v>72697.20510300249</v>
      </c>
      <c r="L18" s="27" t="n">
        <v>0</v>
      </c>
      <c r="M18" s="27" t="n">
        <v>4326.267462854397</v>
      </c>
      <c r="N18" s="28" t="n">
        <v>226827.51412918</v>
      </c>
      <c r="O18" s="27" t="n">
        <v>0</v>
      </c>
      <c r="P18" s="28" t="n">
        <v>208200.4896550062</v>
      </c>
      <c r="Q18" s="27" t="n">
        <v>162624.0042459979</v>
      </c>
      <c r="R18" s="27" t="n">
        <v>21813.30474193782</v>
      </c>
      <c r="S18" s="27" t="n">
        <v>491.9911466335784</v>
      </c>
      <c r="T18" s="27" t="n">
        <v>0</v>
      </c>
      <c r="U18" s="27" t="n">
        <v>0</v>
      </c>
      <c r="V18" s="27" t="n">
        <v>217821.2182936738</v>
      </c>
      <c r="W18" s="27" t="n">
        <v>58818.28513782122</v>
      </c>
      <c r="X18" s="27" t="n">
        <v>0</v>
      </c>
      <c r="Y18" s="27" t="n">
        <v>26069.36699696597</v>
      </c>
      <c r="Z18" s="27" t="n">
        <v>16765.49957538212</v>
      </c>
      <c r="AA18" s="27" t="n">
        <v>0</v>
      </c>
      <c r="AB18" s="27" t="n">
        <v>3041.42614964603</v>
      </c>
      <c r="AC18" s="27" t="n">
        <v>12941.99241582711</v>
      </c>
      <c r="AD18" s="27" t="n">
        <v>70526.6478938392</v>
      </c>
      <c r="AE18" s="27" t="n">
        <v>48201.8829714597</v>
      </c>
      <c r="AF18" s="27" t="n">
        <v>10588.9713185669</v>
      </c>
      <c r="AG18" s="27" t="n">
        <v>2664.00770572083</v>
      </c>
      <c r="AH18" s="27" t="n">
        <v>1929.109028280601</v>
      </c>
      <c r="AI18" s="27" t="n">
        <v>2478.826138106107</v>
      </c>
      <c r="AJ18" s="27" t="n">
        <v>4663.850731705053</v>
      </c>
      <c r="AK18" s="27" t="n">
        <v>36207.45416245274</v>
      </c>
      <c r="AL18" s="27" t="n">
        <v>0</v>
      </c>
      <c r="AM18" s="28" t="n">
        <v>0</v>
      </c>
      <c r="AN18" s="28" t="n">
        <v>383373.6054877869</v>
      </c>
      <c r="AO18" s="27" t="n">
        <v>22305.2958885714</v>
      </c>
      <c r="AP18" s="28" t="n">
        <v>379609.5343793924</v>
      </c>
      <c r="AQ18" s="27" t="n">
        <v>226827.51412918</v>
      </c>
      <c r="AR18" s="27" t="n">
        <v>0</v>
      </c>
      <c r="AS18" s="27" t="n">
        <v>0</v>
      </c>
      <c r="AT18" s="28" t="n">
        <v>171912.7749709545</v>
      </c>
      <c r="AU18" s="28" t="n">
        <v>-19130.75472074214</v>
      </c>
      <c r="AV18" s="27" t="n">
        <v>0</v>
      </c>
      <c r="AW18" s="27" t="n">
        <v>0</v>
      </c>
      <c r="AX18" s="28" t="n">
        <v>0</v>
      </c>
      <c r="AY18" s="27" t="n">
        <v>0</v>
      </c>
      <c r="AZ18" s="27" t="n">
        <v>28256.24203262666</v>
      </c>
      <c r="BA18" s="27" t="n">
        <v>56698.55693495447</v>
      </c>
      <c r="BB18" s="28" t="n">
        <v>84954.79896758113</v>
      </c>
      <c r="BC18" s="27" t="n">
        <v>4326.267462854397</v>
      </c>
      <c r="BD18" s="27" t="n">
        <v>86957.97600337339</v>
      </c>
      <c r="BE18" s="27" t="n">
        <v>0</v>
      </c>
      <c r="BF18" s="28" t="n">
        <v>91284.24346622778</v>
      </c>
      <c r="BG18" s="27" t="n">
        <v>0</v>
      </c>
      <c r="BH18" s="27" t="n">
        <v>0</v>
      </c>
      <c r="BI18" s="27" t="n">
        <v>0</v>
      </c>
      <c r="BJ18" s="28" t="n">
        <v>0</v>
      </c>
      <c r="BK18" s="27" t="n">
        <v>0</v>
      </c>
      <c r="BL18" s="28" t="n">
        <v>0</v>
      </c>
      <c r="BM18" s="28" t="n">
        <v>176239.0424338089</v>
      </c>
      <c r="BN18" s="27" t="n">
        <v>0</v>
      </c>
      <c r="BO18" s="27" t="n">
        <v>5554070.730377238</v>
      </c>
    </row>
    <row r="19">
      <c r="A19" s="26" t="n">
        <v>2042</v>
      </c>
      <c r="B19" s="26" t="n">
        <v>80</v>
      </c>
      <c r="C19" s="26" t="n">
        <v>81</v>
      </c>
      <c r="D19" s="27" t="n">
        <v>0</v>
      </c>
      <c r="E19" s="27" t="n">
        <v>57961.72187744672</v>
      </c>
      <c r="F19" s="27" t="n">
        <v>48576.94323991965</v>
      </c>
      <c r="G19" s="27" t="n">
        <v>4512</v>
      </c>
      <c r="H19" s="27" t="n">
        <v>4644.444683385734</v>
      </c>
      <c r="I19" s="27" t="n">
        <v>27737.68426876955</v>
      </c>
      <c r="J19" s="27" t="n">
        <v>8188.154070937491</v>
      </c>
      <c r="K19" s="27" t="n">
        <v>72141.04002237991</v>
      </c>
      <c r="L19" s="27" t="n">
        <v>0</v>
      </c>
      <c r="M19" s="27" t="n">
        <v>0</v>
      </c>
      <c r="N19" s="28" t="n">
        <v>223761.988162839</v>
      </c>
      <c r="O19" s="27" t="n">
        <v>0</v>
      </c>
      <c r="P19" s="28" t="n">
        <v>204836.6433792192</v>
      </c>
      <c r="Q19" s="27" t="n">
        <v>158348.6282620307</v>
      </c>
      <c r="R19" s="27" t="n">
        <v>20593.44250162141</v>
      </c>
      <c r="S19" s="27" t="n">
        <v>489.4586600462634</v>
      </c>
      <c r="T19" s="27" t="n">
        <v>0</v>
      </c>
      <c r="U19" s="27" t="n">
        <v>0</v>
      </c>
      <c r="V19" s="27" t="n">
        <v>217821.2182936738</v>
      </c>
      <c r="W19" s="27" t="n">
        <v>60288.74226626676</v>
      </c>
      <c r="X19" s="27" t="n">
        <v>0</v>
      </c>
      <c r="Y19" s="27" t="n">
        <v>26721.10117189012</v>
      </c>
      <c r="Z19" s="27" t="n">
        <v>17184.63706476667</v>
      </c>
      <c r="AA19" s="27" t="n">
        <v>0</v>
      </c>
      <c r="AB19" s="27" t="n">
        <v>3117.461803387181</v>
      </c>
      <c r="AC19" s="27" t="n">
        <v>13265.54222622278</v>
      </c>
      <c r="AD19" s="27" t="n">
        <v>74191.03079989871</v>
      </c>
      <c r="AE19" s="27" t="n">
        <v>50638.40380678835</v>
      </c>
      <c r="AF19" s="27" t="n">
        <v>11221.55839555585</v>
      </c>
      <c r="AG19" s="27" t="n">
        <v>2823.156011721346</v>
      </c>
      <c r="AH19" s="27" t="n">
        <v>2044.354353315458</v>
      </c>
      <c r="AI19" s="27" t="n">
        <v>2521.088207859336</v>
      </c>
      <c r="AJ19" s="27" t="n">
        <v>4942.47002465837</v>
      </c>
      <c r="AK19" s="27" t="n">
        <v>37112.64051651405</v>
      </c>
      <c r="AL19" s="27" t="n">
        <v>0</v>
      </c>
      <c r="AM19" s="28" t="n">
        <v>0</v>
      </c>
      <c r="AN19" s="28" t="n">
        <v>389413.6318763533</v>
      </c>
      <c r="AO19" s="27" t="n">
        <v>21082.90116166768</v>
      </c>
      <c r="AP19" s="28" t="n">
        <v>383775.4318661308</v>
      </c>
      <c r="AQ19" s="27" t="n">
        <v>223761.988162839</v>
      </c>
      <c r="AR19" s="27" t="n">
        <v>0</v>
      </c>
      <c r="AS19" s="27" t="n">
        <v>0</v>
      </c>
      <c r="AT19" s="28" t="n">
        <v>160013.4437032918</v>
      </c>
      <c r="AU19" s="28" t="n">
        <v>0</v>
      </c>
      <c r="AV19" s="27" t="n">
        <v>0</v>
      </c>
      <c r="AW19" s="27" t="n">
        <v>0</v>
      </c>
      <c r="AX19" s="28" t="n">
        <v>0</v>
      </c>
      <c r="AY19" s="27" t="n">
        <v>0</v>
      </c>
      <c r="AZ19" s="27" t="n">
        <v>53220.99102935501</v>
      </c>
      <c r="BA19" s="27" t="n">
        <v>106792.4526739368</v>
      </c>
      <c r="BB19" s="28" t="n">
        <v>160013.4437032918</v>
      </c>
      <c r="BC19" s="27" t="n">
        <v>0</v>
      </c>
      <c r="BD19" s="27" t="n">
        <v>0</v>
      </c>
      <c r="BE19" s="27" t="n">
        <v>0</v>
      </c>
      <c r="BF19" s="28" t="n">
        <v>0</v>
      </c>
      <c r="BG19" s="27" t="n">
        <v>0</v>
      </c>
      <c r="BH19" s="27" t="n">
        <v>0</v>
      </c>
      <c r="BI19" s="27" t="n">
        <v>0</v>
      </c>
      <c r="BJ19" s="28" t="n">
        <v>0</v>
      </c>
      <c r="BK19" s="27" t="n">
        <v>0</v>
      </c>
      <c r="BL19" s="28" t="n">
        <v>0</v>
      </c>
      <c r="BM19" s="28" t="n">
        <v>160013.4437032918</v>
      </c>
      <c r="BN19" s="27" t="n">
        <v>0</v>
      </c>
      <c r="BO19" s="27" t="n">
        <v>5528156.667756692</v>
      </c>
    </row>
    <row r="20">
      <c r="A20" s="26" t="n">
        <v>2043</v>
      </c>
      <c r="B20" s="26" t="n">
        <v>81</v>
      </c>
      <c r="C20" s="26" t="n">
        <v>82</v>
      </c>
      <c r="D20" s="27" t="n">
        <v>0</v>
      </c>
      <c r="E20" s="27" t="n">
        <v>59120.95631499565</v>
      </c>
      <c r="F20" s="27" t="n">
        <v>49548.48210471805</v>
      </c>
      <c r="G20" s="27" t="n">
        <v>4512</v>
      </c>
      <c r="H20" s="27" t="n">
        <v>4625.851298809936</v>
      </c>
      <c r="I20" s="27" t="n">
        <v>27553.94311931406</v>
      </c>
      <c r="J20" s="27" t="n">
        <v>8147.478101381013</v>
      </c>
      <c r="K20" s="27" t="n">
        <v>71642.2477606005</v>
      </c>
      <c r="L20" s="27" t="n">
        <v>0</v>
      </c>
      <c r="M20" s="27" t="n">
        <v>0</v>
      </c>
      <c r="N20" s="28" t="n">
        <v>225150.9586998192</v>
      </c>
      <c r="O20" s="27" t="n">
        <v>0</v>
      </c>
      <c r="P20" s="28" t="n">
        <v>205919.4520171825</v>
      </c>
      <c r="Q20" s="27" t="n">
        <v>158501.6765976503</v>
      </c>
      <c r="R20" s="27" t="n">
        <v>20342.24802113721</v>
      </c>
      <c r="S20" s="27" t="n">
        <v>487.190804785312</v>
      </c>
      <c r="T20" s="27" t="n">
        <v>0</v>
      </c>
      <c r="U20" s="27" t="n">
        <v>0</v>
      </c>
      <c r="V20" s="27" t="n">
        <v>217821.2182936738</v>
      </c>
      <c r="W20" s="27" t="n">
        <v>61795.96082292341</v>
      </c>
      <c r="X20" s="27" t="n">
        <v>0</v>
      </c>
      <c r="Y20" s="27" t="n">
        <v>27389.12870118737</v>
      </c>
      <c r="Z20" s="27" t="n">
        <v>17614.25299138583</v>
      </c>
      <c r="AA20" s="27" t="n">
        <v>0</v>
      </c>
      <c r="AB20" s="27" t="n">
        <v>3195.39834847186</v>
      </c>
      <c r="AC20" s="27" t="n">
        <v>13597.18078187835</v>
      </c>
      <c r="AD20" s="27" t="n">
        <v>78054.27248169025</v>
      </c>
      <c r="AE20" s="27" t="n">
        <v>53206.25100395882</v>
      </c>
      <c r="AF20" s="27" t="n">
        <v>11890.01460644569</v>
      </c>
      <c r="AG20" s="27" t="n">
        <v>2991.328390621367</v>
      </c>
      <c r="AH20" s="27" t="n">
        <v>2166.134351829266</v>
      </c>
      <c r="AI20" s="27" t="n">
        <v>2563.656460150731</v>
      </c>
      <c r="AJ20" s="27" t="n">
        <v>5236.887668684373</v>
      </c>
      <c r="AK20" s="27" t="n">
        <v>38040.45652942691</v>
      </c>
      <c r="AL20" s="27" t="n">
        <v>0</v>
      </c>
      <c r="AM20" s="28" t="n">
        <v>0</v>
      </c>
      <c r="AN20" s="28" t="n">
        <v>395711.9081277144</v>
      </c>
      <c r="AO20" s="27" t="n">
        <v>20829.43882592252</v>
      </c>
      <c r="AP20" s="28" t="n">
        <v>389152.2182524495</v>
      </c>
      <c r="AQ20" s="27" t="n">
        <v>225150.9586998192</v>
      </c>
      <c r="AR20" s="27" t="n">
        <v>0</v>
      </c>
      <c r="AS20" s="27" t="n">
        <v>0</v>
      </c>
      <c r="AT20" s="28" t="n">
        <v>164001.2595526302</v>
      </c>
      <c r="AU20" s="28" t="n">
        <v>0</v>
      </c>
      <c r="AV20" s="27" t="n">
        <v>0</v>
      </c>
      <c r="AW20" s="27" t="n">
        <v>0</v>
      </c>
      <c r="AX20" s="28" t="n">
        <v>0</v>
      </c>
      <c r="AY20" s="27" t="n">
        <v>0</v>
      </c>
      <c r="AZ20" s="27" t="n">
        <v>54547.3515315257</v>
      </c>
      <c r="BA20" s="27" t="n">
        <v>109453.9080211045</v>
      </c>
      <c r="BB20" s="28" t="n">
        <v>164001.2595526302</v>
      </c>
      <c r="BC20" s="27" t="n">
        <v>0</v>
      </c>
      <c r="BD20" s="27" t="n">
        <v>0</v>
      </c>
      <c r="BE20" s="27" t="n">
        <v>0</v>
      </c>
      <c r="BF20" s="28" t="n">
        <v>0</v>
      </c>
      <c r="BG20" s="27" t="n">
        <v>0</v>
      </c>
      <c r="BH20" s="27" t="n">
        <v>0</v>
      </c>
      <c r="BI20" s="27" t="n">
        <v>0</v>
      </c>
      <c r="BJ20" s="28" t="n">
        <v>0</v>
      </c>
      <c r="BK20" s="27" t="n">
        <v>0</v>
      </c>
      <c r="BL20" s="28" t="n">
        <v>0</v>
      </c>
      <c r="BM20" s="28" t="n">
        <v>164001.2595526302</v>
      </c>
      <c r="BN20" s="27" t="n">
        <v>0</v>
      </c>
      <c r="BO20" s="27" t="n">
        <v>5495442.342032919</v>
      </c>
    </row>
    <row r="21">
      <c r="A21" s="26" t="n">
        <v>2044</v>
      </c>
      <c r="B21" s="26" t="n">
        <v>82</v>
      </c>
      <c r="C21" s="26" t="n">
        <v>83</v>
      </c>
      <c r="D21" s="27" t="n">
        <v>0</v>
      </c>
      <c r="E21" s="27" t="n">
        <v>60303.37544129556</v>
      </c>
      <c r="F21" s="27" t="n">
        <v>50539.45174681242</v>
      </c>
      <c r="G21" s="27" t="n">
        <v>4512</v>
      </c>
      <c r="H21" s="27" t="n">
        <v>4609.353895768136</v>
      </c>
      <c r="I21" s="27" t="n">
        <v>27390.91460852447</v>
      </c>
      <c r="J21" s="27" t="n">
        <v>8111.179095309204</v>
      </c>
      <c r="K21" s="27" t="n">
        <v>71197.1283562858</v>
      </c>
      <c r="L21" s="27" t="n">
        <v>0</v>
      </c>
      <c r="M21" s="27" t="n">
        <v>0</v>
      </c>
      <c r="N21" s="28" t="n">
        <v>226663.4031439956</v>
      </c>
      <c r="O21" s="27" t="n">
        <v>0</v>
      </c>
      <c r="P21" s="28" t="n">
        <v>207117.8695559779</v>
      </c>
      <c r="Q21" s="27" t="n">
        <v>158751.738628055</v>
      </c>
      <c r="R21" s="27" t="n">
        <v>20106.69925121932</v>
      </c>
      <c r="S21" s="27" t="n">
        <v>485.1704623231544</v>
      </c>
      <c r="T21" s="27" t="n">
        <v>0</v>
      </c>
      <c r="U21" s="27" t="n">
        <v>0</v>
      </c>
      <c r="V21" s="27" t="n">
        <v>217821.2182936738</v>
      </c>
      <c r="W21" s="27" t="n">
        <v>63340.8598434965</v>
      </c>
      <c r="X21" s="27" t="n">
        <v>0</v>
      </c>
      <c r="Y21" s="27" t="n">
        <v>28073.85691871705</v>
      </c>
      <c r="Z21" s="27" t="n">
        <v>18054.60931617048</v>
      </c>
      <c r="AA21" s="27" t="n">
        <v>0</v>
      </c>
      <c r="AB21" s="27" t="n">
        <v>3275.283307183656</v>
      </c>
      <c r="AC21" s="27" t="n">
        <v>13937.11030142531</v>
      </c>
      <c r="AD21" s="27" t="n">
        <v>82127.27664332779</v>
      </c>
      <c r="AE21" s="27" t="n">
        <v>55912.61398432112</v>
      </c>
      <c r="AF21" s="27" t="n">
        <v>12596.31920162294</v>
      </c>
      <c r="AG21" s="27" t="n">
        <v>3169.022788644619</v>
      </c>
      <c r="AH21" s="27" t="n">
        <v>2294.809605570241</v>
      </c>
      <c r="AI21" s="27" t="n">
        <v>2606.535650083089</v>
      </c>
      <c r="AJ21" s="27" t="n">
        <v>5547.975413085769</v>
      </c>
      <c r="AK21" s="27" t="n">
        <v>38991.46794266257</v>
      </c>
      <c r="AL21" s="27" t="n">
        <v>0</v>
      </c>
      <c r="AM21" s="28" t="n">
        <v>0</v>
      </c>
      <c r="AN21" s="28" t="n">
        <v>402280.8227231607</v>
      </c>
      <c r="AO21" s="27" t="n">
        <v>20591.86971354248</v>
      </c>
      <c r="AP21" s="28" t="n">
        <v>394798.835517986</v>
      </c>
      <c r="AQ21" s="27" t="n">
        <v>226663.4031439956</v>
      </c>
      <c r="AR21" s="27" t="n">
        <v>0</v>
      </c>
      <c r="AS21" s="27" t="n">
        <v>0</v>
      </c>
      <c r="AT21" s="28" t="n">
        <v>168135.4323739905</v>
      </c>
      <c r="AU21" s="28" t="n">
        <v>0</v>
      </c>
      <c r="AV21" s="27" t="n">
        <v>0</v>
      </c>
      <c r="AW21" s="27" t="n">
        <v>0</v>
      </c>
      <c r="AX21" s="28" t="n">
        <v>0</v>
      </c>
      <c r="AY21" s="27" t="n">
        <v>0</v>
      </c>
      <c r="AZ21" s="27" t="n">
        <v>55922.39083789424</v>
      </c>
      <c r="BA21" s="27" t="n">
        <v>112213.0415360962</v>
      </c>
      <c r="BB21" s="28" t="n">
        <v>168135.4323739905</v>
      </c>
      <c r="BC21" s="27" t="n">
        <v>0</v>
      </c>
      <c r="BD21" s="27" t="n">
        <v>0</v>
      </c>
      <c r="BE21" s="27" t="n">
        <v>0</v>
      </c>
      <c r="BF21" s="28" t="n">
        <v>0</v>
      </c>
      <c r="BG21" s="27" t="n">
        <v>0</v>
      </c>
      <c r="BH21" s="27" t="n">
        <v>0</v>
      </c>
      <c r="BI21" s="27" t="n">
        <v>0</v>
      </c>
      <c r="BJ21" s="28" t="n">
        <v>0</v>
      </c>
      <c r="BK21" s="27" t="n">
        <v>0</v>
      </c>
      <c r="BL21" s="28" t="n">
        <v>0</v>
      </c>
      <c r="BM21" s="28" t="n">
        <v>168135.4323739905</v>
      </c>
      <c r="BN21" s="27" t="n">
        <v>0</v>
      </c>
      <c r="BO21" s="27" t="n">
        <v>5455216.074459312</v>
      </c>
    </row>
    <row r="22">
      <c r="A22" s="26" t="n">
        <v>2045</v>
      </c>
      <c r="B22" s="26" t="n">
        <v>83</v>
      </c>
      <c r="C22" s="26" t="n">
        <v>84</v>
      </c>
      <c r="D22" s="27" t="n">
        <v>0</v>
      </c>
      <c r="E22" s="27" t="n">
        <v>61509.44295012148</v>
      </c>
      <c r="F22" s="27" t="n">
        <v>51550.24078174866</v>
      </c>
      <c r="G22" s="27" t="n">
        <v>4512</v>
      </c>
      <c r="H22" s="27" t="n">
        <v>4594.814545152937</v>
      </c>
      <c r="I22" s="27" t="n">
        <v>27247.23571114662</v>
      </c>
      <c r="J22" s="27" t="n">
        <v>8078.971977194579</v>
      </c>
      <c r="K22" s="27" t="n">
        <v>70802.1860484575</v>
      </c>
      <c r="L22" s="27" t="n">
        <v>0</v>
      </c>
      <c r="M22" s="27" t="n">
        <v>0</v>
      </c>
      <c r="N22" s="28" t="n">
        <v>228294.8920138218</v>
      </c>
      <c r="O22" s="27" t="n">
        <v>0</v>
      </c>
      <c r="P22" s="28" t="n">
        <v>208427.4349560231</v>
      </c>
      <c r="Q22" s="27" t="n">
        <v>159093.9814095417</v>
      </c>
      <c r="R22" s="27" t="n">
        <v>19885.61899820736</v>
      </c>
      <c r="S22" s="27" t="n">
        <v>483.3814602043048</v>
      </c>
      <c r="T22" s="27" t="n">
        <v>0</v>
      </c>
      <c r="U22" s="27" t="n">
        <v>0</v>
      </c>
      <c r="V22" s="27" t="n">
        <v>217821.2182936738</v>
      </c>
      <c r="W22" s="27" t="n">
        <v>64924.3813395839</v>
      </c>
      <c r="X22" s="27" t="n">
        <v>0</v>
      </c>
      <c r="Y22" s="27" t="n">
        <v>28775.70334168497</v>
      </c>
      <c r="Z22" s="27" t="n">
        <v>18505.97454907474</v>
      </c>
      <c r="AA22" s="27" t="n">
        <v>0</v>
      </c>
      <c r="AB22" s="27" t="n">
        <v>3357.165389863247</v>
      </c>
      <c r="AC22" s="27" t="n">
        <v>14285.53805896094</v>
      </c>
      <c r="AD22" s="27" t="n">
        <v>86421.54627354468</v>
      </c>
      <c r="AE22" s="27" t="n">
        <v>58765.07716829266</v>
      </c>
      <c r="AF22" s="27" t="n">
        <v>13342.56027585716</v>
      </c>
      <c r="AG22" s="27" t="n">
        <v>3356.764535437301</v>
      </c>
      <c r="AH22" s="27" t="n">
        <v>2430.760525661494</v>
      </c>
      <c r="AI22" s="27" t="n">
        <v>2649.730821256345</v>
      </c>
      <c r="AJ22" s="27" t="n">
        <v>5876.652947039716</v>
      </c>
      <c r="AK22" s="27" t="n">
        <v>39966.25464122913</v>
      </c>
      <c r="AL22" s="27" t="n">
        <v>0</v>
      </c>
      <c r="AM22" s="28" t="n">
        <v>0</v>
      </c>
      <c r="AN22" s="28" t="n">
        <v>409133.4005480314</v>
      </c>
      <c r="AO22" s="27" t="n">
        <v>20369.00045841167</v>
      </c>
      <c r="AP22" s="28" t="n">
        <v>400726.6976647581</v>
      </c>
      <c r="AQ22" s="27" t="n">
        <v>228294.8920138218</v>
      </c>
      <c r="AR22" s="27" t="n">
        <v>0</v>
      </c>
      <c r="AS22" s="27" t="n">
        <v>0</v>
      </c>
      <c r="AT22" s="28" t="n">
        <v>172431.8056509364</v>
      </c>
      <c r="AU22" s="28" t="n">
        <v>0</v>
      </c>
      <c r="AV22" s="27" t="n">
        <v>0</v>
      </c>
      <c r="AW22" s="27" t="n">
        <v>0</v>
      </c>
      <c r="AX22" s="28" t="n">
        <v>0</v>
      </c>
      <c r="AY22" s="27" t="n">
        <v>0</v>
      </c>
      <c r="AZ22" s="27" t="n">
        <v>57351.37854254666</v>
      </c>
      <c r="BA22" s="27" t="n">
        <v>115080.4271083897</v>
      </c>
      <c r="BB22" s="28" t="n">
        <v>172431.8056509364</v>
      </c>
      <c r="BC22" s="27" t="n">
        <v>0</v>
      </c>
      <c r="BD22" s="27" t="n">
        <v>0</v>
      </c>
      <c r="BE22" s="27" t="n">
        <v>0</v>
      </c>
      <c r="BF22" s="28" t="n">
        <v>0</v>
      </c>
      <c r="BG22" s="27" t="n">
        <v>0</v>
      </c>
      <c r="BH22" s="27" t="n">
        <v>0</v>
      </c>
      <c r="BI22" s="27" t="n">
        <v>0</v>
      </c>
      <c r="BJ22" s="28" t="n">
        <v>0</v>
      </c>
      <c r="BK22" s="27" t="n">
        <v>0</v>
      </c>
      <c r="BL22" s="28" t="n">
        <v>0</v>
      </c>
      <c r="BM22" s="28" t="n">
        <v>172431.8056509364</v>
      </c>
      <c r="BN22" s="27" t="n">
        <v>0</v>
      </c>
      <c r="BO22" s="27" t="n">
        <v>5406710.910992931</v>
      </c>
    </row>
    <row r="23">
      <c r="A23" s="26" t="n">
        <v>2046</v>
      </c>
      <c r="B23" s="26" t="n">
        <v>84</v>
      </c>
      <c r="C23" s="26" t="n">
        <v>85</v>
      </c>
      <c r="D23" s="27" t="n">
        <v>0</v>
      </c>
      <c r="E23" s="27" t="n">
        <v>62739.63180912391</v>
      </c>
      <c r="F23" s="27" t="n">
        <v>52581.24559738363</v>
      </c>
      <c r="G23" s="27" t="n">
        <v>4512</v>
      </c>
      <c r="H23" s="27" t="n">
        <v>4582.102998615078</v>
      </c>
      <c r="I23" s="27" t="n">
        <v>27121.61930372485</v>
      </c>
      <c r="J23" s="27" t="n">
        <v>8050.587474410281</v>
      </c>
      <c r="K23" s="27" t="n">
        <v>70454.11886044357</v>
      </c>
      <c r="L23" s="27" t="n">
        <v>0</v>
      </c>
      <c r="M23" s="27" t="n">
        <v>0</v>
      </c>
      <c r="N23" s="28" t="n">
        <v>230041.3060437013</v>
      </c>
      <c r="O23" s="27" t="n">
        <v>0</v>
      </c>
      <c r="P23" s="28" t="n">
        <v>209843.9894899875</v>
      </c>
      <c r="Q23" s="27" t="n">
        <v>159523.8668725765</v>
      </c>
      <c r="R23" s="27" t="n">
        <v>19677.89266183716</v>
      </c>
      <c r="S23" s="27" t="n">
        <v>481.8085237492381</v>
      </c>
      <c r="T23" s="27" t="n">
        <v>0</v>
      </c>
      <c r="U23" s="27" t="n">
        <v>0</v>
      </c>
      <c r="V23" s="27" t="n">
        <v>217821.2182936738</v>
      </c>
      <c r="W23" s="27" t="n">
        <v>66547.49087307349</v>
      </c>
      <c r="X23" s="27" t="n">
        <v>0</v>
      </c>
      <c r="Y23" s="27" t="n">
        <v>29495.09592522709</v>
      </c>
      <c r="Z23" s="27" t="n">
        <v>18968.6239128016</v>
      </c>
      <c r="AA23" s="27" t="n">
        <v>0</v>
      </c>
      <c r="AB23" s="27" t="n">
        <v>3441.094524609828</v>
      </c>
      <c r="AC23" s="27" t="n">
        <v>14642.67651043496</v>
      </c>
      <c r="AD23" s="27" t="n">
        <v>90949.21660110893</v>
      </c>
      <c r="AE23" s="27" t="n">
        <v>61771.64169506804</v>
      </c>
      <c r="AF23" s="27" t="n">
        <v>14130.94076918716</v>
      </c>
      <c r="AG23" s="27" t="n">
        <v>3555.107853790472</v>
      </c>
      <c r="AH23" s="27" t="n">
        <v>2574.388445848272</v>
      </c>
      <c r="AI23" s="27" t="n">
        <v>2693.247294561793</v>
      </c>
      <c r="AJ23" s="27" t="n">
        <v>6223.890542653181</v>
      </c>
      <c r="AK23" s="27" t="n">
        <v>0</v>
      </c>
      <c r="AL23" s="27" t="n">
        <v>0</v>
      </c>
      <c r="AM23" s="28" t="n">
        <v>0</v>
      </c>
      <c r="AN23" s="28" t="n">
        <v>375317.9257678562</v>
      </c>
      <c r="AO23" s="27" t="n">
        <v>20159.7011855864</v>
      </c>
      <c r="AP23" s="28" t="n">
        <v>365982.5310282155</v>
      </c>
      <c r="AQ23" s="27" t="n">
        <v>230041.3060437013</v>
      </c>
      <c r="AR23" s="27" t="n">
        <v>0</v>
      </c>
      <c r="AS23" s="27" t="n">
        <v>0</v>
      </c>
      <c r="AT23" s="28" t="n">
        <v>135941.2249845142</v>
      </c>
      <c r="AU23" s="28" t="n">
        <v>0</v>
      </c>
      <c r="AV23" s="27" t="n">
        <v>0</v>
      </c>
      <c r="AW23" s="27" t="n">
        <v>0</v>
      </c>
      <c r="AX23" s="28" t="n">
        <v>0</v>
      </c>
      <c r="AY23" s="27" t="n">
        <v>0</v>
      </c>
      <c r="AZ23" s="27" t="n">
        <v>45214.49290745763</v>
      </c>
      <c r="BA23" s="27" t="n">
        <v>90726.73207705656</v>
      </c>
      <c r="BB23" s="28" t="n">
        <v>135941.2249845142</v>
      </c>
      <c r="BC23" s="27" t="n">
        <v>0</v>
      </c>
      <c r="BD23" s="27" t="n">
        <v>0</v>
      </c>
      <c r="BE23" s="27" t="n">
        <v>0</v>
      </c>
      <c r="BF23" s="28" t="n">
        <v>0</v>
      </c>
      <c r="BG23" s="27" t="n">
        <v>0</v>
      </c>
      <c r="BH23" s="27" t="n">
        <v>0</v>
      </c>
      <c r="BI23" s="27" t="n">
        <v>0</v>
      </c>
      <c r="BJ23" s="28" t="n">
        <v>0</v>
      </c>
      <c r="BK23" s="27" t="n">
        <v>0</v>
      </c>
      <c r="BL23" s="28" t="n">
        <v>0</v>
      </c>
      <c r="BM23" s="28" t="n">
        <v>135941.2249845142</v>
      </c>
      <c r="BN23" s="27" t="n">
        <v>0</v>
      </c>
      <c r="BO23" s="27" t="n">
        <v>5392523.824856425</v>
      </c>
    </row>
    <row r="24">
      <c r="A24" s="26" t="n">
        <v>2047</v>
      </c>
      <c r="B24" s="26" t="n">
        <v>85</v>
      </c>
      <c r="C24" s="26" t="n">
        <v>86</v>
      </c>
      <c r="D24" s="27" t="n">
        <v>0</v>
      </c>
      <c r="E24" s="27" t="n">
        <v>63994.42444530639</v>
      </c>
      <c r="F24" s="27" t="n">
        <v>53632.87050933131</v>
      </c>
      <c r="G24" s="27" t="n">
        <v>4512</v>
      </c>
      <c r="H24" s="27" t="n">
        <v>3652.275801511604</v>
      </c>
      <c r="I24" s="27" t="n">
        <v>17933.00077683533</v>
      </c>
      <c r="J24" s="27" t="n">
        <v>8025.771309118865</v>
      </c>
      <c r="K24" s="27" t="n">
        <v>70149.80869035139</v>
      </c>
      <c r="L24" s="27" t="n">
        <v>0</v>
      </c>
      <c r="M24" s="27" t="n">
        <v>0</v>
      </c>
      <c r="N24" s="28" t="n">
        <v>221900.1515324549</v>
      </c>
      <c r="O24" s="27" t="n">
        <v>0</v>
      </c>
      <c r="P24" s="28" t="n">
        <v>201605.7232830391</v>
      </c>
      <c r="Q24" s="27" t="n">
        <v>150279.1982132799</v>
      </c>
      <c r="R24" s="27" t="n">
        <v>17335.71839578932</v>
      </c>
      <c r="S24" s="27" t="n">
        <v>446.8717986683122</v>
      </c>
      <c r="T24" s="27" t="n">
        <v>0</v>
      </c>
      <c r="U24" s="27" t="n">
        <v>0</v>
      </c>
      <c r="V24" s="27" t="n">
        <v>217821.2182936738</v>
      </c>
      <c r="W24" s="27" t="n">
        <v>68211.17814490033</v>
      </c>
      <c r="X24" s="27" t="n">
        <v>0</v>
      </c>
      <c r="Y24" s="27" t="n">
        <v>30232.47332335778</v>
      </c>
      <c r="Z24" s="27" t="n">
        <v>19442.83951062164</v>
      </c>
      <c r="AA24" s="27" t="n">
        <v>0</v>
      </c>
      <c r="AB24" s="27" t="n">
        <v>3527.121887725074</v>
      </c>
      <c r="AC24" s="27" t="n">
        <v>15008.74342319584</v>
      </c>
      <c r="AD24" s="27" t="n">
        <v>95723.08986272071</v>
      </c>
      <c r="AE24" s="27" t="n">
        <v>64940.74833684758</v>
      </c>
      <c r="AF24" s="27" t="n">
        <v>14963.78479743583</v>
      </c>
      <c r="AG24" s="27" t="n">
        <v>3764.637452291481</v>
      </c>
      <c r="AH24" s="27" t="n">
        <v>2726.116775797279</v>
      </c>
      <c r="AI24" s="27" t="n">
        <v>2737.090657147212</v>
      </c>
      <c r="AJ24" s="27" t="n">
        <v>6590.711843201328</v>
      </c>
      <c r="AK24" s="27" t="n">
        <v>0</v>
      </c>
      <c r="AL24" s="27" t="n">
        <v>0</v>
      </c>
      <c r="AM24" s="28" t="n">
        <v>0</v>
      </c>
      <c r="AN24" s="28" t="n">
        <v>381755.4863012948</v>
      </c>
      <c r="AO24" s="27" t="n">
        <v>17782.59019445763</v>
      </c>
      <c r="AP24" s="28" t="n">
        <v>369305.6031723946</v>
      </c>
      <c r="AQ24" s="27" t="n">
        <v>221900.1515324549</v>
      </c>
      <c r="AR24" s="27" t="n">
        <v>0</v>
      </c>
      <c r="AS24" s="27" t="n">
        <v>0</v>
      </c>
      <c r="AT24" s="28" t="n">
        <v>147405.4516399397</v>
      </c>
      <c r="AU24" s="28" t="n">
        <v>0</v>
      </c>
      <c r="AV24" s="27" t="n">
        <v>0</v>
      </c>
      <c r="AW24" s="27" t="n">
        <v>0</v>
      </c>
      <c r="AX24" s="28" t="n">
        <v>0</v>
      </c>
      <c r="AY24" s="27" t="n">
        <v>0</v>
      </c>
      <c r="AZ24" s="27" t="n">
        <v>49027.53192384337</v>
      </c>
      <c r="BA24" s="27" t="n">
        <v>98377.91971609635</v>
      </c>
      <c r="BB24" s="28" t="n">
        <v>147405.4516399397</v>
      </c>
      <c r="BC24" s="27" t="n">
        <v>0</v>
      </c>
      <c r="BD24" s="27" t="n">
        <v>0</v>
      </c>
      <c r="BE24" s="27" t="n">
        <v>0</v>
      </c>
      <c r="BF24" s="28" t="n">
        <v>0</v>
      </c>
      <c r="BG24" s="27" t="n">
        <v>0</v>
      </c>
      <c r="BH24" s="27" t="n">
        <v>0</v>
      </c>
      <c r="BI24" s="27" t="n">
        <v>0</v>
      </c>
      <c r="BJ24" s="28" t="n">
        <v>0</v>
      </c>
      <c r="BK24" s="27" t="n">
        <v>0</v>
      </c>
      <c r="BL24" s="28" t="n">
        <v>0</v>
      </c>
      <c r="BM24" s="28" t="n">
        <v>147405.4516399397</v>
      </c>
      <c r="BN24" s="27" t="n">
        <v>0</v>
      </c>
      <c r="BO24" s="27" t="n">
        <v>5363744.818074412</v>
      </c>
    </row>
    <row r="25">
      <c r="A25" s="26" t="n">
        <v>2048</v>
      </c>
      <c r="B25" s="26" t="n">
        <v>86</v>
      </c>
      <c r="C25" s="26" t="n">
        <v>87</v>
      </c>
      <c r="D25" s="27" t="n">
        <v>0</v>
      </c>
      <c r="E25" s="27" t="n">
        <v>65274.31293421252</v>
      </c>
      <c r="F25" s="27" t="n">
        <v>54705.52791951794</v>
      </c>
      <c r="G25" s="27" t="n">
        <v>4512</v>
      </c>
      <c r="H25" s="27" t="n">
        <v>3680.070121433256</v>
      </c>
      <c r="I25" s="27" t="n">
        <v>18207.66622410334</v>
      </c>
      <c r="J25" s="27" t="n">
        <v>6210.512611284746</v>
      </c>
      <c r="K25" s="27" t="n">
        <v>47890.05676605565</v>
      </c>
      <c r="L25" s="27" t="n">
        <v>0</v>
      </c>
      <c r="M25" s="27" t="n">
        <v>0</v>
      </c>
      <c r="N25" s="28" t="n">
        <v>200480.1465766074</v>
      </c>
      <c r="O25" s="27" t="n">
        <v>0</v>
      </c>
      <c r="P25" s="28" t="n">
        <v>164308.9943644842</v>
      </c>
      <c r="Q25" s="27" t="n">
        <v>111955.9387933298</v>
      </c>
      <c r="R25" s="27" t="n">
        <v>12682.53170618027</v>
      </c>
      <c r="S25" s="27" t="n">
        <v>376.9913168961097</v>
      </c>
      <c r="T25" s="27" t="n">
        <v>0</v>
      </c>
      <c r="U25" s="27" t="n">
        <v>0</v>
      </c>
      <c r="V25" s="27" t="n">
        <v>217821.2182936738</v>
      </c>
      <c r="W25" s="27" t="n">
        <v>69916.45759852283</v>
      </c>
      <c r="X25" s="27" t="n">
        <v>0</v>
      </c>
      <c r="Y25" s="27" t="n">
        <v>30988.28515644171</v>
      </c>
      <c r="Z25" s="27" t="n">
        <v>19928.91049838718</v>
      </c>
      <c r="AA25" s="27" t="n">
        <v>0</v>
      </c>
      <c r="AB25" s="27" t="n">
        <v>3615.2999349182</v>
      </c>
      <c r="AC25" s="27" t="n">
        <v>15383.96200877573</v>
      </c>
      <c r="AD25" s="27" t="n">
        <v>100756.671983078</v>
      </c>
      <c r="AE25" s="27" t="n">
        <v>68281.30167328187</v>
      </c>
      <c r="AF25" s="27" t="n">
        <v>15843.54433046617</v>
      </c>
      <c r="AG25" s="27" t="n">
        <v>3985.970205461255</v>
      </c>
      <c r="AH25" s="27" t="n">
        <v>2886.392217747805</v>
      </c>
      <c r="AI25" s="27" t="n">
        <v>2781.266751594439</v>
      </c>
      <c r="AJ25" s="27" t="n">
        <v>6978.196804526479</v>
      </c>
      <c r="AK25" s="27" t="n">
        <v>0</v>
      </c>
      <c r="AL25" s="27" t="n">
        <v>0</v>
      </c>
      <c r="AM25" s="28" t="n">
        <v>0</v>
      </c>
      <c r="AN25" s="28" t="n">
        <v>388494.3478752746</v>
      </c>
      <c r="AO25" s="27" t="n">
        <v>13059.52302307638</v>
      </c>
      <c r="AP25" s="28" t="n">
        <v>370565.5857419092</v>
      </c>
      <c r="AQ25" s="27" t="n">
        <v>200480.1465766074</v>
      </c>
      <c r="AR25" s="27" t="n">
        <v>0</v>
      </c>
      <c r="AS25" s="27" t="n">
        <v>0</v>
      </c>
      <c r="AT25" s="28" t="n">
        <v>170085.4391653018</v>
      </c>
      <c r="AU25" s="28" t="n">
        <v>0</v>
      </c>
      <c r="AV25" s="27" t="n">
        <v>0</v>
      </c>
      <c r="AW25" s="27" t="n">
        <v>0</v>
      </c>
      <c r="AX25" s="28" t="n">
        <v>0</v>
      </c>
      <c r="AY25" s="27" t="n">
        <v>0</v>
      </c>
      <c r="AZ25" s="27" t="n">
        <v>56570.96942945307</v>
      </c>
      <c r="BA25" s="27" t="n">
        <v>113514.4697358487</v>
      </c>
      <c r="BB25" s="28" t="n">
        <v>170085.4391653018</v>
      </c>
      <c r="BC25" s="27" t="n">
        <v>0</v>
      </c>
      <c r="BD25" s="27" t="n">
        <v>0</v>
      </c>
      <c r="BE25" s="27" t="n">
        <v>0</v>
      </c>
      <c r="BF25" s="28" t="n">
        <v>0</v>
      </c>
      <c r="BG25" s="27" t="n">
        <v>0</v>
      </c>
      <c r="BH25" s="27" t="n">
        <v>0</v>
      </c>
      <c r="BI25" s="27" t="n">
        <v>0</v>
      </c>
      <c r="BJ25" s="28" t="n">
        <v>0</v>
      </c>
      <c r="BK25" s="27" t="n">
        <v>0</v>
      </c>
      <c r="BL25" s="28" t="n">
        <v>0</v>
      </c>
      <c r="BM25" s="28" t="n">
        <v>170085.4391653018</v>
      </c>
      <c r="BN25" s="27" t="n">
        <v>0</v>
      </c>
      <c r="BO25" s="27" t="n">
        <v>5318074.400396144</v>
      </c>
    </row>
    <row r="26">
      <c r="A26" s="26" t="n">
        <v>2049</v>
      </c>
      <c r="B26" s="26" t="n">
        <v>87</v>
      </c>
      <c r="C26" s="26" t="n">
        <v>88</v>
      </c>
      <c r="D26" s="27" t="n">
        <v>0</v>
      </c>
      <c r="E26" s="27" t="n">
        <v>66579.79919289677</v>
      </c>
      <c r="F26" s="27" t="n">
        <v>55799.63847790829</v>
      </c>
      <c r="G26" s="27" t="n">
        <v>4512</v>
      </c>
      <c r="H26" s="27" t="n">
        <v>3708.296286986748</v>
      </c>
      <c r="I26" s="27" t="n">
        <v>18486.59920063469</v>
      </c>
      <c r="J26" s="27" t="n">
        <v>6264.774178536524</v>
      </c>
      <c r="K26" s="27" t="n">
        <v>48555.44348338096</v>
      </c>
      <c r="L26" s="27" t="n">
        <v>0</v>
      </c>
      <c r="M26" s="27" t="n">
        <v>0</v>
      </c>
      <c r="N26" s="28" t="n">
        <v>203906.550820344</v>
      </c>
      <c r="O26" s="27" t="n">
        <v>0</v>
      </c>
      <c r="P26" s="28" t="n">
        <v>167193.554525845</v>
      </c>
      <c r="Q26" s="27" t="n">
        <v>113793.4378432675</v>
      </c>
      <c r="R26" s="27" t="n">
        <v>12887.98797319242</v>
      </c>
      <c r="S26" s="27" t="n">
        <v>380.1416595897462</v>
      </c>
      <c r="T26" s="27" t="n">
        <v>0</v>
      </c>
      <c r="U26" s="27" t="n">
        <v>0</v>
      </c>
      <c r="V26" s="27" t="n">
        <v>217821.2182936738</v>
      </c>
      <c r="W26" s="27" t="n">
        <v>71664.36903848589</v>
      </c>
      <c r="X26" s="27" t="n">
        <v>0</v>
      </c>
      <c r="Y26" s="27" t="n">
        <v>31762.99228535276</v>
      </c>
      <c r="Z26" s="27" t="n">
        <v>20427.13326084686</v>
      </c>
      <c r="AA26" s="27" t="n">
        <v>0</v>
      </c>
      <c r="AB26" s="27" t="n">
        <v>3705.682433291155</v>
      </c>
      <c r="AC26" s="27" t="n">
        <v>15768.56105899512</v>
      </c>
      <c r="AD26" s="27" t="n">
        <v>106064.2112722788</v>
      </c>
      <c r="AE26" s="27" t="n">
        <v>71802.69559544389</v>
      </c>
      <c r="AF26" s="27" t="n">
        <v>16772.806237291</v>
      </c>
      <c r="AG26" s="27" t="n">
        <v>4219.756926185816</v>
      </c>
      <c r="AH26" s="27" t="n">
        <v>3055.686049996626</v>
      </c>
      <c r="AI26" s="27" t="n">
        <v>2825.781665345839</v>
      </c>
      <c r="AJ26" s="27" t="n">
        <v>7387.48479801565</v>
      </c>
      <c r="AK26" s="27" t="n">
        <v>0</v>
      </c>
      <c r="AL26" s="27" t="n">
        <v>0</v>
      </c>
      <c r="AM26" s="28" t="n">
        <v>0</v>
      </c>
      <c r="AN26" s="28" t="n">
        <v>395549.7986044384</v>
      </c>
      <c r="AO26" s="27" t="n">
        <v>13268.12963278216</v>
      </c>
      <c r="AP26" s="28" t="n">
        <v>377054.935951868</v>
      </c>
      <c r="AQ26" s="27" t="n">
        <v>203906.550820344</v>
      </c>
      <c r="AR26" s="27" t="n">
        <v>0</v>
      </c>
      <c r="AS26" s="27" t="n">
        <v>0</v>
      </c>
      <c r="AT26" s="28" t="n">
        <v>173148.385131524</v>
      </c>
      <c r="AU26" s="28" t="n">
        <v>0</v>
      </c>
      <c r="AV26" s="27" t="n">
        <v>0</v>
      </c>
      <c r="AW26" s="27" t="n">
        <v>0</v>
      </c>
      <c r="AX26" s="28" t="n">
        <v>0</v>
      </c>
      <c r="AY26" s="27" t="n">
        <v>0</v>
      </c>
      <c r="AZ26" s="27" t="n">
        <v>57589.71520492667</v>
      </c>
      <c r="BA26" s="27" t="n">
        <v>115558.6699265973</v>
      </c>
      <c r="BB26" s="28" t="n">
        <v>173148.385131524</v>
      </c>
      <c r="BC26" s="27" t="n">
        <v>0</v>
      </c>
      <c r="BD26" s="27" t="n">
        <v>0</v>
      </c>
      <c r="BE26" s="27" t="n">
        <v>0</v>
      </c>
      <c r="BF26" s="28" t="n">
        <v>0</v>
      </c>
      <c r="BG26" s="27" t="n">
        <v>0</v>
      </c>
      <c r="BH26" s="27" t="n">
        <v>0</v>
      </c>
      <c r="BI26" s="27" t="n">
        <v>0</v>
      </c>
      <c r="BJ26" s="28" t="n">
        <v>0</v>
      </c>
      <c r="BK26" s="27" t="n">
        <v>0</v>
      </c>
      <c r="BL26" s="28" t="n">
        <v>0</v>
      </c>
      <c r="BM26" s="28" t="n">
        <v>173148.385131524</v>
      </c>
      <c r="BN26" s="27" t="n">
        <v>0</v>
      </c>
      <c r="BO26" s="27" t="n">
        <v>5289351.679440971</v>
      </c>
    </row>
    <row r="27">
      <c r="A27" s="26" t="n">
        <v>2050</v>
      </c>
      <c r="B27" s="26" t="n">
        <v>88</v>
      </c>
      <c r="C27" s="26" t="n">
        <v>89</v>
      </c>
      <c r="D27" s="27" t="n">
        <v>0</v>
      </c>
      <c r="E27" s="27" t="n">
        <v>67911.39517675471</v>
      </c>
      <c r="F27" s="27" t="n">
        <v>56915.63124746646</v>
      </c>
      <c r="G27" s="27" t="n">
        <v>4512</v>
      </c>
      <c r="H27" s="27" t="n">
        <v>3736.87527960966</v>
      </c>
      <c r="I27" s="27" t="n">
        <v>18769.01883937268</v>
      </c>
      <c r="J27" s="27" t="n">
        <v>6319.878818072876</v>
      </c>
      <c r="K27" s="27" t="n">
        <v>49231.16844061184</v>
      </c>
      <c r="L27" s="27" t="n">
        <v>0</v>
      </c>
      <c r="M27" s="27" t="n">
        <v>0</v>
      </c>
      <c r="N27" s="28" t="n">
        <v>207395.9678018882</v>
      </c>
      <c r="O27" s="27" t="n">
        <v>0</v>
      </c>
      <c r="P27" s="28" t="n">
        <v>170125.7996343165</v>
      </c>
      <c r="Q27" s="27" t="n">
        <v>115657.6806180874</v>
      </c>
      <c r="R27" s="27" t="n">
        <v>13096.35261481081</v>
      </c>
      <c r="S27" s="27" t="n">
        <v>383.3378180186657</v>
      </c>
      <c r="T27" s="27" t="n">
        <v>0</v>
      </c>
      <c r="U27" s="27" t="n">
        <v>0</v>
      </c>
      <c r="V27" s="27" t="n">
        <v>217821.2182936738</v>
      </c>
      <c r="W27" s="27" t="n">
        <v>73455.97826444803</v>
      </c>
      <c r="X27" s="27" t="n">
        <v>0</v>
      </c>
      <c r="Y27" s="27" t="n">
        <v>32557.06709248657</v>
      </c>
      <c r="Z27" s="27" t="n">
        <v>20937.81159236803</v>
      </c>
      <c r="AA27" s="27" t="n">
        <v>0</v>
      </c>
      <c r="AB27" s="27" t="n">
        <v>3798.324494123433</v>
      </c>
      <c r="AC27" s="27" t="n">
        <v>16162.77508547</v>
      </c>
      <c r="AD27" s="27" t="n">
        <v>111660.7392515123</v>
      </c>
      <c r="AE27" s="27" t="n">
        <v>75514.84021245147</v>
      </c>
      <c r="AF27" s="27" t="n">
        <v>17754.29971820375</v>
      </c>
      <c r="AG27" s="27" t="n">
        <v>4466.684235515823</v>
      </c>
      <c r="AH27" s="27" t="n">
        <v>3234.495480890769</v>
      </c>
      <c r="AI27" s="27" t="n">
        <v>2870.641720411252</v>
      </c>
      <c r="AJ27" s="27" t="n">
        <v>7819.777884039254</v>
      </c>
      <c r="AK27" s="27" t="n">
        <v>0</v>
      </c>
      <c r="AL27" s="27" t="n">
        <v>0</v>
      </c>
      <c r="AM27" s="28" t="n">
        <v>0</v>
      </c>
      <c r="AN27" s="28" t="n">
        <v>402937.9358096342</v>
      </c>
      <c r="AO27" s="27" t="n">
        <v>13479.69043282948</v>
      </c>
      <c r="AP27" s="28" t="n">
        <v>383860.5591499771</v>
      </c>
      <c r="AQ27" s="27" t="n">
        <v>207395.9678018882</v>
      </c>
      <c r="AR27" s="27" t="n">
        <v>0</v>
      </c>
      <c r="AS27" s="27" t="n">
        <v>0</v>
      </c>
      <c r="AT27" s="28" t="n">
        <v>176464.5913480888</v>
      </c>
      <c r="AU27" s="28" t="n">
        <v>2.91038304567337e-11</v>
      </c>
      <c r="AV27" s="27" t="n">
        <v>0</v>
      </c>
      <c r="AW27" s="27" t="n">
        <v>0</v>
      </c>
      <c r="AX27" s="28" t="n">
        <v>0</v>
      </c>
      <c r="AY27" s="27" t="n">
        <v>0</v>
      </c>
      <c r="AZ27" s="27" t="n">
        <v>58692.69616214269</v>
      </c>
      <c r="BA27" s="27" t="n">
        <v>117771.8951859461</v>
      </c>
      <c r="BB27" s="28" t="n">
        <v>176464.5913480888</v>
      </c>
      <c r="BC27" s="27" t="n">
        <v>0</v>
      </c>
      <c r="BD27" s="27" t="n">
        <v>0</v>
      </c>
      <c r="BE27" s="27" t="n">
        <v>0</v>
      </c>
      <c r="BF27" s="28" t="n">
        <v>0</v>
      </c>
      <c r="BG27" s="27" t="n">
        <v>0</v>
      </c>
      <c r="BH27" s="27" t="n">
        <v>0</v>
      </c>
      <c r="BI27" s="27" t="n">
        <v>0</v>
      </c>
      <c r="BJ27" s="28" t="n">
        <v>0</v>
      </c>
      <c r="BK27" s="27" t="n">
        <v>0</v>
      </c>
      <c r="BL27" s="28" t="n">
        <v>0</v>
      </c>
      <c r="BM27" s="28" t="n">
        <v>176464.5913480888</v>
      </c>
      <c r="BN27" s="27" t="n">
        <v>0</v>
      </c>
      <c r="BO27" s="27" t="n">
        <v>5251969.813586468</v>
      </c>
    </row>
    <row r="28">
      <c r="A28" s="26" t="n">
        <v>2051</v>
      </c>
      <c r="B28" s="26" t="n">
        <v>89</v>
      </c>
      <c r="C28" s="26" t="n">
        <v>90</v>
      </c>
      <c r="D28" s="27" t="n">
        <v>0</v>
      </c>
      <c r="E28" s="27" t="n">
        <v>69269.62308028979</v>
      </c>
      <c r="F28" s="27" t="n">
        <v>58053.9438724158</v>
      </c>
      <c r="G28" s="27" t="n">
        <v>4512</v>
      </c>
      <c r="H28" s="27" t="n">
        <v>3765.73371127155</v>
      </c>
      <c r="I28" s="27" t="n">
        <v>19054.19991457833</v>
      </c>
      <c r="J28" s="27" t="n">
        <v>6375.672265603433</v>
      </c>
      <c r="K28" s="27" t="n">
        <v>49915.33995980809</v>
      </c>
      <c r="L28" s="27" t="n">
        <v>0</v>
      </c>
      <c r="M28" s="27" t="n">
        <v>0</v>
      </c>
      <c r="N28" s="28" t="n">
        <v>210946.512803967</v>
      </c>
      <c r="O28" s="27" t="n">
        <v>0</v>
      </c>
      <c r="P28" s="28" t="n">
        <v>173100.9709810019</v>
      </c>
      <c r="Q28" s="27" t="n">
        <v>117543.4895844482</v>
      </c>
      <c r="R28" s="27" t="n">
        <v>13306.99830958692</v>
      </c>
      <c r="S28" s="27" t="n">
        <v>386.5710863757359</v>
      </c>
      <c r="T28" s="27" t="n">
        <v>0</v>
      </c>
      <c r="U28" s="27" t="n">
        <v>0</v>
      </c>
      <c r="V28" s="27" t="n">
        <v>217821.2182936738</v>
      </c>
      <c r="W28" s="27" t="n">
        <v>75292.37772105922</v>
      </c>
      <c r="X28" s="27" t="n">
        <v>0</v>
      </c>
      <c r="Y28" s="27" t="n">
        <v>33370.99376979873</v>
      </c>
      <c r="Z28" s="27" t="n">
        <v>21461.25688217723</v>
      </c>
      <c r="AA28" s="27" t="n">
        <v>0</v>
      </c>
      <c r="AB28" s="27" t="n">
        <v>3893.282606476519</v>
      </c>
      <c r="AC28" s="27" t="n">
        <v>16566.84446260675</v>
      </c>
      <c r="AD28" s="27" t="n">
        <v>117562.1137240944</v>
      </c>
      <c r="AE28" s="27" t="n">
        <v>79428.19023788518</v>
      </c>
      <c r="AF28" s="27" t="n">
        <v>18790.90414521034</v>
      </c>
      <c r="AG28" s="27" t="n">
        <v>4727.476535187818</v>
      </c>
      <c r="AH28" s="27" t="n">
        <v>3423.345077204972</v>
      </c>
      <c r="AI28" s="27" t="n">
        <v>2915.853463382433</v>
      </c>
      <c r="AJ28" s="27" t="n">
        <v>8276.344265223639</v>
      </c>
      <c r="AK28" s="27" t="n">
        <v>0</v>
      </c>
      <c r="AL28" s="27" t="n">
        <v>0</v>
      </c>
      <c r="AM28" s="28" t="n">
        <v>0</v>
      </c>
      <c r="AN28" s="28" t="n">
        <v>410675.7097388273</v>
      </c>
      <c r="AO28" s="27" t="n">
        <v>13693.56939596265</v>
      </c>
      <c r="AP28" s="28" t="n">
        <v>390998.2853649913</v>
      </c>
      <c r="AQ28" s="27" t="n">
        <v>210946.512803967</v>
      </c>
      <c r="AR28" s="27" t="n">
        <v>0</v>
      </c>
      <c r="AS28" s="27" t="n">
        <v>0</v>
      </c>
      <c r="AT28" s="28" t="n">
        <v>180051.7725610243</v>
      </c>
      <c r="AU28" s="28" t="n">
        <v>0</v>
      </c>
      <c r="AV28" s="27" t="n">
        <v>0</v>
      </c>
      <c r="AW28" s="27" t="n">
        <v>0</v>
      </c>
      <c r="AX28" s="28" t="n">
        <v>0</v>
      </c>
      <c r="AY28" s="27" t="n">
        <v>0</v>
      </c>
      <c r="AZ28" s="27" t="n">
        <v>59885.80428315978</v>
      </c>
      <c r="BA28" s="27" t="n">
        <v>120165.9682778645</v>
      </c>
      <c r="BB28" s="28" t="n">
        <v>180051.7725610243</v>
      </c>
      <c r="BC28" s="27" t="n">
        <v>0</v>
      </c>
      <c r="BD28" s="27" t="n">
        <v>0</v>
      </c>
      <c r="BE28" s="27" t="n">
        <v>0</v>
      </c>
      <c r="BF28" s="28" t="n">
        <v>0</v>
      </c>
      <c r="BG28" s="27" t="n">
        <v>0</v>
      </c>
      <c r="BH28" s="27" t="n">
        <v>0</v>
      </c>
      <c r="BI28" s="27" t="n">
        <v>0</v>
      </c>
      <c r="BJ28" s="28" t="n">
        <v>0</v>
      </c>
      <c r="BK28" s="27" t="n">
        <v>0</v>
      </c>
      <c r="BL28" s="28" t="n">
        <v>0</v>
      </c>
      <c r="BM28" s="28" t="n">
        <v>180051.7725610243</v>
      </c>
      <c r="BN28" s="27" t="n">
        <v>0</v>
      </c>
      <c r="BO28" s="27" t="n">
        <v>5205036.132977564</v>
      </c>
    </row>
    <row r="29">
      <c r="A29" s="26" t="n">
        <v>2052</v>
      </c>
      <c r="B29" s="26" t="n">
        <v>90</v>
      </c>
      <c r="C29" s="26" t="n">
        <v>91</v>
      </c>
      <c r="D29" s="27" t="n">
        <v>0</v>
      </c>
      <c r="E29" s="27" t="n">
        <v>70655.01554189561</v>
      </c>
      <c r="F29" s="27" t="n">
        <v>59215.02274986411</v>
      </c>
      <c r="G29" s="27" t="n">
        <v>4512</v>
      </c>
      <c r="H29" s="27" t="n">
        <v>3794.803500461106</v>
      </c>
      <c r="I29" s="27" t="n">
        <v>19374.38596260675</v>
      </c>
      <c r="J29" s="27" t="n">
        <v>6432.011249065398</v>
      </c>
      <c r="K29" s="27" t="n">
        <v>50606.20115608093</v>
      </c>
      <c r="L29" s="27" t="n">
        <v>0</v>
      </c>
      <c r="M29" s="27" t="n">
        <v>0</v>
      </c>
      <c r="N29" s="28" t="n">
        <v>214589.4401599739</v>
      </c>
      <c r="O29" s="27" t="n">
        <v>0</v>
      </c>
      <c r="P29" s="28" t="n">
        <v>176175.5828824479</v>
      </c>
      <c r="Q29" s="27" t="n">
        <v>119506.9518579632</v>
      </c>
      <c r="R29" s="27" t="n">
        <v>13526.64937359778</v>
      </c>
      <c r="S29" s="27" t="n">
        <v>389.8333820132183</v>
      </c>
      <c r="T29" s="27" t="n">
        <v>0</v>
      </c>
      <c r="U29" s="27" t="n">
        <v>0</v>
      </c>
      <c r="V29" s="27" t="n">
        <v>217821.2182936738</v>
      </c>
      <c r="W29" s="27" t="n">
        <v>77174.68716408568</v>
      </c>
      <c r="X29" s="27" t="n">
        <v>0</v>
      </c>
      <c r="Y29" s="27" t="n">
        <v>34205.26861404369</v>
      </c>
      <c r="Z29" s="27" t="n">
        <v>21997.78830423166</v>
      </c>
      <c r="AA29" s="27" t="n">
        <v>0</v>
      </c>
      <c r="AB29" s="27" t="n">
        <v>3990.614671638431</v>
      </c>
      <c r="AC29" s="27" t="n">
        <v>16981.01557417191</v>
      </c>
      <c r="AD29" s="27" t="n">
        <v>123785.0642153403</v>
      </c>
      <c r="AE29" s="27" t="n">
        <v>83553.77493738962</v>
      </c>
      <c r="AF29" s="27" t="n">
        <v>19885.65733321552</v>
      </c>
      <c r="AG29" s="27" t="n">
        <v>5002.898088516095</v>
      </c>
      <c r="AH29" s="27" t="n">
        <v>3622.788270994413</v>
      </c>
      <c r="AI29" s="27" t="n">
        <v>2961.423655777702</v>
      </c>
      <c r="AJ29" s="27" t="n">
        <v>8758.52192944697</v>
      </c>
      <c r="AK29" s="27" t="n">
        <v>0</v>
      </c>
      <c r="AL29" s="27" t="n">
        <v>0</v>
      </c>
      <c r="AM29" s="28" t="n">
        <v>0</v>
      </c>
      <c r="AN29" s="28" t="n">
        <v>418780.9696730998</v>
      </c>
      <c r="AO29" s="27" t="n">
        <v>13916.482755611</v>
      </c>
      <c r="AP29" s="28" t="n">
        <v>398492.1838146671</v>
      </c>
      <c r="AQ29" s="27" t="n">
        <v>214589.4401599739</v>
      </c>
      <c r="AR29" s="27" t="n">
        <v>0</v>
      </c>
      <c r="AS29" s="27" t="n">
        <v>0</v>
      </c>
      <c r="AT29" s="28" t="n">
        <v>183902.7436546932</v>
      </c>
      <c r="AU29" s="28" t="n">
        <v>0</v>
      </c>
      <c r="AV29" s="27" t="n">
        <v>0</v>
      </c>
      <c r="AW29" s="27" t="n">
        <v>0</v>
      </c>
      <c r="AX29" s="28" t="n">
        <v>0</v>
      </c>
      <c r="AY29" s="27" t="n">
        <v>0</v>
      </c>
      <c r="AZ29" s="27" t="n">
        <v>61166.64977518292</v>
      </c>
      <c r="BA29" s="27" t="n">
        <v>122736.0938795103</v>
      </c>
      <c r="BB29" s="28" t="n">
        <v>183902.7436546932</v>
      </c>
      <c r="BC29" s="27" t="n">
        <v>0</v>
      </c>
      <c r="BD29" s="27" t="n">
        <v>0</v>
      </c>
      <c r="BE29" s="27" t="n">
        <v>0</v>
      </c>
      <c r="BF29" s="28" t="n">
        <v>0</v>
      </c>
      <c r="BG29" s="27" t="n">
        <v>0</v>
      </c>
      <c r="BH29" s="27" t="n">
        <v>0</v>
      </c>
      <c r="BI29" s="27" t="n">
        <v>0</v>
      </c>
      <c r="BJ29" s="28" t="n">
        <v>0</v>
      </c>
      <c r="BK29" s="27" t="n">
        <v>0</v>
      </c>
      <c r="BL29" s="28" t="n">
        <v>0</v>
      </c>
      <c r="BM29" s="28" t="n">
        <v>183902.7436546932</v>
      </c>
      <c r="BN29" s="27" t="n">
        <v>0</v>
      </c>
      <c r="BO29" s="27" t="n">
        <v>5147612.940051354</v>
      </c>
    </row>
    <row r="30">
      <c r="A30" s="26" t="n">
        <v>2053</v>
      </c>
      <c r="B30" s="26" t="n">
        <v>91</v>
      </c>
      <c r="C30" s="26" t="n">
        <v>92</v>
      </c>
      <c r="D30" s="27" t="n">
        <v>0</v>
      </c>
      <c r="E30" s="27" t="n">
        <v>72068.11585273351</v>
      </c>
      <c r="F30" s="27" t="n">
        <v>60399.32320486139</v>
      </c>
      <c r="G30" s="27" t="n">
        <v>4512</v>
      </c>
      <c r="H30" s="27" t="n">
        <v>3827.36946832366</v>
      </c>
      <c r="I30" s="27" t="n">
        <v>19733.08029238464</v>
      </c>
      <c r="J30" s="27" t="n">
        <v>6495.265644370618</v>
      </c>
      <c r="K30" s="27" t="n">
        <v>51381.86313158642</v>
      </c>
      <c r="L30" s="27" t="n">
        <v>0</v>
      </c>
      <c r="M30" s="27" t="n">
        <v>0</v>
      </c>
      <c r="N30" s="28" t="n">
        <v>218417.0175942602</v>
      </c>
      <c r="O30" s="27" t="n">
        <v>0</v>
      </c>
      <c r="P30" s="28" t="n">
        <v>179514.8289667321</v>
      </c>
      <c r="Q30" s="27" t="n">
        <v>121712.8253217577</v>
      </c>
      <c r="R30" s="27" t="n">
        <v>13775.07049226596</v>
      </c>
      <c r="S30" s="27" t="n">
        <v>393.4934814210483</v>
      </c>
      <c r="T30" s="27" t="n">
        <v>0</v>
      </c>
      <c r="U30" s="27" t="n">
        <v>0</v>
      </c>
      <c r="V30" s="27" t="n">
        <v>217821.2182936738</v>
      </c>
      <c r="W30" s="27" t="n">
        <v>79104.05434318783</v>
      </c>
      <c r="X30" s="27" t="n">
        <v>0</v>
      </c>
      <c r="Y30" s="27" t="n">
        <v>35060.40032939479</v>
      </c>
      <c r="Z30" s="27" t="n">
        <v>22547.73301183745</v>
      </c>
      <c r="AA30" s="27" t="n">
        <v>0</v>
      </c>
      <c r="AB30" s="27" t="n">
        <v>4090.380038429392</v>
      </c>
      <c r="AC30" s="27" t="n">
        <v>17405.54096352621</v>
      </c>
      <c r="AD30" s="27" t="n">
        <v>130347.23991156</v>
      </c>
      <c r="AE30" s="27" t="n">
        <v>87903.22972332206</v>
      </c>
      <c r="AF30" s="27" t="n">
        <v>21041.7642656551</v>
      </c>
      <c r="AG30" s="27" t="n">
        <v>5293.755215615492</v>
      </c>
      <c r="AH30" s="27" t="n">
        <v>3833.408949238805</v>
      </c>
      <c r="AI30" s="27" t="n">
        <v>3007.35926473554</v>
      </c>
      <c r="AJ30" s="27" t="n">
        <v>9267.722492993054</v>
      </c>
      <c r="AK30" s="27" t="n">
        <v>0</v>
      </c>
      <c r="AL30" s="27" t="n">
        <v>0</v>
      </c>
      <c r="AM30" s="28" t="n">
        <v>0</v>
      </c>
      <c r="AN30" s="28" t="n">
        <v>427272.5125484216</v>
      </c>
      <c r="AO30" s="27" t="n">
        <v>14168.56397368701</v>
      </c>
      <c r="AP30" s="28" t="n">
        <v>406380.6761927138</v>
      </c>
      <c r="AQ30" s="27" t="n">
        <v>218417.0175942602</v>
      </c>
      <c r="AR30" s="27" t="n">
        <v>0</v>
      </c>
      <c r="AS30" s="27" t="n">
        <v>0</v>
      </c>
      <c r="AT30" s="28" t="n">
        <v>187963.6585984536</v>
      </c>
      <c r="AU30" s="28" t="n">
        <v>0</v>
      </c>
      <c r="AV30" s="27" t="n">
        <v>0</v>
      </c>
      <c r="AW30" s="27" t="n">
        <v>0</v>
      </c>
      <c r="AX30" s="28" t="n">
        <v>0</v>
      </c>
      <c r="AY30" s="27" t="n">
        <v>0</v>
      </c>
      <c r="AZ30" s="27" t="n">
        <v>62517.32327355223</v>
      </c>
      <c r="BA30" s="27" t="n">
        <v>125446.3353249014</v>
      </c>
      <c r="BB30" s="28" t="n">
        <v>187963.6585984536</v>
      </c>
      <c r="BC30" s="27" t="n">
        <v>0</v>
      </c>
      <c r="BD30" s="27" t="n">
        <v>0</v>
      </c>
      <c r="BE30" s="27" t="n">
        <v>0</v>
      </c>
      <c r="BF30" s="28" t="n">
        <v>0</v>
      </c>
      <c r="BG30" s="27" t="n">
        <v>0</v>
      </c>
      <c r="BH30" s="27" t="n">
        <v>0</v>
      </c>
      <c r="BI30" s="27" t="n">
        <v>0</v>
      </c>
      <c r="BJ30" s="28" t="n">
        <v>0</v>
      </c>
      <c r="BK30" s="27" t="n">
        <v>0</v>
      </c>
      <c r="BL30" s="28" t="n">
        <v>0</v>
      </c>
      <c r="BM30" s="28" t="n">
        <v>187963.6585984536</v>
      </c>
      <c r="BN30" s="27" t="n">
        <v>0</v>
      </c>
      <c r="BO30" s="27" t="n">
        <v>5078729.098430359</v>
      </c>
    </row>
    <row r="31">
      <c r="A31" s="26" t="n">
        <v>2054</v>
      </c>
      <c r="B31" s="26" t="n">
        <v>92</v>
      </c>
      <c r="C31" s="26" t="n">
        <v>93</v>
      </c>
      <c r="D31" s="27" t="n">
        <v>0</v>
      </c>
      <c r="E31" s="27" t="n">
        <v>73509.47816978818</v>
      </c>
      <c r="F31" s="27" t="n">
        <v>61607.30966895862</v>
      </c>
      <c r="G31" s="27" t="n">
        <v>4512</v>
      </c>
      <c r="H31" s="27" t="n">
        <v>3863.778637906404</v>
      </c>
      <c r="I31" s="27" t="n">
        <v>20134.10515172157</v>
      </c>
      <c r="J31" s="27" t="n">
        <v>6566.127548158184</v>
      </c>
      <c r="K31" s="27" t="n">
        <v>52250.81277555539</v>
      </c>
      <c r="L31" s="27" t="n">
        <v>0</v>
      </c>
      <c r="M31" s="27" t="n">
        <v>0</v>
      </c>
      <c r="N31" s="28" t="n">
        <v>222443.6119520883</v>
      </c>
      <c r="O31" s="27" t="n">
        <v>0</v>
      </c>
      <c r="P31" s="28" t="n">
        <v>183143.3980469325</v>
      </c>
      <c r="Q31" s="27" t="n">
        <v>124185.3543290586</v>
      </c>
      <c r="R31" s="27" t="n">
        <v>14055.16460221517</v>
      </c>
      <c r="S31" s="27" t="n">
        <v>397.5910918784509</v>
      </c>
      <c r="T31" s="27" t="n">
        <v>0</v>
      </c>
      <c r="U31" s="27" t="n">
        <v>0</v>
      </c>
      <c r="V31" s="27" t="n">
        <v>217821.2182936738</v>
      </c>
      <c r="W31" s="27" t="n">
        <v>81081.65570176754</v>
      </c>
      <c r="X31" s="27" t="n">
        <v>0</v>
      </c>
      <c r="Y31" s="27" t="n">
        <v>35936.91033762966</v>
      </c>
      <c r="Z31" s="27" t="n">
        <v>23111.42633713338</v>
      </c>
      <c r="AA31" s="27" t="n">
        <v>0</v>
      </c>
      <c r="AB31" s="27" t="n">
        <v>4192.639539390127</v>
      </c>
      <c r="AC31" s="27" t="n">
        <v>17840.67948761436</v>
      </c>
      <c r="AD31" s="27" t="n">
        <v>137267.2602356266</v>
      </c>
      <c r="AE31" s="27" t="n">
        <v>92488.82948703549</v>
      </c>
      <c r="AF31" s="27" t="n">
        <v>22262.60629957044</v>
      </c>
      <c r="AG31" s="27" t="n">
        <v>5600.898609243886</v>
      </c>
      <c r="AH31" s="27" t="n">
        <v>4055.823130831779</v>
      </c>
      <c r="AI31" s="27" t="n">
        <v>3053.667454072144</v>
      </c>
      <c r="AJ31" s="27" t="n">
        <v>9805.435254872829</v>
      </c>
      <c r="AK31" s="27" t="n">
        <v>0</v>
      </c>
      <c r="AL31" s="27" t="n">
        <v>0</v>
      </c>
      <c r="AM31" s="28" t="n">
        <v>0</v>
      </c>
      <c r="AN31" s="28" t="n">
        <v>436170.1342310678</v>
      </c>
      <c r="AO31" s="27" t="n">
        <v>14452.75569409362</v>
      </c>
      <c r="AP31" s="28" t="n">
        <v>414685.9795875318</v>
      </c>
      <c r="AQ31" s="27" t="n">
        <v>222443.6119520883</v>
      </c>
      <c r="AR31" s="27" t="n">
        <v>0</v>
      </c>
      <c r="AS31" s="27" t="n">
        <v>0</v>
      </c>
      <c r="AT31" s="28" t="n">
        <v>192242.3676354435</v>
      </c>
      <c r="AU31" s="28" t="n">
        <v>0</v>
      </c>
      <c r="AV31" s="27" t="n">
        <v>0</v>
      </c>
      <c r="AW31" s="27" t="n">
        <v>0</v>
      </c>
      <c r="AX31" s="28" t="n">
        <v>0</v>
      </c>
      <c r="AY31" s="27" t="n">
        <v>0</v>
      </c>
      <c r="AZ31" s="27" t="n">
        <v>0</v>
      </c>
      <c r="BA31" s="27" t="n">
        <v>192242.3676354435</v>
      </c>
      <c r="BB31" s="28" t="n">
        <v>192242.3676354435</v>
      </c>
      <c r="BC31" s="27" t="n">
        <v>0</v>
      </c>
      <c r="BD31" s="27" t="n">
        <v>0</v>
      </c>
      <c r="BE31" s="27" t="n">
        <v>0</v>
      </c>
      <c r="BF31" s="28" t="n">
        <v>0</v>
      </c>
      <c r="BG31" s="27" t="n">
        <v>0</v>
      </c>
      <c r="BH31" s="27" t="n">
        <v>0</v>
      </c>
      <c r="BI31" s="27" t="n">
        <v>0</v>
      </c>
      <c r="BJ31" s="28" t="n">
        <v>0</v>
      </c>
      <c r="BK31" s="27" t="n">
        <v>0</v>
      </c>
      <c r="BL31" s="28" t="n">
        <v>0</v>
      </c>
      <c r="BM31" s="28" t="n">
        <v>192242.3676354435</v>
      </c>
      <c r="BN31" s="27" t="n">
        <v>0</v>
      </c>
      <c r="BO31" s="27" t="n">
        <v>4998447.910246454</v>
      </c>
    </row>
    <row r="32">
      <c r="A32" s="26" t="n">
        <v>2055</v>
      </c>
      <c r="B32" s="26" t="n">
        <v>93</v>
      </c>
      <c r="C32" s="26" t="n">
        <v>94</v>
      </c>
      <c r="D32" s="27" t="n">
        <v>0</v>
      </c>
      <c r="E32" s="27" t="n">
        <v>0</v>
      </c>
      <c r="F32" s="27" t="n">
        <v>73509.47816978818</v>
      </c>
      <c r="G32" s="27" t="n">
        <v>4512</v>
      </c>
      <c r="H32" s="27" t="n">
        <v>3904.409484207638</v>
      </c>
      <c r="I32" s="27" t="n">
        <v>20581.6292125399</v>
      </c>
      <c r="J32" s="27" t="n">
        <v>0</v>
      </c>
      <c r="K32" s="27" t="n">
        <v>53222.30961789274</v>
      </c>
      <c r="L32" s="27" t="n">
        <v>0</v>
      </c>
      <c r="M32" s="27" t="n">
        <v>0</v>
      </c>
      <c r="N32" s="28" t="n">
        <v>155729.8264844285</v>
      </c>
      <c r="O32" s="27" t="n">
        <v>0</v>
      </c>
      <c r="P32" s="28" t="n">
        <v>143680.4494740978</v>
      </c>
      <c r="Q32" s="27" t="n">
        <v>109264.5793761341</v>
      </c>
      <c r="R32" s="27" t="n">
        <v>14825.62244599984</v>
      </c>
      <c r="S32" s="27" t="n">
        <v>402.1695304452676</v>
      </c>
      <c r="T32" s="27" t="n">
        <v>0</v>
      </c>
      <c r="U32" s="27" t="n">
        <v>0</v>
      </c>
      <c r="V32" s="27" t="n">
        <v>217821.2182936738</v>
      </c>
      <c r="W32" s="27" t="n">
        <v>83108.6970943117</v>
      </c>
      <c r="X32" s="27" t="n">
        <v>0</v>
      </c>
      <c r="Y32" s="27" t="n">
        <v>36835.33309607039</v>
      </c>
      <c r="Z32" s="27" t="n">
        <v>23689.21199556172</v>
      </c>
      <c r="AA32" s="27" t="n">
        <v>0</v>
      </c>
      <c r="AB32" s="27" t="n">
        <v>4297.455527874879</v>
      </c>
      <c r="AC32" s="27" t="n">
        <v>18286.69647480472</v>
      </c>
      <c r="AD32" s="27" t="n">
        <v>72282.38410206417</v>
      </c>
      <c r="AE32" s="27" t="n">
        <v>48661.76188218239</v>
      </c>
      <c r="AF32" s="27" t="n">
        <v>11775.8754382497</v>
      </c>
      <c r="AG32" s="27" t="n">
        <v>2962.612888949781</v>
      </c>
      <c r="AH32" s="27" t="n">
        <v>2145.340367860186</v>
      </c>
      <c r="AI32" s="27" t="n">
        <v>1550.177787857283</v>
      </c>
      <c r="AJ32" s="27" t="n">
        <v>5186.615736964841</v>
      </c>
      <c r="AK32" s="27" t="n">
        <v>0</v>
      </c>
      <c r="AL32" s="27" t="n">
        <v>0</v>
      </c>
      <c r="AM32" s="28" t="n">
        <v>0</v>
      </c>
      <c r="AN32" s="28" t="n">
        <v>373212.2994900497</v>
      </c>
      <c r="AO32" s="27" t="n">
        <v>15227.79197644511</v>
      </c>
      <c r="AP32" s="28" t="n">
        <v>351604.7583704244</v>
      </c>
      <c r="AQ32" s="27" t="n">
        <v>155729.8264844285</v>
      </c>
      <c r="AR32" s="27" t="n">
        <v>0</v>
      </c>
      <c r="AS32" s="27" t="n">
        <v>0</v>
      </c>
      <c r="AT32" s="28" t="n">
        <v>195874.9318859959</v>
      </c>
      <c r="AU32" s="28" t="n">
        <v>0</v>
      </c>
      <c r="AV32" s="27" t="n">
        <v>0</v>
      </c>
      <c r="AW32" s="27" t="n">
        <v>0</v>
      </c>
      <c r="AX32" s="28" t="n">
        <v>0</v>
      </c>
      <c r="AY32" s="27" t="n">
        <v>0</v>
      </c>
      <c r="AZ32" s="27" t="n">
        <v>0</v>
      </c>
      <c r="BA32" s="27" t="n">
        <v>195874.9318859959</v>
      </c>
      <c r="BB32" s="28" t="n">
        <v>195874.9318859959</v>
      </c>
      <c r="BC32" s="27" t="n">
        <v>0</v>
      </c>
      <c r="BD32" s="27" t="n">
        <v>0</v>
      </c>
      <c r="BE32" s="27" t="n">
        <v>0</v>
      </c>
      <c r="BF32" s="28" t="n">
        <v>0</v>
      </c>
      <c r="BG32" s="27" t="n">
        <v>0</v>
      </c>
      <c r="BH32" s="27" t="n">
        <v>0</v>
      </c>
      <c r="BI32" s="27" t="n">
        <v>0</v>
      </c>
      <c r="BJ32" s="28" t="n">
        <v>0</v>
      </c>
      <c r="BK32" s="27" t="n">
        <v>0</v>
      </c>
      <c r="BL32" s="28" t="n">
        <v>0</v>
      </c>
      <c r="BM32" s="28" t="n">
        <v>195874.9318859959</v>
      </c>
      <c r="BN32" s="27" t="n">
        <v>0</v>
      </c>
      <c r="BO32" s="27" t="n">
        <v>4905335.808220235</v>
      </c>
    </row>
    <row r="33">
      <c r="A33" s="26" t="n">
        <v>2056</v>
      </c>
      <c r="B33" s="26" t="n">
        <v>94</v>
      </c>
      <c r="C33" s="26" t="n">
        <v>95</v>
      </c>
      <c r="D33" s="27" t="n">
        <v>0</v>
      </c>
      <c r="E33" s="27" t="n">
        <v>0</v>
      </c>
      <c r="F33" s="27" t="n">
        <v>73509.47816978818</v>
      </c>
      <c r="G33" s="27" t="n">
        <v>4512</v>
      </c>
      <c r="H33" s="27" t="n">
        <v>3949.674637036996</v>
      </c>
      <c r="I33" s="27" t="n">
        <v>21080.19734123627</v>
      </c>
      <c r="J33" s="27" t="n">
        <v>0</v>
      </c>
      <c r="K33" s="27" t="n">
        <v>54306.45241311462</v>
      </c>
      <c r="L33" s="27" t="n">
        <v>0</v>
      </c>
      <c r="M33" s="27" t="n">
        <v>0</v>
      </c>
      <c r="N33" s="28" t="n">
        <v>157357.8025611761</v>
      </c>
      <c r="O33" s="27" t="n">
        <v>0</v>
      </c>
      <c r="P33" s="28" t="n">
        <v>145296.5660808042</v>
      </c>
      <c r="Q33" s="27" t="n">
        <v>110192.3785808811</v>
      </c>
      <c r="R33" s="27" t="n">
        <v>14845.48657070919</v>
      </c>
      <c r="S33" s="27" t="n">
        <v>407.2760347655755</v>
      </c>
      <c r="T33" s="27" t="n">
        <v>0</v>
      </c>
      <c r="U33" s="27" t="n">
        <v>0</v>
      </c>
      <c r="V33" s="27" t="n">
        <v>217821.2182936738</v>
      </c>
      <c r="W33" s="27" t="n">
        <v>85186.41452166947</v>
      </c>
      <c r="X33" s="27" t="n">
        <v>0</v>
      </c>
      <c r="Y33" s="27" t="n">
        <v>37756.21642347214</v>
      </c>
      <c r="Z33" s="27" t="n">
        <v>24281.44229545075</v>
      </c>
      <c r="AA33" s="27" t="n">
        <v>0</v>
      </c>
      <c r="AB33" s="27" t="n">
        <v>4404.891916071751</v>
      </c>
      <c r="AC33" s="27" t="n">
        <v>18743.86388667484</v>
      </c>
      <c r="AD33" s="27" t="n">
        <v>76130.24335954602</v>
      </c>
      <c r="AE33" s="27" t="n">
        <v>51210.48691757073</v>
      </c>
      <c r="AF33" s="27" t="n">
        <v>12456.48088350493</v>
      </c>
      <c r="AG33" s="27" t="n">
        <v>3133.841811587082</v>
      </c>
      <c r="AH33" s="27" t="n">
        <v>2269.333725632025</v>
      </c>
      <c r="AI33" s="27" t="n">
        <v>1573.715580758969</v>
      </c>
      <c r="AJ33" s="27" t="n">
        <v>5486.38444049228</v>
      </c>
      <c r="AK33" s="27" t="n">
        <v>0</v>
      </c>
      <c r="AL33" s="27" t="n">
        <v>0</v>
      </c>
      <c r="AM33" s="28" t="n">
        <v>0</v>
      </c>
      <c r="AN33" s="28" t="n">
        <v>379137.8761748892</v>
      </c>
      <c r="AO33" s="27" t="n">
        <v>15252.76260547477</v>
      </c>
      <c r="AP33" s="28" t="n">
        <v>356634.4223568919</v>
      </c>
      <c r="AQ33" s="27" t="n">
        <v>157357.8025611761</v>
      </c>
      <c r="AR33" s="27" t="n">
        <v>0</v>
      </c>
      <c r="AS33" s="27" t="n">
        <v>0</v>
      </c>
      <c r="AT33" s="28" t="n">
        <v>199276.6197957158</v>
      </c>
      <c r="AU33" s="28" t="n">
        <v>0</v>
      </c>
      <c r="AV33" s="27" t="n">
        <v>0</v>
      </c>
      <c r="AW33" s="27" t="n">
        <v>0</v>
      </c>
      <c r="AX33" s="28" t="n">
        <v>0</v>
      </c>
      <c r="AY33" s="27" t="n">
        <v>0</v>
      </c>
      <c r="AZ33" s="27" t="n">
        <v>0</v>
      </c>
      <c r="BA33" s="27" t="n">
        <v>199276.6197957158</v>
      </c>
      <c r="BB33" s="28" t="n">
        <v>199276.6197957158</v>
      </c>
      <c r="BC33" s="27" t="n">
        <v>0</v>
      </c>
      <c r="BD33" s="27" t="n">
        <v>0</v>
      </c>
      <c r="BE33" s="27" t="n">
        <v>0</v>
      </c>
      <c r="BF33" s="28" t="n">
        <v>0</v>
      </c>
      <c r="BG33" s="27" t="n">
        <v>0</v>
      </c>
      <c r="BH33" s="27" t="n">
        <v>0</v>
      </c>
      <c r="BI33" s="27" t="n">
        <v>0</v>
      </c>
      <c r="BJ33" s="28" t="n">
        <v>0</v>
      </c>
      <c r="BK33" s="27" t="n">
        <v>0</v>
      </c>
      <c r="BL33" s="28" t="n">
        <v>0</v>
      </c>
      <c r="BM33" s="28" t="n">
        <v>199276.6197957158</v>
      </c>
      <c r="BN33" s="27" t="n">
        <v>0</v>
      </c>
      <c r="BO33" s="27" t="n">
        <v>4805659.30177631</v>
      </c>
    </row>
  </sheetData>
  <mergeCells count="7">
    <mergeCell ref="AO1:AU1"/>
    <mergeCell ref="V1:AN1"/>
    <mergeCell ref="AV1:BM1"/>
    <mergeCell ref="A1:C1"/>
    <mergeCell ref="D1:N1"/>
    <mergeCell ref="BN1:BO1"/>
    <mergeCell ref="O1:U1"/>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F38"/>
  <sheetViews>
    <sheetView showGridLines="0" workbookViewId="0">
      <selection activeCell="A1" sqref="A1"/>
    </sheetView>
  </sheetViews>
  <sheetFormatPr baseColWidth="8" defaultRowHeight="15"/>
  <cols>
    <col width="27.9" customWidth="1" min="1" max="1"/>
    <col width="9.4" customWidth="1" min="2" max="2"/>
    <col width="27.9" customWidth="1" min="3" max="3"/>
    <col width="14" customWidth="1" min="4" max="4"/>
    <col width="14" customWidth="1" min="5" max="5"/>
    <col width="14" customWidth="1" min="6" max="6"/>
  </cols>
  <sheetData>
    <row r="1" ht="18" customHeight="1">
      <c r="A1" s="9" t="inlineStr">
        <is>
          <t>BALANCE SHEET — As of 2026-07-01</t>
        </is>
      </c>
    </row>
    <row r="2" ht="18" customHeight="1">
      <c r="A2" s="13" t="inlineStr">
        <is>
          <t>ASSETS</t>
        </is>
      </c>
      <c r="B2" s="13" t="inlineStr">
        <is>
          <t>Value ($)</t>
        </is>
      </c>
      <c r="C2" s="13" t="inlineStr">
        <is>
          <t>Notes</t>
        </is>
      </c>
    </row>
    <row r="3" ht="15" customHeight="1">
      <c r="A3" s="10" t="inlineStr">
        <is>
          <t>Annuities &amp; Pension (PV)</t>
        </is>
      </c>
      <c r="B3" s="3" t="n"/>
      <c r="C3" s="4" t="n"/>
    </row>
    <row r="4" ht="30" customHeight="1">
      <c r="A4" s="12" t="inlineStr">
        <is>
          <t xml:space="preserve">  Wife Pension (PV of future income)</t>
        </is>
      </c>
      <c r="B4" s="27" t="n">
        <v>66618.91815552025</v>
      </c>
      <c r="C4" s="12" t="inlineStr">
        <is>
          <t>PV through mortality</t>
        </is>
      </c>
    </row>
    <row r="5" ht="15" customHeight="1">
      <c r="A5" s="12" t="inlineStr">
        <is>
          <t xml:space="preserve">  Wife Single Annuity (PV)</t>
        </is>
      </c>
      <c r="B5" s="27" t="n">
        <v>53198.32320054132</v>
      </c>
      <c r="C5" s="33" t="inlineStr"/>
    </row>
    <row r="6" ht="15" customHeight="1">
      <c r="A6" s="12" t="inlineStr">
        <is>
          <t xml:space="preserve">  Wife Joint Annuity (PV)</t>
        </is>
      </c>
      <c r="B6" s="27" t="n">
        <v>336263.3497205881</v>
      </c>
      <c r="C6" s="33" t="inlineStr"/>
    </row>
    <row r="7" ht="30" customHeight="1">
      <c r="A7" s="12" t="inlineStr">
        <is>
          <t xml:space="preserve">  Husband Single Annuity (PV)</t>
        </is>
      </c>
      <c r="B7" s="27" t="n">
        <v>91417.59968588264</v>
      </c>
      <c r="C7" s="33" t="inlineStr"/>
    </row>
    <row r="8" ht="30" customHeight="1">
      <c r="A8" s="12" t="inlineStr">
        <is>
          <t xml:space="preserve">  Husband Joint Annuity (PV)</t>
        </is>
      </c>
      <c r="B8" s="27" t="n">
        <v>813167.6252691793</v>
      </c>
      <c r="C8" s="33" t="inlineStr"/>
    </row>
    <row r="9" ht="30" customHeight="1">
      <c r="A9" s="11" t="inlineStr">
        <is>
          <t xml:space="preserve">  Total Annuities &amp; Pension (PV)</t>
        </is>
      </c>
      <c r="B9" s="28" t="n">
        <v>1360665.816031712</v>
      </c>
      <c r="C9" s="34" t="inlineStr"/>
    </row>
    <row r="10" ht="15" customHeight="1">
      <c r="A10" s="10" t="inlineStr">
        <is>
          <t>Pre-Tax (Tax-Deferred)</t>
        </is>
      </c>
      <c r="B10" s="3" t="n"/>
      <c r="C10" s="4" t="n"/>
    </row>
    <row r="11" ht="15" customHeight="1">
      <c r="A11" s="12" t="inlineStr">
        <is>
          <t xml:space="preserve">  Matthew's 401(k)</t>
        </is>
      </c>
      <c r="B11" s="27" t="n">
        <v>39242.525</v>
      </c>
      <c r="C11" s="12" t="inlineStr">
        <is>
          <t>Tax-deferred</t>
        </is>
      </c>
    </row>
    <row r="12" ht="15" customHeight="1">
      <c r="A12" s="12" t="inlineStr">
        <is>
          <t xml:space="preserve">  Matthew's Traditional IRA</t>
        </is>
      </c>
      <c r="B12" s="27" t="n">
        <v>1389960.8138384</v>
      </c>
      <c r="C12" s="12" t="inlineStr">
        <is>
          <t>Tax-deferred</t>
        </is>
      </c>
    </row>
    <row r="13" ht="30" customHeight="1">
      <c r="A13" s="12" t="inlineStr">
        <is>
          <t xml:space="preserve">  Patricia's Traditional IRA</t>
        </is>
      </c>
      <c r="B13" s="27" t="n">
        <v>482153.19713486</v>
      </c>
      <c r="C13" s="12" t="inlineStr">
        <is>
          <t>Tax-deferred</t>
        </is>
      </c>
    </row>
    <row r="14" ht="30" customHeight="1">
      <c r="A14" s="11" t="inlineStr">
        <is>
          <t xml:space="preserve">  Total Pre-Tax (Tax-Deferred)</t>
        </is>
      </c>
      <c r="B14" s="28" t="n">
        <v>1911356.53597326</v>
      </c>
      <c r="C14" s="34" t="inlineStr"/>
    </row>
    <row r="15" ht="15" customHeight="1">
      <c r="A15" s="10" t="inlineStr">
        <is>
          <t>Roth (Tax-Free)</t>
        </is>
      </c>
      <c r="B15" s="3" t="n"/>
      <c r="C15" s="4" t="n"/>
    </row>
    <row r="16" ht="15" customHeight="1">
      <c r="A16" s="12" t="inlineStr">
        <is>
          <t xml:space="preserve">  Matthew's Roth IRA</t>
        </is>
      </c>
      <c r="B16" s="27" t="n">
        <v>145656.825841</v>
      </c>
      <c r="C16" s="12" t="inlineStr">
        <is>
          <t>Tax-free</t>
        </is>
      </c>
    </row>
    <row r="17" ht="15" customHeight="1">
      <c r="A17" s="12" t="inlineStr">
        <is>
          <t xml:space="preserve">  Patricia's Roth IRA</t>
        </is>
      </c>
      <c r="B17" s="27" t="n">
        <v>216168.19522158</v>
      </c>
      <c r="C17" s="12" t="inlineStr">
        <is>
          <t>Tax-free</t>
        </is>
      </c>
    </row>
    <row r="18" ht="15" customHeight="1">
      <c r="A18" s="11" t="inlineStr">
        <is>
          <t xml:space="preserve">  Total Roth (Tax-Free)</t>
        </is>
      </c>
      <c r="B18" s="28" t="n">
        <v>361825.0210625801</v>
      </c>
      <c r="C18" s="34" t="inlineStr"/>
    </row>
    <row r="19" ht="15" customHeight="1">
      <c r="A19" s="10" t="inlineStr">
        <is>
          <t>Taxable / Trust</t>
        </is>
      </c>
      <c r="B19" s="3" t="n"/>
      <c r="C19" s="4" t="n"/>
    </row>
    <row r="20" ht="15" customHeight="1">
      <c r="A20" s="12" t="inlineStr">
        <is>
          <t xml:space="preserve">  Matthew's Trust</t>
        </is>
      </c>
      <c r="B20" s="27" t="n">
        <v>262813.1588045288</v>
      </c>
      <c r="C20" s="12" t="inlineStr">
        <is>
          <t>Taxable</t>
        </is>
      </c>
    </row>
    <row r="21" ht="15" customHeight="1">
      <c r="A21" s="12" t="inlineStr">
        <is>
          <t xml:space="preserve">  Patricia's Trust</t>
        </is>
      </c>
      <c r="B21" s="27" t="n">
        <v>340203.36700576</v>
      </c>
      <c r="C21" s="12" t="inlineStr">
        <is>
          <t>Taxable</t>
        </is>
      </c>
    </row>
    <row r="22" ht="15" customHeight="1">
      <c r="A22" s="11" t="inlineStr">
        <is>
          <t xml:space="preserve">  Total Taxable / Trust</t>
        </is>
      </c>
      <c r="B22" s="28" t="n">
        <v>603016.5258102887</v>
      </c>
      <c r="C22" s="34" t="inlineStr"/>
    </row>
    <row r="23" ht="15" customHeight="1">
      <c r="A23" s="10" t="inlineStr">
        <is>
          <t>Health Savings Account</t>
        </is>
      </c>
      <c r="B23" s="3" t="n"/>
      <c r="C23" s="4" t="n"/>
    </row>
    <row r="24" ht="15" customHeight="1">
      <c r="A24" s="12" t="inlineStr">
        <is>
          <t xml:space="preserve">  Matthew's HSA</t>
        </is>
      </c>
      <c r="B24" s="27" t="n">
        <v>82867.40086620001</v>
      </c>
      <c r="C24" s="12" t="inlineStr">
        <is>
          <t>Triple tax-advantaged</t>
        </is>
      </c>
    </row>
    <row r="25" ht="30" customHeight="1">
      <c r="A25" s="11" t="inlineStr">
        <is>
          <t xml:space="preserve">  Total Health Savings Account</t>
        </is>
      </c>
      <c r="B25" s="28" t="n">
        <v>82867.40086620001</v>
      </c>
      <c r="C25" s="34" t="inlineStr"/>
    </row>
    <row r="26" ht="15" customHeight="1">
      <c r="A26" s="10" t="inlineStr">
        <is>
          <t>Other Assets</t>
        </is>
      </c>
      <c r="B26" s="3" t="n"/>
      <c r="C26" s="4" t="n"/>
    </row>
    <row r="27" ht="30" customHeight="1">
      <c r="A27" s="12" t="inlineStr">
        <is>
          <t xml:space="preserve">  Primary Residence</t>
        </is>
      </c>
      <c r="B27" s="27" t="n">
        <v>1352390</v>
      </c>
      <c r="C27" s="12" t="inlineStr">
        <is>
          <t>Gross home value; mortgage shown in Liabilities</t>
        </is>
      </c>
    </row>
    <row r="28" ht="15" customHeight="1">
      <c r="A28" s="12" t="inlineStr">
        <is>
          <t xml:space="preserve">  Startup Equity</t>
        </is>
      </c>
      <c r="B28" s="27" t="n">
        <v>66000</v>
      </c>
      <c r="C28" s="12" t="inlineStr">
        <is>
          <t>Illiquid</t>
        </is>
      </c>
    </row>
    <row r="29" ht="15" customHeight="1">
      <c r="A29" s="12" t="inlineStr">
        <is>
          <t xml:space="preserve">  Autos</t>
        </is>
      </c>
      <c r="B29" s="27" t="n">
        <v>46654.28571428572</v>
      </c>
      <c r="C29" s="12" t="inlineStr">
        <is>
          <t>Depreciated Y0 value</t>
        </is>
      </c>
    </row>
    <row r="30" ht="15" customHeight="1">
      <c r="A30" s="12" t="inlineStr">
        <is>
          <t xml:space="preserve">  Cash (Checking Accounts)</t>
        </is>
      </c>
      <c r="B30" s="27" t="n">
        <v>20000</v>
      </c>
      <c r="C30" s="12" t="inlineStr">
        <is>
          <t>Sum of _Checking positions</t>
        </is>
      </c>
    </row>
    <row r="31" ht="30" customHeight="1">
      <c r="A31" s="12" t="inlineStr">
        <is>
          <t xml:space="preserve">  Note Receivable</t>
        </is>
      </c>
      <c r="B31" s="27" t="n">
        <v>414971.34</v>
      </c>
      <c r="C31" s="12" t="inlineStr">
        <is>
          <t>Projected balance through 2033</t>
        </is>
      </c>
    </row>
    <row r="32" ht="15" customHeight="1">
      <c r="A32" s="11" t="inlineStr">
        <is>
          <t xml:space="preserve">  Total Other Assets</t>
        </is>
      </c>
      <c r="B32" s="28" t="n">
        <v>1900015.625714286</v>
      </c>
      <c r="C32" s="34" t="inlineStr"/>
    </row>
    <row r="33"/>
    <row r="34" ht="15" customHeight="1">
      <c r="A34" s="13" t="inlineStr">
        <is>
          <t>LIABILITIES</t>
        </is>
      </c>
    </row>
    <row r="35" ht="45" customHeight="1">
      <c r="A35" s="12" t="inlineStr">
        <is>
          <t xml:space="preserve">  Mortgage</t>
        </is>
      </c>
      <c r="B35" s="27" t="n">
        <v>290769.3400000001</v>
      </c>
      <c r="C35" s="12" t="inlineStr">
        <is>
          <t>Offsets Primary Residence gross value; not double-counted as Home Equity</t>
        </is>
      </c>
    </row>
    <row r="36" ht="15" customHeight="1">
      <c r="A36" s="11" t="inlineStr">
        <is>
          <t xml:space="preserve">  Total Liabilities</t>
        </is>
      </c>
      <c r="B36" s="28" t="n">
        <v>290769.3400000001</v>
      </c>
      <c r="C36" s="34" t="inlineStr"/>
    </row>
    <row r="37"/>
    <row r="38" ht="15" customHeight="1">
      <c r="A38" s="35" t="inlineStr">
        <is>
          <t>NET WORTH</t>
        </is>
      </c>
      <c r="B38" s="36" t="n">
        <v>5928977.585458327</v>
      </c>
    </row>
  </sheetData>
  <mergeCells count="7">
    <mergeCell ref="A10:C10"/>
    <mergeCell ref="A19:C19"/>
    <mergeCell ref="A23:C23"/>
    <mergeCell ref="A1:F1"/>
    <mergeCell ref="A3:C3"/>
    <mergeCell ref="A15:C15"/>
    <mergeCell ref="A26:C26"/>
  </mergeCell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N2"/>
  <sheetViews>
    <sheetView showGridLines="0" workbookViewId="0">
      <selection activeCell="A1" sqref="A1"/>
    </sheetView>
  </sheetViews>
  <sheetFormatPr baseColWidth="8" defaultRowHeight="15"/>
  <cols>
    <col width="8.4" customWidth="1" min="1" max="1"/>
    <col width="8.4" customWidth="1" min="2" max="2"/>
    <col width="8.4" customWidth="1" min="3" max="3"/>
    <col width="8.4" customWidth="1" min="4" max="4"/>
    <col width="8.4" customWidth="1" min="5" max="5"/>
    <col width="8.4" customWidth="1" min="6" max="6"/>
    <col width="8.4" customWidth="1" min="7" max="7"/>
    <col width="8.4" customWidth="1" min="8" max="8"/>
    <col width="8.4" customWidth="1" min="9" max="9"/>
    <col width="8.4" customWidth="1" min="10" max="10"/>
    <col width="8.4" customWidth="1" min="11" max="11"/>
    <col width="8.4" customWidth="1" min="12" max="12"/>
    <col width="8.4" customWidth="1" min="13" max="13"/>
    <col width="8.4" customWidth="1" min="14" max="14"/>
  </cols>
  <sheetData>
    <row r="1" ht="18" customHeight="1">
      <c r="A1" s="37" t="inlineStr">
        <is>
          <t>CHARTS DASHBOARD — Matthew &amp; Patricia  ·  2026–2056</t>
        </is>
      </c>
    </row>
    <row r="2" ht="36" customHeight="1">
      <c r="A2" s="38" t="inlineStr">
        <is>
          <t>Chart source data is stored on a hidden helper sheet. Use this page and the app explorer for visuals; use detailed result sheets for tabular audits.</t>
        </is>
      </c>
    </row>
  </sheetData>
  <mergeCells count="2">
    <mergeCell ref="A2:N2"/>
    <mergeCell ref="A1:N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tabColor rgb="002E75B6"/>
    <outlinePr summaryBelow="1" summaryRight="1"/>
    <pageSetUpPr/>
  </sheetPr>
  <dimension ref="A1:N38"/>
  <sheetViews>
    <sheetView showGridLines="0" workbookViewId="0">
      <selection activeCell="A1" sqref="A1"/>
    </sheetView>
  </sheetViews>
  <sheetFormatPr baseColWidth="8" defaultRowHeight="15"/>
  <cols>
    <col width="9.4" customWidth="1" min="1" max="1"/>
    <col width="9.4" customWidth="1" min="2" max="2"/>
    <col width="9.4" customWidth="1" min="3" max="3"/>
    <col width="8" customWidth="1" min="4" max="4"/>
    <col width="9.4" customWidth="1" min="5" max="5"/>
    <col width="9.4" customWidth="1" min="6" max="6"/>
    <col width="9.4" customWidth="1" min="7" max="7"/>
    <col width="9.4" customWidth="1" min="8" max="8"/>
    <col width="9.4" customWidth="1" min="9" max="9"/>
    <col width="9.4" customWidth="1" min="10" max="10"/>
    <col width="9.4" customWidth="1" min="11" max="11"/>
    <col width="9.4" customWidth="1" min="12" max="12"/>
    <col width="5.5" customWidth="1" min="13" max="13"/>
    <col width="5.5" customWidth="1" min="14" max="14"/>
  </cols>
  <sheetData>
    <row r="1" ht="18" customHeight="1">
      <c r="A1" s="9" t="inlineStr">
        <is>
          <t>LIFETIME TAX PROJECTION</t>
        </is>
      </c>
    </row>
    <row r="2" ht="54" customHeight="1">
      <c r="A2" s="39" t="inlineStr">
        <is>
          <t>Year</t>
        </is>
      </c>
      <c r="B2" s="39" t="inlineStr">
        <is>
          <t>H Age</t>
        </is>
      </c>
      <c r="C2" s="39" t="inlineStr">
        <is>
          <t>W Age</t>
        </is>
      </c>
      <c r="D2" s="39" t="inlineStr">
        <is>
          <t>Filing</t>
        </is>
      </c>
      <c r="E2" s="39" t="inlineStr">
        <is>
          <t>AGI</t>
        </is>
      </c>
      <c r="F2" s="39" t="inlineStr">
        <is>
          <t>Taxable Income</t>
        </is>
      </c>
      <c r="G2" s="39" t="inlineStr">
        <is>
          <t>Fed Tax</t>
        </is>
      </c>
      <c r="H2" s="39" t="inlineStr">
        <is>
          <t>State Tax</t>
        </is>
      </c>
      <c r="I2" s="39" t="inlineStr">
        <is>
          <t>NIIT</t>
        </is>
      </c>
      <c r="J2" s="39" t="inlineStr">
        <is>
          <t>Payroll Tax</t>
        </is>
      </c>
      <c r="K2" s="39" t="inlineStr">
        <is>
          <t>IRMAA</t>
        </is>
      </c>
      <c r="L2" s="39" t="inlineStr">
        <is>
          <t>Total Tax</t>
        </is>
      </c>
      <c r="M2" s="39" t="inlineStr">
        <is>
          <t>Effective Rate</t>
        </is>
      </c>
      <c r="N2" s="39" t="inlineStr">
        <is>
          <t>Marginal Rate</t>
        </is>
      </c>
    </row>
    <row r="3" ht="15" customHeight="1">
      <c r="A3" s="26" t="n">
        <v>2026</v>
      </c>
      <c r="B3" s="40" t="n">
        <v>64</v>
      </c>
      <c r="C3" s="40" t="n">
        <v>65</v>
      </c>
      <c r="D3" s="41" t="inlineStr">
        <is>
          <t>MFJ</t>
        </is>
      </c>
      <c r="E3" s="27" t="n">
        <v>322202.71581734</v>
      </c>
      <c r="F3" s="27" t="n">
        <v>244548.4090974684</v>
      </c>
      <c r="G3" s="27" t="n">
        <v>44099.49818339241</v>
      </c>
      <c r="H3" s="27" t="n">
        <v>15725.69043295833</v>
      </c>
      <c r="I3" s="27" t="n">
        <v>0</v>
      </c>
      <c r="J3" s="27" t="n">
        <v>9180</v>
      </c>
      <c r="K3" s="27" t="n">
        <v>2725.2</v>
      </c>
      <c r="L3" s="27" t="n">
        <v>71730.38861635074</v>
      </c>
      <c r="M3" s="29" t="n">
        <v>0.2226250279560506</v>
      </c>
      <c r="N3" s="29" t="n">
        <v>0.24</v>
      </c>
    </row>
    <row r="4" ht="15" customHeight="1">
      <c r="A4" s="26" t="n">
        <v>2027</v>
      </c>
      <c r="B4" s="40" t="n">
        <v>65</v>
      </c>
      <c r="C4" s="40" t="n">
        <v>66</v>
      </c>
      <c r="D4" s="41" t="inlineStr">
        <is>
          <t>MFJ</t>
        </is>
      </c>
      <c r="E4" s="27" t="n">
        <v>215050.68</v>
      </c>
      <c r="F4" s="27" t="n">
        <v>172412.4408</v>
      </c>
      <c r="G4" s="27" t="n">
        <v>27347.78817599999</v>
      </c>
      <c r="H4" s="27" t="n">
        <v>2170.570616084357</v>
      </c>
      <c r="I4" s="27" t="n">
        <v>0</v>
      </c>
      <c r="J4" s="27" t="n">
        <v>0</v>
      </c>
      <c r="K4" s="27" t="n">
        <v>0</v>
      </c>
      <c r="L4" s="27" t="n">
        <v>32405.86562255173</v>
      </c>
      <c r="M4" s="29" t="n">
        <v>0.1506894357299951</v>
      </c>
      <c r="N4" s="29" t="n">
        <v>0.22</v>
      </c>
    </row>
    <row r="5" ht="15" customHeight="1">
      <c r="A5" s="26" t="n">
        <v>2028</v>
      </c>
      <c r="B5" s="40" t="n">
        <v>66</v>
      </c>
      <c r="C5" s="40" t="n">
        <v>67</v>
      </c>
      <c r="D5" s="41" t="inlineStr">
        <is>
          <t>MFJ</t>
        </is>
      </c>
      <c r="E5" s="27" t="n">
        <v>219351.6936</v>
      </c>
      <c r="F5" s="27" t="n">
        <v>176280.689616</v>
      </c>
      <c r="G5" s="27" t="n">
        <v>27987.14393952</v>
      </c>
      <c r="H5" s="27" t="n">
        <v>1678.271874382898</v>
      </c>
      <c r="I5" s="27" t="n">
        <v>0</v>
      </c>
      <c r="J5" s="27" t="n">
        <v>0</v>
      </c>
      <c r="K5" s="27" t="n">
        <v>5450.4</v>
      </c>
      <c r="L5" s="27" t="n">
        <v>37707.45910581735</v>
      </c>
      <c r="M5" s="29" t="n">
        <v>0.1719041165671554</v>
      </c>
      <c r="N5" s="29" t="n">
        <v>0.22</v>
      </c>
    </row>
    <row r="6" ht="15" customHeight="1">
      <c r="A6" s="26" t="n">
        <v>2029</v>
      </c>
      <c r="B6" s="40" t="n">
        <v>67</v>
      </c>
      <c r="C6" s="40" t="n">
        <v>68</v>
      </c>
      <c r="D6" s="41" t="inlineStr">
        <is>
          <t>MFJ</t>
        </is>
      </c>
      <c r="E6" s="27" t="n">
        <v>220819.7327319301</v>
      </c>
      <c r="F6" s="27" t="n">
        <v>184662.8036826252</v>
      </c>
      <c r="G6" s="27" t="n">
        <v>29615.31687865754</v>
      </c>
      <c r="H6" s="27" t="n">
        <v>1716.343786475615</v>
      </c>
      <c r="I6" s="27" t="n">
        <v>0</v>
      </c>
      <c r="J6" s="27" t="n">
        <v>0</v>
      </c>
      <c r="K6" s="27" t="n">
        <v>0</v>
      </c>
      <c r="L6" s="27" t="n">
        <v>31845.63077851632</v>
      </c>
      <c r="M6" s="29" t="n">
        <v>0.1442155118318894</v>
      </c>
      <c r="N6" s="29" t="n">
        <v>0.22</v>
      </c>
    </row>
    <row r="7" ht="15" customHeight="1">
      <c r="A7" s="26" t="n">
        <v>2030</v>
      </c>
      <c r="B7" s="40" t="n">
        <v>68</v>
      </c>
      <c r="C7" s="40" t="n">
        <v>69</v>
      </c>
      <c r="D7" s="41" t="inlineStr">
        <is>
          <t>MFJ</t>
        </is>
      </c>
      <c r="E7" s="27" t="n">
        <v>225306.1969591854</v>
      </c>
      <c r="F7" s="27" t="n">
        <v>188650.7142929453</v>
      </c>
      <c r="G7" s="27" t="n">
        <v>30272.44721429758</v>
      </c>
      <c r="H7" s="27" t="n">
        <v>1454.191893856442</v>
      </c>
      <c r="I7" s="27" t="n">
        <v>0</v>
      </c>
      <c r="J7" s="27" t="n">
        <v>0</v>
      </c>
      <c r="K7" s="27" t="n">
        <v>0</v>
      </c>
      <c r="L7" s="27" t="n">
        <v>31726.63910815402</v>
      </c>
      <c r="M7" s="29" t="n">
        <v>0.1408156523715207</v>
      </c>
      <c r="N7" s="29" t="n">
        <v>0.22</v>
      </c>
    </row>
    <row r="8" ht="15" customHeight="1">
      <c r="A8" s="26" t="n">
        <v>2031</v>
      </c>
      <c r="B8" s="40" t="n">
        <v>69</v>
      </c>
      <c r="C8" s="40" t="n">
        <v>70</v>
      </c>
      <c r="D8" s="41" t="inlineStr">
        <is>
          <t>MFJ</t>
        </is>
      </c>
      <c r="E8" s="27" t="n">
        <v>229881.6915994137</v>
      </c>
      <c r="F8" s="27" t="n">
        <v>192493.0992798489</v>
      </c>
      <c r="G8" s="27" t="n">
        <v>30893.15771281334</v>
      </c>
      <c r="H8" s="27" t="n">
        <v>1140.061355787559</v>
      </c>
      <c r="I8" s="27" t="n">
        <v>0</v>
      </c>
      <c r="J8" s="27" t="n">
        <v>0</v>
      </c>
      <c r="K8" s="27" t="n">
        <v>0</v>
      </c>
      <c r="L8" s="27" t="n">
        <v>32033.2190686009</v>
      </c>
      <c r="M8" s="29" t="n">
        <v>0.1393465431967554</v>
      </c>
      <c r="N8" s="29" t="n">
        <v>0.22</v>
      </c>
    </row>
    <row r="9" ht="15" customHeight="1">
      <c r="A9" s="26" t="n">
        <v>2032</v>
      </c>
      <c r="B9" s="40" t="n">
        <v>70</v>
      </c>
      <c r="C9" s="40" t="n">
        <v>71</v>
      </c>
      <c r="D9" s="41" t="inlineStr">
        <is>
          <t>MFJ</t>
        </is>
      </c>
      <c r="E9" s="27" t="n">
        <v>234547.7465254567</v>
      </c>
      <c r="F9" s="27" t="n">
        <v>196411.3823595006</v>
      </c>
      <c r="G9" s="27" t="n">
        <v>31526.07350776166</v>
      </c>
      <c r="H9" s="27" t="n">
        <v>699.8239249735219</v>
      </c>
      <c r="I9" s="27" t="n">
        <v>0</v>
      </c>
      <c r="J9" s="27" t="n">
        <v>0</v>
      </c>
      <c r="K9" s="27" t="n">
        <v>0</v>
      </c>
      <c r="L9" s="27" t="n">
        <v>32225.89743273518</v>
      </c>
      <c r="M9" s="29" t="n">
        <v>0.1373958944825656</v>
      </c>
      <c r="N9" s="29" t="n">
        <v>0.22</v>
      </c>
    </row>
    <row r="10" ht="15" customHeight="1">
      <c r="A10" s="26" t="n">
        <v>2033</v>
      </c>
      <c r="B10" s="40" t="n">
        <v>71</v>
      </c>
      <c r="C10" s="40" t="n">
        <v>72</v>
      </c>
      <c r="D10" s="41" t="inlineStr">
        <is>
          <t>MFJ</t>
        </is>
      </c>
      <c r="E10" s="27" t="n">
        <v>239306.2166857054</v>
      </c>
      <c r="F10" s="27" t="n">
        <v>200407.1252364302</v>
      </c>
      <c r="G10" s="27" t="n">
        <v>32171.4483284596</v>
      </c>
      <c r="H10" s="27" t="n">
        <v>588.1244857183825</v>
      </c>
      <c r="I10" s="27" t="n">
        <v>0</v>
      </c>
      <c r="J10" s="27" t="n">
        <v>0</v>
      </c>
      <c r="K10" s="27" t="n">
        <v>0</v>
      </c>
      <c r="L10" s="27" t="n">
        <v>32759.57281417798</v>
      </c>
      <c r="M10" s="29" t="n">
        <v>0.1368939481300772</v>
      </c>
      <c r="N10" s="29" t="n">
        <v>0.22</v>
      </c>
    </row>
    <row r="11" ht="15" customHeight="1">
      <c r="A11" s="26" t="n">
        <v>2034</v>
      </c>
      <c r="B11" s="40" t="n">
        <v>72</v>
      </c>
      <c r="C11" s="40" t="n">
        <v>73</v>
      </c>
      <c r="D11" s="41" t="inlineStr">
        <is>
          <t>MFJ</t>
        </is>
      </c>
      <c r="E11" s="27" t="n">
        <v>244158.9925338892</v>
      </c>
      <c r="F11" s="27" t="n">
        <v>204481.9192556285</v>
      </c>
      <c r="G11" s="27" t="n">
        <v>32829.54062821211</v>
      </c>
      <c r="H11" s="27" t="n">
        <v>476.460953213454</v>
      </c>
      <c r="I11" s="27" t="n">
        <v>0</v>
      </c>
      <c r="J11" s="27" t="n">
        <v>0</v>
      </c>
      <c r="K11" s="27" t="n">
        <v>0</v>
      </c>
      <c r="L11" s="27" t="n">
        <v>33306.00158142557</v>
      </c>
      <c r="M11" s="29" t="n">
        <v>0.1364111198026127</v>
      </c>
      <c r="N11" s="29" t="n">
        <v>0.22</v>
      </c>
    </row>
    <row r="12" ht="15" customHeight="1">
      <c r="A12" s="26" t="n">
        <v>2035</v>
      </c>
      <c r="B12" s="40" t="n">
        <v>73</v>
      </c>
      <c r="C12" s="40" t="n">
        <v>74</v>
      </c>
      <c r="D12" s="41" t="inlineStr">
        <is>
          <t>MFJ</t>
        </is>
      </c>
      <c r="E12" s="27" t="n">
        <v>249108.0007915249</v>
      </c>
      <c r="F12" s="27" t="n">
        <v>208637.386047699</v>
      </c>
      <c r="G12" s="27" t="n">
        <v>33500.61369030711</v>
      </c>
      <c r="H12" s="27" t="n">
        <v>475.0310965926355</v>
      </c>
      <c r="I12" s="27" t="n">
        <v>0</v>
      </c>
      <c r="J12" s="27" t="n">
        <v>0</v>
      </c>
      <c r="K12" s="27" t="n">
        <v>0</v>
      </c>
      <c r="L12" s="27" t="n">
        <v>33975.64478689974</v>
      </c>
      <c r="M12" s="29" t="n">
        <v>0.1363892154364544</v>
      </c>
      <c r="N12" s="29" t="n">
        <v>0.22</v>
      </c>
    </row>
    <row r="13" ht="15" customHeight="1">
      <c r="A13" s="26" t="n">
        <v>2036</v>
      </c>
      <c r="B13" s="40" t="n">
        <v>74</v>
      </c>
      <c r="C13" s="40" t="n">
        <v>75</v>
      </c>
      <c r="D13" s="41" t="inlineStr">
        <is>
          <t>MFJ</t>
        </is>
      </c>
      <c r="E13" s="27" t="n">
        <v>201030.8325321935</v>
      </c>
      <c r="F13" s="27" t="n">
        <v>159750.805493491</v>
      </c>
      <c r="G13" s="27" t="n">
        <v>22497.57374357762</v>
      </c>
      <c r="H13" s="27" t="n">
        <v>509.2092867766376</v>
      </c>
      <c r="I13" s="27" t="n">
        <v>0</v>
      </c>
      <c r="J13" s="27" t="n">
        <v>0</v>
      </c>
      <c r="K13" s="27" t="n">
        <v>0</v>
      </c>
      <c r="L13" s="27" t="n">
        <v>23006.78303035425</v>
      </c>
      <c r="M13" s="29" t="n">
        <v>0.1144440518927359</v>
      </c>
      <c r="N13" s="29" t="n">
        <v>0.22</v>
      </c>
    </row>
    <row r="14" ht="15" customHeight="1">
      <c r="A14" s="26" t="n">
        <v>2037</v>
      </c>
      <c r="B14" s="40" t="n">
        <v>75</v>
      </c>
      <c r="C14" s="40" t="n">
        <v>76</v>
      </c>
      <c r="D14" s="41" t="inlineStr">
        <is>
          <t>MFJ</t>
        </is>
      </c>
      <c r="E14" s="27" t="n">
        <v>227705.3030942383</v>
      </c>
      <c r="F14" s="27" t="n">
        <v>185599.6755147618</v>
      </c>
      <c r="G14" s="27" t="n">
        <v>27931.37307895737</v>
      </c>
      <c r="H14" s="27" t="n">
        <v>505.1458054834306</v>
      </c>
      <c r="I14" s="27" t="n">
        <v>0</v>
      </c>
      <c r="J14" s="27" t="n">
        <v>0</v>
      </c>
      <c r="K14" s="27" t="n">
        <v>0</v>
      </c>
      <c r="L14" s="27" t="n">
        <v>28436.5188844408</v>
      </c>
      <c r="M14" s="29" t="n">
        <v>0.1248829891004868</v>
      </c>
      <c r="N14" s="29" t="n">
        <v>0.22</v>
      </c>
    </row>
    <row r="15" ht="15" customHeight="1">
      <c r="A15" s="26" t="n">
        <v>2038</v>
      </c>
      <c r="B15" s="40" t="n">
        <v>76</v>
      </c>
      <c r="C15" s="40" t="n">
        <v>77</v>
      </c>
      <c r="D15" s="41" t="inlineStr">
        <is>
          <t>MFJ</t>
        </is>
      </c>
      <c r="E15" s="27" t="n">
        <v>224390.4317962922</v>
      </c>
      <c r="F15" s="27" t="n">
        <v>181442.6916652262</v>
      </c>
      <c r="G15" s="27" t="n">
        <v>26758.82552137374</v>
      </c>
      <c r="H15" s="27" t="n">
        <v>501.3628549573895</v>
      </c>
      <c r="I15" s="27" t="n">
        <v>0</v>
      </c>
      <c r="J15" s="27" t="n">
        <v>0</v>
      </c>
      <c r="K15" s="27" t="n">
        <v>0</v>
      </c>
      <c r="L15" s="27" t="n">
        <v>27260.18837633113</v>
      </c>
      <c r="M15" s="29" t="n">
        <v>0.1214855203856405</v>
      </c>
      <c r="N15" s="29" t="n">
        <v>0.22</v>
      </c>
    </row>
    <row r="16" ht="15" customHeight="1">
      <c r="A16" s="26" t="n">
        <v>2039</v>
      </c>
      <c r="B16" s="40" t="n">
        <v>77</v>
      </c>
      <c r="C16" s="40" t="n">
        <v>78</v>
      </c>
      <c r="D16" s="41" t="inlineStr">
        <is>
          <t>MFJ</t>
        </is>
      </c>
      <c r="E16" s="27" t="n">
        <v>220093.6533613121</v>
      </c>
      <c r="F16" s="27" t="n">
        <v>176286.9584276247</v>
      </c>
      <c r="G16" s="27" t="n">
        <v>25361.39287620191</v>
      </c>
      <c r="H16" s="27" t="n">
        <v>497.9235254186502</v>
      </c>
      <c r="I16" s="27" t="n">
        <v>0</v>
      </c>
      <c r="J16" s="27" t="n">
        <v>0</v>
      </c>
      <c r="K16" s="27" t="n">
        <v>0</v>
      </c>
      <c r="L16" s="27" t="n">
        <v>25859.31640162056</v>
      </c>
      <c r="M16" s="29" t="n">
        <v>0.117492331135824</v>
      </c>
      <c r="N16" s="29" t="n">
        <v>0.22</v>
      </c>
    </row>
    <row r="17" ht="15" customHeight="1">
      <c r="A17" s="26" t="n">
        <v>2040</v>
      </c>
      <c r="B17" s="40" t="n">
        <v>78</v>
      </c>
      <c r="C17" s="40" t="n">
        <v>79</v>
      </c>
      <c r="D17" s="41" t="inlineStr">
        <is>
          <t>MFJ</t>
        </is>
      </c>
      <c r="E17" s="27" t="n">
        <v>214803.7168543952</v>
      </c>
      <c r="F17" s="27" t="n">
        <v>170120.8880220341</v>
      </c>
      <c r="G17" s="27" t="n">
        <v>23736.42262741445</v>
      </c>
      <c r="H17" s="27" t="n">
        <v>494.80637990907</v>
      </c>
      <c r="I17" s="27" t="n">
        <v>0</v>
      </c>
      <c r="J17" s="27" t="n">
        <v>0</v>
      </c>
      <c r="K17" s="27" t="n">
        <v>0</v>
      </c>
      <c r="L17" s="27" t="n">
        <v>24231.22900732352</v>
      </c>
      <c r="M17" s="29" t="n">
        <v>0.1128063767339216</v>
      </c>
      <c r="N17" s="29" t="n">
        <v>0.22</v>
      </c>
    </row>
    <row r="18" ht="15" customHeight="1">
      <c r="A18" s="26" t="n">
        <v>2041</v>
      </c>
      <c r="B18" s="40" t="n">
        <v>79</v>
      </c>
      <c r="C18" s="40" t="n">
        <v>80</v>
      </c>
      <c r="D18" s="41" t="inlineStr">
        <is>
          <t>MFJ</t>
        </is>
      </c>
      <c r="E18" s="27" t="n">
        <v>208200.4896550062</v>
      </c>
      <c r="F18" s="27" t="n">
        <v>162624.0042459979</v>
      </c>
      <c r="G18" s="27" t="n">
        <v>21813.30474193782</v>
      </c>
      <c r="H18" s="27" t="n">
        <v>491.9911466335784</v>
      </c>
      <c r="I18" s="27" t="n">
        <v>0</v>
      </c>
      <c r="J18" s="27" t="n">
        <v>0</v>
      </c>
      <c r="K18" s="27" t="n">
        <v>0</v>
      </c>
      <c r="L18" s="27" t="n">
        <v>22305.2958885714</v>
      </c>
      <c r="M18" s="29" t="n">
        <v>0.1071337340538049</v>
      </c>
      <c r="N18" s="29" t="n">
        <v>0.22</v>
      </c>
    </row>
    <row r="19" ht="15" customHeight="1">
      <c r="A19" s="26" t="n">
        <v>2042</v>
      </c>
      <c r="B19" s="40" t="n">
        <v>80</v>
      </c>
      <c r="C19" s="40" t="n">
        <v>81</v>
      </c>
      <c r="D19" s="41" t="inlineStr">
        <is>
          <t>MFJ</t>
        </is>
      </c>
      <c r="E19" s="27" t="n">
        <v>204836.6433792192</v>
      </c>
      <c r="F19" s="27" t="n">
        <v>158348.6282620307</v>
      </c>
      <c r="G19" s="27" t="n">
        <v>20593.44250162141</v>
      </c>
      <c r="H19" s="27" t="n">
        <v>489.4586600462634</v>
      </c>
      <c r="I19" s="27" t="n">
        <v>0</v>
      </c>
      <c r="J19" s="27" t="n">
        <v>0</v>
      </c>
      <c r="K19" s="27" t="n">
        <v>0</v>
      </c>
      <c r="L19" s="27" t="n">
        <v>21082.90116166768</v>
      </c>
      <c r="M19" s="29" t="n">
        <v>0.1029254376261008</v>
      </c>
      <c r="N19" s="29" t="n">
        <v>0.22</v>
      </c>
    </row>
    <row r="20" ht="15" customHeight="1">
      <c r="A20" s="26" t="n">
        <v>2043</v>
      </c>
      <c r="B20" s="40" t="n">
        <v>81</v>
      </c>
      <c r="C20" s="40" t="n">
        <v>82</v>
      </c>
      <c r="D20" s="41" t="inlineStr">
        <is>
          <t>MFJ</t>
        </is>
      </c>
      <c r="E20" s="27" t="n">
        <v>205919.4520171825</v>
      </c>
      <c r="F20" s="27" t="n">
        <v>158501.6765976503</v>
      </c>
      <c r="G20" s="27" t="n">
        <v>20342.24802113721</v>
      </c>
      <c r="H20" s="27" t="n">
        <v>487.190804785312</v>
      </c>
      <c r="I20" s="27" t="n">
        <v>0</v>
      </c>
      <c r="J20" s="27" t="n">
        <v>0</v>
      </c>
      <c r="K20" s="27" t="n">
        <v>0</v>
      </c>
      <c r="L20" s="27" t="n">
        <v>20829.43882592252</v>
      </c>
      <c r="M20" s="29" t="n">
        <v>0.101153332635056</v>
      </c>
      <c r="N20" s="29" t="n">
        <v>0.22</v>
      </c>
    </row>
    <row r="21" ht="15" customHeight="1">
      <c r="A21" s="26" t="n">
        <v>2044</v>
      </c>
      <c r="B21" s="40" t="n">
        <v>82</v>
      </c>
      <c r="C21" s="40" t="n">
        <v>83</v>
      </c>
      <c r="D21" s="41" t="inlineStr">
        <is>
          <t>MFJ</t>
        </is>
      </c>
      <c r="E21" s="27" t="n">
        <v>207117.8695559779</v>
      </c>
      <c r="F21" s="27" t="n">
        <v>158751.738628055</v>
      </c>
      <c r="G21" s="27" t="n">
        <v>20106.69925121932</v>
      </c>
      <c r="H21" s="27" t="n">
        <v>485.1704623231544</v>
      </c>
      <c r="I21" s="27" t="n">
        <v>0</v>
      </c>
      <c r="J21" s="27" t="n">
        <v>0</v>
      </c>
      <c r="K21" s="27" t="n">
        <v>0</v>
      </c>
      <c r="L21" s="27" t="n">
        <v>20591.86971354248</v>
      </c>
      <c r="M21" s="29" t="n">
        <v>0.09942101933400342</v>
      </c>
      <c r="N21" s="29" t="n">
        <v>0.22</v>
      </c>
    </row>
    <row r="22" ht="15" customHeight="1">
      <c r="A22" s="26" t="n">
        <v>2045</v>
      </c>
      <c r="B22" s="40" t="n">
        <v>83</v>
      </c>
      <c r="C22" s="40" t="n">
        <v>84</v>
      </c>
      <c r="D22" s="41" t="inlineStr">
        <is>
          <t>MFJ</t>
        </is>
      </c>
      <c r="E22" s="27" t="n">
        <v>208427.4349560231</v>
      </c>
      <c r="F22" s="27" t="n">
        <v>159093.9814095417</v>
      </c>
      <c r="G22" s="27" t="n">
        <v>19885.61899820736</v>
      </c>
      <c r="H22" s="27" t="n">
        <v>483.3814602043048</v>
      </c>
      <c r="I22" s="27" t="n">
        <v>0</v>
      </c>
      <c r="J22" s="27" t="n">
        <v>0</v>
      </c>
      <c r="K22" s="27" t="n">
        <v>0</v>
      </c>
      <c r="L22" s="27" t="n">
        <v>20369.00045841167</v>
      </c>
      <c r="M22" s="29" t="n">
        <v>0.09772706008069137</v>
      </c>
      <c r="N22" s="29" t="n">
        <v>0.22</v>
      </c>
    </row>
    <row r="23" ht="15" customHeight="1">
      <c r="A23" s="26" t="n">
        <v>2046</v>
      </c>
      <c r="B23" s="40" t="n">
        <v>84</v>
      </c>
      <c r="C23" s="40" t="n">
        <v>85</v>
      </c>
      <c r="D23" s="41" t="inlineStr">
        <is>
          <t>MFJ</t>
        </is>
      </c>
      <c r="E23" s="27" t="n">
        <v>209843.9894899875</v>
      </c>
      <c r="F23" s="27" t="n">
        <v>159523.8668725765</v>
      </c>
      <c r="G23" s="27" t="n">
        <v>19677.89266183716</v>
      </c>
      <c r="H23" s="27" t="n">
        <v>481.8085237492381</v>
      </c>
      <c r="I23" s="27" t="n">
        <v>0</v>
      </c>
      <c r="J23" s="27" t="n">
        <v>0</v>
      </c>
      <c r="K23" s="27" t="n">
        <v>0</v>
      </c>
      <c r="L23" s="27" t="n">
        <v>20159.7011855864</v>
      </c>
      <c r="M23" s="29" t="n">
        <v>0.09606994812948075</v>
      </c>
      <c r="N23" s="29" t="n">
        <v>0.22</v>
      </c>
    </row>
    <row r="24" ht="15" customHeight="1">
      <c r="A24" s="26" t="n">
        <v>2047</v>
      </c>
      <c r="B24" s="40" t="n">
        <v>85</v>
      </c>
      <c r="C24" s="40" t="n">
        <v>86</v>
      </c>
      <c r="D24" s="41" t="inlineStr">
        <is>
          <t>MFJ</t>
        </is>
      </c>
      <c r="E24" s="27" t="n">
        <v>201605.7232830391</v>
      </c>
      <c r="F24" s="27" t="n">
        <v>150279.1982132799</v>
      </c>
      <c r="G24" s="27" t="n">
        <v>17335.71839578932</v>
      </c>
      <c r="H24" s="27" t="n">
        <v>446.8717986683122</v>
      </c>
      <c r="I24" s="27" t="n">
        <v>0</v>
      </c>
      <c r="J24" s="27" t="n">
        <v>0</v>
      </c>
      <c r="K24" s="27" t="n">
        <v>0</v>
      </c>
      <c r="L24" s="27" t="n">
        <v>17782.59019445763</v>
      </c>
      <c r="M24" s="29" t="n">
        <v>0.0882047885589648</v>
      </c>
      <c r="N24" s="29" t="n">
        <v>0.22</v>
      </c>
    </row>
    <row r="25" ht="15" customHeight="1">
      <c r="A25" s="26" t="n">
        <v>2048</v>
      </c>
      <c r="B25" s="40" t="n">
        <v>86</v>
      </c>
      <c r="C25" s="40" t="n">
        <v>87</v>
      </c>
      <c r="D25" s="41" t="inlineStr">
        <is>
          <t>MFJ</t>
        </is>
      </c>
      <c r="E25" s="27" t="n">
        <v>164308.9943644842</v>
      </c>
      <c r="F25" s="27" t="n">
        <v>111955.9387933298</v>
      </c>
      <c r="G25" s="27" t="n">
        <v>12682.53170618027</v>
      </c>
      <c r="H25" s="27" t="n">
        <v>376.9913168961097</v>
      </c>
      <c r="I25" s="27" t="n">
        <v>0</v>
      </c>
      <c r="J25" s="27" t="n">
        <v>0</v>
      </c>
      <c r="K25" s="27" t="n">
        <v>0</v>
      </c>
      <c r="L25" s="27" t="n">
        <v>13059.52302307638</v>
      </c>
      <c r="M25" s="29" t="n">
        <v>0.07948148592588085</v>
      </c>
      <c r="N25" s="29" t="n">
        <v>0.12</v>
      </c>
    </row>
    <row r="26" ht="15" customHeight="1">
      <c r="A26" s="26" t="n">
        <v>2049</v>
      </c>
      <c r="B26" s="40" t="n">
        <v>87</v>
      </c>
      <c r="C26" s="40" t="n">
        <v>88</v>
      </c>
      <c r="D26" s="41" t="inlineStr">
        <is>
          <t>MFJ</t>
        </is>
      </c>
      <c r="E26" s="27" t="n">
        <v>167193.554525845</v>
      </c>
      <c r="F26" s="27" t="n">
        <v>113793.4378432675</v>
      </c>
      <c r="G26" s="27" t="n">
        <v>12887.98797319242</v>
      </c>
      <c r="H26" s="27" t="n">
        <v>380.1416595897462</v>
      </c>
      <c r="I26" s="27" t="n">
        <v>0</v>
      </c>
      <c r="J26" s="27" t="n">
        <v>0</v>
      </c>
      <c r="K26" s="27" t="n">
        <v>0</v>
      </c>
      <c r="L26" s="27" t="n">
        <v>13268.12963278216</v>
      </c>
      <c r="M26" s="29" t="n">
        <v>0.07935790150768736</v>
      </c>
      <c r="N26" s="29" t="n">
        <v>0.12</v>
      </c>
    </row>
    <row r="27" ht="15" customHeight="1">
      <c r="A27" s="26" t="n">
        <v>2050</v>
      </c>
      <c r="B27" s="40" t="n">
        <v>88</v>
      </c>
      <c r="C27" s="40" t="n">
        <v>89</v>
      </c>
      <c r="D27" s="41" t="inlineStr">
        <is>
          <t>MFJ</t>
        </is>
      </c>
      <c r="E27" s="27" t="n">
        <v>170125.7996343165</v>
      </c>
      <c r="F27" s="27" t="n">
        <v>115657.6806180874</v>
      </c>
      <c r="G27" s="27" t="n">
        <v>13096.35261481081</v>
      </c>
      <c r="H27" s="27" t="n">
        <v>383.3378180186657</v>
      </c>
      <c r="I27" s="27" t="n">
        <v>0</v>
      </c>
      <c r="J27" s="27" t="n">
        <v>0</v>
      </c>
      <c r="K27" s="27" t="n">
        <v>0</v>
      </c>
      <c r="L27" s="27" t="n">
        <v>13479.69043282948</v>
      </c>
      <c r="M27" s="29" t="n">
        <v>0.07923366392283784</v>
      </c>
      <c r="N27" s="29" t="n">
        <v>0.12</v>
      </c>
    </row>
    <row r="28" ht="15" customHeight="1">
      <c r="A28" s="26" t="n">
        <v>2051</v>
      </c>
      <c r="B28" s="40" t="n">
        <v>89</v>
      </c>
      <c r="C28" s="40" t="n">
        <v>90</v>
      </c>
      <c r="D28" s="41" t="inlineStr">
        <is>
          <t>MFJ</t>
        </is>
      </c>
      <c r="E28" s="27" t="n">
        <v>173100.9709810019</v>
      </c>
      <c r="F28" s="27" t="n">
        <v>117543.4895844482</v>
      </c>
      <c r="G28" s="27" t="n">
        <v>13306.99830958692</v>
      </c>
      <c r="H28" s="27" t="n">
        <v>386.5710863757359</v>
      </c>
      <c r="I28" s="27" t="n">
        <v>0</v>
      </c>
      <c r="J28" s="27" t="n">
        <v>0</v>
      </c>
      <c r="K28" s="27" t="n">
        <v>0</v>
      </c>
      <c r="L28" s="27" t="n">
        <v>13693.56939596265</v>
      </c>
      <c r="M28" s="29" t="n">
        <v>0.07910740949838778</v>
      </c>
      <c r="N28" s="29" t="n">
        <v>0.12</v>
      </c>
    </row>
    <row r="29" ht="15" customHeight="1">
      <c r="A29" s="26" t="n">
        <v>2052</v>
      </c>
      <c r="B29" s="40" t="n">
        <v>90</v>
      </c>
      <c r="C29" s="40" t="n">
        <v>91</v>
      </c>
      <c r="D29" s="41" t="inlineStr">
        <is>
          <t>MFJ</t>
        </is>
      </c>
      <c r="E29" s="27" t="n">
        <v>176175.5828824479</v>
      </c>
      <c r="F29" s="27" t="n">
        <v>119506.9518579632</v>
      </c>
      <c r="G29" s="27" t="n">
        <v>13526.64937359778</v>
      </c>
      <c r="H29" s="27" t="n">
        <v>389.8333820132183</v>
      </c>
      <c r="I29" s="27" t="n">
        <v>0</v>
      </c>
      <c r="J29" s="27" t="n">
        <v>0</v>
      </c>
      <c r="K29" s="27" t="n">
        <v>0</v>
      </c>
      <c r="L29" s="27" t="n">
        <v>13916.482755611</v>
      </c>
      <c r="M29" s="29" t="n">
        <v>0.07899211983817692</v>
      </c>
      <c r="N29" s="29" t="n">
        <v>0.12</v>
      </c>
    </row>
    <row r="30" ht="15" customHeight="1">
      <c r="A30" s="26" t="n">
        <v>2053</v>
      </c>
      <c r="B30" s="40" t="n">
        <v>91</v>
      </c>
      <c r="C30" s="40" t="n">
        <v>92</v>
      </c>
      <c r="D30" s="41" t="inlineStr">
        <is>
          <t>MFJ</t>
        </is>
      </c>
      <c r="E30" s="27" t="n">
        <v>179514.8289667321</v>
      </c>
      <c r="F30" s="27" t="n">
        <v>121712.8253217577</v>
      </c>
      <c r="G30" s="27" t="n">
        <v>13775.07049226596</v>
      </c>
      <c r="H30" s="27" t="n">
        <v>393.4934814210483</v>
      </c>
      <c r="I30" s="27" t="n">
        <v>0</v>
      </c>
      <c r="J30" s="27" t="n">
        <v>0</v>
      </c>
      <c r="K30" s="27" t="n">
        <v>0</v>
      </c>
      <c r="L30" s="27" t="n">
        <v>14168.56397368701</v>
      </c>
      <c r="M30" s="29" t="n">
        <v>0.07892698366613904</v>
      </c>
      <c r="N30" s="29" t="n">
        <v>0.12</v>
      </c>
    </row>
    <row r="31" ht="15" customHeight="1">
      <c r="A31" s="26" t="n">
        <v>2054</v>
      </c>
      <c r="B31" s="40" t="n">
        <v>92</v>
      </c>
      <c r="C31" s="40" t="n">
        <v>93</v>
      </c>
      <c r="D31" s="41" t="inlineStr">
        <is>
          <t>MFJ</t>
        </is>
      </c>
      <c r="E31" s="27" t="n">
        <v>183143.3980469325</v>
      </c>
      <c r="F31" s="27" t="n">
        <v>124185.3543290586</v>
      </c>
      <c r="G31" s="27" t="n">
        <v>14055.16460221517</v>
      </c>
      <c r="H31" s="27" t="n">
        <v>397.5910918784509</v>
      </c>
      <c r="I31" s="27" t="n">
        <v>0</v>
      </c>
      <c r="J31" s="27" t="n">
        <v>0</v>
      </c>
      <c r="K31" s="27" t="n">
        <v>0</v>
      </c>
      <c r="L31" s="27" t="n">
        <v>14452.75569409362</v>
      </c>
      <c r="M31" s="29" t="n">
        <v>0.07891496962609562</v>
      </c>
      <c r="N31" s="29" t="n">
        <v>0.12</v>
      </c>
    </row>
    <row r="32" ht="15" customHeight="1">
      <c r="A32" s="26" t="n">
        <v>2055</v>
      </c>
      <c r="B32" s="40" t="n">
        <v>93</v>
      </c>
      <c r="C32" s="40" t="n">
        <v>94</v>
      </c>
      <c r="D32" s="41" t="inlineStr">
        <is>
          <t>Single</t>
        </is>
      </c>
      <c r="E32" s="27" t="n">
        <v>143680.4494740978</v>
      </c>
      <c r="F32" s="27" t="n">
        <v>109264.5793761341</v>
      </c>
      <c r="G32" s="27" t="n">
        <v>14825.62244599984</v>
      </c>
      <c r="H32" s="27" t="n">
        <v>402.1695304452676</v>
      </c>
      <c r="I32" s="27" t="n">
        <v>0</v>
      </c>
      <c r="J32" s="27" t="n">
        <v>0</v>
      </c>
      <c r="K32" s="27" t="n">
        <v>0</v>
      </c>
      <c r="L32" s="27" t="n">
        <v>15227.79197644511</v>
      </c>
      <c r="M32" s="29" t="n">
        <v>0.1059837440109784</v>
      </c>
      <c r="N32" s="29" t="n">
        <v>0.22</v>
      </c>
    </row>
    <row r="33" ht="15" customHeight="1">
      <c r="A33" s="26" t="n">
        <v>2056</v>
      </c>
      <c r="B33" s="40" t="n">
        <v>94</v>
      </c>
      <c r="C33" s="40" t="n">
        <v>95</v>
      </c>
      <c r="D33" s="41" t="inlineStr">
        <is>
          <t>Single</t>
        </is>
      </c>
      <c r="E33" s="27" t="n">
        <v>145296.5660808042</v>
      </c>
      <c r="F33" s="27" t="n">
        <v>110192.3785808811</v>
      </c>
      <c r="G33" s="27" t="n">
        <v>14845.48657070919</v>
      </c>
      <c r="H33" s="27" t="n">
        <v>407.2760347655755</v>
      </c>
      <c r="I33" s="27" t="n">
        <v>0</v>
      </c>
      <c r="J33" s="27" t="n">
        <v>0</v>
      </c>
      <c r="K33" s="27" t="n">
        <v>0</v>
      </c>
      <c r="L33" s="27" t="n">
        <v>15252.76260547477</v>
      </c>
      <c r="M33" s="29" t="n">
        <v>0.1049767590308515</v>
      </c>
      <c r="N33" s="29" t="n">
        <v>0.22</v>
      </c>
    </row>
    <row r="34"/>
    <row r="35" ht="30" customHeight="1">
      <c r="A35" s="35" t="inlineStr">
        <is>
          <t>Lifetime Federal Tax</t>
        </is>
      </c>
      <c r="B35" s="3" t="n"/>
      <c r="C35" s="3" t="n"/>
      <c r="D35" s="3" t="n"/>
      <c r="E35" s="3" t="n"/>
      <c r="F35" s="4" t="n"/>
      <c r="G35" s="42" t="n">
        <v>709285.4047672546</v>
      </c>
    </row>
    <row r="36" ht="30" customHeight="1">
      <c r="A36" s="35" t="inlineStr">
        <is>
          <t>Lifetime State Tax (Il)</t>
        </is>
      </c>
      <c r="B36" s="3" t="n"/>
      <c r="C36" s="3" t="n"/>
      <c r="D36" s="3" t="n"/>
      <c r="E36" s="3" t="n"/>
      <c r="F36" s="4" t="n"/>
      <c r="G36" s="42" t="n">
        <v>35516.29653040235</v>
      </c>
    </row>
    <row r="37" ht="15" customHeight="1">
      <c r="A37" s="35" t="inlineStr">
        <is>
          <t>Lifetime NIIT</t>
        </is>
      </c>
      <c r="B37" s="3" t="n"/>
      <c r="C37" s="3" t="n"/>
      <c r="D37" s="3" t="n"/>
      <c r="E37" s="3" t="n"/>
      <c r="F37" s="4" t="n"/>
      <c r="G37" s="42" t="n">
        <v>0</v>
      </c>
    </row>
    <row r="38" ht="30" customHeight="1">
      <c r="A38" s="35" t="inlineStr">
        <is>
          <t>Lifetime Total Tax</t>
        </is>
      </c>
      <c r="B38" s="3" t="n"/>
      <c r="C38" s="3" t="n"/>
      <c r="D38" s="3" t="n"/>
      <c r="E38" s="3" t="n"/>
      <c r="F38" s="4" t="n"/>
      <c r="G38" s="42" t="n">
        <v>768150.4215334218</v>
      </c>
    </row>
  </sheetData>
  <mergeCells count="5">
    <mergeCell ref="A38:F38"/>
    <mergeCell ref="A1:J1"/>
    <mergeCell ref="A36:F36"/>
    <mergeCell ref="A37:F37"/>
    <mergeCell ref="A35:F35"/>
  </mergeCells>
  <pageMargins left="0.75" right="0.75" top="1" bottom="1" header="0.5" footer="0.5"/>
</worksheet>
</file>

<file path=xl/worksheets/sheet8.xml><?xml version="1.0" encoding="utf-8"?>
<worksheet xmlns="http://schemas.openxmlformats.org/spreadsheetml/2006/main">
  <sheetPr>
    <tabColor rgb="002E75B6"/>
    <outlinePr summaryBelow="0" summaryRight="1"/>
    <pageSetUpPr/>
  </sheetPr>
  <dimension ref="A1:E8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7.9" customWidth="1" min="1" max="1"/>
    <col width="9.4" customWidth="1" min="2" max="2"/>
    <col width="9.4" customWidth="1" min="3" max="3"/>
    <col width="7" customWidth="1" min="4" max="4"/>
    <col width="14" customWidth="1" min="5" max="5"/>
  </cols>
  <sheetData>
    <row r="1" ht="18" customHeight="1">
      <c r="A1" s="43" t="inlineStr">
        <is>
          <t>CORE SPENDING BREAKDOWN — 2026 YTD  (182 days elapsed)</t>
        </is>
      </c>
    </row>
    <row r="2" ht="36" customHeight="1">
      <c r="A2" s="44" t="inlineStr">
        <is>
          <t>Model core spending assumption (annual)</t>
        </is>
      </c>
      <c r="B2" s="45" t="n">
        <v>154158</v>
      </c>
    </row>
    <row r="3" ht="30" customHeight="1">
      <c r="A3" s="44" t="inlineStr">
        <is>
          <t>YTD core spending — actual (182 days)</t>
        </is>
      </c>
      <c r="B3" s="46" t="n">
        <v>78558.53</v>
      </c>
    </row>
    <row r="4" ht="15" customHeight="1">
      <c r="A4" s="44" t="inlineStr">
        <is>
          <t>Annualized at current pace</t>
        </is>
      </c>
      <c r="B4" s="46" t="n">
        <v>157548.7</v>
      </c>
    </row>
    <row r="5" ht="30" customHeight="1">
      <c r="A5" s="44" t="inlineStr">
        <is>
          <t>Annualized vs model (102%  OVER budget)</t>
        </is>
      </c>
      <c r="B5" s="47" t="n">
        <v>3390.700000000012</v>
      </c>
    </row>
    <row r="6"/>
    <row r="7" ht="30" customHeight="1">
      <c r="A7" s="5" t="inlineStr">
        <is>
          <t>Spending Group / Category</t>
        </is>
      </c>
      <c r="B7" s="5" t="inlineStr">
        <is>
          <t>YTD Actual</t>
        </is>
      </c>
      <c r="C7" s="5" t="inlineStr">
        <is>
          <t>Annualized</t>
        </is>
      </c>
      <c r="D7" s="5" t="inlineStr">
        <is>
          <t>% of Core</t>
        </is>
      </c>
      <c r="E7" s="5" t="inlineStr">
        <is>
          <t>Budget</t>
        </is>
      </c>
    </row>
    <row r="8" ht="45" customHeight="1">
      <c r="A8" s="48" t="inlineStr">
        <is>
          <t>Auto &amp; Transport</t>
        </is>
      </c>
      <c r="B8" s="49" t="n">
        <v>3219.58</v>
      </c>
      <c r="C8" s="49" t="n">
        <v>6456.85</v>
      </c>
      <c r="D8" s="50" t="n">
        <v>0.04098320067852593</v>
      </c>
      <c r="E8" s="49" t="n">
        <v>5241.37</v>
      </c>
    </row>
    <row r="9" hidden="1" outlineLevel="1" ht="15" customHeight="1">
      <c r="A9" s="12" t="inlineStr">
        <is>
          <t xml:space="preserve">    Auto Insurance</t>
        </is>
      </c>
      <c r="B9" s="27" t="n">
        <v>1164</v>
      </c>
      <c r="C9" s="27" t="n">
        <v>2334.4</v>
      </c>
      <c r="D9" s="29" t="n">
        <v>0.01481697786351145</v>
      </c>
      <c r="E9" s="33" t="inlineStr"/>
    </row>
    <row r="10" hidden="1" outlineLevel="1" ht="15" customHeight="1">
      <c r="A10" s="12" t="inlineStr">
        <is>
          <t xml:space="preserve">    Taxi &amp; Ride Shares</t>
        </is>
      </c>
      <c r="B10" s="27" t="n">
        <v>628.74</v>
      </c>
      <c r="C10" s="27" t="n">
        <v>1260.94</v>
      </c>
      <c r="D10" s="29" t="n">
        <v>0.008003459331532807</v>
      </c>
      <c r="E10" s="33" t="inlineStr"/>
    </row>
    <row r="11" hidden="1" outlineLevel="1" ht="15" customHeight="1">
      <c r="A11" s="12" t="inlineStr">
        <is>
          <t xml:space="preserve">    Auto Fuel</t>
        </is>
      </c>
      <c r="B11" s="27" t="n">
        <v>575.6799999999999</v>
      </c>
      <c r="C11" s="27" t="n">
        <v>1154.53</v>
      </c>
      <c r="D11" s="29" t="n">
        <v>0.007328039361225318</v>
      </c>
      <c r="E11" s="33" t="inlineStr"/>
    </row>
    <row r="12" hidden="1" outlineLevel="1" ht="15" customHeight="1">
      <c r="A12" s="12" t="inlineStr">
        <is>
          <t xml:space="preserve">    Auto Maintenance</t>
        </is>
      </c>
      <c r="B12" s="27" t="n">
        <v>405.86</v>
      </c>
      <c r="C12" s="27" t="n">
        <v>813.95</v>
      </c>
      <c r="D12" s="29" t="n">
        <v>0.005166339034093434</v>
      </c>
      <c r="E12" s="33" t="inlineStr"/>
    </row>
    <row r="13" hidden="1" outlineLevel="1" ht="15" customHeight="1">
      <c r="A13" s="12" t="inlineStr">
        <is>
          <t xml:space="preserve">    Parking &amp; Tolls</t>
        </is>
      </c>
      <c r="B13" s="27" t="n">
        <v>269.8</v>
      </c>
      <c r="C13" s="27" t="n">
        <v>541.08</v>
      </c>
      <c r="D13" s="29" t="n">
        <v>0.003434381982453083</v>
      </c>
      <c r="E13" s="33" t="inlineStr"/>
    </row>
    <row r="14" hidden="1" outlineLevel="1" ht="15" customHeight="1">
      <c r="A14" s="12" t="inlineStr">
        <is>
          <t xml:space="preserve">    Car Wash</t>
        </is>
      </c>
      <c r="B14" s="27" t="n">
        <v>170</v>
      </c>
      <c r="C14" s="27" t="n">
        <v>340.94</v>
      </c>
      <c r="D14" s="29" t="n">
        <v>0.002163991612368511</v>
      </c>
      <c r="E14" s="33" t="inlineStr"/>
    </row>
    <row r="15" hidden="1" outlineLevel="1" ht="15" customHeight="1">
      <c r="A15" s="12" t="inlineStr">
        <is>
          <t xml:space="preserve">    Public Transit</t>
        </is>
      </c>
      <c r="B15" s="27" t="n">
        <v>5.5</v>
      </c>
      <c r="C15" s="27" t="n">
        <v>11.03</v>
      </c>
      <c r="D15" s="29" t="n">
        <v>7.001149334133417e-05</v>
      </c>
      <c r="E15" s="33" t="inlineStr"/>
    </row>
    <row r="16" ht="45" customHeight="1">
      <c r="A16" s="48" t="inlineStr">
        <is>
          <t>Business</t>
        </is>
      </c>
      <c r="B16" s="49" t="n">
        <v>4046.79</v>
      </c>
      <c r="C16" s="49" t="n">
        <v>8115.82</v>
      </c>
      <c r="D16" s="50" t="n">
        <v>0.05151305657068685</v>
      </c>
      <c r="E16" s="51" t="inlineStr"/>
    </row>
    <row r="17" hidden="1" outlineLevel="1" ht="15" customHeight="1">
      <c r="A17" s="12" t="inlineStr">
        <is>
          <t xml:space="preserve">    Business Services</t>
        </is>
      </c>
      <c r="B17" s="27" t="n">
        <v>1577.94</v>
      </c>
      <c r="C17" s="27" t="n">
        <v>3164.56</v>
      </c>
      <c r="D17" s="29" t="n">
        <v>0.02008617014600451</v>
      </c>
      <c r="E17" s="33" t="inlineStr"/>
    </row>
    <row r="18" hidden="1" outlineLevel="1" ht="15" customHeight="1">
      <c r="A18" s="12" t="inlineStr">
        <is>
          <t xml:space="preserve">    Business Memberships</t>
        </is>
      </c>
      <c r="B18" s="27" t="n">
        <v>1004.85</v>
      </c>
      <c r="C18" s="27" t="n">
        <v>2015.23</v>
      </c>
      <c r="D18" s="29" t="n">
        <v>0.01279109983346175</v>
      </c>
      <c r="E18" s="33" t="inlineStr"/>
    </row>
    <row r="19" hidden="1" outlineLevel="1" ht="15" customHeight="1">
      <c r="A19" s="12" t="inlineStr">
        <is>
          <t xml:space="preserve">    Business Travel &amp; Meals</t>
        </is>
      </c>
      <c r="B19" s="27" t="n">
        <v>800.37</v>
      </c>
      <c r="C19" s="27" t="n">
        <v>1605.14</v>
      </c>
      <c r="D19" s="29" t="n">
        <v>0.0101881998046552</v>
      </c>
      <c r="E19" s="33" t="inlineStr"/>
    </row>
    <row r="20" hidden="1" outlineLevel="1" ht="15" customHeight="1">
      <c r="A20" s="12" t="inlineStr">
        <is>
          <t xml:space="preserve">    Business Events</t>
        </is>
      </c>
      <c r="B20" s="27" t="n">
        <v>301.73</v>
      </c>
      <c r="C20" s="27" t="n">
        <v>605.12</v>
      </c>
      <c r="D20" s="29" t="n">
        <v>0.003840830524705592</v>
      </c>
      <c r="E20" s="33" t="inlineStr"/>
    </row>
    <row r="21" hidden="1" outlineLevel="1" ht="30" customHeight="1">
      <c r="A21" s="12" t="inlineStr">
        <is>
          <t xml:space="preserve">    Business Hardware and Software</t>
        </is>
      </c>
      <c r="B21" s="27" t="n">
        <v>162.01</v>
      </c>
      <c r="C21" s="27" t="n">
        <v>324.91</v>
      </c>
      <c r="D21" s="29" t="n">
        <v>0.002062284006587191</v>
      </c>
      <c r="E21" s="33" t="inlineStr"/>
    </row>
    <row r="22" hidden="1" outlineLevel="1" ht="15" customHeight="1">
      <c r="A22" s="12" t="inlineStr">
        <is>
          <t xml:space="preserve">    Business Auto Expenses</t>
        </is>
      </c>
      <c r="B22" s="27" t="n">
        <v>99.73999999999999</v>
      </c>
      <c r="C22" s="27" t="n">
        <v>200.03</v>
      </c>
      <c r="D22" s="29" t="n">
        <v>0.001269626608339031</v>
      </c>
      <c r="E22" s="33" t="inlineStr"/>
    </row>
    <row r="23" hidden="1" outlineLevel="1" ht="30" customHeight="1">
      <c r="A23" s="12" t="inlineStr">
        <is>
          <t xml:space="preserve">    Office Supplies &amp; Expenses</t>
        </is>
      </c>
      <c r="B23" s="27" t="n">
        <v>75.70999999999999</v>
      </c>
      <c r="C23" s="27" t="n">
        <v>151.84</v>
      </c>
      <c r="D23" s="29" t="n">
        <v>0.0009637400292495289</v>
      </c>
      <c r="E23" s="33" t="inlineStr"/>
    </row>
    <row r="24" hidden="1" outlineLevel="1" ht="15" customHeight="1">
      <c r="A24" s="12" t="inlineStr">
        <is>
          <t xml:space="preserve">    Business Taxi - Uber</t>
        </is>
      </c>
      <c r="B24" s="27" t="n">
        <v>24.44</v>
      </c>
      <c r="C24" s="27" t="n">
        <v>49.01</v>
      </c>
      <c r="D24" s="29" t="n">
        <v>0.0003111056176840376</v>
      </c>
      <c r="E24" s="33" t="inlineStr"/>
    </row>
    <row r="25" ht="45" customHeight="1">
      <c r="A25" s="48" t="inlineStr">
        <is>
          <t>Financial</t>
        </is>
      </c>
      <c r="B25" s="49" t="n">
        <v>1958.74</v>
      </c>
      <c r="C25" s="49" t="n">
        <v>3928.24</v>
      </c>
      <c r="D25" s="50" t="n">
        <v>0.02493351135770998</v>
      </c>
      <c r="E25" s="49" t="n">
        <v>3853.95</v>
      </c>
    </row>
    <row r="26" hidden="1" outlineLevel="1" ht="15" customHeight="1">
      <c r="A26" s="12" t="inlineStr">
        <is>
          <t xml:space="preserve">    Cash &amp; ATM</t>
        </is>
      </c>
      <c r="B26" s="27" t="n">
        <v>1116.26</v>
      </c>
      <c r="C26" s="27" t="n">
        <v>2238.66</v>
      </c>
      <c r="D26" s="29" t="n">
        <v>0.01420927810130867</v>
      </c>
      <c r="E26" s="33" t="inlineStr"/>
    </row>
    <row r="27" hidden="1" outlineLevel="1" ht="30" customHeight="1">
      <c r="A27" s="12" t="inlineStr">
        <is>
          <t xml:space="preserve">    Financial &amp; Legal Services</t>
        </is>
      </c>
      <c r="B27" s="27" t="n">
        <v>749.99</v>
      </c>
      <c r="C27" s="27" t="n">
        <v>1504.1</v>
      </c>
      <c r="D27" s="29" t="n">
        <v>0.009546894525648584</v>
      </c>
      <c r="E27" s="33" t="inlineStr"/>
    </row>
    <row r="28" hidden="1" outlineLevel="1" ht="15" customHeight="1">
      <c r="A28" s="12" t="inlineStr">
        <is>
          <t xml:space="preserve">    Financial Fees</t>
        </is>
      </c>
      <c r="B28" s="27" t="n">
        <v>92.48999999999999</v>
      </c>
      <c r="C28" s="27" t="n">
        <v>185.49</v>
      </c>
      <c r="D28" s="29" t="n">
        <v>0.001177338730752727</v>
      </c>
      <c r="E28" s="33" t="inlineStr"/>
    </row>
    <row r="29" ht="45" customHeight="1">
      <c r="A29" s="48" t="inlineStr">
        <is>
          <t>Food &amp; Dining</t>
        </is>
      </c>
      <c r="B29" s="49" t="n">
        <v>16116.37</v>
      </c>
      <c r="C29" s="49" t="n">
        <v>32321.29</v>
      </c>
      <c r="D29" s="50" t="n">
        <v>0.2051511147166323</v>
      </c>
      <c r="E29" s="49" t="n">
        <v>25744.39</v>
      </c>
    </row>
    <row r="30" hidden="1" outlineLevel="1" ht="15" customHeight="1">
      <c r="A30" s="12" t="inlineStr">
        <is>
          <t xml:space="preserve">    Restaurants &amp; Bars</t>
        </is>
      </c>
      <c r="B30" s="27" t="n">
        <v>7857.88</v>
      </c>
      <c r="C30" s="27" t="n">
        <v>15758.98</v>
      </c>
      <c r="D30" s="29" t="n">
        <v>0.1000258024176369</v>
      </c>
      <c r="E30" s="33" t="inlineStr"/>
    </row>
    <row r="31" hidden="1" outlineLevel="1" ht="15" customHeight="1">
      <c r="A31" s="12" t="inlineStr">
        <is>
          <t xml:space="preserve">    Groceries</t>
        </is>
      </c>
      <c r="B31" s="27" t="n">
        <v>7175.5</v>
      </c>
      <c r="C31" s="27" t="n">
        <v>14390.47</v>
      </c>
      <c r="D31" s="29" t="n">
        <v>0.09133954008558968</v>
      </c>
      <c r="E31" s="33" t="inlineStr"/>
    </row>
    <row r="32" hidden="1" outlineLevel="1" ht="15" customHeight="1">
      <c r="A32" s="12" t="inlineStr">
        <is>
          <t xml:space="preserve">    Fast Food</t>
        </is>
      </c>
      <c r="B32" s="27" t="n">
        <v>884.34</v>
      </c>
      <c r="C32" s="27" t="n">
        <v>1773.54</v>
      </c>
      <c r="D32" s="29" t="n">
        <v>0.01125708436754099</v>
      </c>
      <c r="E32" s="33" t="inlineStr"/>
    </row>
    <row r="33" hidden="1" outlineLevel="1" ht="15" customHeight="1">
      <c r="A33" s="12" t="inlineStr">
        <is>
          <t xml:space="preserve">    Coffee Shops</t>
        </is>
      </c>
      <c r="B33" s="27" t="n">
        <v>198.65</v>
      </c>
      <c r="C33" s="27" t="n">
        <v>398.39</v>
      </c>
      <c r="D33" s="29" t="n">
        <v>0.002528687845864733</v>
      </c>
      <c r="E33" s="33" t="inlineStr"/>
    </row>
    <row r="34" ht="45" customHeight="1">
      <c r="A34" s="48" t="inlineStr">
        <is>
          <t>Gifts Charity</t>
        </is>
      </c>
      <c r="B34" s="49" t="n">
        <v>42411.79</v>
      </c>
      <c r="C34" s="49" t="n">
        <v>85056.61</v>
      </c>
      <c r="D34" s="50" t="n">
        <v>0.5398750460325569</v>
      </c>
      <c r="E34" s="51" t="inlineStr"/>
    </row>
    <row r="35" hidden="1" outlineLevel="1" ht="15" customHeight="1">
      <c r="A35" s="12" t="inlineStr">
        <is>
          <t xml:space="preserve">    Gifts - Family 12</t>
        </is>
      </c>
      <c r="B35" s="27" t="n">
        <v>40868.65</v>
      </c>
      <c r="C35" s="27" t="n">
        <v>81962.08</v>
      </c>
      <c r="D35" s="29" t="n">
        <v>0.5202318576989666</v>
      </c>
      <c r="E35" s="33" t="inlineStr"/>
    </row>
    <row r="36" hidden="1" outlineLevel="1" ht="15" customHeight="1">
      <c r="A36" s="12" t="inlineStr">
        <is>
          <t xml:space="preserve">    Gifts - Other</t>
        </is>
      </c>
      <c r="B36" s="27" t="n">
        <v>813.14</v>
      </c>
      <c r="C36" s="27" t="n">
        <v>1630.75</v>
      </c>
      <c r="D36" s="29" t="n">
        <v>0.01035075376283136</v>
      </c>
      <c r="E36" s="33" t="inlineStr"/>
    </row>
    <row r="37" hidden="1" outlineLevel="1" ht="15" customHeight="1">
      <c r="A37" s="12" t="inlineStr">
        <is>
          <t xml:space="preserve">    Church</t>
        </is>
      </c>
      <c r="B37" s="27" t="n">
        <v>625</v>
      </c>
      <c r="C37" s="27" t="n">
        <v>1253.44</v>
      </c>
      <c r="D37" s="29" t="n">
        <v>0.007955851516060701</v>
      </c>
      <c r="E37" s="33" t="inlineStr"/>
    </row>
    <row r="38" hidden="1" outlineLevel="1" ht="15" customHeight="1">
      <c r="A38" s="12" t="inlineStr">
        <is>
          <t xml:space="preserve">    Donation</t>
        </is>
      </c>
      <c r="B38" s="27" t="n">
        <v>105</v>
      </c>
      <c r="C38" s="27" t="n">
        <v>210.58</v>
      </c>
      <c r="D38" s="29" t="n">
        <v>0.001336583054698198</v>
      </c>
      <c r="E38" s="33" t="inlineStr"/>
    </row>
    <row r="39" ht="45" customHeight="1">
      <c r="A39" s="48" t="inlineStr">
        <is>
          <t>Lifestyle</t>
        </is>
      </c>
      <c r="B39" s="49" t="n">
        <v>8481.84</v>
      </c>
      <c r="C39" s="49" t="n">
        <v>17010.28</v>
      </c>
      <c r="D39" s="50" t="n">
        <v>0.1079684153967749</v>
      </c>
      <c r="E39" s="49" t="n">
        <v>24973.6</v>
      </c>
    </row>
    <row r="40" hidden="1" outlineLevel="1" ht="15" customHeight="1">
      <c r="A40" s="12" t="inlineStr">
        <is>
          <t xml:space="preserve">    Cubs Tickets</t>
        </is>
      </c>
      <c r="B40" s="27" t="n">
        <v>5076.64</v>
      </c>
      <c r="C40" s="27" t="n">
        <v>10181.2</v>
      </c>
      <c r="D40" s="29" t="n">
        <v>0.06462239046479104</v>
      </c>
      <c r="E40" s="33" t="inlineStr"/>
    </row>
    <row r="41" hidden="1" outlineLevel="1" ht="15" customHeight="1">
      <c r="A41" s="12" t="inlineStr">
        <is>
          <t xml:space="preserve">    Hair/Make-up</t>
        </is>
      </c>
      <c r="B41" s="27" t="n">
        <v>1754.09</v>
      </c>
      <c r="C41" s="27" t="n">
        <v>3517.83</v>
      </c>
      <c r="D41" s="29" t="n">
        <v>0.02232844733729106</v>
      </c>
      <c r="E41" s="33" t="inlineStr"/>
    </row>
    <row r="42" hidden="1" outlineLevel="1" ht="15" customHeight="1">
      <c r="A42" s="12" t="inlineStr">
        <is>
          <t xml:space="preserve">    Electronics</t>
        </is>
      </c>
      <c r="B42" s="27" t="n">
        <v>614.58</v>
      </c>
      <c r="C42" s="27" t="n">
        <v>1232.54</v>
      </c>
      <c r="D42" s="29" t="n">
        <v>0.007823211559584937</v>
      </c>
      <c r="E42" s="33" t="inlineStr"/>
    </row>
    <row r="43" hidden="1" outlineLevel="1" ht="15" customHeight="1">
      <c r="A43" s="12" t="inlineStr">
        <is>
          <t xml:space="preserve">    Mani-Pedi</t>
        </is>
      </c>
      <c r="B43" s="27" t="n">
        <v>524.77</v>
      </c>
      <c r="C43" s="27" t="n">
        <v>1052.43</v>
      </c>
      <c r="D43" s="29" t="n">
        <v>0.006679987520133077</v>
      </c>
      <c r="E43" s="33" t="inlineStr"/>
    </row>
    <row r="44" hidden="1" outlineLevel="1" ht="15" customHeight="1">
      <c r="A44" s="12" t="inlineStr">
        <is>
          <t xml:space="preserve">    Personal</t>
        </is>
      </c>
      <c r="B44" s="27" t="n">
        <v>360</v>
      </c>
      <c r="C44" s="27" t="n">
        <v>721.98</v>
      </c>
      <c r="D44" s="29" t="n">
        <v>0.004582570473250964</v>
      </c>
      <c r="E44" s="33" t="inlineStr"/>
    </row>
    <row r="45" hidden="1" outlineLevel="1" ht="15" customHeight="1">
      <c r="A45" s="12" t="inlineStr">
        <is>
          <t xml:space="preserve">    Movie Theater</t>
        </is>
      </c>
      <c r="B45" s="27" t="n">
        <v>151.76</v>
      </c>
      <c r="C45" s="27" t="n">
        <v>304.35</v>
      </c>
      <c r="D45" s="29" t="n">
        <v>0.001931808041723795</v>
      </c>
      <c r="E45" s="33" t="inlineStr"/>
    </row>
    <row r="46" ht="45" customHeight="1">
      <c r="A46" s="48" t="inlineStr">
        <is>
          <t>Other</t>
        </is>
      </c>
      <c r="B46" s="49" t="n">
        <v>20.6</v>
      </c>
      <c r="C46" s="49" t="n">
        <v>41.31</v>
      </c>
      <c r="D46" s="50" t="n">
        <v>0.0002622248659693607</v>
      </c>
      <c r="E46" s="49" t="n">
        <v>5087.21</v>
      </c>
    </row>
    <row r="47" hidden="1" outlineLevel="1" ht="15" customHeight="1">
      <c r="A47" s="12" t="inlineStr">
        <is>
          <t xml:space="preserve">    Postage &amp; Shipping</t>
        </is>
      </c>
      <c r="B47" s="27" t="n">
        <v>20.6</v>
      </c>
      <c r="C47" s="27" t="n">
        <v>41.31</v>
      </c>
      <c r="D47" s="29" t="n">
        <v>0.0002622248659693607</v>
      </c>
      <c r="E47" s="33" t="inlineStr"/>
    </row>
    <row r="48" ht="45" customHeight="1">
      <c r="A48" s="48" t="inlineStr">
        <is>
          <t>Shopping</t>
        </is>
      </c>
      <c r="B48" s="49" t="n">
        <v>6349.61</v>
      </c>
      <c r="C48" s="49" t="n">
        <v>12734.11</v>
      </c>
      <c r="D48" s="50" t="n">
        <v>0.08082648695183069</v>
      </c>
      <c r="E48" s="49" t="n">
        <v>10945.22</v>
      </c>
    </row>
    <row r="49" hidden="1" outlineLevel="1" ht="15" customHeight="1">
      <c r="A49" s="12" t="inlineStr">
        <is>
          <t xml:space="preserve">    Clothing &amp; Jewelry</t>
        </is>
      </c>
      <c r="B49" s="27" t="n">
        <v>6326.62</v>
      </c>
      <c r="C49" s="27" t="n">
        <v>12688.04</v>
      </c>
      <c r="D49" s="29" t="n">
        <v>0.08053383890966391</v>
      </c>
      <c r="E49" s="33" t="inlineStr"/>
    </row>
    <row r="50" hidden="1" outlineLevel="1" ht="15" customHeight="1">
      <c r="A50" s="12" t="inlineStr">
        <is>
          <t xml:space="preserve">    Shopping</t>
        </is>
      </c>
      <c r="B50" s="27" t="n">
        <v>22.99</v>
      </c>
      <c r="C50" s="27" t="n">
        <v>46.11</v>
      </c>
      <c r="D50" s="29" t="n">
        <v>0.0002926480421667768</v>
      </c>
      <c r="E50" s="33" t="inlineStr"/>
    </row>
    <row r="51"/>
    <row r="52" ht="30" customHeight="1">
      <c r="A52" s="11" t="inlineStr">
        <is>
          <t>TOTAL CORE SPENDING</t>
        </is>
      </c>
      <c r="B52" s="30" t="n">
        <v>78558.53</v>
      </c>
      <c r="C52" s="30" t="n">
        <v>157548.7</v>
      </c>
      <c r="D52" s="31" t="n">
        <v>1</v>
      </c>
      <c r="E52" s="30" t="n">
        <v>75845.73999999999</v>
      </c>
    </row>
    <row r="53"/>
    <row r="54" ht="15" customHeight="1">
      <c r="A54" s="52" t="inlineStr">
        <is>
          <t>EXCLUDED — Tracked Separately by the Retirement Projection Model</t>
        </is>
      </c>
    </row>
    <row r="55" ht="45" customHeight="1">
      <c r="A55" s="53" t="inlineStr">
        <is>
          <t>These categories appear in your transaction data but are already modelled in the Cash Flow projection. They are excluded here to prevent double-counting.</t>
        </is>
      </c>
    </row>
    <row r="56" ht="30" customHeight="1">
      <c r="A56" s="54" t="inlineStr">
        <is>
          <t>Wellness (premiums, Medicare, out-of-pocket)</t>
        </is>
      </c>
      <c r="B56" s="55" t="n">
        <v>30469.79</v>
      </c>
      <c r="C56" s="56" t="inlineStr"/>
      <c r="D56" s="56" t="inlineStr"/>
      <c r="E56" s="56" t="inlineStr"/>
    </row>
    <row r="57" hidden="1" outlineLevel="1" ht="15" customHeight="1">
      <c r="A57" s="12" t="inlineStr">
        <is>
          <t xml:space="preserve">    Drugs - Rx and OTC</t>
        </is>
      </c>
      <c r="B57" s="27" t="n">
        <v>14098.27</v>
      </c>
      <c r="C57" s="33" t="inlineStr"/>
      <c r="D57" s="33" t="inlineStr"/>
      <c r="E57" s="33" t="inlineStr"/>
    </row>
    <row r="58" hidden="1" outlineLevel="1" ht="15" customHeight="1">
      <c r="A58" s="12" t="inlineStr">
        <is>
          <t xml:space="preserve">    Healthcare Premium</t>
        </is>
      </c>
      <c r="B58" s="27" t="n">
        <v>8790.610000000001</v>
      </c>
      <c r="C58" s="33" t="inlineStr"/>
      <c r="D58" s="33" t="inlineStr"/>
      <c r="E58" s="33" t="inlineStr"/>
    </row>
    <row r="59" hidden="1" outlineLevel="1" ht="15" customHeight="1">
      <c r="A59" s="12" t="inlineStr">
        <is>
          <t xml:space="preserve">    Medical</t>
        </is>
      </c>
      <c r="B59" s="27" t="n">
        <v>1651.51</v>
      </c>
      <c r="C59" s="33" t="inlineStr"/>
      <c r="D59" s="33" t="inlineStr"/>
      <c r="E59" s="33" t="inlineStr"/>
    </row>
    <row r="60" hidden="1" outlineLevel="1" ht="15" customHeight="1">
      <c r="A60" s="12" t="inlineStr">
        <is>
          <t xml:space="preserve">    Health Club</t>
        </is>
      </c>
      <c r="B60" s="27" t="n">
        <v>1616.25</v>
      </c>
      <c r="C60" s="33" t="inlineStr"/>
      <c r="D60" s="33" t="inlineStr"/>
      <c r="E60" s="33" t="inlineStr"/>
    </row>
    <row r="61" hidden="1" outlineLevel="1" ht="15" customHeight="1">
      <c r="A61" s="12" t="inlineStr">
        <is>
          <t xml:space="preserve">    Vitamins &amp; Supplements</t>
        </is>
      </c>
      <c r="B61" s="27" t="n">
        <v>1546.56</v>
      </c>
      <c r="C61" s="33" t="inlineStr"/>
      <c r="D61" s="33" t="inlineStr"/>
      <c r="E61" s="33" t="inlineStr"/>
    </row>
    <row r="62" hidden="1" outlineLevel="1" ht="15" customHeight="1">
      <c r="A62" s="12" t="inlineStr">
        <is>
          <t xml:space="preserve">    Vision</t>
        </is>
      </c>
      <c r="B62" s="27" t="n">
        <v>1335</v>
      </c>
      <c r="C62" s="33" t="inlineStr"/>
      <c r="D62" s="33" t="inlineStr"/>
      <c r="E62" s="33" t="inlineStr"/>
    </row>
    <row r="63" hidden="1" outlineLevel="1" ht="15" customHeight="1">
      <c r="A63" s="12" t="inlineStr">
        <is>
          <t xml:space="preserve">    Dermatologist</t>
        </is>
      </c>
      <c r="B63" s="27" t="n">
        <v>728</v>
      </c>
      <c r="C63" s="33" t="inlineStr"/>
      <c r="D63" s="33" t="inlineStr"/>
      <c r="E63" s="33" t="inlineStr"/>
    </row>
    <row r="64" hidden="1" outlineLevel="1" ht="15" customHeight="1">
      <c r="A64" s="12" t="inlineStr">
        <is>
          <t xml:space="preserve">    Dentist</t>
        </is>
      </c>
      <c r="B64" s="27" t="n">
        <v>400.9</v>
      </c>
      <c r="C64" s="33" t="inlineStr"/>
      <c r="D64" s="33" t="inlineStr"/>
      <c r="E64" s="33" t="inlineStr"/>
    </row>
    <row r="65" hidden="1" outlineLevel="1" ht="30" customHeight="1">
      <c r="A65" s="12" t="inlineStr">
        <is>
          <t xml:space="preserve">    Exercise &amp; Health Equipment</t>
        </is>
      </c>
      <c r="B65" s="27" t="n">
        <v>302.69</v>
      </c>
      <c r="C65" s="33" t="inlineStr"/>
      <c r="D65" s="33" t="inlineStr"/>
      <c r="E65" s="33" t="inlineStr"/>
    </row>
    <row r="66" ht="45" customHeight="1">
      <c r="A66" s="54" t="inlineStr">
        <is>
          <t>Housing (mortgage, property tax, home improvement, rent)</t>
        </is>
      </c>
      <c r="B66" s="55" t="n">
        <v>67591.06</v>
      </c>
      <c r="C66" s="56" t="inlineStr"/>
      <c r="D66" s="56" t="inlineStr"/>
      <c r="E66" s="56" t="inlineStr"/>
    </row>
    <row r="67" hidden="1" outlineLevel="1" ht="15" customHeight="1">
      <c r="A67" s="12" t="inlineStr">
        <is>
          <t xml:space="preserve">    Home Improvement</t>
        </is>
      </c>
      <c r="B67" s="27" t="n">
        <v>25689.11</v>
      </c>
      <c r="C67" s="33" t="inlineStr"/>
      <c r="D67" s="33" t="inlineStr"/>
      <c r="E67" s="33" t="inlineStr"/>
    </row>
    <row r="68" hidden="1" outlineLevel="1" ht="15" customHeight="1">
      <c r="A68" s="12" t="inlineStr">
        <is>
          <t xml:space="preserve">    Mortgage</t>
        </is>
      </c>
      <c r="B68" s="27" t="n">
        <v>18000</v>
      </c>
      <c r="C68" s="33" t="inlineStr"/>
      <c r="D68" s="33" t="inlineStr"/>
      <c r="E68" s="33" t="inlineStr"/>
    </row>
    <row r="69" hidden="1" outlineLevel="1" ht="15" customHeight="1">
      <c r="A69" s="12" t="inlineStr">
        <is>
          <t xml:space="preserve">    Real Estate Taxes</t>
        </is>
      </c>
      <c r="B69" s="27" t="n">
        <v>8645.74</v>
      </c>
      <c r="C69" s="33" t="inlineStr"/>
      <c r="D69" s="33" t="inlineStr"/>
      <c r="E69" s="33" t="inlineStr"/>
    </row>
    <row r="70" hidden="1" outlineLevel="1" ht="30" customHeight="1">
      <c r="A70" s="12" t="inlineStr">
        <is>
          <t xml:space="preserve">    Furniture/Home Decor/Kitchenware</t>
        </is>
      </c>
      <c r="B70" s="27" t="n">
        <v>2713.78</v>
      </c>
      <c r="C70" s="33" t="inlineStr"/>
      <c r="D70" s="33" t="inlineStr"/>
      <c r="E70" s="33" t="inlineStr"/>
    </row>
    <row r="71" hidden="1" outlineLevel="1" ht="15" customHeight="1">
      <c r="A71" s="12" t="inlineStr">
        <is>
          <t xml:space="preserve">    Gas &amp; Electric</t>
        </is>
      </c>
      <c r="B71" s="27" t="n">
        <v>2692.38</v>
      </c>
      <c r="C71" s="33" t="inlineStr"/>
      <c r="D71" s="33" t="inlineStr"/>
      <c r="E71" s="33" t="inlineStr"/>
    </row>
    <row r="72" hidden="1" outlineLevel="1" ht="15" customHeight="1">
      <c r="A72" s="12" t="inlineStr">
        <is>
          <t xml:space="preserve">    Home Maintenance</t>
        </is>
      </c>
      <c r="B72" s="27" t="n">
        <v>2293.42</v>
      </c>
      <c r="C72" s="33" t="inlineStr"/>
      <c r="D72" s="33" t="inlineStr"/>
      <c r="E72" s="33" t="inlineStr"/>
    </row>
    <row r="73" hidden="1" outlineLevel="1" ht="15" customHeight="1">
      <c r="A73" s="12" t="inlineStr">
        <is>
          <t xml:space="preserve">    Internet &amp; Cable</t>
        </is>
      </c>
      <c r="B73" s="27" t="n">
        <v>2261</v>
      </c>
      <c r="C73" s="33" t="inlineStr"/>
      <c r="D73" s="33" t="inlineStr"/>
      <c r="E73" s="33" t="inlineStr"/>
    </row>
    <row r="74" hidden="1" outlineLevel="1" ht="30" customHeight="1">
      <c r="A74" s="12" t="inlineStr">
        <is>
          <t xml:space="preserve">    Lawn Service/Garden/Flowers</t>
        </is>
      </c>
      <c r="B74" s="27" t="n">
        <v>2091.94</v>
      </c>
      <c r="C74" s="33" t="inlineStr"/>
      <c r="D74" s="33" t="inlineStr"/>
      <c r="E74" s="33" t="inlineStr"/>
    </row>
    <row r="75" hidden="1" outlineLevel="1" ht="15" customHeight="1">
      <c r="A75" s="12" t="inlineStr">
        <is>
          <t xml:space="preserve">    House Cleaning</t>
        </is>
      </c>
      <c r="B75" s="27" t="n">
        <v>1600</v>
      </c>
      <c r="C75" s="33" t="inlineStr"/>
      <c r="D75" s="33" t="inlineStr"/>
      <c r="E75" s="33" t="inlineStr"/>
    </row>
    <row r="76" hidden="1" outlineLevel="1" ht="15" customHeight="1">
      <c r="A76" s="12" t="inlineStr">
        <is>
          <t xml:space="preserve">    Phone</t>
        </is>
      </c>
      <c r="B76" s="27" t="n">
        <v>672</v>
      </c>
      <c r="C76" s="33" t="inlineStr"/>
      <c r="D76" s="33" t="inlineStr"/>
      <c r="E76" s="33" t="inlineStr"/>
    </row>
    <row r="77" hidden="1" outlineLevel="1" ht="15" customHeight="1">
      <c r="A77" s="12" t="inlineStr">
        <is>
          <t xml:space="preserve">    Pest Control</t>
        </is>
      </c>
      <c r="B77" s="27" t="n">
        <v>319.44</v>
      </c>
      <c r="C77" s="33" t="inlineStr"/>
      <c r="D77" s="33" t="inlineStr"/>
      <c r="E77" s="33" t="inlineStr"/>
    </row>
    <row r="78" hidden="1" outlineLevel="1" ht="15" customHeight="1">
      <c r="A78" s="12" t="inlineStr">
        <is>
          <t xml:space="preserve">    Garbage</t>
        </is>
      </c>
      <c r="B78" s="27" t="n">
        <v>231.8</v>
      </c>
      <c r="C78" s="33" t="inlineStr"/>
      <c r="D78" s="33" t="inlineStr"/>
      <c r="E78" s="33" t="inlineStr"/>
    </row>
    <row r="79" hidden="1" outlineLevel="1" ht="15" customHeight="1">
      <c r="A79" s="12" t="inlineStr">
        <is>
          <t xml:space="preserve">    Water</t>
        </is>
      </c>
      <c r="B79" s="27" t="n">
        <v>155.77</v>
      </c>
      <c r="C79" s="33" t="inlineStr"/>
      <c r="D79" s="33" t="inlineStr"/>
      <c r="E79" s="33" t="inlineStr"/>
    </row>
    <row r="80" hidden="1" outlineLevel="1" ht="15" customHeight="1">
      <c r="A80" s="12" t="inlineStr">
        <is>
          <t xml:space="preserve">    Dry Cleaners</t>
        </is>
      </c>
      <c r="B80" s="27" t="n">
        <v>131.34</v>
      </c>
      <c r="C80" s="33" t="inlineStr"/>
      <c r="D80" s="33" t="inlineStr"/>
      <c r="E80" s="33" t="inlineStr"/>
    </row>
    <row r="81" hidden="1" outlineLevel="1" ht="15" customHeight="1">
      <c r="A81" s="12" t="inlineStr">
        <is>
          <t xml:space="preserve">    Sewer</t>
        </is>
      </c>
      <c r="B81" s="27" t="n">
        <v>93.34</v>
      </c>
      <c r="C81" s="33" t="inlineStr"/>
      <c r="D81" s="33" t="inlineStr"/>
      <c r="E81" s="33" t="inlineStr"/>
    </row>
    <row r="82" ht="15" customHeight="1">
      <c r="A82" s="54" t="inlineStr">
        <is>
          <t>Travel &amp; Vacations</t>
        </is>
      </c>
      <c r="B82" s="55" t="n">
        <v>17066.25</v>
      </c>
      <c r="C82" s="56" t="inlineStr"/>
      <c r="D82" s="56" t="inlineStr"/>
      <c r="E82" s="56" t="inlineStr"/>
    </row>
    <row r="83" hidden="1" outlineLevel="1" ht="30" customHeight="1">
      <c r="A83" s="12" t="inlineStr">
        <is>
          <t xml:space="preserve">    Entertainment &amp; Recreation</t>
        </is>
      </c>
      <c r="B83" s="27" t="n">
        <v>8830.26</v>
      </c>
      <c r="C83" s="33" t="inlineStr"/>
      <c r="D83" s="33" t="inlineStr"/>
      <c r="E83" s="33" t="inlineStr"/>
    </row>
    <row r="84" hidden="1" outlineLevel="1" ht="15" customHeight="1">
      <c r="A84" s="12" t="inlineStr">
        <is>
          <t xml:space="preserve">    Travel &amp; Vacation</t>
        </is>
      </c>
      <c r="B84" s="27" t="n">
        <v>4192.97</v>
      </c>
      <c r="C84" s="33" t="inlineStr"/>
      <c r="D84" s="33" t="inlineStr"/>
      <c r="E84" s="33" t="inlineStr"/>
    </row>
    <row r="85" hidden="1" outlineLevel="1" ht="15" customHeight="1">
      <c r="A85" s="12" t="inlineStr">
        <is>
          <t xml:space="preserve">    Travel - Housing</t>
        </is>
      </c>
      <c r="B85" s="27" t="n">
        <v>2293.94</v>
      </c>
      <c r="C85" s="33" t="inlineStr"/>
      <c r="D85" s="33" t="inlineStr"/>
      <c r="E85" s="33" t="inlineStr"/>
    </row>
    <row r="86" hidden="1" outlineLevel="1" ht="30" customHeight="1">
      <c r="A86" s="12" t="inlineStr">
        <is>
          <t xml:space="preserve">    Travel - Plane/Train/Bus</t>
        </is>
      </c>
      <c r="B86" s="27" t="n">
        <v>1673.08</v>
      </c>
      <c r="C86" s="33" t="inlineStr"/>
      <c r="D86" s="33" t="inlineStr"/>
      <c r="E86" s="33" t="inlineStr"/>
    </row>
    <row r="87" hidden="1" outlineLevel="1" ht="15" customHeight="1">
      <c r="A87" s="12" t="inlineStr">
        <is>
          <t xml:space="preserve">    Travel - Insurance</t>
        </is>
      </c>
      <c r="B87" s="27" t="n">
        <v>76</v>
      </c>
      <c r="C87" s="33" t="inlineStr"/>
      <c r="D87" s="33" t="inlineStr"/>
      <c r="E87" s="33" t="inlineStr"/>
    </row>
  </sheetData>
  <mergeCells count="7">
    <mergeCell ref="A55:E55"/>
    <mergeCell ref="A4"/>
    <mergeCell ref="A54:E54"/>
    <mergeCell ref="A3"/>
    <mergeCell ref="A2"/>
    <mergeCell ref="A1:E1"/>
    <mergeCell ref="A5"/>
  </mergeCells>
  <pageMargins left="0.75" right="0.75" top="1" bottom="1" header="0.5" footer="0.5"/>
</worksheet>
</file>

<file path=xl/worksheets/sheet9.xml><?xml version="1.0" encoding="utf-8"?>
<worksheet xmlns="http://schemas.openxmlformats.org/spreadsheetml/2006/main">
  <sheetPr>
    <tabColor rgb="002E75B6"/>
    <outlinePr summaryBelow="0" summaryRight="1"/>
    <pageSetUpPr/>
  </sheetPr>
  <dimension ref="A1:F1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7.9" customWidth="1" min="1" max="1"/>
    <col width="9.4" customWidth="1" min="2" max="2"/>
    <col width="9.4" customWidth="1" min="3" max="3"/>
    <col width="9.4" customWidth="1" min="4" max="4"/>
    <col width="9.4" customWidth="1" min="5" max="5"/>
    <col width="7" customWidth="1" min="6" max="6"/>
  </cols>
  <sheetData>
    <row r="1" ht="18" customHeight="1">
      <c r="A1" s="43" t="inlineStr">
        <is>
          <t>SPENDING SUMMARY — 2026 YTD  (182 days elapsed)</t>
        </is>
      </c>
    </row>
    <row r="2" ht="36" customHeight="1">
      <c r="A2" s="44" t="inlineStr">
        <is>
          <t>YTD total spending — actual (182 days)</t>
        </is>
      </c>
      <c r="B2" s="45" t="n">
        <v>178072.81</v>
      </c>
    </row>
    <row r="3" ht="15" customHeight="1">
      <c r="A3" s="44" t="inlineStr">
        <is>
          <t>Annualized at current pace</t>
        </is>
      </c>
      <c r="B3" s="46" t="n">
        <v>357124.04</v>
      </c>
    </row>
    <row r="4" ht="30" customHeight="1">
      <c r="A4" s="44" t="inlineStr">
        <is>
          <t>Total annual budget (categories with budgets set)</t>
        </is>
      </c>
      <c r="B4" s="46" t="n">
        <v>336194</v>
      </c>
    </row>
    <row r="5"/>
    <row r="6" ht="30" customHeight="1">
      <c r="A6" s="5" t="inlineStr">
        <is>
          <t>Tracking Type / Group / Category</t>
        </is>
      </c>
      <c r="B6" s="5" t="inlineStr">
        <is>
          <t>YTD Actual</t>
        </is>
      </c>
      <c r="C6" s="5" t="inlineStr">
        <is>
          <t>Annualized</t>
        </is>
      </c>
      <c r="D6" s="5" t="inlineStr">
        <is>
          <t>Budget</t>
        </is>
      </c>
      <c r="E6" s="5" t="inlineStr">
        <is>
          <t>vs Budget</t>
        </is>
      </c>
      <c r="F6" s="5" t="inlineStr">
        <is>
          <t>% of Total</t>
        </is>
      </c>
    </row>
    <row r="7" ht="45" customHeight="1">
      <c r="A7" s="57" t="inlineStr">
        <is>
          <t>Income</t>
        </is>
      </c>
      <c r="B7" s="58" t="n">
        <v>352500.42</v>
      </c>
      <c r="C7" s="58" t="n">
        <v>706937.66</v>
      </c>
      <c r="D7" s="59" t="inlineStr"/>
      <c r="E7" s="59" t="inlineStr"/>
      <c r="F7" s="60" t="n">
        <v>1.979529721578493</v>
      </c>
    </row>
    <row r="8" hidden="1" outlineLevel="1" ht="45" customHeight="1">
      <c r="A8" s="6" t="inlineStr">
        <is>
          <t xml:space="preserve">  Income</t>
        </is>
      </c>
      <c r="B8" s="61" t="n">
        <v>352500.42</v>
      </c>
      <c r="C8" s="61" t="n">
        <v>706937.66</v>
      </c>
      <c r="D8" s="62" t="inlineStr"/>
      <c r="E8" s="62" t="inlineStr"/>
      <c r="F8" s="63" t="n">
        <v>1.979529721578493</v>
      </c>
    </row>
    <row r="9" hidden="1" outlineLevel="2" ht="30" customHeight="1">
      <c r="A9" s="12" t="inlineStr">
        <is>
          <t xml:space="preserve">    Dividends &amp; Capital Gains</t>
        </is>
      </c>
      <c r="B9" s="27" t="n">
        <v>14994.06</v>
      </c>
      <c r="C9" s="27" t="n">
        <v>30070.5</v>
      </c>
      <c r="D9" s="64" t="inlineStr"/>
      <c r="E9" s="64" t="inlineStr"/>
      <c r="F9" s="29" t="n">
        <v>0.08420184979391294</v>
      </c>
    </row>
    <row r="10" hidden="1" outlineLevel="2" ht="15" customHeight="1">
      <c r="A10" s="12" t="inlineStr">
        <is>
          <t xml:space="preserve">    Interest</t>
        </is>
      </c>
      <c r="B10" s="27" t="n">
        <v>2.88</v>
      </c>
      <c r="C10" s="27" t="n">
        <v>5.78</v>
      </c>
      <c r="D10" s="64" t="inlineStr"/>
      <c r="E10" s="64" t="inlineStr"/>
      <c r="F10" s="29" t="n">
        <v>1.617315973168503e-05</v>
      </c>
    </row>
    <row r="11" hidden="1" outlineLevel="2" ht="15" customHeight="1">
      <c r="A11" s="12" t="inlineStr">
        <is>
          <t xml:space="preserve">    Other Income</t>
        </is>
      </c>
      <c r="B11" s="27" t="n">
        <v>6.85</v>
      </c>
      <c r="C11" s="27" t="n">
        <v>13.74</v>
      </c>
      <c r="D11" s="64" t="inlineStr"/>
      <c r="E11" s="64" t="inlineStr"/>
      <c r="F11" s="29" t="n">
        <v>3.846741116737586e-05</v>
      </c>
    </row>
    <row r="12" hidden="1" outlineLevel="2" ht="15" customHeight="1">
      <c r="A12" s="12" t="inlineStr">
        <is>
          <t xml:space="preserve">    Paychecks</t>
        </is>
      </c>
      <c r="B12" s="27" t="n">
        <v>236950</v>
      </c>
      <c r="C12" s="27" t="n">
        <v>475201.92</v>
      </c>
      <c r="D12" s="64" t="inlineStr"/>
      <c r="E12" s="64" t="inlineStr"/>
      <c r="F12" s="29" t="n">
        <v>1.330635485563461</v>
      </c>
    </row>
    <row r="13" hidden="1" outlineLevel="2" ht="15" customHeight="1">
      <c r="A13" s="12" t="inlineStr">
        <is>
          <t xml:space="preserve">    RedMane Annual Note P&amp;I</t>
        </is>
      </c>
      <c r="B13" s="27" t="n">
        <v>100546.63</v>
      </c>
      <c r="C13" s="27" t="n">
        <v>201645.71</v>
      </c>
      <c r="D13" s="64" t="inlineStr"/>
      <c r="E13" s="64" t="inlineStr"/>
      <c r="F13" s="29" t="n">
        <v>0.5646377456502203</v>
      </c>
    </row>
    <row r="14" ht="45" customHeight="1">
      <c r="A14" s="57" t="inlineStr">
        <is>
          <t>Core Expenses</t>
        </is>
      </c>
      <c r="B14" s="58" t="n">
        <v>73407.7</v>
      </c>
      <c r="C14" s="58" t="n">
        <v>147218.74</v>
      </c>
      <c r="D14" s="58" t="n">
        <v>137241</v>
      </c>
      <c r="E14" s="65" t="n">
        <v>9977.739999999991</v>
      </c>
      <c r="F14" s="60" t="n">
        <v>0.4122341866790331</v>
      </c>
    </row>
    <row r="15" hidden="1" outlineLevel="1" ht="45" customHeight="1">
      <c r="A15" s="6" t="inlineStr">
        <is>
          <t xml:space="preserve">  Auto &amp; Transport</t>
        </is>
      </c>
      <c r="B15" s="61" t="n">
        <v>3219.58</v>
      </c>
      <c r="C15" s="61" t="n">
        <v>6456.85</v>
      </c>
      <c r="D15" s="61" t="n">
        <v>6036</v>
      </c>
      <c r="E15" s="66" t="n">
        <v>420.8500000000004</v>
      </c>
      <c r="F15" s="63" t="n">
        <v>0.01808013250310364</v>
      </c>
    </row>
    <row r="16" hidden="1" outlineLevel="2" ht="15" customHeight="1">
      <c r="A16" s="12" t="inlineStr">
        <is>
          <t xml:space="preserve">    Auto Fuel</t>
        </is>
      </c>
      <c r="B16" s="27" t="n">
        <v>575.6799999999999</v>
      </c>
      <c r="C16" s="27" t="n">
        <v>1154.52</v>
      </c>
      <c r="D16" s="27" t="n">
        <v>950</v>
      </c>
      <c r="E16" s="67" t="n">
        <v>204.52</v>
      </c>
      <c r="F16" s="29" t="n">
        <v>0.003232834928589042</v>
      </c>
    </row>
    <row r="17" hidden="1" outlineLevel="2" ht="15" customHeight="1">
      <c r="A17" s="12" t="inlineStr">
        <is>
          <t xml:space="preserve">    Auto Insurance</t>
        </is>
      </c>
      <c r="B17" s="27" t="n">
        <v>1164</v>
      </c>
      <c r="C17" s="27" t="n">
        <v>2334.4</v>
      </c>
      <c r="D17" s="27" t="n">
        <v>2442</v>
      </c>
      <c r="E17" s="27" t="n">
        <v>-107.5999999999999</v>
      </c>
      <c r="F17" s="29" t="n">
        <v>0.006536652058222701</v>
      </c>
    </row>
    <row r="18" hidden="1" outlineLevel="2" ht="15" customHeight="1">
      <c r="A18" s="12" t="inlineStr">
        <is>
          <t xml:space="preserve">    Auto Maintenance</t>
        </is>
      </c>
      <c r="B18" s="27" t="n">
        <v>405.86</v>
      </c>
      <c r="C18" s="27" t="n">
        <v>813.95</v>
      </c>
      <c r="D18" s="27" t="n">
        <v>851</v>
      </c>
      <c r="E18" s="27" t="n">
        <v>-37.04999999999995</v>
      </c>
      <c r="F18" s="29" t="n">
        <v>0.002279180072465864</v>
      </c>
    </row>
    <row r="19" hidden="1" outlineLevel="2" ht="15" customHeight="1">
      <c r="A19" s="12" t="inlineStr">
        <is>
          <t xml:space="preserve">    Car Wash</t>
        </is>
      </c>
      <c r="B19" s="27" t="n">
        <v>170</v>
      </c>
      <c r="C19" s="27" t="n">
        <v>340.93</v>
      </c>
      <c r="D19" s="27" t="n">
        <v>266</v>
      </c>
      <c r="E19" s="67" t="n">
        <v>74.93000000000001</v>
      </c>
      <c r="F19" s="29" t="n">
        <v>0.0009546656786064082</v>
      </c>
    </row>
    <row r="20" hidden="1" outlineLevel="2" ht="15" customHeight="1">
      <c r="A20" s="12" t="inlineStr">
        <is>
          <t xml:space="preserve">    Parking / Tolls</t>
        </is>
      </c>
      <c r="B20" s="27" t="n">
        <v>269.8</v>
      </c>
      <c r="C20" s="27" t="n">
        <v>541.08</v>
      </c>
      <c r="D20" s="27" t="n">
        <v>535</v>
      </c>
      <c r="E20" s="67" t="n">
        <v>6.080000000000041</v>
      </c>
      <c r="F20" s="29" t="n">
        <v>0.001515110588752994</v>
      </c>
    </row>
    <row r="21" hidden="1" outlineLevel="2" ht="15" customHeight="1">
      <c r="A21" s="12" t="inlineStr">
        <is>
          <t xml:space="preserve">    Public Transit</t>
        </is>
      </c>
      <c r="B21" s="27" t="n">
        <v>5.5</v>
      </c>
      <c r="C21" s="27" t="n">
        <v>11.03</v>
      </c>
      <c r="D21" s="27" t="n">
        <v>20</v>
      </c>
      <c r="E21" s="27" t="n">
        <v>-8.970000000000001</v>
      </c>
      <c r="F21" s="29" t="n">
        <v>3.08862425431485e-05</v>
      </c>
    </row>
    <row r="22" hidden="1" outlineLevel="2" ht="15" customHeight="1">
      <c r="A22" s="12" t="inlineStr">
        <is>
          <t xml:space="preserve">    Taxi &amp; Ride Shares</t>
        </is>
      </c>
      <c r="B22" s="27" t="n">
        <v>628.74</v>
      </c>
      <c r="C22" s="27" t="n">
        <v>1260.93</v>
      </c>
      <c r="D22" s="27" t="n">
        <v>972</v>
      </c>
      <c r="E22" s="67" t="n">
        <v>288.9300000000001</v>
      </c>
      <c r="F22" s="29" t="n">
        <v>0.003530802933923489</v>
      </c>
    </row>
    <row r="23" hidden="1" outlineLevel="1" ht="45" customHeight="1">
      <c r="A23" s="6" t="inlineStr">
        <is>
          <t xml:space="preserve">  Financial</t>
        </is>
      </c>
      <c r="B23" s="61" t="n">
        <v>1958.74</v>
      </c>
      <c r="C23" s="61" t="n">
        <v>3928.24</v>
      </c>
      <c r="D23" s="61" t="n">
        <v>2494</v>
      </c>
      <c r="E23" s="66" t="n">
        <v>1434.24</v>
      </c>
      <c r="F23" s="63" t="n">
        <v>0.01099965794890304</v>
      </c>
    </row>
    <row r="24" hidden="1" outlineLevel="2" ht="15" customHeight="1">
      <c r="A24" s="12" t="inlineStr">
        <is>
          <t xml:space="preserve">    Cash &amp; ATM</t>
        </is>
      </c>
      <c r="B24" s="27" t="n">
        <v>1116.26</v>
      </c>
      <c r="C24" s="27" t="n">
        <v>2238.65</v>
      </c>
      <c r="D24" s="27" t="n">
        <v>2090</v>
      </c>
      <c r="E24" s="67" t="n">
        <v>148.6500000000001</v>
      </c>
      <c r="F24" s="29" t="n">
        <v>0.006268559472948172</v>
      </c>
    </row>
    <row r="25" hidden="1" outlineLevel="2" ht="30" customHeight="1">
      <c r="A25" s="12" t="inlineStr">
        <is>
          <t xml:space="preserve">    Financial &amp; Legal Services</t>
        </is>
      </c>
      <c r="B25" s="27" t="n">
        <v>749.99</v>
      </c>
      <c r="C25" s="27" t="n">
        <v>1504.1</v>
      </c>
      <c r="D25" s="27" t="n">
        <v>210</v>
      </c>
      <c r="E25" s="67" t="n">
        <v>1294.1</v>
      </c>
      <c r="F25" s="29" t="n">
        <v>0.004211704189988353</v>
      </c>
    </row>
    <row r="26" hidden="1" outlineLevel="2" ht="15" customHeight="1">
      <c r="A26" s="12" t="inlineStr">
        <is>
          <t xml:space="preserve">    Financial Fees</t>
        </is>
      </c>
      <c r="B26" s="27" t="n">
        <v>92.48999999999999</v>
      </c>
      <c r="C26" s="27" t="n">
        <v>185.49</v>
      </c>
      <c r="D26" s="27" t="n">
        <v>194</v>
      </c>
      <c r="E26" s="27" t="n">
        <v>-8.509999999999991</v>
      </c>
      <c r="F26" s="29" t="n">
        <v>0.00051939428596651</v>
      </c>
    </row>
    <row r="27" hidden="1" outlineLevel="1" ht="45" customHeight="1">
      <c r="A27" s="6" t="inlineStr">
        <is>
          <t xml:space="preserve">  Food &amp; Dining</t>
        </is>
      </c>
      <c r="B27" s="61" t="n">
        <v>15769.65</v>
      </c>
      <c r="C27" s="61" t="n">
        <v>31625.95</v>
      </c>
      <c r="D27" s="61" t="n">
        <v>25443</v>
      </c>
      <c r="E27" s="66" t="n">
        <v>6182.950000000001</v>
      </c>
      <c r="F27" s="63" t="n">
        <v>0.0885573154037385</v>
      </c>
    </row>
    <row r="28" hidden="1" outlineLevel="2" ht="15" customHeight="1">
      <c r="A28" s="12" t="inlineStr">
        <is>
          <t xml:space="preserve">    Coffee Shops</t>
        </is>
      </c>
      <c r="B28" s="27" t="n">
        <v>198.65</v>
      </c>
      <c r="C28" s="27" t="n">
        <v>398.39</v>
      </c>
      <c r="D28" s="27" t="n">
        <v>218</v>
      </c>
      <c r="E28" s="67" t="n">
        <v>180.39</v>
      </c>
      <c r="F28" s="29" t="n">
        <v>0.0011155549238539</v>
      </c>
    </row>
    <row r="29" hidden="1" outlineLevel="2" ht="15" customHeight="1">
      <c r="A29" s="12" t="inlineStr">
        <is>
          <t xml:space="preserve">    Fast Food / Takeout</t>
        </is>
      </c>
      <c r="B29" s="27" t="n">
        <v>884.34</v>
      </c>
      <c r="C29" s="27" t="n">
        <v>1773.54</v>
      </c>
      <c r="D29" s="27" t="n">
        <v>1352</v>
      </c>
      <c r="E29" s="67" t="n">
        <v>421.54</v>
      </c>
      <c r="F29" s="29" t="n">
        <v>0.004966170860110536</v>
      </c>
    </row>
    <row r="30" hidden="1" outlineLevel="2" ht="15" customHeight="1">
      <c r="A30" s="12" t="inlineStr">
        <is>
          <t xml:space="preserve">    Groceries</t>
        </is>
      </c>
      <c r="B30" s="27" t="n">
        <v>7079.89</v>
      </c>
      <c r="C30" s="27" t="n">
        <v>14198.68</v>
      </c>
      <c r="D30" s="27" t="n">
        <v>10568</v>
      </c>
      <c r="E30" s="67" t="n">
        <v>3630.68</v>
      </c>
      <c r="F30" s="29" t="n">
        <v>0.03975839994887485</v>
      </c>
    </row>
    <row r="31" hidden="1" outlineLevel="2" ht="15" customHeight="1">
      <c r="A31" s="12" t="inlineStr">
        <is>
          <t xml:space="preserve">    Restaurants &amp; Bars</t>
        </is>
      </c>
      <c r="B31" s="27" t="n">
        <v>7606.77</v>
      </c>
      <c r="C31" s="27" t="n">
        <v>15255.34</v>
      </c>
      <c r="D31" s="27" t="n">
        <v>13305</v>
      </c>
      <c r="E31" s="67" t="n">
        <v>1950.34</v>
      </c>
      <c r="F31" s="29" t="n">
        <v>0.04271718967089923</v>
      </c>
    </row>
    <row r="32" hidden="1" outlineLevel="1" ht="45" customHeight="1">
      <c r="A32" s="6" t="inlineStr">
        <is>
          <t xml:space="preserve">  Gifts Charity</t>
        </is>
      </c>
      <c r="B32" s="61" t="n">
        <v>42411.79</v>
      </c>
      <c r="C32" s="61" t="n">
        <v>85056.61</v>
      </c>
      <c r="D32" s="61" t="n">
        <v>71260</v>
      </c>
      <c r="E32" s="66" t="n">
        <v>13796.61</v>
      </c>
      <c r="F32" s="63" t="n">
        <v>0.2381710604780146</v>
      </c>
    </row>
    <row r="33" hidden="1" outlineLevel="2" ht="15" customHeight="1">
      <c r="A33" s="12" t="inlineStr">
        <is>
          <t xml:space="preserve">    Charitable Donations</t>
        </is>
      </c>
      <c r="B33" s="27" t="n">
        <v>0</v>
      </c>
      <c r="C33" s="27" t="n">
        <v>0</v>
      </c>
      <c r="D33" s="27" t="n">
        <v>5000</v>
      </c>
      <c r="E33" s="27" t="n">
        <v>-5000</v>
      </c>
      <c r="F33" s="29" t="n">
        <v>0</v>
      </c>
    </row>
    <row r="34" hidden="1" outlineLevel="2" ht="15" customHeight="1">
      <c r="A34" s="12" t="inlineStr">
        <is>
          <t xml:space="preserve">    Church</t>
        </is>
      </c>
      <c r="B34" s="27" t="n">
        <v>625</v>
      </c>
      <c r="C34" s="27" t="n">
        <v>1253.43</v>
      </c>
      <c r="D34" s="27" t="n">
        <v>1101</v>
      </c>
      <c r="E34" s="67" t="n">
        <v>152.4300000000001</v>
      </c>
      <c r="F34" s="29" t="n">
        <v>0.003509800288994148</v>
      </c>
    </row>
    <row r="35" hidden="1" outlineLevel="2" ht="15" customHeight="1">
      <c r="A35" s="12" t="inlineStr">
        <is>
          <t xml:space="preserve">    Donation</t>
        </is>
      </c>
      <c r="B35" s="27" t="n">
        <v>105</v>
      </c>
      <c r="C35" s="27" t="n">
        <v>210.58</v>
      </c>
      <c r="D35" s="27" t="n">
        <v>220</v>
      </c>
      <c r="E35" s="27" t="n">
        <v>-9.419999999999987</v>
      </c>
      <c r="F35" s="29" t="n">
        <v>0.0005896464485510168</v>
      </c>
    </row>
    <row r="36" hidden="1" outlineLevel="2" ht="15" customHeight="1">
      <c r="A36" s="12" t="inlineStr">
        <is>
          <t xml:space="preserve">    Gifts - Family 12</t>
        </is>
      </c>
      <c r="B36" s="27" t="n">
        <v>40868.65</v>
      </c>
      <c r="C36" s="27" t="n">
        <v>81961.85000000001</v>
      </c>
      <c r="D36" s="27" t="n">
        <v>64169</v>
      </c>
      <c r="E36" s="67" t="n">
        <v>17792.85000000001</v>
      </c>
      <c r="F36" s="29" t="n">
        <v>0.2295052793292811</v>
      </c>
    </row>
    <row r="37" hidden="1" outlineLevel="2" ht="15" customHeight="1">
      <c r="A37" s="12" t="inlineStr">
        <is>
          <t xml:space="preserve">    Gifts - Other</t>
        </is>
      </c>
      <c r="B37" s="27" t="n">
        <v>813.14</v>
      </c>
      <c r="C37" s="27" t="n">
        <v>1630.75</v>
      </c>
      <c r="D37" s="27" t="n">
        <v>770</v>
      </c>
      <c r="E37" s="67" t="n">
        <v>860.75</v>
      </c>
      <c r="F37" s="29" t="n">
        <v>0.004566334411188322</v>
      </c>
    </row>
    <row r="38" hidden="1" outlineLevel="1" ht="45" customHeight="1">
      <c r="A38" s="6" t="inlineStr">
        <is>
          <t xml:space="preserve">  Lifestyle</t>
        </is>
      </c>
      <c r="B38" s="61" t="n">
        <v>5822.34</v>
      </c>
      <c r="C38" s="61" t="n">
        <v>11676.67</v>
      </c>
      <c r="D38" s="61" t="n">
        <v>15224</v>
      </c>
      <c r="E38" s="61" t="n">
        <v>-3547.33</v>
      </c>
      <c r="F38" s="63" t="n">
        <v>0.0326964009833955</v>
      </c>
    </row>
    <row r="39" hidden="1" outlineLevel="2" ht="15" customHeight="1">
      <c r="A39" s="12" t="inlineStr">
        <is>
          <t xml:space="preserve">    Cubs Tickets</t>
        </is>
      </c>
      <c r="B39" s="27" t="n">
        <v>2417.14</v>
      </c>
      <c r="C39" s="27" t="n">
        <v>4847.56</v>
      </c>
      <c r="D39" s="27" t="n">
        <v>10649</v>
      </c>
      <c r="E39" s="27" t="n">
        <v>-5801.44</v>
      </c>
      <c r="F39" s="29" t="n">
        <v>0.0135738858728629</v>
      </c>
    </row>
    <row r="40" hidden="1" outlineLevel="2" ht="15" customHeight="1">
      <c r="A40" s="12" t="inlineStr">
        <is>
          <t xml:space="preserve">    Electronics</t>
        </is>
      </c>
      <c r="B40" s="27" t="n">
        <v>614.58</v>
      </c>
      <c r="C40" s="27" t="n">
        <v>1232.54</v>
      </c>
      <c r="D40" s="27" t="n">
        <v>244</v>
      </c>
      <c r="E40" s="67" t="n">
        <v>988.54</v>
      </c>
      <c r="F40" s="29" t="n">
        <v>0.003451284898576038</v>
      </c>
    </row>
    <row r="41" hidden="1" outlineLevel="2" ht="15" customHeight="1">
      <c r="A41" s="12" t="inlineStr">
        <is>
          <t xml:space="preserve">    Hair/Make-up</t>
        </is>
      </c>
      <c r="B41" s="27" t="n">
        <v>1754.09</v>
      </c>
      <c r="C41" s="27" t="n">
        <v>3517.82</v>
      </c>
      <c r="D41" s="27" t="n">
        <v>2442</v>
      </c>
      <c r="E41" s="67" t="n">
        <v>1075.82</v>
      </c>
      <c r="F41" s="29" t="n">
        <v>0.009850408942274791</v>
      </c>
    </row>
    <row r="42" hidden="1" outlineLevel="2" ht="15" customHeight="1">
      <c r="A42" s="12" t="inlineStr">
        <is>
          <t xml:space="preserve">    Mani-Pedi</t>
        </is>
      </c>
      <c r="B42" s="27" t="n">
        <v>524.77</v>
      </c>
      <c r="C42" s="27" t="n">
        <v>1052.42</v>
      </c>
      <c r="D42" s="27" t="n">
        <v>996</v>
      </c>
      <c r="E42" s="67" t="n">
        <v>56.42000000000007</v>
      </c>
      <c r="F42" s="29" t="n">
        <v>0.002946940636248735</v>
      </c>
    </row>
    <row r="43" hidden="1" outlineLevel="2" ht="15" customHeight="1">
      <c r="A43" s="12" t="inlineStr">
        <is>
          <t xml:space="preserve">    Movie Theater</t>
        </is>
      </c>
      <c r="B43" s="27" t="n">
        <v>151.76</v>
      </c>
      <c r="C43" s="27" t="n">
        <v>304.35</v>
      </c>
      <c r="D43" s="27" t="n">
        <v>138</v>
      </c>
      <c r="E43" s="67" t="n">
        <v>166.35</v>
      </c>
      <c r="F43" s="29" t="n">
        <v>0.000852235666972403</v>
      </c>
    </row>
    <row r="44" hidden="1" outlineLevel="2" ht="15" customHeight="1">
      <c r="A44" s="12" t="inlineStr">
        <is>
          <t xml:space="preserve">    Personal</t>
        </is>
      </c>
      <c r="B44" s="27" t="n">
        <v>360</v>
      </c>
      <c r="C44" s="27" t="n">
        <v>721.98</v>
      </c>
      <c r="D44" s="27" t="n">
        <v>755</v>
      </c>
      <c r="E44" s="27" t="n">
        <v>-33.01999999999998</v>
      </c>
      <c r="F44" s="29" t="n">
        <v>0.002021644966460629</v>
      </c>
    </row>
    <row r="45" hidden="1" outlineLevel="1" ht="60" customHeight="1">
      <c r="A45" s="6" t="inlineStr">
        <is>
          <t xml:space="preserve">  Other</t>
        </is>
      </c>
      <c r="B45" s="61" t="n">
        <v>20.6</v>
      </c>
      <c r="C45" s="61" t="n">
        <v>41.31</v>
      </c>
      <c r="D45" s="61" t="n">
        <v>6164</v>
      </c>
      <c r="E45" s="61" t="n">
        <v>-6122.69</v>
      </c>
      <c r="F45" s="63" t="n">
        <v>0.0001156830175252471</v>
      </c>
    </row>
    <row r="46" hidden="1" outlineLevel="2" ht="15" customHeight="1">
      <c r="A46" s="12" t="inlineStr">
        <is>
          <t xml:space="preserve">    Check</t>
        </is>
      </c>
      <c r="B46" s="27" t="n">
        <v>0</v>
      </c>
      <c r="C46" s="27" t="n">
        <v>0</v>
      </c>
      <c r="D46" s="27" t="n">
        <v>2305</v>
      </c>
      <c r="E46" s="27" t="n">
        <v>-2305</v>
      </c>
      <c r="F46" s="29" t="n">
        <v>0</v>
      </c>
    </row>
    <row r="47" hidden="1" outlineLevel="2" ht="15" customHeight="1">
      <c r="A47" s="12" t="inlineStr">
        <is>
          <t xml:space="preserve">    Miscellaneous</t>
        </is>
      </c>
      <c r="B47" s="27" t="n">
        <v>0</v>
      </c>
      <c r="C47" s="27" t="n">
        <v>0</v>
      </c>
      <c r="D47" s="27" t="n">
        <v>2</v>
      </c>
      <c r="E47" s="27" t="n">
        <v>-2</v>
      </c>
      <c r="F47" s="29" t="n">
        <v>0</v>
      </c>
    </row>
    <row r="48" hidden="1" outlineLevel="2" ht="15" customHeight="1">
      <c r="A48" s="12" t="inlineStr">
        <is>
          <t xml:space="preserve">    Uncategorized</t>
        </is>
      </c>
      <c r="B48" s="27" t="n">
        <v>20.6</v>
      </c>
      <c r="C48" s="27" t="n">
        <v>41.31</v>
      </c>
      <c r="D48" s="27" t="n">
        <v>3857</v>
      </c>
      <c r="E48" s="27" t="n">
        <v>-3815.69</v>
      </c>
      <c r="F48" s="29" t="n">
        <v>0.0001156830175252471</v>
      </c>
    </row>
    <row r="49" hidden="1" outlineLevel="1" ht="45" customHeight="1">
      <c r="A49" s="6" t="inlineStr">
        <is>
          <t xml:space="preserve">  Shopping</t>
        </is>
      </c>
      <c r="B49" s="61" t="n">
        <v>4205</v>
      </c>
      <c r="C49" s="61" t="n">
        <v>8433.1</v>
      </c>
      <c r="D49" s="61" t="n">
        <v>10620</v>
      </c>
      <c r="E49" s="61" t="n">
        <v>-2186.9</v>
      </c>
      <c r="F49" s="63" t="n">
        <v>0.02361393634435263</v>
      </c>
    </row>
    <row r="50" hidden="1" outlineLevel="2" ht="15" customHeight="1">
      <c r="A50" s="12" t="inlineStr">
        <is>
          <t xml:space="preserve">    Clothing &amp; Jewelry</t>
        </is>
      </c>
      <c r="B50" s="27" t="n">
        <v>4243.01</v>
      </c>
      <c r="C50" s="27" t="n">
        <v>8509.33</v>
      </c>
      <c r="D50" s="27" t="n">
        <v>9604</v>
      </c>
      <c r="E50" s="27" t="n">
        <v>-1094.67</v>
      </c>
      <c r="F50" s="29" t="n">
        <v>0.0238273883587281</v>
      </c>
    </row>
    <row r="51" hidden="1" outlineLevel="2" ht="15" customHeight="1">
      <c r="A51" s="12" t="inlineStr">
        <is>
          <t xml:space="preserve">    Shopping</t>
        </is>
      </c>
      <c r="B51" s="27" t="n">
        <v>-38.01</v>
      </c>
      <c r="C51" s="27" t="n">
        <v>-76.23</v>
      </c>
      <c r="D51" s="27" t="n">
        <v>1016</v>
      </c>
      <c r="E51" s="27" t="n">
        <v>-1092.23</v>
      </c>
      <c r="F51" s="29" t="n">
        <v>-0.0002134520143754681</v>
      </c>
    </row>
    <row r="52" ht="45" customHeight="1">
      <c r="A52" s="57" t="inlineStr">
        <is>
          <t>Wellness</t>
        </is>
      </c>
      <c r="B52" s="58" t="n">
        <v>18388.85</v>
      </c>
      <c r="C52" s="58" t="n">
        <v>36878.74</v>
      </c>
      <c r="D52" s="58" t="n">
        <v>50364</v>
      </c>
      <c r="E52" s="58" t="n">
        <v>-13485.26</v>
      </c>
      <c r="F52" s="60" t="n">
        <v>0.103265905670832</v>
      </c>
    </row>
    <row r="53" hidden="1" outlineLevel="1" ht="45" customHeight="1">
      <c r="A53" s="6" t="inlineStr">
        <is>
          <t xml:space="preserve">  Healthcare Premium</t>
        </is>
      </c>
      <c r="B53" s="61" t="n">
        <v>8790.610000000001</v>
      </c>
      <c r="C53" s="61" t="n">
        <v>17629.52</v>
      </c>
      <c r="D53" s="61" t="n">
        <v>23760</v>
      </c>
      <c r="E53" s="61" t="n">
        <v>-6130.48</v>
      </c>
      <c r="F53" s="63" t="n">
        <v>0.04936525682949576</v>
      </c>
    </row>
    <row r="54" hidden="1" outlineLevel="2" ht="15" customHeight="1">
      <c r="A54" s="12" t="inlineStr">
        <is>
          <t xml:space="preserve">    Medicare Part B Premium</t>
        </is>
      </c>
      <c r="B54" s="27" t="n">
        <v>0</v>
      </c>
      <c r="C54" s="27" t="n">
        <v>0</v>
      </c>
      <c r="D54" s="27" t="n">
        <v>5356</v>
      </c>
      <c r="E54" s="27" t="n">
        <v>-5356</v>
      </c>
      <c r="F54" s="29" t="n">
        <v>0</v>
      </c>
    </row>
    <row r="55" hidden="1" outlineLevel="2" ht="15" customHeight="1">
      <c r="A55" s="12" t="inlineStr">
        <is>
          <t xml:space="preserve">    Medicare Part D Premium</t>
        </is>
      </c>
      <c r="B55" s="27" t="n">
        <v>0</v>
      </c>
      <c r="C55" s="27" t="n">
        <v>0</v>
      </c>
      <c r="D55" s="27" t="n">
        <v>2095</v>
      </c>
      <c r="E55" s="27" t="n">
        <v>-2095</v>
      </c>
      <c r="F55" s="29" t="n">
        <v>0</v>
      </c>
    </row>
    <row r="56" hidden="1" outlineLevel="2" ht="30" customHeight="1">
      <c r="A56" s="12" t="inlineStr">
        <is>
          <t xml:space="preserve">    Medicare Part G / Medigap Premium</t>
        </is>
      </c>
      <c r="B56" s="27" t="n">
        <v>0</v>
      </c>
      <c r="C56" s="27" t="n">
        <v>0</v>
      </c>
      <c r="D56" s="27" t="n">
        <v>4309</v>
      </c>
      <c r="E56" s="27" t="n">
        <v>-4309</v>
      </c>
      <c r="F56" s="29" t="n">
        <v>0</v>
      </c>
    </row>
    <row r="57" hidden="1" outlineLevel="2" ht="30" customHeight="1">
      <c r="A57" s="12" t="inlineStr">
        <is>
          <t xml:space="preserve">    Pre-65 Healthcare Premium</t>
        </is>
      </c>
      <c r="B57" s="27" t="n">
        <v>8790.610000000001</v>
      </c>
      <c r="C57" s="27" t="n">
        <v>17629.52</v>
      </c>
      <c r="D57" s="27" t="n">
        <v>12000</v>
      </c>
      <c r="E57" s="67" t="n">
        <v>5629.52</v>
      </c>
      <c r="F57" s="29" t="n">
        <v>0.04936525682949576</v>
      </c>
    </row>
    <row r="58" hidden="1" outlineLevel="1" ht="45" customHeight="1">
      <c r="A58" s="6" t="inlineStr">
        <is>
          <t xml:space="preserve">  Wellness Budget Detail</t>
        </is>
      </c>
      <c r="B58" s="61" t="n">
        <v>9598.24</v>
      </c>
      <c r="C58" s="61" t="n">
        <v>19249.22</v>
      </c>
      <c r="D58" s="61" t="n">
        <v>26604</v>
      </c>
      <c r="E58" s="61" t="n">
        <v>-7354.779999999999</v>
      </c>
      <c r="F58" s="63" t="n">
        <v>0.0539006488413363</v>
      </c>
    </row>
    <row r="59" hidden="1" outlineLevel="2" ht="15" customHeight="1">
      <c r="A59" s="12" t="inlineStr">
        <is>
          <t xml:space="preserve">    Dentist</t>
        </is>
      </c>
      <c r="B59" s="27" t="n">
        <v>400.9</v>
      </c>
      <c r="C59" s="27" t="n">
        <v>804</v>
      </c>
      <c r="D59" s="27" t="n">
        <v>2900</v>
      </c>
      <c r="E59" s="27" t="n">
        <v>-2096</v>
      </c>
      <c r="F59" s="29" t="n">
        <v>0.002251326297372406</v>
      </c>
    </row>
    <row r="60" hidden="1" outlineLevel="2" ht="15" customHeight="1">
      <c r="A60" s="12" t="inlineStr">
        <is>
          <t xml:space="preserve">    Dermatologist</t>
        </is>
      </c>
      <c r="B60" s="27" t="n">
        <v>728</v>
      </c>
      <c r="C60" s="27" t="n">
        <v>1460</v>
      </c>
      <c r="D60" s="27" t="n">
        <v>1527</v>
      </c>
      <c r="E60" s="27" t="n">
        <v>-67</v>
      </c>
      <c r="F60" s="29" t="n">
        <v>0.004088215376620383</v>
      </c>
    </row>
    <row r="61" hidden="1" outlineLevel="2" ht="15" customHeight="1">
      <c r="A61" s="12" t="inlineStr">
        <is>
          <t xml:space="preserve">    Drugs - Rx and OTC</t>
        </is>
      </c>
      <c r="B61" s="27" t="n">
        <v>3278.39</v>
      </c>
      <c r="C61" s="27" t="n">
        <v>6574.79</v>
      </c>
      <c r="D61" s="27" t="n">
        <v>5000</v>
      </c>
      <c r="E61" s="67" t="n">
        <v>1574.79</v>
      </c>
      <c r="F61" s="29" t="n">
        <v>0.01841039067109684</v>
      </c>
    </row>
    <row r="62" hidden="1" outlineLevel="2" ht="30" customHeight="1">
      <c r="A62" s="12" t="inlineStr">
        <is>
          <t xml:space="preserve">    Exercise &amp; Health Equipment</t>
        </is>
      </c>
      <c r="B62" s="27" t="n">
        <v>102.69</v>
      </c>
      <c r="C62" s="27" t="n">
        <v>205.94</v>
      </c>
      <c r="D62" s="27" t="n">
        <v>485</v>
      </c>
      <c r="E62" s="27" t="n">
        <v>-279.06</v>
      </c>
      <c r="F62" s="29" t="n">
        <v>0.0005766742266828945</v>
      </c>
    </row>
    <row r="63" hidden="1" outlineLevel="2" ht="15" customHeight="1">
      <c r="A63" s="12" t="inlineStr">
        <is>
          <t xml:space="preserve">    Health Club</t>
        </is>
      </c>
      <c r="B63" s="27" t="n">
        <v>1616.25</v>
      </c>
      <c r="C63" s="27" t="n">
        <v>3241.38</v>
      </c>
      <c r="D63" s="27" t="n">
        <v>2668</v>
      </c>
      <c r="E63" s="67" t="n">
        <v>573.3800000000001</v>
      </c>
      <c r="F63" s="29" t="n">
        <v>0.009076343547338868</v>
      </c>
    </row>
    <row r="64" hidden="1" outlineLevel="2" ht="15" customHeight="1">
      <c r="A64" s="12" t="inlineStr">
        <is>
          <t xml:space="preserve">    Medical</t>
        </is>
      </c>
      <c r="B64" s="27" t="n">
        <v>590.45</v>
      </c>
      <c r="C64" s="27" t="n">
        <v>1184.14</v>
      </c>
      <c r="D64" s="27" t="n">
        <v>10000</v>
      </c>
      <c r="E64" s="27" t="n">
        <v>-8815.860000000001</v>
      </c>
      <c r="F64" s="29" t="n">
        <v>0.003315778529018552</v>
      </c>
    </row>
    <row r="65" hidden="1" outlineLevel="2" ht="15" customHeight="1">
      <c r="A65" s="12" t="inlineStr">
        <is>
          <t xml:space="preserve">    Vision</t>
        </is>
      </c>
      <c r="B65" s="27" t="n">
        <v>1335</v>
      </c>
      <c r="C65" s="27" t="n">
        <v>2677.34</v>
      </c>
      <c r="D65" s="27" t="n">
        <v>2100</v>
      </c>
      <c r="E65" s="67" t="n">
        <v>577.3400000000001</v>
      </c>
      <c r="F65" s="29" t="n">
        <v>0.0074969334172915</v>
      </c>
    </row>
    <row r="66" hidden="1" outlineLevel="2" ht="15" customHeight="1">
      <c r="A66" s="12" t="inlineStr">
        <is>
          <t xml:space="preserve">    Vitamins &amp; Supplements</t>
        </is>
      </c>
      <c r="B66" s="27" t="n">
        <v>1546.56</v>
      </c>
      <c r="C66" s="27" t="n">
        <v>3101.62</v>
      </c>
      <c r="D66" s="27" t="n">
        <v>1924</v>
      </c>
      <c r="E66" s="67" t="n">
        <v>1177.62</v>
      </c>
      <c r="F66" s="29" t="n">
        <v>0.008684986775914862</v>
      </c>
    </row>
    <row r="67" ht="45" customHeight="1">
      <c r="A67" s="57" t="inlineStr">
        <is>
          <t>Housing</t>
        </is>
      </c>
      <c r="B67" s="58" t="n">
        <v>66947.95</v>
      </c>
      <c r="C67" s="58" t="n">
        <v>134263.75</v>
      </c>
      <c r="D67" s="58" t="n">
        <v>101612</v>
      </c>
      <c r="E67" s="65" t="n">
        <v>32651.75</v>
      </c>
      <c r="F67" s="60" t="n">
        <v>0.3759582948121052</v>
      </c>
    </row>
    <row r="68" hidden="1" outlineLevel="1" ht="45" customHeight="1">
      <c r="A68" s="6" t="inlineStr">
        <is>
          <t xml:space="preserve">  Home Improvement</t>
        </is>
      </c>
      <c r="B68" s="61" t="n">
        <v>25689.11</v>
      </c>
      <c r="C68" s="61" t="n">
        <v>51519.37</v>
      </c>
      <c r="D68" s="61" t="n">
        <v>25000</v>
      </c>
      <c r="E68" s="66" t="n">
        <v>26519.37</v>
      </c>
      <c r="F68" s="63" t="n">
        <v>0.1442618331232039</v>
      </c>
    </row>
    <row r="69" hidden="1" outlineLevel="2" ht="15" customHeight="1">
      <c r="A69" s="12" t="inlineStr">
        <is>
          <t xml:space="preserve">    Home Improvement</t>
        </is>
      </c>
      <c r="B69" s="27" t="n">
        <v>25689.11</v>
      </c>
      <c r="C69" s="27" t="n">
        <v>51519.37</v>
      </c>
      <c r="D69" s="27" t="n">
        <v>25000</v>
      </c>
      <c r="E69" s="67" t="n">
        <v>26519.37</v>
      </c>
      <c r="F69" s="29" t="n">
        <v>0.1442618331232039</v>
      </c>
    </row>
    <row r="70" hidden="1" outlineLevel="1" ht="45" customHeight="1">
      <c r="A70" s="6" t="inlineStr">
        <is>
          <t xml:space="preserve">  Maintenance</t>
        </is>
      </c>
      <c r="B70" s="61" t="n">
        <v>2214.24</v>
      </c>
      <c r="C70" s="61" t="n">
        <v>4440.65</v>
      </c>
      <c r="D70" s="61" t="n">
        <v>2100</v>
      </c>
      <c r="E70" s="66" t="n">
        <v>2340.65</v>
      </c>
      <c r="F70" s="63" t="n">
        <v>0.01243446430704384</v>
      </c>
    </row>
    <row r="71" hidden="1" outlineLevel="2" ht="15" customHeight="1">
      <c r="A71" s="12" t="inlineStr">
        <is>
          <t xml:space="preserve">    Home Maintenance</t>
        </is>
      </c>
      <c r="B71" s="27" t="n">
        <v>2214.24</v>
      </c>
      <c r="C71" s="27" t="n">
        <v>4440.65</v>
      </c>
      <c r="D71" s="27" t="n">
        <v>2100</v>
      </c>
      <c r="E71" s="67" t="n">
        <v>2340.65</v>
      </c>
      <c r="F71" s="29" t="n">
        <v>0.01243446430704384</v>
      </c>
    </row>
    <row r="72" hidden="1" outlineLevel="1" ht="45" customHeight="1">
      <c r="A72" s="6" t="inlineStr">
        <is>
          <t xml:space="preserve">  Mortgage</t>
        </is>
      </c>
      <c r="B72" s="61" t="n">
        <v>18000</v>
      </c>
      <c r="C72" s="61" t="n">
        <v>36098.9</v>
      </c>
      <c r="D72" s="61" t="n">
        <v>36000</v>
      </c>
      <c r="E72" s="66" t="n">
        <v>98.90000000000146</v>
      </c>
      <c r="F72" s="63" t="n">
        <v>0.1010822483230315</v>
      </c>
    </row>
    <row r="73" hidden="1" outlineLevel="2" ht="15" customHeight="1">
      <c r="A73" s="12" t="inlineStr">
        <is>
          <t xml:space="preserve">    Mortgage</t>
        </is>
      </c>
      <c r="B73" s="27" t="n">
        <v>18000</v>
      </c>
      <c r="C73" s="27" t="n">
        <v>36098.9</v>
      </c>
      <c r="D73" s="27" t="n">
        <v>36000</v>
      </c>
      <c r="E73" s="67" t="n">
        <v>98.90000000000146</v>
      </c>
      <c r="F73" s="29" t="n">
        <v>0.1010822483230315</v>
      </c>
    </row>
    <row r="74" hidden="1" outlineLevel="1" ht="45" customHeight="1">
      <c r="A74" s="6" t="inlineStr">
        <is>
          <t xml:space="preserve">  Other</t>
        </is>
      </c>
      <c r="B74" s="61" t="n">
        <v>5841.79</v>
      </c>
      <c r="C74" s="61" t="n">
        <v>11715.68</v>
      </c>
      <c r="D74" s="61" t="n">
        <v>8936</v>
      </c>
      <c r="E74" s="66" t="n">
        <v>2779.68</v>
      </c>
      <c r="F74" s="63" t="n">
        <v>0.032805625968389</v>
      </c>
    </row>
    <row r="75" hidden="1" outlineLevel="2" ht="30" customHeight="1">
      <c r="A75" s="12" t="inlineStr">
        <is>
          <t xml:space="preserve">    Furniture/Home Decor/Kitchenware</t>
        </is>
      </c>
      <c r="B75" s="27" t="n">
        <v>2149.85</v>
      </c>
      <c r="C75" s="27" t="n">
        <v>4311.51</v>
      </c>
      <c r="D75" s="27" t="n">
        <v>2115</v>
      </c>
      <c r="E75" s="67" t="n">
        <v>2196.51</v>
      </c>
      <c r="F75" s="29" t="n">
        <v>0.01207287064207051</v>
      </c>
    </row>
    <row r="76" hidden="1" outlineLevel="2" ht="15" customHeight="1">
      <c r="A76" s="12" t="inlineStr">
        <is>
          <t xml:space="preserve">    Homeowners Insurance</t>
        </is>
      </c>
      <c r="B76" s="27" t="n">
        <v>0</v>
      </c>
      <c r="C76" s="27" t="n">
        <v>0</v>
      </c>
      <c r="D76" s="27" t="n">
        <v>2000</v>
      </c>
      <c r="E76" s="27" t="n">
        <v>-2000</v>
      </c>
      <c r="F76" s="29" t="n">
        <v>0</v>
      </c>
    </row>
    <row r="77" hidden="1" outlineLevel="2" ht="15" customHeight="1">
      <c r="A77" s="12" t="inlineStr">
        <is>
          <t xml:space="preserve">    House Cleaning</t>
        </is>
      </c>
      <c r="B77" s="27" t="n">
        <v>1600</v>
      </c>
      <c r="C77" s="27" t="n">
        <v>3208.79</v>
      </c>
      <c r="D77" s="27" t="n">
        <v>2517</v>
      </c>
      <c r="E77" s="67" t="n">
        <v>691.79</v>
      </c>
      <c r="F77" s="29" t="n">
        <v>0.008985088739825019</v>
      </c>
    </row>
    <row r="78" hidden="1" outlineLevel="2" ht="30" customHeight="1">
      <c r="A78" s="12" t="inlineStr">
        <is>
          <t xml:space="preserve">    Lawn Service/Garden/Flowers</t>
        </is>
      </c>
      <c r="B78" s="27" t="n">
        <v>2091.94</v>
      </c>
      <c r="C78" s="27" t="n">
        <v>4195.37</v>
      </c>
      <c r="D78" s="27" t="n">
        <v>2304</v>
      </c>
      <c r="E78" s="67" t="n">
        <v>1891.37</v>
      </c>
      <c r="F78" s="29" t="n">
        <v>0.01174766658649347</v>
      </c>
    </row>
    <row r="79" hidden="1" outlineLevel="1" ht="45" customHeight="1">
      <c r="A79" s="6" t="inlineStr">
        <is>
          <t xml:space="preserve">  Real Estate Taxes</t>
        </is>
      </c>
      <c r="B79" s="61" t="n">
        <v>8645.74</v>
      </c>
      <c r="C79" s="61" t="n">
        <v>17338.98</v>
      </c>
      <c r="D79" s="61" t="n">
        <v>18000</v>
      </c>
      <c r="E79" s="61" t="n">
        <v>-661.0200000000004</v>
      </c>
      <c r="F79" s="63" t="n">
        <v>0.04855171320090922</v>
      </c>
    </row>
    <row r="80" hidden="1" outlineLevel="2" ht="15" customHeight="1">
      <c r="A80" s="12" t="inlineStr">
        <is>
          <t xml:space="preserve">    Real Estate Taxes</t>
        </is>
      </c>
      <c r="B80" s="27" t="n">
        <v>8645.74</v>
      </c>
      <c r="C80" s="27" t="n">
        <v>17338.98</v>
      </c>
      <c r="D80" s="27" t="n">
        <v>18000</v>
      </c>
      <c r="E80" s="27" t="n">
        <v>-661.0200000000004</v>
      </c>
      <c r="F80" s="29" t="n">
        <v>0.04855171320090922</v>
      </c>
    </row>
    <row r="81" hidden="1" outlineLevel="1" ht="45" customHeight="1">
      <c r="A81" s="6" t="inlineStr">
        <is>
          <t xml:space="preserve">  Utilities</t>
        </is>
      </c>
      <c r="B81" s="61" t="n">
        <v>6557.07</v>
      </c>
      <c r="C81" s="61" t="n">
        <v>13150.17</v>
      </c>
      <c r="D81" s="61" t="n">
        <v>11576</v>
      </c>
      <c r="E81" s="66" t="n">
        <v>1574.17</v>
      </c>
      <c r="F81" s="63" t="n">
        <v>0.03682240988952777</v>
      </c>
    </row>
    <row r="82" hidden="1" outlineLevel="2" ht="15" customHeight="1">
      <c r="A82" s="12" t="inlineStr">
        <is>
          <t xml:space="preserve">    Dry Cleaners</t>
        </is>
      </c>
      <c r="B82" s="27" t="n">
        <v>131.34</v>
      </c>
      <c r="C82" s="27" t="n">
        <v>263.4</v>
      </c>
      <c r="D82" s="64" t="inlineStr"/>
      <c r="E82" s="64" t="inlineStr"/>
      <c r="F82" s="29" t="n">
        <v>0.0007375634719303863</v>
      </c>
    </row>
    <row r="83" hidden="1" outlineLevel="2" ht="15" customHeight="1">
      <c r="A83" s="12" t="inlineStr">
        <is>
          <t xml:space="preserve">    Garbage</t>
        </is>
      </c>
      <c r="B83" s="27" t="n">
        <v>231.8</v>
      </c>
      <c r="C83" s="27" t="n">
        <v>464.87</v>
      </c>
      <c r="D83" s="27" t="n">
        <v>486</v>
      </c>
      <c r="E83" s="27" t="n">
        <v>-21.13</v>
      </c>
      <c r="F83" s="29" t="n">
        <v>0.00130171473118215</v>
      </c>
    </row>
    <row r="84" hidden="1" outlineLevel="2" ht="15" customHeight="1">
      <c r="A84" s="12" t="inlineStr">
        <is>
          <t xml:space="preserve">    Gas &amp; Electric</t>
        </is>
      </c>
      <c r="B84" s="27" t="n">
        <v>2692.38</v>
      </c>
      <c r="C84" s="27" t="n">
        <v>5399.55</v>
      </c>
      <c r="D84" s="27" t="n">
        <v>4957</v>
      </c>
      <c r="E84" s="67" t="n">
        <v>442.5500000000002</v>
      </c>
      <c r="F84" s="29" t="n">
        <v>0.0151195457633313</v>
      </c>
    </row>
    <row r="85" hidden="1" outlineLevel="2" ht="15" customHeight="1">
      <c r="A85" s="12" t="inlineStr">
        <is>
          <t xml:space="preserve">    Internet &amp; Cable</t>
        </is>
      </c>
      <c r="B85" s="27" t="n">
        <v>2261</v>
      </c>
      <c r="C85" s="27" t="n">
        <v>4534.42</v>
      </c>
      <c r="D85" s="27" t="n">
        <v>2371</v>
      </c>
      <c r="E85" s="67" t="n">
        <v>2163.42</v>
      </c>
      <c r="F85" s="29" t="n">
        <v>0.01269705352546523</v>
      </c>
    </row>
    <row r="86" hidden="1" outlineLevel="2" ht="15" customHeight="1">
      <c r="A86" s="12" t="inlineStr">
        <is>
          <t xml:space="preserve">    Pest Control</t>
        </is>
      </c>
      <c r="B86" s="27" t="n">
        <v>319.44</v>
      </c>
      <c r="C86" s="27" t="n">
        <v>640.64</v>
      </c>
      <c r="D86" s="27" t="n">
        <v>558</v>
      </c>
      <c r="E86" s="67" t="n">
        <v>82.63999999999999</v>
      </c>
      <c r="F86" s="29" t="n">
        <v>0.001793872966906065</v>
      </c>
    </row>
    <row r="87" hidden="1" outlineLevel="2" ht="15" customHeight="1">
      <c r="A87" s="12" t="inlineStr">
        <is>
          <t xml:space="preserve">    Phone</t>
        </is>
      </c>
      <c r="B87" s="27" t="n">
        <v>672</v>
      </c>
      <c r="C87" s="27" t="n">
        <v>1347.69</v>
      </c>
      <c r="D87" s="27" t="n">
        <v>780</v>
      </c>
      <c r="E87" s="67" t="n">
        <v>567.6900000000001</v>
      </c>
      <c r="F87" s="29" t="n">
        <v>0.003773737270726508</v>
      </c>
    </row>
    <row r="88" hidden="1" outlineLevel="2" ht="15" customHeight="1">
      <c r="A88" s="12" t="inlineStr">
        <is>
          <t xml:space="preserve">    Sewer</t>
        </is>
      </c>
      <c r="B88" s="27" t="n">
        <v>93.34</v>
      </c>
      <c r="C88" s="27" t="n">
        <v>187.19</v>
      </c>
      <c r="D88" s="27" t="n">
        <v>90</v>
      </c>
      <c r="E88" s="67" t="n">
        <v>97.19</v>
      </c>
      <c r="F88" s="29" t="n">
        <v>0.0005241676143595421</v>
      </c>
    </row>
    <row r="89" hidden="1" outlineLevel="2" ht="15" customHeight="1">
      <c r="A89" s="12" t="inlineStr">
        <is>
          <t xml:space="preserve">    Utilities</t>
        </is>
      </c>
      <c r="B89" s="27" t="n">
        <v>0</v>
      </c>
      <c r="C89" s="27" t="n">
        <v>0</v>
      </c>
      <c r="D89" s="27" t="n">
        <v>2100</v>
      </c>
      <c r="E89" s="27" t="n">
        <v>-2100</v>
      </c>
      <c r="F89" s="29" t="n">
        <v>0</v>
      </c>
    </row>
    <row r="90" hidden="1" outlineLevel="2" ht="15" customHeight="1">
      <c r="A90" s="12" t="inlineStr">
        <is>
          <t xml:space="preserve">    Water</t>
        </is>
      </c>
      <c r="B90" s="27" t="n">
        <v>155.77</v>
      </c>
      <c r="C90" s="27" t="n">
        <v>312.4</v>
      </c>
      <c r="D90" s="27" t="n">
        <v>234</v>
      </c>
      <c r="E90" s="67" t="n">
        <v>78.39999999999998</v>
      </c>
      <c r="F90" s="29" t="n">
        <v>0.0008747545456265895</v>
      </c>
    </row>
    <row r="91" ht="45" customHeight="1">
      <c r="A91" s="57" t="inlineStr">
        <is>
          <t>Travel</t>
        </is>
      </c>
      <c r="B91" s="58" t="n">
        <v>16222.26</v>
      </c>
      <c r="C91" s="58" t="n">
        <v>32533.65</v>
      </c>
      <c r="D91" s="58" t="n">
        <v>41917</v>
      </c>
      <c r="E91" s="58" t="n">
        <v>-9383.349999999999</v>
      </c>
      <c r="F91" s="60" t="n">
        <v>0.09109902853782113</v>
      </c>
    </row>
    <row r="92" hidden="1" outlineLevel="1" ht="45" customHeight="1">
      <c r="A92" s="6" t="inlineStr">
        <is>
          <t xml:space="preserve">  Travel</t>
        </is>
      </c>
      <c r="B92" s="61" t="n">
        <v>16222.26</v>
      </c>
      <c r="C92" s="61" t="n">
        <v>32533.65</v>
      </c>
      <c r="D92" s="61" t="n">
        <v>41917</v>
      </c>
      <c r="E92" s="61" t="n">
        <v>-9383.349999999999</v>
      </c>
      <c r="F92" s="63" t="n">
        <v>0.09109902853782113</v>
      </c>
    </row>
    <row r="93" hidden="1" outlineLevel="2" ht="30" customHeight="1">
      <c r="A93" s="12" t="inlineStr">
        <is>
          <t xml:space="preserve">    Entertainment &amp; Recreation</t>
        </is>
      </c>
      <c r="B93" s="27" t="n">
        <v>8761.709999999999</v>
      </c>
      <c r="C93" s="27" t="n">
        <v>17571.56</v>
      </c>
      <c r="D93" s="27" t="n">
        <v>3270</v>
      </c>
      <c r="E93" s="67" t="n">
        <v>14301.56</v>
      </c>
      <c r="F93" s="29" t="n">
        <v>0.04920296366413266</v>
      </c>
    </row>
    <row r="94" hidden="1" outlineLevel="2" ht="30" customHeight="1">
      <c r="A94" s="12" t="inlineStr">
        <is>
          <t xml:space="preserve">    Recurring Travel Projection</t>
        </is>
      </c>
      <c r="B94" s="27" t="n">
        <v>0</v>
      </c>
      <c r="C94" s="27" t="n">
        <v>0</v>
      </c>
      <c r="D94" s="27" t="n">
        <v>25000</v>
      </c>
      <c r="E94" s="27" t="n">
        <v>-25000</v>
      </c>
      <c r="F94" s="29" t="n">
        <v>0</v>
      </c>
    </row>
    <row r="95" hidden="1" outlineLevel="2" ht="15" customHeight="1">
      <c r="A95" s="12" t="inlineStr">
        <is>
          <t xml:space="preserve">    Travel &amp; Vacation</t>
        </is>
      </c>
      <c r="B95" s="27" t="n">
        <v>3722.02</v>
      </c>
      <c r="C95" s="27" t="n">
        <v>7464.49</v>
      </c>
      <c r="D95" s="27" t="n">
        <v>8127</v>
      </c>
      <c r="E95" s="27" t="n">
        <v>-662.5100000000002</v>
      </c>
      <c r="F95" s="29" t="n">
        <v>0.0209016749946272</v>
      </c>
    </row>
    <row r="96" hidden="1" outlineLevel="2" ht="15" customHeight="1">
      <c r="A96" s="12" t="inlineStr">
        <is>
          <t xml:space="preserve">    Travel - Housing</t>
        </is>
      </c>
      <c r="B96" s="27" t="n">
        <v>2248</v>
      </c>
      <c r="C96" s="27" t="n">
        <v>4508.35</v>
      </c>
      <c r="D96" s="27" t="n">
        <v>2617</v>
      </c>
      <c r="E96" s="67" t="n">
        <v>1891.35</v>
      </c>
      <c r="F96" s="29" t="n">
        <v>0.01262404967945415</v>
      </c>
    </row>
    <row r="97" hidden="1" outlineLevel="2" ht="15" customHeight="1">
      <c r="A97" s="12" t="inlineStr">
        <is>
          <t xml:space="preserve">    Travel - Insurance</t>
        </is>
      </c>
      <c r="B97" s="27" t="n">
        <v>76</v>
      </c>
      <c r="C97" s="27" t="n">
        <v>152.42</v>
      </c>
      <c r="D97" s="27" t="n">
        <v>159</v>
      </c>
      <c r="E97" s="27" t="n">
        <v>-6.580000000000013</v>
      </c>
      <c r="F97" s="29" t="n">
        <v>0.0004267917151416884</v>
      </c>
    </row>
    <row r="98" hidden="1" outlineLevel="2" ht="30" customHeight="1">
      <c r="A98" s="12" t="inlineStr">
        <is>
          <t xml:space="preserve">    Travel - Plane/Train/Bus</t>
        </is>
      </c>
      <c r="B98" s="27" t="n">
        <v>1414.53</v>
      </c>
      <c r="C98" s="27" t="n">
        <v>2836.83</v>
      </c>
      <c r="D98" s="27" t="n">
        <v>2744</v>
      </c>
      <c r="E98" s="67" t="n">
        <v>92.82999999999993</v>
      </c>
      <c r="F98" s="29" t="n">
        <v>0.007943548484465428</v>
      </c>
    </row>
    <row r="99" ht="15" customHeight="1">
      <c r="A99" s="57" t="inlineStr">
        <is>
          <t>Large Discretionary</t>
        </is>
      </c>
      <c r="B99" s="58" t="n">
        <v>0</v>
      </c>
      <c r="C99" s="58" t="n">
        <v>0</v>
      </c>
      <c r="D99" s="59" t="inlineStr"/>
      <c r="E99" s="59" t="inlineStr"/>
      <c r="F99" s="60" t="n">
        <v>0</v>
      </c>
    </row>
    <row r="100" hidden="1" outlineLevel="1" ht="15" customHeight="1">
      <c r="A100" s="6" t="inlineStr">
        <is>
          <t xml:space="preserve">  Wedding</t>
        </is>
      </c>
      <c r="B100" s="61" t="n">
        <v>0</v>
      </c>
      <c r="C100" s="61" t="n">
        <v>0</v>
      </c>
      <c r="D100" s="62" t="inlineStr"/>
      <c r="E100" s="62" t="inlineStr"/>
      <c r="F100" s="63" t="n">
        <v>0</v>
      </c>
    </row>
    <row r="101" hidden="1" outlineLevel="2" ht="15" customHeight="1">
      <c r="A101" s="12" t="inlineStr">
        <is>
          <t xml:space="preserve">    Weddings</t>
        </is>
      </c>
      <c r="B101" s="27" t="n">
        <v>0</v>
      </c>
      <c r="C101" s="27" t="n">
        <v>0</v>
      </c>
      <c r="D101" s="64" t="inlineStr"/>
      <c r="E101" s="64" t="inlineStr"/>
      <c r="F101" s="29" t="n">
        <v>0</v>
      </c>
    </row>
    <row r="102" ht="45" customHeight="1">
      <c r="A102" s="57" t="inlineStr">
        <is>
          <t>Business</t>
        </is>
      </c>
      <c r="B102" s="58" t="n">
        <v>3106.05</v>
      </c>
      <c r="C102" s="58" t="n">
        <v>6229.17</v>
      </c>
      <c r="D102" s="58" t="n">
        <v>5060</v>
      </c>
      <c r="E102" s="65" t="n">
        <v>1169.17</v>
      </c>
      <c r="F102" s="60" t="n">
        <v>0.01744258430020844</v>
      </c>
    </row>
    <row r="103" hidden="1" outlineLevel="1" ht="45" customHeight="1">
      <c r="A103" s="6" t="inlineStr">
        <is>
          <t xml:space="preserve">  Business</t>
        </is>
      </c>
      <c r="B103" s="61" t="n">
        <v>3106.05</v>
      </c>
      <c r="C103" s="61" t="n">
        <v>6229.17</v>
      </c>
      <c r="D103" s="61" t="n">
        <v>5060</v>
      </c>
      <c r="E103" s="66" t="n">
        <v>1169.17</v>
      </c>
      <c r="F103" s="63" t="n">
        <v>0.01744258430020844</v>
      </c>
    </row>
    <row r="104" hidden="1" outlineLevel="2" ht="15" customHeight="1">
      <c r="A104" s="12" t="inlineStr">
        <is>
          <t xml:space="preserve">    Business Auto Expenses</t>
        </is>
      </c>
      <c r="B104" s="27" t="n">
        <v>99.73999999999999</v>
      </c>
      <c r="C104" s="27" t="n">
        <v>200.03</v>
      </c>
      <c r="D104" s="27" t="n">
        <v>131</v>
      </c>
      <c r="E104" s="67" t="n">
        <v>69.03</v>
      </c>
      <c r="F104" s="29" t="n">
        <v>0.0005601079693188421</v>
      </c>
    </row>
    <row r="105" hidden="1" outlineLevel="2" ht="15" customHeight="1">
      <c r="A105" s="12" t="inlineStr">
        <is>
          <t xml:space="preserve">    Business Events</t>
        </is>
      </c>
      <c r="B105" s="27" t="n">
        <v>-48.27</v>
      </c>
      <c r="C105" s="27" t="n">
        <v>-96.81</v>
      </c>
      <c r="D105" s="27" t="n">
        <v>633</v>
      </c>
      <c r="E105" s="27" t="n">
        <v>-729.8099999999999</v>
      </c>
      <c r="F105" s="29" t="n">
        <v>-0.0002710688959195961</v>
      </c>
    </row>
    <row r="106" hidden="1" outlineLevel="2" ht="30" customHeight="1">
      <c r="A106" s="12" t="inlineStr">
        <is>
          <t xml:space="preserve">    Business Hardware and Software</t>
        </is>
      </c>
      <c r="B106" s="27" t="n">
        <v>379.95</v>
      </c>
      <c r="C106" s="27" t="n">
        <v>761.99</v>
      </c>
      <c r="D106" s="27" t="n">
        <v>340</v>
      </c>
      <c r="E106" s="67" t="n">
        <v>421.99</v>
      </c>
      <c r="F106" s="29" t="n">
        <v>0.002133677791685322</v>
      </c>
    </row>
    <row r="107" hidden="1" outlineLevel="2" ht="15" customHeight="1">
      <c r="A107" s="12" t="inlineStr">
        <is>
          <t xml:space="preserve">    Business Memberships</t>
        </is>
      </c>
      <c r="B107" s="27" t="n">
        <v>495</v>
      </c>
      <c r="C107" s="27" t="n">
        <v>992.72</v>
      </c>
      <c r="D107" s="27" t="n">
        <v>2108</v>
      </c>
      <c r="E107" s="27" t="n">
        <v>-1115.28</v>
      </c>
      <c r="F107" s="29" t="n">
        <v>0.002779761828883365</v>
      </c>
    </row>
    <row r="108" hidden="1" outlineLevel="2" ht="15" customHeight="1">
      <c r="A108" s="12" t="inlineStr">
        <is>
          <t xml:space="preserve">    Business Taxi - Uber</t>
        </is>
      </c>
      <c r="B108" s="27" t="n">
        <v>24.44</v>
      </c>
      <c r="C108" s="27" t="n">
        <v>49.01</v>
      </c>
      <c r="D108" s="27" t="n">
        <v>28</v>
      </c>
      <c r="E108" s="67" t="n">
        <v>21.01</v>
      </c>
      <c r="F108" s="29" t="n">
        <v>0.0001372472305008272</v>
      </c>
    </row>
    <row r="109" hidden="1" outlineLevel="2" ht="15" customHeight="1">
      <c r="A109" s="12" t="inlineStr">
        <is>
          <t xml:space="preserve">    Business Travel &amp; Meals</t>
        </is>
      </c>
      <c r="B109" s="27" t="n">
        <v>800.37</v>
      </c>
      <c r="C109" s="27" t="n">
        <v>1605.14</v>
      </c>
      <c r="D109" s="27" t="n">
        <v>1679</v>
      </c>
      <c r="E109" s="27" t="n">
        <v>-73.8599999999999</v>
      </c>
      <c r="F109" s="29" t="n">
        <v>0.004494622171683594</v>
      </c>
    </row>
    <row r="110" hidden="1" outlineLevel="2" ht="30" customHeight="1">
      <c r="A110" s="12" t="inlineStr">
        <is>
          <t xml:space="preserve">    Office Supplies &amp; Expenses</t>
        </is>
      </c>
      <c r="B110" s="27" t="n">
        <v>1354.82</v>
      </c>
      <c r="C110" s="27" t="n">
        <v>2717.08</v>
      </c>
      <c r="D110" s="27" t="n">
        <v>141</v>
      </c>
      <c r="E110" s="67" t="n">
        <v>2576.08</v>
      </c>
      <c r="F110" s="29" t="n">
        <v>0.007608236204056082</v>
      </c>
    </row>
    <row r="111"/>
    <row r="112" ht="30" customHeight="1">
      <c r="A112" s="11" t="inlineStr">
        <is>
          <t>TOTAL SPENDING</t>
        </is>
      </c>
      <c r="B112" s="30" t="n">
        <v>178072.81</v>
      </c>
      <c r="C112" s="30" t="n">
        <v>357124.04</v>
      </c>
      <c r="D112" s="30" t="n">
        <v>336194</v>
      </c>
      <c r="E112" s="68" t="n">
        <v>20930.03999999998</v>
      </c>
      <c r="F112" s="31" t="n">
        <v>1</v>
      </c>
    </row>
  </sheetData>
  <mergeCells count="4">
    <mergeCell ref="A3"/>
    <mergeCell ref="A2"/>
    <mergeCell ref="A1:F1"/>
    <mergeCell ref="A4"/>
  </mergeCells>
  <pageMargins left="0.75" right="0.75" top="1" bottom="1" header="0.5" footer="0.5"/>
</worksheet>
</file>

<file path=xl/worksheets/sheet10.xml><?xml version="1.0" encoding="utf-8"?>
<worksheet xmlns="http://schemas.openxmlformats.org/spreadsheetml/2006/main">
  <sheetPr>
    <tabColor rgb="007030A0"/>
    <outlinePr summaryBelow="1" summaryRight="1"/>
    <pageSetUpPr/>
  </sheetPr>
  <dimension ref="A1:H15"/>
  <sheetViews>
    <sheetView showGridLines="0" workbookViewId="0">
      <selection activeCell="A1" sqref="A1"/>
    </sheetView>
  </sheetViews>
  <sheetFormatPr baseColWidth="8" defaultRowHeight="15"/>
  <cols>
    <col width="14.6" customWidth="1" min="1" max="1"/>
    <col width="13.7" customWidth="1" min="2" max="2"/>
    <col width="21.3" customWidth="1" min="3" max="3"/>
    <col width="13.7" customWidth="1" min="4" max="4"/>
    <col width="13.7" customWidth="1" min="5" max="5"/>
    <col width="13.7" customWidth="1" min="6" max="6"/>
    <col width="13.7" customWidth="1" min="7" max="7"/>
    <col width="13.7" customWidth="1" min="8" max="8"/>
  </cols>
  <sheetData>
    <row r="1" ht="18" customHeight="1">
      <c r="A1" s="69" t="inlineStr">
        <is>
          <t>2. OPTIMIZERS</t>
        </is>
      </c>
    </row>
    <row r="2" ht="20" customHeight="1"/>
    <row r="3" ht="15" customHeight="1">
      <c r="A3" s="2" t="inlineStr">
        <is>
          <t>Decision-support modules and optimization outputs.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2. Optimizers</t>
        </is>
      </c>
      <c r="B6" s="4" t="n"/>
      <c r="C6" s="7" t="inlineStr">
        <is>
          <t>2A. Roth Conversion</t>
        </is>
      </c>
      <c r="D6" s="3" t="n"/>
      <c r="E6" s="3" t="n"/>
      <c r="F6" s="3" t="n"/>
      <c r="G6" s="4" t="n"/>
    </row>
    <row r="7" ht="15" customHeight="1">
      <c r="C7" s="7" t="inlineStr">
        <is>
          <t>2B. Asset Allocation</t>
        </is>
      </c>
      <c r="D7" s="3" t="n"/>
      <c r="E7" s="3" t="n"/>
      <c r="F7" s="3" t="n"/>
      <c r="G7" s="4" t="n"/>
    </row>
    <row r="8" ht="15" customHeight="1">
      <c r="C8" s="7" t="inlineStr">
        <is>
          <t>2C. State Residency</t>
        </is>
      </c>
      <c r="D8" s="3" t="n"/>
      <c r="E8" s="3" t="n"/>
      <c r="F8" s="3" t="n"/>
      <c r="G8" s="4" t="n"/>
    </row>
    <row r="9" ht="15" customHeight="1">
      <c r="C9" s="7" t="inlineStr">
        <is>
          <t>2D. Social Security</t>
        </is>
      </c>
      <c r="D9" s="3" t="n"/>
      <c r="E9" s="3" t="n"/>
      <c r="F9" s="3" t="n"/>
      <c r="G9" s="4" t="n"/>
    </row>
    <row r="10" ht="15" customHeight="1">
      <c r="C10" s="7" t="inlineStr">
        <is>
          <t>2E. S-Corp vs LLC</t>
        </is>
      </c>
      <c r="D10" s="3" t="n"/>
      <c r="E10" s="3" t="n"/>
      <c r="F10" s="3" t="n"/>
      <c r="G10" s="4" t="n"/>
    </row>
    <row r="11" ht="15" customHeight="1">
      <c r="C11" s="7" t="inlineStr">
        <is>
          <t>2F. Charitable Giving</t>
        </is>
      </c>
      <c r="D11" s="3" t="n"/>
      <c r="E11" s="3" t="n"/>
      <c r="F11" s="3" t="n"/>
      <c r="G11" s="4" t="n"/>
    </row>
    <row r="12" ht="15" customHeight="1">
      <c r="C12" s="7" t="inlineStr">
        <is>
          <t>2G. Estate &amp; Legacy Planning</t>
        </is>
      </c>
      <c r="D12" s="3" t="n"/>
      <c r="E12" s="3" t="n"/>
      <c r="F12" s="3" t="n"/>
      <c r="G12" s="4" t="n"/>
    </row>
    <row r="13" ht="15" customHeight="1">
      <c r="C13" s="7" t="inlineStr">
        <is>
          <t>2H. Planning Levers</t>
        </is>
      </c>
      <c r="D13" s="3" t="n"/>
      <c r="E13" s="3" t="n"/>
      <c r="F13" s="3" t="n"/>
      <c r="G13" s="4" t="n"/>
    </row>
    <row r="14" ht="20" customHeight="1"/>
    <row r="15" ht="30" customHeight="1">
      <c r="A15" s="8" t="inlineStr">
        <is>
          <t>This workbook is an output/reporting surface. Edit plan data in the app database; use CSV only for import/export utilities.</t>
        </is>
      </c>
      <c r="B15" s="3" t="n"/>
      <c r="C15" s="3" t="n"/>
      <c r="D15" s="3" t="n"/>
      <c r="E15" s="3" t="n"/>
      <c r="F15" s="3" t="n"/>
      <c r="G15" s="3" t="n"/>
      <c r="H15" s="4" t="n"/>
    </row>
    <row r="16" ht="20" customHeight="1"/>
  </sheetData>
  <mergeCells count="14">
    <mergeCell ref="A3:H3"/>
    <mergeCell ref="C7:G7"/>
    <mergeCell ref="C12:G12"/>
    <mergeCell ref="A15:H15"/>
    <mergeCell ref="C6:G6"/>
    <mergeCell ref="C10:G10"/>
    <mergeCell ref="A5:B5"/>
    <mergeCell ref="C11:G11"/>
    <mergeCell ref="C5:G5"/>
    <mergeCell ref="A1:H1"/>
    <mergeCell ref="C13:G13"/>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s>
  <pageMargins left="0.75" right="0.75" top="1" bottom="1" header="0.5" footer="0.5"/>
</worksheet>
</file>

<file path=xl/worksheets/sheet11.xml><?xml version="1.0" encoding="utf-8"?>
<worksheet xmlns="http://schemas.openxmlformats.org/spreadsheetml/2006/main">
  <sheetPr>
    <tabColor rgb="007030A0"/>
    <outlinePr summaryBelow="1" summaryRight="1"/>
    <pageSetUpPr/>
  </sheetPr>
  <dimension ref="A1:O38"/>
  <sheetViews>
    <sheetView showGridLines="0" workbookViewId="0">
      <selection activeCell="A1" sqref="A1"/>
    </sheetView>
  </sheetViews>
  <sheetFormatPr baseColWidth="8" defaultRowHeight="15"/>
  <cols>
    <col width="8" customWidth="1" min="1" max="1"/>
    <col width="8" customWidth="1" min="2" max="2"/>
    <col width="8" customWidth="1" min="3" max="3"/>
    <col width="9.4" customWidth="1" min="4" max="4"/>
    <col width="9.4" customWidth="1" min="5" max="5"/>
    <col width="9.4" customWidth="1" min="6" max="6"/>
    <col width="9.4" customWidth="1" min="7" max="7"/>
    <col width="9.4" customWidth="1" min="8" max="8"/>
    <col width="9.4" customWidth="1" min="9" max="9"/>
    <col width="9.4" customWidth="1" min="10" max="10"/>
    <col width="8" customWidth="1" min="11" max="11"/>
    <col width="8" customWidth="1" min="12" max="12"/>
    <col width="9.4" customWidth="1" min="13" max="13"/>
    <col width="9.4" customWidth="1" min="14" max="14"/>
    <col width="8" customWidth="1" min="15" max="15"/>
  </cols>
  <sheetData>
    <row r="1" ht="18" customHeight="1">
      <c r="A1" s="9" t="inlineStr">
        <is>
          <t>ROTH CONVERSION PLAN — Canonical Strategy Result</t>
        </is>
      </c>
    </row>
    <row r="2"/>
    <row r="3" ht="15" customHeight="1">
      <c r="A3" s="13" t="inlineStr">
        <is>
          <t>AUTO-OPTIMIZED ROTH CONVERSION STRATEGY — WHY THIS STRATEGY WAS SELECTED</t>
        </is>
      </c>
      <c r="B3" s="3" t="n"/>
      <c r="C3" s="3" t="n"/>
      <c r="D3" s="3" t="n"/>
      <c r="E3" s="3" t="n"/>
      <c r="F3" s="3" t="n"/>
      <c r="G3" s="3" t="n"/>
      <c r="H3" s="3" t="n"/>
      <c r="I3" s="3" t="n"/>
      <c r="J3" s="3" t="n"/>
      <c r="K3" s="3" t="n"/>
      <c r="L3" s="3" t="n"/>
      <c r="M3" s="3" t="n"/>
      <c r="N3" s="4" t="n"/>
    </row>
    <row r="4" ht="45" customHeight="1">
      <c r="A4" s="11" t="inlineStr">
        <is>
          <t>Selected Strategy</t>
        </is>
      </c>
      <c r="B4" s="2" t="inlineStr">
        <is>
          <t>fill_to_bracket</t>
        </is>
      </c>
      <c r="D4" s="11" t="inlineStr">
        <is>
          <t>Objective Mode</t>
        </is>
      </c>
      <c r="E4" s="12" t="inlineStr">
        <is>
          <t>BALANCED_RETIREMENT</t>
        </is>
      </c>
      <c r="G4" s="11" t="inlineStr">
        <is>
          <t>Target Bracket</t>
        </is>
      </c>
      <c r="H4" s="70" t="n">
        <v>0.22</v>
      </c>
    </row>
    <row r="5" ht="30" customHeight="1">
      <c r="A5" s="11" t="inlineStr">
        <is>
          <t>Explanation</t>
        </is>
      </c>
      <c r="B5" s="12" t="inlineStr">
        <is>
          <t>The optimizer selected the top total objective score from the candidate strategy table below.</t>
        </is>
      </c>
      <c r="C5" s="3" t="n"/>
      <c r="D5" s="3" t="n"/>
      <c r="E5" s="3" t="n"/>
      <c r="F5" s="3" t="n"/>
      <c r="G5" s="3" t="n"/>
      <c r="H5" s="3" t="n"/>
      <c r="I5" s="3" t="n"/>
      <c r="J5" s="3" t="n"/>
      <c r="K5" s="3" t="n"/>
      <c r="L5" s="3" t="n"/>
      <c r="M5" s="3" t="n"/>
      <c r="N5" s="4" t="n"/>
    </row>
    <row r="6" ht="45" customHeight="1">
      <c r="A6" s="11" t="inlineStr">
        <is>
          <t>Conversion Totals</t>
        </is>
      </c>
      <c r="B6" s="12" t="inlineStr">
        <is>
          <t>Forced/user-directed conversions are shown separately from optimizer-selected voluntary conversions. The strategy uses 100% tax-bracket headroom and 100% IRMAA headroom.</t>
        </is>
      </c>
      <c r="C6" s="3" t="n"/>
      <c r="D6" s="3" t="n"/>
      <c r="E6" s="3" t="n"/>
      <c r="F6" s="3" t="n"/>
      <c r="G6" s="3" t="n"/>
      <c r="H6" s="3" t="n"/>
      <c r="I6" s="3" t="n"/>
      <c r="J6" s="3" t="n"/>
      <c r="K6" s="3" t="n"/>
      <c r="L6" s="3" t="n"/>
      <c r="M6" s="3" t="n"/>
      <c r="N6" s="4" t="n"/>
    </row>
    <row r="7"/>
    <row r="8" ht="15" customHeight="1">
      <c r="A8" s="13" t="inlineStr">
        <is>
          <t>Candidate Strategy Comparison — Score Components and Rejection Reasons</t>
        </is>
      </c>
      <c r="B8" s="3" t="n"/>
      <c r="C8" s="3" t="n"/>
      <c r="D8" s="3" t="n"/>
      <c r="E8" s="3" t="n"/>
      <c r="F8" s="3" t="n"/>
      <c r="G8" s="3" t="n"/>
      <c r="H8" s="3" t="n"/>
      <c r="I8" s="3" t="n"/>
      <c r="J8" s="3" t="n"/>
      <c r="K8" s="3" t="n"/>
      <c r="L8" s="3" t="n"/>
      <c r="M8" s="3" t="n"/>
      <c r="N8" s="4" t="n"/>
    </row>
    <row r="9" ht="45" customHeight="1">
      <c r="A9" s="71" t="inlineStr">
        <is>
          <t>Rank</t>
        </is>
      </c>
      <c r="B9" s="71" t="inlineStr">
        <is>
          <t>Candidate</t>
        </is>
      </c>
      <c r="C9" s="71" t="inlineStr">
        <is>
          <t>Policy</t>
        </is>
      </c>
      <c r="D9" s="71" t="inlineStr">
        <is>
          <t>Total Score</t>
        </is>
      </c>
      <c r="E9" s="71" t="inlineStr">
        <is>
          <t>Terminal Wealth Score</t>
        </is>
      </c>
      <c r="F9" s="71" t="inlineStr">
        <is>
          <t>Tax Efficiency Score</t>
        </is>
      </c>
      <c r="G9" s="71" t="inlineStr">
        <is>
          <t>Roth Legacy Score</t>
        </is>
      </c>
      <c r="H9" s="71" t="inlineStr">
        <is>
          <t>Estate-Tax Score</t>
        </is>
      </c>
      <c r="I9" s="71" t="inlineStr">
        <is>
          <t>Survivor-Risk Score</t>
        </is>
      </c>
      <c r="J9" s="71" t="inlineStr">
        <is>
          <t>Liquidity Score</t>
        </is>
      </c>
      <c r="K9" s="71" t="inlineStr">
        <is>
          <t>Conversions</t>
        </is>
      </c>
      <c r="L9" s="71" t="inlineStr">
        <is>
          <t>Lifetime Tax</t>
        </is>
      </c>
      <c r="M9" s="71" t="inlineStr">
        <is>
          <t>After-Tax Terminal NW</t>
        </is>
      </c>
      <c r="N9" s="71" t="inlineStr">
        <is>
          <t>Why selected / rejected</t>
        </is>
      </c>
    </row>
    <row r="10"/>
    <row r="11"/>
    <row r="12" ht="15" customHeight="1">
      <c r="A12" s="13" t="inlineStr">
        <is>
          <t>Year-by-Year Conversion Schedule with Binding Constraints</t>
        </is>
      </c>
      <c r="B12" s="3" t="n"/>
      <c r="C12" s="3" t="n"/>
      <c r="D12" s="3" t="n"/>
      <c r="E12" s="3" t="n"/>
      <c r="F12" s="3" t="n"/>
      <c r="G12" s="3" t="n"/>
      <c r="H12" s="3" t="n"/>
      <c r="I12" s="3" t="n"/>
      <c r="J12" s="3" t="n"/>
      <c r="K12" s="3" t="n"/>
      <c r="L12" s="3" t="n"/>
      <c r="M12" s="3" t="n"/>
      <c r="N12" s="3" t="n"/>
      <c r="O12" s="4" t="n"/>
    </row>
    <row r="13" ht="45" customHeight="1">
      <c r="A13" s="71" t="inlineStr">
        <is>
          <t>Year</t>
        </is>
      </c>
      <c r="B13" s="71" t="inlineStr">
        <is>
          <t>Type</t>
        </is>
      </c>
      <c r="C13" s="71" t="inlineStr">
        <is>
          <t>Source Account</t>
        </is>
      </c>
      <c r="D13" s="71" t="inlineStr">
        <is>
          <t>Pre-Conv AGI</t>
        </is>
      </c>
      <c r="E13" s="71" t="inlineStr">
        <is>
          <t>Target Bracket Top</t>
        </is>
      </c>
      <c r="F13" s="71" t="inlineStr">
        <is>
          <t>Brkt Headroom</t>
        </is>
      </c>
      <c r="G13" s="71" t="inlineStr">
        <is>
          <t>H IRA Avail</t>
        </is>
      </c>
      <c r="H13" s="71" t="inlineStr">
        <is>
          <t>W IRA Avail</t>
        </is>
      </c>
      <c r="I13" s="71" t="inlineStr">
        <is>
          <t>Non-Roth Surplus</t>
        </is>
      </c>
      <c r="J13" s="72" t="inlineStr">
        <is>
          <t>Conversion</t>
        </is>
      </c>
      <c r="K13" s="71" t="inlineStr">
        <is>
          <t>Primary Binding Limit</t>
        </is>
      </c>
      <c r="L13" s="71" t="inlineStr">
        <is>
          <t>Secondary Binding Limit</t>
        </is>
      </c>
      <c r="M13" s="72" t="inlineStr">
        <is>
          <t>Post-Conv AGI</t>
        </is>
      </c>
      <c r="N13" s="71" t="inlineStr">
        <is>
          <t>IRMAA Thr</t>
        </is>
      </c>
      <c r="O13" s="72" t="inlineStr">
        <is>
          <t>Status</t>
        </is>
      </c>
    </row>
    <row r="14" ht="45" customHeight="1">
      <c r="A14" s="73" t="n">
        <v>2026</v>
      </c>
      <c r="B14" s="41" t="inlineStr">
        <is>
          <t>—</t>
        </is>
      </c>
      <c r="C14" s="12" t="inlineStr">
        <is>
          <t>—</t>
        </is>
      </c>
      <c r="D14" s="27" t="n">
        <v>322202.71581734</v>
      </c>
      <c r="E14" s="27" t="n">
        <v>210834</v>
      </c>
      <c r="F14" s="27" t="n">
        <v>0</v>
      </c>
      <c r="G14" s="27" t="n">
        <v>1348305.03664</v>
      </c>
      <c r="H14" s="27" t="n">
        <v>454861.506731</v>
      </c>
      <c r="I14" s="27" t="n">
        <v>580483.0642142202</v>
      </c>
      <c r="J14" s="27" t="n">
        <v>0</v>
      </c>
      <c r="K14" s="12" t="inlineStr">
        <is>
          <t>—</t>
        </is>
      </c>
      <c r="L14" s="12" t="inlineStr">
        <is>
          <t>—</t>
        </is>
      </c>
      <c r="M14" s="27" t="n">
        <v>322202.71581734</v>
      </c>
      <c r="N14" s="27" t="n">
        <v>268000</v>
      </c>
      <c r="O14" s="74" t="inlineStr">
        <is>
          <t>AGI &gt; target bracket</t>
        </is>
      </c>
    </row>
    <row r="15" ht="60" customHeight="1">
      <c r="A15" s="73" t="n">
        <v>2027</v>
      </c>
      <c r="B15" s="41" t="inlineStr">
        <is>
          <t>Voluntary</t>
        </is>
      </c>
      <c r="C15" s="12" t="inlineStr">
        <is>
          <t>Wife_IRA $166,689→Wife_Roth</t>
        </is>
      </c>
      <c r="D15" s="27" t="n">
        <v>48361.91143604762</v>
      </c>
      <c r="E15" s="27" t="n">
        <v>215050.68</v>
      </c>
      <c r="F15" s="27" t="n">
        <v>166688.7685639524</v>
      </c>
      <c r="G15" s="27" t="n">
        <v>1429203.3388384</v>
      </c>
      <c r="H15" s="27" t="n">
        <v>482153.19713486</v>
      </c>
      <c r="I15" s="27" t="n">
        <v>304682.4224866473</v>
      </c>
      <c r="J15" s="28" t="n">
        <v>166688.7685639524</v>
      </c>
      <c r="K15" s="12" t="inlineStr">
        <is>
          <t>22% bracket</t>
        </is>
      </c>
      <c r="L15" s="12" t="inlineStr">
        <is>
          <t>IRA balance</t>
        </is>
      </c>
      <c r="M15" s="27" t="n">
        <v>215050.68</v>
      </c>
      <c r="N15" s="27" t="n">
        <v>273360</v>
      </c>
      <c r="O15" s="75" t="inlineStr">
        <is>
          <t>✓ OK</t>
        </is>
      </c>
    </row>
    <row r="16" ht="60" customHeight="1">
      <c r="A16" s="73" t="n">
        <v>2028</v>
      </c>
      <c r="B16" s="41" t="inlineStr">
        <is>
          <t>Voluntary</t>
        </is>
      </c>
      <c r="C16" s="12" t="inlineStr">
        <is>
          <t>Wife_IRA $153,324→Wife_Roth</t>
        </is>
      </c>
      <c r="D16" s="27" t="n">
        <v>66027.92954863499</v>
      </c>
      <c r="E16" s="27" t="n">
        <v>219351.6936</v>
      </c>
      <c r="F16" s="27" t="n">
        <v>153323.764051365</v>
      </c>
      <c r="G16" s="27" t="n">
        <v>1464323.531788851</v>
      </c>
      <c r="H16" s="27" t="n">
        <v>323216.4196972499</v>
      </c>
      <c r="I16" s="27" t="n">
        <v>93674.46578717872</v>
      </c>
      <c r="J16" s="28" t="n">
        <v>153323.764051365</v>
      </c>
      <c r="K16" s="12" t="inlineStr">
        <is>
          <t>22% bracket</t>
        </is>
      </c>
      <c r="L16" s="12" t="inlineStr">
        <is>
          <t>IRA balance</t>
        </is>
      </c>
      <c r="M16" s="27" t="n">
        <v>219351.6936</v>
      </c>
      <c r="N16" s="27" t="n">
        <v>278827.2</v>
      </c>
      <c r="O16" s="75" t="inlineStr">
        <is>
          <t>✓ OK</t>
        </is>
      </c>
    </row>
    <row r="17" ht="60" customHeight="1">
      <c r="A17" s="73" t="n">
        <v>2029</v>
      </c>
      <c r="B17" s="41" t="inlineStr">
        <is>
          <t>Voluntary</t>
        </is>
      </c>
      <c r="C17" s="12" t="inlineStr">
        <is>
          <t>Wife_IRA $82,860→Wife_Roth</t>
        </is>
      </c>
      <c r="D17" s="27" t="n">
        <v>140878.3693092104</v>
      </c>
      <c r="E17" s="27" t="n">
        <v>223738.727472</v>
      </c>
      <c r="F17" s="27" t="n">
        <v>82860.35816278958</v>
      </c>
      <c r="G17" s="27" t="n">
        <v>1495692.945245416</v>
      </c>
      <c r="H17" s="27" t="n">
        <v>173532.1744014696</v>
      </c>
      <c r="I17" s="27" t="n">
        <v>-22410.85102801774</v>
      </c>
      <c r="J17" s="28" t="n">
        <v>82860.35816278958</v>
      </c>
      <c r="K17" s="12" t="inlineStr">
        <is>
          <t>22% bracket</t>
        </is>
      </c>
      <c r="L17" s="12" t="inlineStr">
        <is>
          <t>IRA balance</t>
        </is>
      </c>
      <c r="M17" s="27" t="n">
        <v>220819.7327319301</v>
      </c>
      <c r="N17" s="27" t="n">
        <v>284403.7440000001</v>
      </c>
      <c r="O17" s="75" t="inlineStr">
        <is>
          <t>✓ OK</t>
        </is>
      </c>
    </row>
    <row r="18" ht="90" customHeight="1">
      <c r="A18" s="73" t="n">
        <v>2030</v>
      </c>
      <c r="B18" s="41" t="inlineStr">
        <is>
          <t>Voluntary</t>
        </is>
      </c>
      <c r="C18" s="12" t="inlineStr">
        <is>
          <t>Wife_IRA $92,260→Wife_Roth + Husband_IRA $975→Husband_Roth</t>
        </is>
      </c>
      <c r="D18" s="27" t="n">
        <v>134979.1076413298</v>
      </c>
      <c r="E18" s="27" t="n">
        <v>228213.50202144</v>
      </c>
      <c r="F18" s="27" t="n">
        <v>93234.3943801102</v>
      </c>
      <c r="G18" s="27" t="n">
        <v>1521887.796165002</v>
      </c>
      <c r="H18" s="27" t="n">
        <v>92259.79906398551</v>
      </c>
      <c r="I18" s="27" t="n">
        <v>-70012.59648007392</v>
      </c>
      <c r="J18" s="28" t="n">
        <v>93234.3943801102</v>
      </c>
      <c r="K18" s="12" t="inlineStr">
        <is>
          <t>22% bracket</t>
        </is>
      </c>
      <c r="L18" s="12" t="inlineStr">
        <is>
          <t>IRA balance</t>
        </is>
      </c>
      <c r="M18" s="27" t="n">
        <v>225306.1969591854</v>
      </c>
      <c r="N18" s="27" t="n">
        <v>290091.81888</v>
      </c>
      <c r="O18" s="75" t="inlineStr">
        <is>
          <t>✓ OK</t>
        </is>
      </c>
    </row>
    <row r="19" ht="60" customHeight="1">
      <c r="A19" s="73" t="n">
        <v>2031</v>
      </c>
      <c r="B19" s="41" t="inlineStr">
        <is>
          <t>Voluntary</t>
        </is>
      </c>
      <c r="C19" s="12" t="inlineStr">
        <is>
          <t>Husband_IRA $62,151→Husband_Roth</t>
        </is>
      </c>
      <c r="D19" s="27" t="n">
        <v>170626.4476207162</v>
      </c>
      <c r="E19" s="27" t="n">
        <v>232777.7720618688</v>
      </c>
      <c r="F19" s="27" t="n">
        <v>62151.3244411526</v>
      </c>
      <c r="G19" s="27" t="n">
        <v>1491201.805008892</v>
      </c>
      <c r="H19" s="27" t="n">
        <v>0</v>
      </c>
      <c r="I19" s="27" t="n">
        <v>-88651.83232776608</v>
      </c>
      <c r="J19" s="28" t="n">
        <v>62151.3244411526</v>
      </c>
      <c r="K19" s="12" t="inlineStr">
        <is>
          <t>22% bracket</t>
        </is>
      </c>
      <c r="L19" s="12" t="inlineStr">
        <is>
          <t>IRA balance</t>
        </is>
      </c>
      <c r="M19" s="27" t="n">
        <v>229881.6915994137</v>
      </c>
      <c r="N19" s="27" t="n">
        <v>295893.6552576</v>
      </c>
      <c r="O19" s="75" t="inlineStr">
        <is>
          <t>✓ OK</t>
        </is>
      </c>
    </row>
    <row r="20" ht="60" customHeight="1">
      <c r="A20" s="73" t="n">
        <v>2032</v>
      </c>
      <c r="B20" s="41" t="inlineStr">
        <is>
          <t>Voluntary</t>
        </is>
      </c>
      <c r="C20" s="12" t="inlineStr">
        <is>
          <t>Husband_IRA $44,530→Husband_Roth</t>
        </is>
      </c>
      <c r="D20" s="27" t="n">
        <v>192903.0383062721</v>
      </c>
      <c r="E20" s="27" t="n">
        <v>237433.3275031062</v>
      </c>
      <c r="F20" s="27" t="n">
        <v>44530.28919683411</v>
      </c>
      <c r="G20" s="27" t="n">
        <v>1390819.486806385</v>
      </c>
      <c r="H20" s="27" t="n">
        <v>0</v>
      </c>
      <c r="I20" s="27" t="n">
        <v>-172716.7554279833</v>
      </c>
      <c r="J20" s="28" t="n">
        <v>44530.28919683411</v>
      </c>
      <c r="K20" s="12" t="inlineStr">
        <is>
          <t>22% bracket</t>
        </is>
      </c>
      <c r="L20" s="12" t="inlineStr">
        <is>
          <t>IRA balance</t>
        </is>
      </c>
      <c r="M20" s="27" t="n">
        <v>234547.7465254567</v>
      </c>
      <c r="N20" s="27" t="n">
        <v>301811.528362752</v>
      </c>
      <c r="O20" s="75" t="inlineStr">
        <is>
          <t>✓ OK</t>
        </is>
      </c>
    </row>
    <row r="21" ht="60" customHeight="1">
      <c r="A21" s="73" t="n">
        <v>2033</v>
      </c>
      <c r="B21" s="41" t="inlineStr">
        <is>
          <t>Voluntary</t>
        </is>
      </c>
      <c r="C21" s="12" t="inlineStr">
        <is>
          <t>Husband_IRA $50,558→Husband_Roth</t>
        </is>
      </c>
      <c r="D21" s="27" t="n">
        <v>191624.3125698421</v>
      </c>
      <c r="E21" s="27" t="n">
        <v>242181.9940531683</v>
      </c>
      <c r="F21" s="27" t="n">
        <v>50557.68148332619</v>
      </c>
      <c r="G21" s="27" t="n">
        <v>1194968.591108165</v>
      </c>
      <c r="H21" s="27" t="n">
        <v>0</v>
      </c>
      <c r="I21" s="27" t="n">
        <v>-81023.36703733982</v>
      </c>
      <c r="J21" s="28" t="n">
        <v>50557.68148332619</v>
      </c>
      <c r="K21" s="12" t="inlineStr">
        <is>
          <t>22% bracket</t>
        </is>
      </c>
      <c r="L21" s="12" t="inlineStr">
        <is>
          <t>IRA balance</t>
        </is>
      </c>
      <c r="M21" s="27" t="n">
        <v>239306.2166857054</v>
      </c>
      <c r="N21" s="27" t="n">
        <v>307847.7589300071</v>
      </c>
      <c r="O21" s="75" t="inlineStr">
        <is>
          <t>✓ OK</t>
        </is>
      </c>
    </row>
    <row r="22" ht="60" customHeight="1">
      <c r="A22" s="73" t="n">
        <v>2034</v>
      </c>
      <c r="B22" s="41" t="inlineStr">
        <is>
          <t>Voluntary</t>
        </is>
      </c>
      <c r="C22" s="12" t="inlineStr">
        <is>
          <t>Husband_IRA $56,615→Husband_Roth</t>
        </is>
      </c>
      <c r="D22" s="27" t="n">
        <v>190410.5330882793</v>
      </c>
      <c r="E22" s="27" t="n">
        <v>247025.6339342317</v>
      </c>
      <c r="F22" s="27" t="n">
        <v>56615.1008459524</v>
      </c>
      <c r="G22" s="27" t="n">
        <v>1104685.825796226</v>
      </c>
      <c r="H22" s="27" t="n">
        <v>0</v>
      </c>
      <c r="I22" s="27" t="n">
        <v>-148908.7465654061</v>
      </c>
      <c r="J22" s="28" t="n">
        <v>56615.1008459524</v>
      </c>
      <c r="K22" s="12" t="inlineStr">
        <is>
          <t>22% bracket</t>
        </is>
      </c>
      <c r="L22" s="12" t="inlineStr">
        <is>
          <t>IRA balance</t>
        </is>
      </c>
      <c r="M22" s="27" t="n">
        <v>244158.9925338892</v>
      </c>
      <c r="N22" s="27" t="n">
        <v>314004.7141086072</v>
      </c>
      <c r="O22" s="75" t="inlineStr">
        <is>
          <t>✓ OK</t>
        </is>
      </c>
    </row>
    <row r="23" ht="60" customHeight="1">
      <c r="A23" s="73" t="n">
        <v>2035</v>
      </c>
      <c r="B23" s="41" t="inlineStr">
        <is>
          <t>Voluntary</t>
        </is>
      </c>
      <c r="C23" s="12" t="inlineStr">
        <is>
          <t>Husband_IRA $57,327→Husband_Roth</t>
        </is>
      </c>
      <c r="D23" s="27" t="n">
        <v>194639.0493012519</v>
      </c>
      <c r="E23" s="27" t="n">
        <v>251966.1466129163</v>
      </c>
      <c r="F23" s="27" t="n">
        <v>57327.09731166446</v>
      </c>
      <c r="G23" s="27" t="n">
        <v>909455.4718179952</v>
      </c>
      <c r="H23" s="27" t="n">
        <v>0</v>
      </c>
      <c r="I23" s="27" t="n">
        <v>-117598.0070333358</v>
      </c>
      <c r="J23" s="28" t="n">
        <v>57327.09731166446</v>
      </c>
      <c r="K23" s="12" t="inlineStr">
        <is>
          <t>22% bracket</t>
        </is>
      </c>
      <c r="L23" s="12" t="inlineStr">
        <is>
          <t>IRA balance</t>
        </is>
      </c>
      <c r="M23" s="27" t="n">
        <v>249108.0007915249</v>
      </c>
      <c r="N23" s="27" t="n">
        <v>320284.8083907794</v>
      </c>
      <c r="O23" s="75" t="inlineStr">
        <is>
          <t>✓ OK</t>
        </is>
      </c>
    </row>
    <row r="24" ht="45" customHeight="1">
      <c r="A24" s="73" t="n">
        <v>2036</v>
      </c>
      <c r="B24" s="41" t="inlineStr">
        <is>
          <t>—</t>
        </is>
      </c>
      <c r="C24" s="12" t="inlineStr">
        <is>
          <t>—</t>
        </is>
      </c>
      <c r="D24" s="27" t="n">
        <v>0</v>
      </c>
      <c r="E24" s="27" t="n">
        <v>0</v>
      </c>
      <c r="F24" s="27" t="n">
        <v>0</v>
      </c>
      <c r="G24" s="27" t="n">
        <v>0</v>
      </c>
      <c r="H24" s="27" t="n">
        <v>0</v>
      </c>
      <c r="I24" s="27" t="n">
        <v>0</v>
      </c>
      <c r="J24" s="27" t="n">
        <v>0</v>
      </c>
      <c r="K24" s="12" t="inlineStr">
        <is>
          <t>—</t>
        </is>
      </c>
      <c r="L24" s="12" t="inlineStr">
        <is>
          <t>—</t>
        </is>
      </c>
      <c r="M24" s="27" t="n">
        <v>201030.8325321935</v>
      </c>
      <c r="N24" s="27" t="n">
        <v>326690.504558595</v>
      </c>
      <c r="O24" s="74" t="inlineStr">
        <is>
          <t>AGI &gt; target bracket</t>
        </is>
      </c>
    </row>
    <row r="25" ht="45" customHeight="1">
      <c r="A25" s="73" t="n">
        <v>2037</v>
      </c>
      <c r="B25" s="41" t="inlineStr">
        <is>
          <t>—</t>
        </is>
      </c>
      <c r="C25" s="12" t="inlineStr">
        <is>
          <t>—</t>
        </is>
      </c>
      <c r="D25" s="27" t="n">
        <v>0</v>
      </c>
      <c r="E25" s="27" t="n">
        <v>0</v>
      </c>
      <c r="F25" s="27" t="n">
        <v>0</v>
      </c>
      <c r="G25" s="27" t="n">
        <v>0</v>
      </c>
      <c r="H25" s="27" t="n">
        <v>0</v>
      </c>
      <c r="I25" s="27" t="n">
        <v>0</v>
      </c>
      <c r="J25" s="27" t="n">
        <v>0</v>
      </c>
      <c r="K25" s="12" t="inlineStr">
        <is>
          <t>—</t>
        </is>
      </c>
      <c r="L25" s="12" t="inlineStr">
        <is>
          <t>—</t>
        </is>
      </c>
      <c r="M25" s="27" t="n">
        <v>227705.3030942383</v>
      </c>
      <c r="N25" s="27" t="n">
        <v>333224.3146497668</v>
      </c>
      <c r="O25" s="19" t="inlineStr">
        <is>
          <t>Post-RMD — no conv</t>
        </is>
      </c>
    </row>
    <row r="26" ht="45" customHeight="1">
      <c r="A26" s="73" t="n">
        <v>2038</v>
      </c>
      <c r="B26" s="41" t="inlineStr">
        <is>
          <t>—</t>
        </is>
      </c>
      <c r="C26" s="12" t="inlineStr">
        <is>
          <t>—</t>
        </is>
      </c>
      <c r="D26" s="27" t="n">
        <v>0</v>
      </c>
      <c r="E26" s="27" t="n">
        <v>0</v>
      </c>
      <c r="F26" s="27" t="n">
        <v>0</v>
      </c>
      <c r="G26" s="27" t="n">
        <v>0</v>
      </c>
      <c r="H26" s="27" t="n">
        <v>0</v>
      </c>
      <c r="I26" s="27" t="n">
        <v>0</v>
      </c>
      <c r="J26" s="27" t="n">
        <v>0</v>
      </c>
      <c r="K26" s="12" t="inlineStr">
        <is>
          <t>—</t>
        </is>
      </c>
      <c r="L26" s="12" t="inlineStr">
        <is>
          <t>—</t>
        </is>
      </c>
      <c r="M26" s="27" t="n">
        <v>224390.4317962922</v>
      </c>
      <c r="N26" s="27" t="n">
        <v>339888.8009427622</v>
      </c>
      <c r="O26" s="19" t="inlineStr">
        <is>
          <t>Post-RMD — no conv</t>
        </is>
      </c>
    </row>
    <row r="27" ht="45" customHeight="1">
      <c r="A27" s="73" t="n">
        <v>2039</v>
      </c>
      <c r="B27" s="41" t="inlineStr">
        <is>
          <t>—</t>
        </is>
      </c>
      <c r="C27" s="12" t="inlineStr">
        <is>
          <t>—</t>
        </is>
      </c>
      <c r="D27" s="27" t="n">
        <v>0</v>
      </c>
      <c r="E27" s="27" t="n">
        <v>0</v>
      </c>
      <c r="F27" s="27" t="n">
        <v>0</v>
      </c>
      <c r="G27" s="27" t="n">
        <v>0</v>
      </c>
      <c r="H27" s="27" t="n">
        <v>0</v>
      </c>
      <c r="I27" s="27" t="n">
        <v>0</v>
      </c>
      <c r="J27" s="27" t="n">
        <v>0</v>
      </c>
      <c r="K27" s="12" t="inlineStr">
        <is>
          <t>—</t>
        </is>
      </c>
      <c r="L27" s="12" t="inlineStr">
        <is>
          <t>—</t>
        </is>
      </c>
      <c r="M27" s="27" t="n">
        <v>220093.6533613121</v>
      </c>
      <c r="N27" s="27" t="n">
        <v>346686.5769616175</v>
      </c>
      <c r="O27" s="19" t="inlineStr">
        <is>
          <t>Post-RMD — no conv</t>
        </is>
      </c>
    </row>
    <row r="28" ht="45" customHeight="1">
      <c r="A28" s="73" t="n">
        <v>2040</v>
      </c>
      <c r="B28" s="41" t="inlineStr">
        <is>
          <t>—</t>
        </is>
      </c>
      <c r="C28" s="12" t="inlineStr">
        <is>
          <t>—</t>
        </is>
      </c>
      <c r="D28" s="27" t="n">
        <v>0</v>
      </c>
      <c r="E28" s="27" t="n">
        <v>0</v>
      </c>
      <c r="F28" s="27" t="n">
        <v>0</v>
      </c>
      <c r="G28" s="27" t="n">
        <v>0</v>
      </c>
      <c r="H28" s="27" t="n">
        <v>0</v>
      </c>
      <c r="I28" s="27" t="n">
        <v>0</v>
      </c>
      <c r="J28" s="27" t="n">
        <v>0</v>
      </c>
      <c r="K28" s="12" t="inlineStr">
        <is>
          <t>—</t>
        </is>
      </c>
      <c r="L28" s="12" t="inlineStr">
        <is>
          <t>—</t>
        </is>
      </c>
      <c r="M28" s="27" t="n">
        <v>214803.7168543952</v>
      </c>
      <c r="N28" s="27" t="n">
        <v>353620.3085008498</v>
      </c>
      <c r="O28" s="19" t="inlineStr">
        <is>
          <t>Post-RMD — no conv</t>
        </is>
      </c>
    </row>
    <row r="29" ht="45" customHeight="1">
      <c r="A29" s="73" t="n">
        <v>2041</v>
      </c>
      <c r="B29" s="41" t="inlineStr">
        <is>
          <t>—</t>
        </is>
      </c>
      <c r="C29" s="12" t="inlineStr">
        <is>
          <t>—</t>
        </is>
      </c>
      <c r="D29" s="27" t="n">
        <v>0</v>
      </c>
      <c r="E29" s="27" t="n">
        <v>0</v>
      </c>
      <c r="F29" s="27" t="n">
        <v>0</v>
      </c>
      <c r="G29" s="27" t="n">
        <v>0</v>
      </c>
      <c r="H29" s="27" t="n">
        <v>0</v>
      </c>
      <c r="I29" s="27" t="n">
        <v>0</v>
      </c>
      <c r="J29" s="27" t="n">
        <v>0</v>
      </c>
      <c r="K29" s="12" t="inlineStr">
        <is>
          <t>—</t>
        </is>
      </c>
      <c r="L29" s="12" t="inlineStr">
        <is>
          <t>—</t>
        </is>
      </c>
      <c r="M29" s="27" t="n">
        <v>208200.4896550062</v>
      </c>
      <c r="N29" s="27" t="n">
        <v>360692.7146708668</v>
      </c>
      <c r="O29" s="19" t="inlineStr">
        <is>
          <t>Post-RMD — no conv</t>
        </is>
      </c>
    </row>
    <row r="30"/>
    <row r="31" ht="45" customHeight="1">
      <c r="A31" s="11" t="inlineStr">
        <is>
          <t>Total Conversions in Displayed Window: $767,289</t>
        </is>
      </c>
      <c r="B31" s="3" t="n"/>
      <c r="C31" s="3" t="n"/>
      <c r="D31" s="3" t="n"/>
      <c r="E31" s="3" t="n"/>
      <c r="F31" s="3" t="n"/>
      <c r="G31" s="3" t="n"/>
      <c r="H31" s="4" t="n"/>
      <c r="I31" s="11" t="inlineStr">
        <is>
          <t>Forced</t>
        </is>
      </c>
      <c r="J31" s="76" t="n">
        <v>0</v>
      </c>
      <c r="K31" s="11" t="inlineStr">
        <is>
          <t>Voluntary</t>
        </is>
      </c>
      <c r="L31" s="76" t="n">
        <v>767288.7784371469</v>
      </c>
      <c r="M31" s="11" t="inlineStr">
        <is>
          <t>Grand Total</t>
        </is>
      </c>
      <c r="N31" s="76" t="n">
        <v>767288.7784371469</v>
      </c>
    </row>
    <row r="32"/>
    <row r="33" ht="15" customHeight="1">
      <c r="A33" s="10" t="inlineStr">
        <is>
          <t>Conversion Strategy — Key Rules</t>
        </is>
      </c>
      <c r="B33" s="3" t="n"/>
      <c r="C33" s="3" t="n"/>
      <c r="D33" s="3" t="n"/>
      <c r="E33" s="3" t="n"/>
      <c r="F33" s="3" t="n"/>
      <c r="G33" s="3" t="n"/>
      <c r="H33" s="3" t="n"/>
      <c r="I33" s="3" t="n"/>
      <c r="J33" s="3" t="n"/>
      <c r="K33" s="3" t="n"/>
      <c r="L33" s="3" t="n"/>
      <c r="M33" s="3" t="n"/>
      <c r="N33" s="3" t="n"/>
      <c r="O33" s="4" t="n"/>
    </row>
    <row r="34" ht="30" customHeight="1">
      <c r="A34" s="12" t="inlineStr">
        <is>
          <t>• The workbook renders Roth narrative, strategy labels, candidate ranking, and schedule totals from the canonical RothStrategyResult contract.</t>
        </is>
      </c>
      <c r="B34" s="3" t="n"/>
      <c r="C34" s="3" t="n"/>
      <c r="D34" s="3" t="n"/>
      <c r="E34" s="3" t="n"/>
      <c r="F34" s="3" t="n"/>
      <c r="G34" s="3" t="n"/>
      <c r="H34" s="3" t="n"/>
      <c r="I34" s="3" t="n"/>
      <c r="J34" s="3" t="n"/>
      <c r="K34" s="3" t="n"/>
      <c r="L34" s="3" t="n"/>
      <c r="M34" s="3" t="n"/>
      <c r="N34" s="3" t="n"/>
      <c r="O34" s="4" t="n"/>
    </row>
    <row r="35" ht="30" customHeight="1">
      <c r="A35" s="12" t="inlineStr">
        <is>
          <t>• The selected strategy can differ from the lowest-tax or highest-terminal-wealth candidate because Balanced Retirement also scores estate-tax exposure, survivor tax risk, Roth legacy value, liquidity, and guardrail compliance.</t>
        </is>
      </c>
      <c r="B35" s="3" t="n"/>
      <c r="C35" s="3" t="n"/>
      <c r="D35" s="3" t="n"/>
      <c r="E35" s="3" t="n"/>
      <c r="F35" s="3" t="n"/>
      <c r="G35" s="3" t="n"/>
      <c r="H35" s="3" t="n"/>
      <c r="I35" s="3" t="n"/>
      <c r="J35" s="3" t="n"/>
      <c r="K35" s="3" t="n"/>
      <c r="L35" s="3" t="n"/>
      <c r="M35" s="3" t="n"/>
      <c r="N35" s="3" t="n"/>
      <c r="O35" s="4" t="n"/>
    </row>
    <row r="36" ht="30" customHeight="1">
      <c r="A36" s="12" t="inlineStr">
        <is>
          <t>• Primary and secondary constraint columns show the binding cap and next-nearest cap for each year, such as target bracket, IRMAA tier, IRA balance, annual IRA percentage cap, fixed dollar amount, or forced action.</t>
        </is>
      </c>
      <c r="B36" s="3" t="n"/>
      <c r="C36" s="3" t="n"/>
      <c r="D36" s="3" t="n"/>
      <c r="E36" s="3" t="n"/>
      <c r="F36" s="3" t="n"/>
      <c r="G36" s="3" t="n"/>
      <c r="H36" s="3" t="n"/>
      <c r="I36" s="3" t="n"/>
      <c r="J36" s="3" t="n"/>
      <c r="K36" s="3" t="n"/>
      <c r="L36" s="3" t="n"/>
      <c r="M36" s="3" t="n"/>
      <c r="N36" s="3" t="n"/>
      <c r="O36" s="4" t="n"/>
    </row>
    <row r="37" ht="15" customHeight="1">
      <c r="A37" s="12" t="inlineStr">
        <is>
          <t>• Current configurable headroom defaults: tax bracket 100%, IRMAA 100%, annual IRA percentage cap 100%.</t>
        </is>
      </c>
      <c r="B37" s="3" t="n"/>
      <c r="C37" s="3" t="n"/>
      <c r="D37" s="3" t="n"/>
      <c r="E37" s="3" t="n"/>
      <c r="F37" s="3" t="n"/>
      <c r="G37" s="3" t="n"/>
      <c r="H37" s="3" t="n"/>
      <c r="I37" s="3" t="n"/>
      <c r="J37" s="3" t="n"/>
      <c r="K37" s="3" t="n"/>
      <c r="L37" s="3" t="n"/>
      <c r="M37" s="3" t="n"/>
      <c r="N37" s="3" t="n"/>
      <c r="O37" s="4" t="n"/>
    </row>
    <row r="38" ht="15" customHeight="1">
      <c r="A38" s="12" t="inlineStr">
        <is>
          <t>• Current explicit conversion-window cap: 10 year(s), also bounded by the RMD-age window.</t>
        </is>
      </c>
      <c r="B38" s="3" t="n"/>
      <c r="C38" s="3" t="n"/>
      <c r="D38" s="3" t="n"/>
      <c r="E38" s="3" t="n"/>
      <c r="F38" s="3" t="n"/>
      <c r="G38" s="3" t="n"/>
      <c r="H38" s="3" t="n"/>
      <c r="I38" s="3" t="n"/>
      <c r="J38" s="3" t="n"/>
      <c r="K38" s="3" t="n"/>
      <c r="L38" s="3" t="n"/>
      <c r="M38" s="3" t="n"/>
      <c r="N38" s="3" t="n"/>
      <c r="O38" s="4" t="n"/>
    </row>
  </sheetData>
  <mergeCells count="13">
    <mergeCell ref="A12:O12"/>
    <mergeCell ref="B5:N5"/>
    <mergeCell ref="A8:N8"/>
    <mergeCell ref="A3:N3"/>
    <mergeCell ref="A35:O35"/>
    <mergeCell ref="A38:O38"/>
    <mergeCell ref="A34:O34"/>
    <mergeCell ref="A33:O33"/>
    <mergeCell ref="A36:O36"/>
    <mergeCell ref="A37:O37"/>
    <mergeCell ref="B6:N6"/>
    <mergeCell ref="A31:H31"/>
    <mergeCell ref="A1:N1"/>
  </mergeCells>
  <pageMargins left="0.75" right="0.75" top="1" bottom="1" header="0.5" footer="0.5"/>
</worksheet>
</file>

<file path=xl/worksheets/sheet12.xml><?xml version="1.0" encoding="utf-8"?>
<worksheet xmlns="http://schemas.openxmlformats.org/spreadsheetml/2006/main">
  <sheetPr>
    <tabColor rgb="007030A0"/>
    <outlinePr summaryBelow="1" summaryRight="1"/>
    <pageSetUpPr/>
  </sheetPr>
  <dimension ref="A1:J324"/>
  <sheetViews>
    <sheetView showGridLines="0" workbookViewId="0">
      <selection activeCell="A1" sqref="A1"/>
    </sheetView>
  </sheetViews>
  <sheetFormatPr baseColWidth="8" defaultRowHeight="15"/>
  <cols>
    <col width="13.9" customWidth="1" min="1" max="1"/>
    <col width="10.2" customWidth="1" min="2" max="2"/>
    <col width="9.5" customWidth="1" min="3" max="3"/>
    <col width="9.5" customWidth="1" min="4" max="4"/>
    <col width="9.5" customWidth="1" min="5" max="5"/>
    <col width="9.1" customWidth="1" min="6" max="6"/>
    <col width="10.6" customWidth="1" min="7" max="7"/>
    <col width="15.3" customWidth="1" min="8" max="8"/>
    <col width="15.3" customWidth="1" min="9" max="9"/>
    <col width="15.3" customWidth="1" min="10" max="10"/>
  </cols>
  <sheetData>
    <row r="1" ht="18" customHeight="1">
      <c r="A1" s="9" t="inlineStr">
        <is>
          <t>ASSET ALLOCATION &amp; LOCATION</t>
        </is>
      </c>
    </row>
    <row r="2" ht="18" customHeight="1">
      <c r="A2" s="10" t="inlineStr">
        <is>
          <t>Asset Allocation Recommendation Source</t>
        </is>
      </c>
      <c r="B2" s="3" t="n"/>
      <c r="C2" s="3" t="n"/>
      <c r="D2" s="3" t="n"/>
      <c r="E2" s="3" t="n"/>
      <c r="F2" s="3" t="n"/>
      <c r="G2" s="3" t="n"/>
      <c r="H2" s="4" t="n"/>
    </row>
    <row r="3" ht="45" customHeight="1">
      <c r="A3" s="77" t="inlineStr">
        <is>
          <t>User-defined allocation</t>
        </is>
      </c>
      <c r="B3" s="12" t="inlineStr">
        <is>
          <t>Selected in the UI and stored in database-backed Plan Data as allocation_selection_mode=user_target; this source drives the selected target %, liquid target-vs-actual table, and rebalance recommendations.</t>
        </is>
      </c>
      <c r="C3" s="3" t="n"/>
      <c r="D3" s="3" t="n"/>
      <c r="E3" s="3" t="n"/>
      <c r="F3" s="3" t="n"/>
      <c r="G3" s="3" t="n"/>
      <c r="H3" s="4" t="n"/>
    </row>
    <row r="4" ht="15" customHeight="1">
      <c r="A4" s="10" t="inlineStr">
        <is>
          <t>Workbook Pricing Source</t>
        </is>
      </c>
      <c r="B4" s="3" t="n"/>
      <c r="C4" s="3" t="n"/>
      <c r="D4" s="3" t="n"/>
      <c r="E4" s="3" t="n"/>
      <c r="F4" s="3" t="n"/>
      <c r="G4" s="3" t="n"/>
      <c r="H4" s="4" t="n"/>
    </row>
    <row r="5" ht="60" customHeight="1">
      <c r="A5" s="77" t="inlineStr">
        <is>
          <t>CACHE — as of 06/29/2026 09:35 AM</t>
        </is>
      </c>
      <c r="B5" s="12" t="inlineStr">
        <is>
          <t>Cached quotes were used as of 06/29/2026 09:35 AM; cache TTL is 24.0 hours. CACHE mode checks the cache before calling live providers; this cache passed its 24.0-hour TTL (expired 06/30/2026 09:35 AM) but was used anyway. Ticker-level source counts: cash: 1, stale_cache_from_fixture_cache: 7.</t>
        </is>
      </c>
      <c r="C5" s="3" t="n"/>
      <c r="D5" s="3" t="n"/>
      <c r="E5" s="3" t="n"/>
      <c r="F5" s="3" t="n"/>
      <c r="G5" s="3" t="n"/>
      <c r="H5" s="4" t="n"/>
    </row>
    <row r="6"/>
    <row r="7" ht="15" customHeight="1">
      <c r="A7" s="13" t="inlineStr">
        <is>
          <t>Total Portfolio Mix (Liquid + Non-Liquid)</t>
        </is>
      </c>
      <c r="B7" s="3" t="n"/>
      <c r="C7" s="3" t="n"/>
      <c r="D7" s="3" t="n"/>
      <c r="E7" s="3" t="n"/>
      <c r="F7" s="3" t="n"/>
      <c r="G7" s="3" t="n"/>
      <c r="H7" s="3" t="n"/>
      <c r="I7" s="4" t="n"/>
    </row>
    <row r="8" ht="30" customHeight="1">
      <c r="A8" s="5" t="inlineStr">
        <is>
          <t>Asset Class</t>
        </is>
      </c>
      <c r="B8" s="5" t="inlineStr">
        <is>
          <t>Current Value</t>
        </is>
      </c>
      <c r="C8" s="5" t="inlineStr">
        <is>
          <t>Current %</t>
        </is>
      </c>
      <c r="D8" s="5" t="inlineStr">
        <is>
          <t>After Trades Value</t>
        </is>
      </c>
      <c r="E8" s="5" t="inlineStr">
        <is>
          <t>After Trades %</t>
        </is>
      </c>
      <c r="F8" s="5" t="inlineStr">
        <is>
          <t>Type</t>
        </is>
      </c>
      <c r="G8" s="5" t="inlineStr">
        <is>
          <t>Target %</t>
        </is>
      </c>
      <c r="H8" s="5" t="inlineStr">
        <is>
          <t>Current Status</t>
        </is>
      </c>
      <c r="I8" s="5" t="inlineStr">
        <is>
          <t>After Trade Status</t>
        </is>
      </c>
    </row>
    <row r="9" ht="45" customHeight="1">
      <c r="A9" s="12" t="inlineStr">
        <is>
          <t>US Large Cap</t>
        </is>
      </c>
      <c r="B9" s="78" t="n">
        <v>1329502.60797</v>
      </c>
      <c r="C9" s="79" t="n">
        <v>0.2504273597875965</v>
      </c>
      <c r="D9" s="80" t="n">
        <v>1190703.60797</v>
      </c>
      <c r="E9" s="81" t="n">
        <v>0.2242829454007516</v>
      </c>
      <c r="F9" s="12" t="inlineStr">
        <is>
          <t>Liquid</t>
        </is>
      </c>
      <c r="G9" s="79" t="n">
        <v>0.35</v>
      </c>
      <c r="H9" s="12" t="inlineStr">
        <is>
          <t>Under 10.0%</t>
        </is>
      </c>
      <c r="I9" s="75" t="inlineStr">
        <is>
          <t>Under 12.6%</t>
        </is>
      </c>
    </row>
    <row r="10" ht="45" customHeight="1">
      <c r="A10" s="2" t="inlineStr">
        <is>
          <t>Real Estate Coverage (Home Equity)</t>
        </is>
      </c>
      <c r="B10" s="78" t="n">
        <v>1313000</v>
      </c>
      <c r="C10" s="79" t="n">
        <v>0.2473189006399706</v>
      </c>
      <c r="D10" s="78" t="n">
        <v>1313000</v>
      </c>
      <c r="E10" s="79" t="n">
        <v>0.2473189006399706</v>
      </c>
      <c r="F10" s="82" t="inlineStr">
        <is>
          <t>Non-liquid</t>
        </is>
      </c>
      <c r="G10" s="64" t="inlineStr"/>
      <c r="H10" s="12" t="inlineStr">
        <is>
          <t>Shown for context; no liquid target</t>
        </is>
      </c>
      <c r="I10" s="12" t="inlineStr">
        <is>
          <t>Shown for context; no liquid target</t>
        </is>
      </c>
    </row>
    <row r="11" ht="75" customHeight="1">
      <c r="A11" s="2" t="inlineStr">
        <is>
          <t>Fixed Income Coverage (Pension, Annuities, Note Receivable)</t>
        </is>
      </c>
      <c r="B11" s="78" t="n">
        <v>1274327.16356137</v>
      </c>
      <c r="C11" s="79" t="n">
        <v>0.2400344197621096</v>
      </c>
      <c r="D11" s="78" t="n">
        <v>1274327.16356137</v>
      </c>
      <c r="E11" s="79" t="n">
        <v>0.2400344197621096</v>
      </c>
      <c r="F11" s="82" t="inlineStr">
        <is>
          <t>Non-liquid</t>
        </is>
      </c>
      <c r="G11" s="79" t="n">
        <v>0.2</v>
      </c>
      <c r="H11" s="12" t="inlineStr">
        <is>
          <t>✓ Covered</t>
        </is>
      </c>
      <c r="I11" s="12" t="inlineStr">
        <is>
          <t>✓ Covered</t>
        </is>
      </c>
    </row>
    <row r="12" ht="45" customHeight="1">
      <c r="A12" s="12" t="inlineStr">
        <is>
          <t>International</t>
        </is>
      </c>
      <c r="B12" s="78" t="n">
        <v>897149.1413760001</v>
      </c>
      <c r="C12" s="79" t="n">
        <v>0.168988529592693</v>
      </c>
      <c r="D12" s="80" t="n">
        <v>680402.1413760001</v>
      </c>
      <c r="E12" s="81" t="n">
        <v>0.1281616980945881</v>
      </c>
      <c r="F12" s="12" t="inlineStr">
        <is>
          <t>Liquid</t>
        </is>
      </c>
      <c r="G12" s="79" t="n">
        <v>0.2</v>
      </c>
      <c r="H12" s="12" t="inlineStr">
        <is>
          <t>Under 3.1%</t>
        </is>
      </c>
      <c r="I12" s="75" t="inlineStr">
        <is>
          <t>Under 7.2%</t>
        </is>
      </c>
    </row>
    <row r="13" ht="45" customHeight="1">
      <c r="A13" s="12" t="inlineStr">
        <is>
          <t>US Small Cap</t>
        </is>
      </c>
      <c r="B13" s="78" t="n">
        <v>310315.117414</v>
      </c>
      <c r="C13" s="79" t="n">
        <v>0.0584514803433312</v>
      </c>
      <c r="D13" s="80" t="n">
        <v>170100.237414</v>
      </c>
      <c r="E13" s="81" t="n">
        <v>0.03204036840504834</v>
      </c>
      <c r="F13" s="12" t="inlineStr">
        <is>
          <t>Liquid</t>
        </is>
      </c>
      <c r="G13" s="79" t="n">
        <v>0.05</v>
      </c>
      <c r="H13" s="12" t="inlineStr">
        <is>
          <t>✓</t>
        </is>
      </c>
      <c r="I13" s="75" t="inlineStr">
        <is>
          <t>✓</t>
        </is>
      </c>
    </row>
    <row r="14" ht="45" customHeight="1">
      <c r="A14" s="12" t="inlineStr">
        <is>
          <t>Commodities</t>
        </is>
      </c>
      <c r="B14" s="78" t="n">
        <v>166714.35</v>
      </c>
      <c r="C14" s="79" t="n">
        <v>0.03140259692529115</v>
      </c>
      <c r="D14" s="80" t="n">
        <v>170100.35</v>
      </c>
      <c r="E14" s="81" t="n">
        <v>0.03204038961193771</v>
      </c>
      <c r="F14" s="12" t="inlineStr">
        <is>
          <t>Liquid</t>
        </is>
      </c>
      <c r="G14" s="79" t="n">
        <v>0.05</v>
      </c>
      <c r="H14" s="12" t="inlineStr">
        <is>
          <t>✓</t>
        </is>
      </c>
      <c r="I14" s="75" t="inlineStr">
        <is>
          <t>✓</t>
        </is>
      </c>
    </row>
    <row r="15" ht="45" customHeight="1">
      <c r="A15" s="12" t="inlineStr">
        <is>
          <t>Cash</t>
        </is>
      </c>
      <c r="B15" s="78" t="n">
        <v>17926.75</v>
      </c>
      <c r="C15" s="79" t="n">
        <v>0.003376712949008067</v>
      </c>
      <c r="D15" s="80" t="n">
        <v>170100.7500000001</v>
      </c>
      <c r="E15" s="81" t="n">
        <v>0.03204046495661424</v>
      </c>
      <c r="F15" s="12" t="inlineStr">
        <is>
          <t>Liquid</t>
        </is>
      </c>
      <c r="G15" s="79" t="n">
        <v>0.05</v>
      </c>
      <c r="H15" s="12" t="inlineStr">
        <is>
          <t>Under 4.7%</t>
        </is>
      </c>
      <c r="I15" s="75" t="inlineStr">
        <is>
          <t>✓</t>
        </is>
      </c>
    </row>
    <row r="16" ht="45" customHeight="1">
      <c r="A16" s="12" t="inlineStr">
        <is>
          <t>Bonds</t>
        </is>
      </c>
      <c r="B16" s="78" t="n">
        <v>0</v>
      </c>
      <c r="C16" s="79" t="n">
        <v>0</v>
      </c>
      <c r="D16" s="78" t="n">
        <v>0</v>
      </c>
      <c r="E16" s="79" t="n">
        <v>0</v>
      </c>
      <c r="F16" s="12" t="inlineStr">
        <is>
          <t>Liquid</t>
        </is>
      </c>
      <c r="G16" s="79" t="n">
        <v>0.15</v>
      </c>
      <c r="H16" s="12" t="inlineStr">
        <is>
          <t>✓ Covered by fixed-income coverage</t>
        </is>
      </c>
      <c r="I16" s="12" t="inlineStr">
        <is>
          <t>✓ Covered by fixed-income coverage</t>
        </is>
      </c>
    </row>
    <row r="17" ht="45" customHeight="1">
      <c r="A17" s="12" t="inlineStr">
        <is>
          <t>Emerging Markets</t>
        </is>
      </c>
      <c r="B17" s="78" t="n">
        <v>0</v>
      </c>
      <c r="C17" s="79" t="n">
        <v>0</v>
      </c>
      <c r="D17" s="80" t="n">
        <v>170101</v>
      </c>
      <c r="E17" s="81" t="n">
        <v>0.03204051204703704</v>
      </c>
      <c r="F17" s="12" t="inlineStr">
        <is>
          <t>Liquid</t>
        </is>
      </c>
      <c r="G17" s="79" t="n">
        <v>0.05</v>
      </c>
      <c r="H17" s="12" t="inlineStr">
        <is>
          <t>Under 5.0%</t>
        </is>
      </c>
      <c r="I17" s="75" t="inlineStr">
        <is>
          <t>✓</t>
        </is>
      </c>
    </row>
    <row r="18" ht="45" customHeight="1">
      <c r="A18" s="12" t="inlineStr">
        <is>
          <t>Municipal Bonds</t>
        </is>
      </c>
      <c r="B18" s="78" t="n">
        <v>0</v>
      </c>
      <c r="C18" s="79" t="n">
        <v>0</v>
      </c>
      <c r="D18" s="78" t="n">
        <v>0</v>
      </c>
      <c r="E18" s="79" t="n">
        <v>0</v>
      </c>
      <c r="F18" s="12" t="inlineStr">
        <is>
          <t>Liquid</t>
        </is>
      </c>
      <c r="G18" s="64" t="inlineStr"/>
      <c r="H18" s="12" t="inlineStr">
        <is>
          <t>✓ Covered by fixed-income coverage</t>
        </is>
      </c>
      <c r="I18" s="12" t="inlineStr">
        <is>
          <t>✓ Covered by fixed-income coverage</t>
        </is>
      </c>
    </row>
    <row r="19" ht="15" customHeight="1">
      <c r="A19" s="12" t="inlineStr">
        <is>
          <t>REITs</t>
        </is>
      </c>
      <c r="B19" s="78" t="n">
        <v>0</v>
      </c>
      <c r="C19" s="79" t="n">
        <v>0</v>
      </c>
      <c r="D19" s="78" t="n">
        <v>0</v>
      </c>
      <c r="E19" s="79" t="n">
        <v>0</v>
      </c>
      <c r="F19" s="12" t="inlineStr">
        <is>
          <t>Liquid</t>
        </is>
      </c>
      <c r="G19" s="64" t="inlineStr"/>
      <c r="H19" s="33" t="inlineStr"/>
      <c r="I19" s="33" t="inlineStr"/>
    </row>
    <row r="20" ht="45" customHeight="1">
      <c r="A20" s="12" t="inlineStr">
        <is>
          <t>Short-Term Bonds</t>
        </is>
      </c>
      <c r="B20" s="78" t="n">
        <v>0</v>
      </c>
      <c r="C20" s="79" t="n">
        <v>0</v>
      </c>
      <c r="D20" s="78" t="n">
        <v>0</v>
      </c>
      <c r="E20" s="79" t="n">
        <v>0</v>
      </c>
      <c r="F20" s="12" t="inlineStr">
        <is>
          <t>Liquid</t>
        </is>
      </c>
      <c r="G20" s="79" t="n">
        <v>0.05</v>
      </c>
      <c r="H20" s="12" t="inlineStr">
        <is>
          <t>✓ Covered by fixed-income coverage</t>
        </is>
      </c>
      <c r="I20" s="12" t="inlineStr">
        <is>
          <t>✓ Covered by fixed-income coverage</t>
        </is>
      </c>
    </row>
    <row r="21" ht="45" customHeight="1">
      <c r="A21" s="12" t="inlineStr">
        <is>
          <t>TIPS</t>
        </is>
      </c>
      <c r="B21" s="78" t="n">
        <v>0</v>
      </c>
      <c r="C21" s="79" t="n">
        <v>0</v>
      </c>
      <c r="D21" s="78" t="n">
        <v>0</v>
      </c>
      <c r="E21" s="79" t="n">
        <v>0</v>
      </c>
      <c r="F21" s="12" t="inlineStr">
        <is>
          <t>Liquid</t>
        </is>
      </c>
      <c r="G21" s="64" t="inlineStr"/>
      <c r="H21" s="12" t="inlineStr">
        <is>
          <t>✓ Covered by fixed-income coverage</t>
        </is>
      </c>
      <c r="I21" s="12" t="inlineStr">
        <is>
          <t>✓ Covered by fixed-income coverage</t>
        </is>
      </c>
    </row>
    <row r="22" ht="45" customHeight="1">
      <c r="A22" s="12" t="inlineStr">
        <is>
          <t>US Mid Cap</t>
        </is>
      </c>
      <c r="B22" s="78" t="n">
        <v>0</v>
      </c>
      <c r="C22" s="79" t="n">
        <v>0</v>
      </c>
      <c r="D22" s="80" t="n">
        <v>170100</v>
      </c>
      <c r="E22" s="81" t="n">
        <v>0.03204032368534577</v>
      </c>
      <c r="F22" s="12" t="inlineStr">
        <is>
          <t>Liquid</t>
        </is>
      </c>
      <c r="G22" s="79" t="n">
        <v>0.05</v>
      </c>
      <c r="H22" s="12" t="inlineStr">
        <is>
          <t>Under 5.0%</t>
        </is>
      </c>
      <c r="I22" s="75" t="inlineStr">
        <is>
          <t>✓</t>
        </is>
      </c>
    </row>
    <row r="23" ht="30" customHeight="1">
      <c r="A23" s="2" t="inlineStr">
        <is>
          <t>TOTAL PORTFOLIO</t>
        </is>
      </c>
      <c r="B23" s="83" t="n">
        <v>5308935.13032137</v>
      </c>
      <c r="C23" s="84" t="n">
        <v>1</v>
      </c>
      <c r="D23" s="83" t="n">
        <v>5308935.13032137</v>
      </c>
      <c r="E23" s="84" t="n">
        <v>1</v>
      </c>
    </row>
    <row r="24"/>
    <row r="25" ht="30" customHeight="1">
      <c r="A25" s="2" t="inlineStr">
        <is>
          <t>Non-Liquid Coverage:</t>
        </is>
      </c>
    </row>
    <row r="26" ht="45" customHeight="1">
      <c r="A26" s="12" t="inlineStr">
        <is>
          <t>Fixed Income Coverage: selected guaranteed/bond-like assets cover 24.0% of total portfolio (target 20%). ✓ Fully covered — no bonds/TIPS/short-term bonds needed in liquid portfolio. Included sources: Pension, Annuities, Note Receivable.</t>
        </is>
      </c>
      <c r="B26" s="3" t="n"/>
      <c r="C26" s="3" t="n"/>
      <c r="D26" s="3" t="n"/>
      <c r="E26" s="3" t="n"/>
      <c r="F26" s="3" t="n"/>
      <c r="G26" s="3" t="n"/>
      <c r="H26" s="3" t="n"/>
      <c r="I26" s="4" t="n"/>
    </row>
    <row r="27" ht="45" customHeight="1">
      <c r="A27" s="12" t="inlineStr">
        <is>
          <t>Real Estate Coverage: home equity is counted toward REIT/real-estate target; coverage equals 24.7% of total portfolio (target 0%). No selected liquid REIT target; home equity is shown for context and is not under target.</t>
        </is>
      </c>
      <c r="B27" s="3" t="n"/>
      <c r="C27" s="3" t="n"/>
      <c r="D27" s="3" t="n"/>
      <c r="E27" s="3" t="n"/>
      <c r="F27" s="3" t="n"/>
      <c r="G27" s="3" t="n"/>
      <c r="H27" s="3" t="n"/>
      <c r="I27" s="4" t="n"/>
    </row>
    <row r="28"/>
    <row r="29" ht="15" customHeight="1">
      <c r="A29" s="10" t="inlineStr">
        <is>
          <t>Allocation Selection and Optimizer Recommendation</t>
        </is>
      </c>
      <c r="B29" s="3" t="n"/>
      <c r="C29" s="3" t="n"/>
      <c r="D29" s="3" t="n"/>
      <c r="E29" s="3" t="n"/>
      <c r="F29" s="4" t="n"/>
    </row>
    <row r="30" ht="45" customHeight="1">
      <c r="A30" s="2" t="inlineStr">
        <is>
          <t>Selected Mode</t>
        </is>
      </c>
      <c r="B30" s="12" t="inlineStr">
        <is>
          <t>Use user-specified allocation</t>
        </is>
      </c>
      <c r="C30" s="12" t="inlineStr">
        <is>
          <t>Toggle in the guided UI between the optimizer recommendation and the user-specified target_pct allocation.</t>
        </is>
      </c>
      <c r="D30" s="3" t="n"/>
      <c r="E30" s="3" t="n"/>
      <c r="F30" s="4" t="n"/>
    </row>
    <row r="31" ht="90" customHeight="1">
      <c r="A31" s="2" t="inlineStr">
        <is>
          <t>Recommendation Source</t>
        </is>
      </c>
      <c r="B31" s="77" t="inlineStr">
        <is>
          <t>User-defined allocation</t>
        </is>
      </c>
      <c r="C31" s="12" t="inlineStr">
        <is>
          <t>Selected in the UI and stored in database-backed Plan Data as allocation_selection_mode=user_target; this source drives the selected target %, liquid target-vs-actual table, and rebalance recommendations.</t>
        </is>
      </c>
      <c r="D31" s="3" t="n"/>
      <c r="E31" s="3" t="n"/>
      <c r="F31" s="4" t="n"/>
    </row>
    <row r="32" ht="90" customHeight="1">
      <c r="A32" s="2" t="inlineStr">
        <is>
          <t>Pricing Source</t>
        </is>
      </c>
      <c r="B32" s="77" t="inlineStr">
        <is>
          <t>CACHE — as of 06/29/2026 09:35 AM</t>
        </is>
      </c>
      <c r="C32" s="12" t="inlineStr">
        <is>
          <t>Cached quotes were used as of 06/29/2026 09:35 AM; cache TTL is 24.0 hours. CACHE mode checks the cache before calling live providers; this cache passed its 24.0-hour TTL (expired 06/30/2026 09:35 AM) but was used anyway. Ticker-level source counts: cash: 1, stale_cache_from_fixture_cache: 7.</t>
        </is>
      </c>
      <c r="D32" s="3" t="n"/>
      <c r="E32" s="3" t="n"/>
      <c r="F32" s="4" t="n"/>
    </row>
    <row r="33" ht="90" customHeight="1">
      <c r="A33" s="2" t="inlineStr">
        <is>
          <t>Why consider optimizer?</t>
        </is>
      </c>
      <c r="B33" s="12" t="inlineStr">
        <is>
          <t>Optimizer recommendation is based on risk tolerance or auto risk score, age, withdrawal rate, years to retirement, human-capital stability, guaranteed-income alternate-crediting mappings, home-equity/REIT coverage switches, concentration flags, enabled asset classes, capital-market assumptions, pairwise correlations, glide path, and inflation-sensitive spending. Consider it as a second-opinion allocation because it can account for household-specific risk capacity and diversification relationships that a static target mix cannot see.</t>
        </is>
      </c>
      <c r="C33" s="3" t="n"/>
      <c r="D33" s="3" t="n"/>
      <c r="E33" s="3" t="n"/>
      <c r="F33" s="4" t="n"/>
    </row>
    <row r="34"/>
    <row r="35" ht="30" customHeight="1">
      <c r="A35" s="85" t="inlineStr">
        <is>
          <t>Asset Class</t>
        </is>
      </c>
      <c r="B35" s="85" t="inlineStr">
        <is>
          <t>User Target %</t>
        </is>
      </c>
      <c r="C35" s="85" t="inlineStr">
        <is>
          <t>Optimizer Target %</t>
        </is>
      </c>
      <c r="D35" s="85" t="inlineStr">
        <is>
          <t>Selected Target %</t>
        </is>
      </c>
      <c r="E35" s="5" t="inlineStr">
        <is>
          <t>Comment</t>
        </is>
      </c>
      <c r="F35" s="4" t="n"/>
    </row>
    <row r="36" ht="60" customHeight="1">
      <c r="A36" s="86" t="inlineStr">
        <is>
          <t>Orange italic percentages show the initial target for a class fully satisfied by an alternate existing asset; those covered classes are excluded from the 100% liquid target completeness.</t>
        </is>
      </c>
      <c r="B36" s="3" t="n"/>
      <c r="C36" s="3" t="n"/>
      <c r="D36" s="3" t="n"/>
      <c r="E36" s="3" t="n"/>
      <c r="F36" s="4" t="n"/>
    </row>
    <row r="37" ht="45" customHeight="1">
      <c r="A37" s="12" t="inlineStr">
        <is>
          <t>US Large Cap</t>
        </is>
      </c>
      <c r="B37" s="79" t="n">
        <v>0.4374999999999999</v>
      </c>
      <c r="C37" s="79" t="n">
        <v>0.6127254017331175</v>
      </c>
      <c r="D37" s="87" t="n">
        <v>0.4374999999999999</v>
      </c>
      <c r="E37" s="12" t="inlineStr">
        <is>
          <t>Included in selected liquid target recommendation.</t>
        </is>
      </c>
      <c r="F37" s="4" t="n"/>
    </row>
    <row r="38" ht="45" customHeight="1">
      <c r="A38" s="12" t="inlineStr">
        <is>
          <t>US Mid Cap</t>
        </is>
      </c>
      <c r="B38" s="79" t="n">
        <v>0.0625</v>
      </c>
      <c r="C38" s="79" t="n">
        <v>0</v>
      </c>
      <c r="D38" s="87" t="n">
        <v>0.0625</v>
      </c>
      <c r="E38" s="12" t="inlineStr">
        <is>
          <t>Included in selected liquid target recommendation.</t>
        </is>
      </c>
      <c r="F38" s="4" t="n"/>
    </row>
    <row r="39" ht="45" customHeight="1">
      <c r="A39" s="12" t="inlineStr">
        <is>
          <t>US Small Cap</t>
        </is>
      </c>
      <c r="B39" s="79" t="n">
        <v>0.0625</v>
      </c>
      <c r="C39" s="79" t="n">
        <v>0</v>
      </c>
      <c r="D39" s="87" t="n">
        <v>0.0625</v>
      </c>
      <c r="E39" s="12" t="inlineStr">
        <is>
          <t>Included in selected liquid target recommendation.</t>
        </is>
      </c>
      <c r="F39" s="4" t="n"/>
    </row>
    <row r="40" ht="45" customHeight="1">
      <c r="A40" s="12" t="inlineStr">
        <is>
          <t>International</t>
        </is>
      </c>
      <c r="B40" s="79" t="n">
        <v>0.25</v>
      </c>
      <c r="C40" s="79" t="n">
        <v>0.2168105267671031</v>
      </c>
      <c r="D40" s="87" t="n">
        <v>0.25</v>
      </c>
      <c r="E40" s="12" t="inlineStr">
        <is>
          <t>Included in selected liquid target recommendation.</t>
        </is>
      </c>
      <c r="F40" s="4" t="n"/>
    </row>
    <row r="41" ht="45" customHeight="1">
      <c r="A41" s="12" t="inlineStr">
        <is>
          <t>Emerging Markets</t>
        </is>
      </c>
      <c r="B41" s="79" t="n">
        <v>0.0625</v>
      </c>
      <c r="C41" s="79" t="n">
        <v>0</v>
      </c>
      <c r="D41" s="87" t="n">
        <v>0.0625</v>
      </c>
      <c r="E41" s="12" t="inlineStr">
        <is>
          <t>Included in selected liquid target recommendation.</t>
        </is>
      </c>
      <c r="F41" s="4" t="n"/>
    </row>
    <row r="42" ht="45" customHeight="1">
      <c r="A42" s="12" t="inlineStr">
        <is>
          <t>Commodities</t>
        </is>
      </c>
      <c r="B42" s="79" t="n">
        <v>0.0625</v>
      </c>
      <c r="C42" s="79" t="n">
        <v>0.1131185357045755</v>
      </c>
      <c r="D42" s="87" t="n">
        <v>0.0625</v>
      </c>
      <c r="E42" s="12" t="inlineStr">
        <is>
          <t>Included in selected liquid target recommendation.</t>
        </is>
      </c>
      <c r="F42" s="4" t="n"/>
    </row>
    <row r="43" ht="90" customHeight="1">
      <c r="A43" s="12" t="inlineStr">
        <is>
          <t>Bonds</t>
        </is>
      </c>
      <c r="B43" s="88" t="n">
        <v>0.15</v>
      </c>
      <c r="C43" s="88" t="n">
        <v>0.012641646590356</v>
      </c>
      <c r="D43" s="89" t="n">
        <v>0.15</v>
      </c>
      <c r="E43" s="12" t="inlineStr">
        <is>
          <t>Covered by Pension, Annuities, Note Receivable; initial target is shown but not counted in the 100% liquid recommendation.</t>
        </is>
      </c>
      <c r="F43" s="4" t="n"/>
    </row>
    <row r="44" ht="90" customHeight="1">
      <c r="A44" s="12" t="inlineStr">
        <is>
          <t>Short-Term Bonds</t>
        </is>
      </c>
      <c r="B44" s="88" t="n">
        <v>0.05</v>
      </c>
      <c r="C44" s="88" t="n">
        <v>0.005618509595713777</v>
      </c>
      <c r="D44" s="89" t="n">
        <v>0.05</v>
      </c>
      <c r="E44" s="12" t="inlineStr">
        <is>
          <t>Covered by Pension, Annuities, Note Receivable; initial target is shown but not counted in the 100% liquid recommendation.</t>
        </is>
      </c>
      <c r="F44" s="4" t="n"/>
    </row>
    <row r="45" ht="30" customHeight="1">
      <c r="A45" s="12" t="inlineStr">
        <is>
          <t>TIPS</t>
        </is>
      </c>
      <c r="B45" s="79" t="n">
        <v>0</v>
      </c>
      <c r="C45" s="79" t="n">
        <v>0</v>
      </c>
      <c r="D45" s="87" t="n">
        <v>0</v>
      </c>
      <c r="E45" s="12" t="inlineStr">
        <is>
          <t>No selected liquid target.</t>
        </is>
      </c>
      <c r="F45" s="4" t="n"/>
    </row>
    <row r="46" ht="30" customHeight="1">
      <c r="A46" s="12" t="inlineStr">
        <is>
          <t>Municipal Bonds</t>
        </is>
      </c>
      <c r="B46" s="79" t="n">
        <v>0</v>
      </c>
      <c r="C46" s="79" t="n">
        <v>0</v>
      </c>
      <c r="D46" s="87" t="n">
        <v>0</v>
      </c>
      <c r="E46" s="12" t="inlineStr">
        <is>
          <t>No selected liquid target.</t>
        </is>
      </c>
      <c r="F46" s="4" t="n"/>
    </row>
    <row r="47" ht="45" customHeight="1">
      <c r="A47" s="12" t="inlineStr">
        <is>
          <t>Managed Futures</t>
        </is>
      </c>
      <c r="B47" s="79" t="n">
        <v>0</v>
      </c>
      <c r="C47" s="79" t="n">
        <v>0</v>
      </c>
      <c r="D47" s="87" t="n">
        <v>0</v>
      </c>
      <c r="E47" s="12" t="inlineStr">
        <is>
          <t>Excluded from recommendation by UI selection.</t>
        </is>
      </c>
      <c r="F47" s="4" t="n"/>
    </row>
    <row r="48" ht="45" customHeight="1">
      <c r="A48" s="12" t="inlineStr">
        <is>
          <t>Private Credit</t>
        </is>
      </c>
      <c r="B48" s="79" t="n">
        <v>0</v>
      </c>
      <c r="C48" s="79" t="n">
        <v>0</v>
      </c>
      <c r="D48" s="87" t="n">
        <v>0</v>
      </c>
      <c r="E48" s="12" t="inlineStr">
        <is>
          <t>Excluded from recommendation by UI selection.</t>
        </is>
      </c>
      <c r="F48" s="4" t="n"/>
    </row>
    <row r="49" ht="30" customHeight="1">
      <c r="A49" s="12" t="inlineStr">
        <is>
          <t>REITs</t>
        </is>
      </c>
      <c r="B49" s="79" t="n">
        <v>0</v>
      </c>
      <c r="C49" s="79" t="n">
        <v>0</v>
      </c>
      <c r="D49" s="87" t="n">
        <v>0</v>
      </c>
      <c r="E49" s="12" t="inlineStr">
        <is>
          <t>No selected liquid target.</t>
        </is>
      </c>
      <c r="F49" s="4" t="n"/>
    </row>
    <row r="50" ht="45" customHeight="1">
      <c r="A50" s="12" t="inlineStr">
        <is>
          <t>Cash</t>
        </is>
      </c>
      <c r="B50" s="79" t="n">
        <v>0.0625</v>
      </c>
      <c r="C50" s="79" t="n">
        <v>0.05734553579520389</v>
      </c>
      <c r="D50" s="87" t="n">
        <v>0.0625</v>
      </c>
      <c r="E50" s="12" t="inlineStr">
        <is>
          <t>Included in selected liquid target recommendation.</t>
        </is>
      </c>
      <c r="F50" s="4" t="n"/>
    </row>
    <row r="51"/>
    <row r="52" ht="15" customHeight="1">
      <c r="A52" s="10" t="inlineStr">
        <is>
          <t>Allocation Policy Inputs</t>
        </is>
      </c>
      <c r="B52" s="3" t="n"/>
      <c r="C52" s="3" t="n"/>
      <c r="D52" s="3" t="n"/>
      <c r="E52" s="3" t="n"/>
      <c r="F52" s="4" t="n"/>
    </row>
    <row r="53" ht="30" customHeight="1">
      <c r="A53" s="2" t="inlineStr">
        <is>
          <t>Risk Tolerance Score</t>
        </is>
      </c>
      <c r="B53" s="12" t="inlineStr">
        <is>
          <t>8.0 / 10</t>
        </is>
      </c>
      <c r="C53" s="12" t="inlineStr">
        <is>
          <t>User-provided</t>
        </is>
      </c>
      <c r="D53" s="3" t="n"/>
      <c r="E53" s="3" t="n"/>
      <c r="F53" s="4" t="n"/>
    </row>
    <row r="54" ht="45" customHeight="1">
      <c r="A54" s="2" t="inlineStr">
        <is>
          <t>Target Growth/Diversifier Allocation</t>
        </is>
      </c>
      <c r="B54" s="12" t="inlineStr">
        <is>
          <t>93.8%</t>
        </is>
      </c>
      <c r="C54" s="12" t="inlineStr">
        <is>
          <t>Selected allocation mode drives this target; optimizer recommendation remains visible above for comparison.</t>
        </is>
      </c>
      <c r="D54" s="3" t="n"/>
      <c r="E54" s="3" t="n"/>
      <c r="F54" s="4" t="n"/>
    </row>
    <row r="55" ht="30" customHeight="1">
      <c r="A55" s="2" t="inlineStr">
        <is>
          <t>Human Capital (PV earnings)</t>
        </is>
      </c>
      <c r="B55" s="12" t="inlineStr">
        <is>
          <t>$140,777</t>
        </is>
      </c>
      <c r="C55" s="12" t="inlineStr">
        <is>
          <t>1 years to retirement × stability 0.5</t>
        </is>
      </c>
      <c r="D55" s="3" t="n"/>
      <c r="E55" s="3" t="n"/>
      <c r="F55" s="4" t="n"/>
    </row>
    <row r="56" ht="60" customHeight="1">
      <c r="A56" s="2" t="inlineStr">
        <is>
          <t>Fixed-Income Coverage PV</t>
        </is>
      </c>
      <c r="B56" s="12" t="inlineStr">
        <is>
          <t>$1,274,327</t>
        </is>
      </c>
      <c r="C56" s="12" t="inlineStr">
        <is>
          <t>Sources counted toward fixed-income target: Pension, Annuities, Note Receivable; funded ratio from guaranteed income: 37.7%</t>
        </is>
      </c>
      <c r="D56" s="3" t="n"/>
      <c r="E56" s="3" t="n"/>
      <c r="F56" s="4" t="n"/>
    </row>
    <row r="57" ht="45" customHeight="1">
      <c r="A57" s="2" t="inlineStr">
        <is>
          <t>Home Equity REIT Coverage</t>
        </is>
      </c>
      <c r="B57" s="12" t="inlineStr">
        <is>
          <t>YES</t>
        </is>
      </c>
      <c r="C57" s="12" t="inlineStr">
        <is>
          <t>Controls whether primary residence equity satisfies the REIT/real-estate target before recommending liquid REITs</t>
        </is>
      </c>
      <c r="D57" s="3" t="n"/>
      <c r="E57" s="3" t="n"/>
      <c r="F57" s="4" t="n"/>
    </row>
    <row r="58" ht="30" customHeight="1">
      <c r="A58" s="2" t="inlineStr">
        <is>
          <t>Withdrawal Rate</t>
        </is>
      </c>
      <c r="B58" s="12" t="inlineStr">
        <is>
          <t>5.6%</t>
        </is>
      </c>
      <c r="C58" s="12" t="inlineStr">
        <is>
          <t>Annual spending / liquid portfolio</t>
        </is>
      </c>
      <c r="D58" s="3" t="n"/>
      <c r="E58" s="3" t="n"/>
      <c r="F58" s="4" t="n"/>
    </row>
    <row r="59" ht="30" customHeight="1">
      <c r="A59" s="2" t="inlineStr">
        <is>
          <t>Glide Path Mode</t>
        </is>
      </c>
      <c r="B59" s="12" t="inlineStr">
        <is>
          <t>Static</t>
        </is>
      </c>
      <c r="C59" s="12" t="inlineStr">
        <is>
          <t>Target-date: de-risk approaching retirement; Static: fixed allocation</t>
        </is>
      </c>
      <c r="D59" s="3" t="n"/>
      <c r="E59" s="3" t="n"/>
      <c r="F59" s="4" t="n"/>
    </row>
    <row r="60" ht="60" customHeight="1">
      <c r="A60" s="2" t="inlineStr">
        <is>
          <t>Inflation-Sensitive Spending</t>
        </is>
      </c>
      <c r="B60" s="12" t="inlineStr">
        <is>
          <t>10%</t>
        </is>
      </c>
      <c r="C60" s="12" t="inlineStr">
        <is>
          <t>Higher → more broad commodities/TIPS/managed futures; precious-metal sleeves are excluded from the recommendation model</t>
        </is>
      </c>
      <c r="D60" s="3" t="n"/>
      <c r="E60" s="3" t="n"/>
      <c r="F60" s="4" t="n"/>
    </row>
    <row r="61" ht="60" customHeight="1">
      <c r="A61" s="2" t="inlineStr">
        <is>
          <t>Disabled Recommended Classes</t>
        </is>
      </c>
      <c r="B61" s="12" t="inlineStr">
        <is>
          <t>Managed Futures, Private Credit</t>
        </is>
      </c>
      <c r="C61" s="12" t="inlineStr">
        <is>
          <t>Disabled classes remain visible if currently held but are excluded from target recommendations</t>
        </is>
      </c>
      <c r="D61" s="3" t="n"/>
      <c r="E61" s="3" t="n"/>
      <c r="F61" s="4" t="n"/>
    </row>
    <row r="62"/>
    <row r="63" ht="15" customHeight="1">
      <c r="A63" s="13" t="inlineStr">
        <is>
          <t>Liquid Portfolio: Target vs Actual</t>
        </is>
      </c>
      <c r="B63" s="3" t="n"/>
      <c r="C63" s="3" t="n"/>
      <c r="D63" s="3" t="n"/>
      <c r="E63" s="3" t="n"/>
      <c r="F63" s="4" t="n"/>
    </row>
    <row r="64" ht="75" customHeight="1">
      <c r="A64" s="12" t="inlineStr">
        <is>
          <t>Asset allocation recommendation source: User-defined allocation. The selected target, target-vs-actual table, and rebalance guidance use this source. Cash is included as its own class. The UI requires user-specified target percentages to total 100% before saving or building.</t>
        </is>
      </c>
      <c r="B64" s="3" t="n"/>
      <c r="C64" s="3" t="n"/>
      <c r="D64" s="3" t="n"/>
      <c r="E64" s="3" t="n"/>
      <c r="F64" s="4" t="n"/>
    </row>
    <row r="65" ht="15" customHeight="1">
      <c r="A65" s="5" t="inlineStr">
        <is>
          <t>Bucket</t>
        </is>
      </c>
      <c r="B65" s="5" t="inlineStr">
        <is>
          <t>Target %</t>
        </is>
      </c>
      <c r="C65" s="5" t="inlineStr">
        <is>
          <t>Actual $</t>
        </is>
      </c>
      <c r="D65" s="5" t="inlineStr">
        <is>
          <t>Actual %</t>
        </is>
      </c>
      <c r="E65" s="5" t="inlineStr">
        <is>
          <t>Delta pp</t>
        </is>
      </c>
      <c r="F65" s="5" t="inlineStr">
        <is>
          <t>Action</t>
        </is>
      </c>
    </row>
    <row r="66" ht="45" customHeight="1">
      <c r="A66" s="12" t="inlineStr">
        <is>
          <t>US Large Cap</t>
        </is>
      </c>
      <c r="B66" s="79" t="n">
        <v>0.4374999999999999</v>
      </c>
      <c r="C66" s="78" t="n">
        <v>1329502.60797</v>
      </c>
      <c r="D66" s="79" t="n">
        <v>0.4884989404086499</v>
      </c>
      <c r="E66" s="90" t="n">
        <v>0.05099894040865</v>
      </c>
      <c r="F66" s="12" t="inlineStr">
        <is>
          <t>Rebalance</t>
        </is>
      </c>
    </row>
    <row r="67" ht="45" customHeight="1">
      <c r="A67" s="12" t="inlineStr">
        <is>
          <t>International</t>
        </is>
      </c>
      <c r="B67" s="79" t="n">
        <v>0.25</v>
      </c>
      <c r="C67" s="78" t="n">
        <v>897149.1413760001</v>
      </c>
      <c r="D67" s="79" t="n">
        <v>0.3296393721407392</v>
      </c>
      <c r="E67" s="90" t="n">
        <v>0.07963937214073918</v>
      </c>
      <c r="F67" s="12" t="inlineStr">
        <is>
          <t>Rebalance</t>
        </is>
      </c>
    </row>
    <row r="68" ht="45" customHeight="1">
      <c r="A68" s="12" t="inlineStr">
        <is>
          <t>US Small Cap</t>
        </is>
      </c>
      <c r="B68" s="79" t="n">
        <v>0.0625</v>
      </c>
      <c r="C68" s="78" t="n">
        <v>310315.117414</v>
      </c>
      <c r="D68" s="79" t="n">
        <v>0.1140190362476862</v>
      </c>
      <c r="E68" s="90" t="n">
        <v>0.05151903624768621</v>
      </c>
      <c r="F68" s="12" t="inlineStr">
        <is>
          <t>Rebalance</t>
        </is>
      </c>
    </row>
    <row r="69" ht="45" customHeight="1">
      <c r="A69" s="12" t="inlineStr">
        <is>
          <t>Commodities</t>
        </is>
      </c>
      <c r="B69" s="79" t="n">
        <v>0.0625</v>
      </c>
      <c r="C69" s="78" t="n">
        <v>166714.35</v>
      </c>
      <c r="D69" s="79" t="n">
        <v>0.06125582818544908</v>
      </c>
      <c r="E69" s="79" t="n">
        <v>-0.001244171814550915</v>
      </c>
      <c r="F69" s="12" t="inlineStr">
        <is>
          <t>Hold</t>
        </is>
      </c>
    </row>
    <row r="70" ht="45" customHeight="1">
      <c r="A70" s="12" t="inlineStr">
        <is>
          <t>Cash</t>
        </is>
      </c>
      <c r="B70" s="79" t="n">
        <v>0.0625</v>
      </c>
      <c r="C70" s="78" t="n">
        <v>17926.75</v>
      </c>
      <c r="D70" s="79" t="n">
        <v>0.006586823017475697</v>
      </c>
      <c r="E70" s="90" t="n">
        <v>-0.0559131769825243</v>
      </c>
      <c r="F70" s="12" t="inlineStr">
        <is>
          <t>Rebalance</t>
        </is>
      </c>
    </row>
    <row r="71" ht="15" customHeight="1">
      <c r="A71" s="12" t="inlineStr">
        <is>
          <t>Bonds</t>
        </is>
      </c>
      <c r="B71" s="79" t="n">
        <v>0</v>
      </c>
      <c r="C71" s="78" t="n">
        <v>0</v>
      </c>
      <c r="D71" s="79" t="n">
        <v>0</v>
      </c>
      <c r="E71" s="79" t="n">
        <v>0</v>
      </c>
      <c r="F71" s="12" t="inlineStr">
        <is>
          <t>Covered</t>
        </is>
      </c>
    </row>
    <row r="72" ht="30" customHeight="1">
      <c r="A72" s="12" t="inlineStr">
        <is>
          <t>Emerging Markets</t>
        </is>
      </c>
      <c r="B72" s="79" t="n">
        <v>0.0625</v>
      </c>
      <c r="C72" s="78" t="n">
        <v>0</v>
      </c>
      <c r="D72" s="79" t="n">
        <v>0</v>
      </c>
      <c r="E72" s="90" t="n">
        <v>-0.0625</v>
      </c>
      <c r="F72" s="12" t="inlineStr">
        <is>
          <t>Rebalance</t>
        </is>
      </c>
    </row>
    <row r="73" ht="30" customHeight="1">
      <c r="A73" s="12" t="inlineStr">
        <is>
          <t>Municipal Bonds</t>
        </is>
      </c>
      <c r="B73" s="79" t="n">
        <v>0</v>
      </c>
      <c r="C73" s="78" t="n">
        <v>0</v>
      </c>
      <c r="D73" s="79" t="n">
        <v>0</v>
      </c>
      <c r="E73" s="79" t="n">
        <v>0</v>
      </c>
      <c r="F73" s="12" t="inlineStr">
        <is>
          <t>Covered</t>
        </is>
      </c>
    </row>
    <row r="74" ht="15" customHeight="1">
      <c r="A74" s="12" t="inlineStr">
        <is>
          <t>REITs</t>
        </is>
      </c>
      <c r="B74" s="79" t="n">
        <v>0</v>
      </c>
      <c r="C74" s="78" t="n">
        <v>0</v>
      </c>
      <c r="D74" s="79" t="n">
        <v>0</v>
      </c>
      <c r="E74" s="79" t="n">
        <v>0</v>
      </c>
      <c r="F74" s="12" t="inlineStr">
        <is>
          <t>Hold</t>
        </is>
      </c>
    </row>
    <row r="75" ht="30" customHeight="1">
      <c r="A75" s="12" t="inlineStr">
        <is>
          <t>Short-Term Bonds</t>
        </is>
      </c>
      <c r="B75" s="79" t="n">
        <v>0</v>
      </c>
      <c r="C75" s="78" t="n">
        <v>0</v>
      </c>
      <c r="D75" s="79" t="n">
        <v>0</v>
      </c>
      <c r="E75" s="79" t="n">
        <v>0</v>
      </c>
      <c r="F75" s="12" t="inlineStr">
        <is>
          <t>Covered</t>
        </is>
      </c>
    </row>
    <row r="76" ht="15" customHeight="1">
      <c r="A76" s="12" t="inlineStr">
        <is>
          <t>TIPS</t>
        </is>
      </c>
      <c r="B76" s="79" t="n">
        <v>0</v>
      </c>
      <c r="C76" s="78" t="n">
        <v>0</v>
      </c>
      <c r="D76" s="79" t="n">
        <v>0</v>
      </c>
      <c r="E76" s="79" t="n">
        <v>0</v>
      </c>
      <c r="F76" s="12" t="inlineStr">
        <is>
          <t>Covered</t>
        </is>
      </c>
    </row>
    <row r="77" ht="15" customHeight="1">
      <c r="A77" s="12" t="inlineStr">
        <is>
          <t>US Mid Cap</t>
        </is>
      </c>
      <c r="B77" s="79" t="n">
        <v>0.0625</v>
      </c>
      <c r="C77" s="78" t="n">
        <v>0</v>
      </c>
      <c r="D77" s="79" t="n">
        <v>0</v>
      </c>
      <c r="E77" s="90" t="n">
        <v>-0.0625</v>
      </c>
      <c r="F77" s="12" t="inlineStr">
        <is>
          <t>Rebalance</t>
        </is>
      </c>
    </row>
    <row r="78"/>
    <row r="79"/>
    <row r="80" ht="15" customHeight="1">
      <c r="A80" s="10" t="inlineStr">
        <is>
          <t>ETF Ideas for Recommended but Unrepresented Sleeves</t>
        </is>
      </c>
      <c r="B80" s="3" t="n"/>
      <c r="C80" s="3" t="n"/>
      <c r="D80" s="3" t="n"/>
      <c r="E80" s="3" t="n"/>
      <c r="F80" s="4" t="n"/>
    </row>
    <row r="81" ht="45" customHeight="1">
      <c r="A81" s="85" t="inlineStr">
        <is>
          <t>Sleeve</t>
        </is>
      </c>
      <c r="B81" s="85" t="inlineStr">
        <is>
          <t>Target %</t>
        </is>
      </c>
      <c r="C81" s="85" t="inlineStr">
        <is>
          <t>Current $</t>
        </is>
      </c>
      <c r="D81" s="5" t="inlineStr">
        <is>
          <t>Possible ETFs / specific vehicles</t>
        </is>
      </c>
      <c r="E81" s="4" t="n"/>
      <c r="F81" s="85" t="inlineStr">
        <is>
          <t>How used in trade guidance</t>
        </is>
      </c>
    </row>
    <row r="82" ht="90" customHeight="1">
      <c r="A82" s="2" t="inlineStr">
        <is>
          <t>Emerging Markets</t>
        </is>
      </c>
      <c r="B82" s="79" t="n">
        <v>0.0625</v>
      </c>
      <c r="C82" s="78" t="n">
        <v>0</v>
      </c>
      <c r="D82" s="12" t="inlineStr">
        <is>
          <t>VWO, IEMG, EEM</t>
        </is>
      </c>
      <c r="E82" s="4" t="n"/>
      <c r="F82" s="12" t="inlineStr">
        <is>
          <t>Trade guidance selects one ETF per account for this unrepresented Emerging Markets sleeve; other listed ETFs are alternatives only.</t>
        </is>
      </c>
    </row>
    <row r="83" ht="90" customHeight="1">
      <c r="A83" s="2" t="inlineStr">
        <is>
          <t>US Mid Cap</t>
        </is>
      </c>
      <c r="B83" s="79" t="n">
        <v>0.0625</v>
      </c>
      <c r="C83" s="78" t="n">
        <v>0</v>
      </c>
      <c r="D83" s="12" t="inlineStr">
        <is>
          <t>VO, IJH, SCHM</t>
        </is>
      </c>
      <c r="E83" s="4" t="n"/>
      <c r="F83" s="12" t="inlineStr">
        <is>
          <t>Trade guidance selects one ETF per account for this unrepresented US Mid Cap sleeve; other listed ETFs are alternatives only.</t>
        </is>
      </c>
    </row>
    <row r="84"/>
    <row r="85" ht="15" customHeight="1">
      <c r="A85" s="10" t="inlineStr">
        <is>
          <t>Asset Location Guidance</t>
        </is>
      </c>
      <c r="B85" s="3" t="n"/>
      <c r="C85" s="3" t="n"/>
      <c r="D85" s="3" t="n"/>
      <c r="E85" s="3" t="n"/>
      <c r="F85" s="4" t="n"/>
    </row>
    <row r="86" ht="30" customHeight="1">
      <c r="A86" s="5" t="inlineStr">
        <is>
          <t>Account Type</t>
        </is>
      </c>
      <c r="B86" s="5" t="inlineStr">
        <is>
          <t>Recommended Asset Class</t>
        </is>
      </c>
      <c r="C86" s="4" t="n"/>
      <c r="D86" s="5" t="inlineStr">
        <is>
          <t>Tax Rationale</t>
        </is>
      </c>
      <c r="E86" s="3" t="n"/>
      <c r="F86" s="4" t="n"/>
    </row>
    <row r="87" ht="45" customHeight="1">
      <c r="A87" s="2" t="inlineStr">
        <is>
          <t>Tax-Deferred (IRA/401k)</t>
        </is>
      </c>
      <c r="B87" s="12" t="inlineStr">
        <is>
          <t>Bonds, REITs, High-turnover funds, PDBC (commodities)</t>
        </is>
      </c>
      <c r="C87" s="4" t="n"/>
      <c r="D87" s="12" t="inlineStr">
        <is>
          <t>Interest/dividends shielded from current tax</t>
        </is>
      </c>
      <c r="E87" s="3" t="n"/>
      <c r="F87" s="4" t="n"/>
    </row>
    <row r="88" ht="45" customHeight="1">
      <c r="A88" s="2" t="inlineStr">
        <is>
          <t>Roth (Tax-Free)</t>
        </is>
      </c>
      <c r="B88" s="12" t="inlineStr">
        <is>
          <t>Highest-growth assets (AVUV, VBR small-cap)</t>
        </is>
      </c>
      <c r="C88" s="4" t="n"/>
      <c r="D88" s="12" t="inlineStr">
        <is>
          <t>Growth compounds tax-free; no RMD</t>
        </is>
      </c>
      <c r="E88" s="3" t="n"/>
      <c r="F88" s="4" t="n"/>
    </row>
    <row r="89" ht="45" customHeight="1">
      <c r="A89" s="2" t="inlineStr">
        <is>
          <t>Taxable Trust</t>
        </is>
      </c>
      <c r="B89" s="12" t="inlineStr">
        <is>
          <t>Tax-efficient equity (ITOT, VTI, IXUS, VXUS)</t>
        </is>
      </c>
      <c r="C89" s="4" t="n"/>
      <c r="D89" s="12" t="inlineStr">
        <is>
          <t>Qualified dividends + LTCG rates; step-up at death</t>
        </is>
      </c>
      <c r="E89" s="3" t="n"/>
      <c r="F89" s="4" t="n"/>
    </row>
    <row r="90"/>
    <row r="91"/>
    <row r="92" ht="45" customHeight="1">
      <c r="A92" s="2" t="inlineStr">
        <is>
          <t>Weighted Portfolio Expense Ratio</t>
        </is>
      </c>
      <c r="B92" s="91" t="n">
        <v>0.0008635549500440059</v>
      </c>
      <c r="C92" s="12" t="inlineStr">
        <is>
          <t>Annual fee drag: $2,350</t>
        </is>
      </c>
    </row>
    <row r="93"/>
    <row r="94"/>
    <row r="95" ht="15" customHeight="1">
      <c r="A95" s="9" t="inlineStr">
        <is>
          <t>HOLDINGS DETAIL BY ACCOUNT</t>
        </is>
      </c>
    </row>
    <row r="96" ht="30" customHeight="1">
      <c r="A96" s="5" t="inlineStr">
        <is>
          <t>Account</t>
        </is>
      </c>
      <c r="B96" s="5" t="inlineStr">
        <is>
          <t>Symbol</t>
        </is>
      </c>
      <c r="C96" s="5" t="inlineStr">
        <is>
          <t>Shares</t>
        </is>
      </c>
      <c r="D96" s="5" t="inlineStr">
        <is>
          <t>Price</t>
        </is>
      </c>
      <c r="E96" s="5" t="inlineStr">
        <is>
          <t>Market Value</t>
        </is>
      </c>
      <c r="F96" s="5" t="inlineStr">
        <is>
          <t>Weight</t>
        </is>
      </c>
      <c r="G96" s="5" t="inlineStr">
        <is>
          <t>Bucket</t>
        </is>
      </c>
      <c r="H96" s="5" t="inlineStr">
        <is>
          <t>Pricing Source</t>
        </is>
      </c>
    </row>
    <row r="97" ht="45" customHeight="1">
      <c r="A97" s="92" t="inlineStr">
        <is>
          <t>Husband_401k</t>
        </is>
      </c>
      <c r="B97" s="3" t="n"/>
      <c r="C97" s="3" t="n"/>
      <c r="D97" s="4" t="n"/>
      <c r="E97" s="93" t="n">
        <v>13021.25</v>
      </c>
      <c r="F97" s="92" t="inlineStr">
        <is>
          <t>Account Total</t>
        </is>
      </c>
      <c r="G97" s="92" t="inlineStr">
        <is>
          <t>Sources:</t>
        </is>
      </c>
      <c r="H97" s="75" t="inlineStr">
        <is>
          <t>cash, stale_cache_from_fixture_cache</t>
        </is>
      </c>
    </row>
    <row r="98" ht="45" customHeight="1">
      <c r="A98" s="33" t="inlineStr"/>
      <c r="B98" s="12" t="inlineStr">
        <is>
          <t>AVUV</t>
        </is>
      </c>
      <c r="C98" s="94" t="n">
        <v>88</v>
      </c>
      <c r="D98" s="78" t="n">
        <v>124.94</v>
      </c>
      <c r="E98" s="78" t="n">
        <v>10994.72</v>
      </c>
      <c r="F98" s="79" t="n">
        <v>0.004039788292172335</v>
      </c>
      <c r="G98" s="12" t="inlineStr">
        <is>
          <t>US Small Cap</t>
        </is>
      </c>
      <c r="H98" s="12" t="inlineStr">
        <is>
          <t>stale_cache_from_fixture_cache</t>
        </is>
      </c>
    </row>
    <row r="99" ht="45" customHeight="1">
      <c r="A99" s="33" t="inlineStr"/>
      <c r="B99" s="12" t="inlineStr">
        <is>
          <t>CASH</t>
        </is>
      </c>
      <c r="C99" s="94" t="n">
        <v>2026.53</v>
      </c>
      <c r="D99" s="78" t="n">
        <v>1</v>
      </c>
      <c r="E99" s="78" t="n">
        <v>2026.53</v>
      </c>
      <c r="F99" s="79" t="n">
        <v>0.0007446076087190944</v>
      </c>
      <c r="G99" s="12" t="inlineStr">
        <is>
          <t>Cash</t>
        </is>
      </c>
      <c r="H99" s="12" t="inlineStr">
        <is>
          <t>cash</t>
        </is>
      </c>
    </row>
    <row r="100"/>
    <row r="101" ht="45" customHeight="1">
      <c r="A101" s="92" t="inlineStr">
        <is>
          <t>Husband_HSA</t>
        </is>
      </c>
      <c r="B101" s="3" t="n"/>
      <c r="C101" s="3" t="n"/>
      <c r="D101" s="4" t="n"/>
      <c r="E101" s="93" t="n">
        <v>70601.79327000001</v>
      </c>
      <c r="F101" s="92" t="inlineStr">
        <is>
          <t>Account Total</t>
        </is>
      </c>
      <c r="G101" s="92" t="inlineStr">
        <is>
          <t>Sources:</t>
        </is>
      </c>
      <c r="H101" s="75" t="inlineStr">
        <is>
          <t>cash, stale_cache_from_fixture_cache</t>
        </is>
      </c>
    </row>
    <row r="102" ht="45" customHeight="1">
      <c r="A102" s="33" t="inlineStr"/>
      <c r="B102" s="12" t="inlineStr">
        <is>
          <t>CASH</t>
        </is>
      </c>
      <c r="C102" s="94" t="n">
        <v>275.82</v>
      </c>
      <c r="D102" s="78" t="n">
        <v>1</v>
      </c>
      <c r="E102" s="78" t="n">
        <v>275.82</v>
      </c>
      <c r="F102" s="79" t="n">
        <v>0.0001013445005190649</v>
      </c>
      <c r="G102" s="12" t="inlineStr">
        <is>
          <t>Cash</t>
        </is>
      </c>
      <c r="H102" s="12" t="inlineStr">
        <is>
          <t>cash</t>
        </is>
      </c>
    </row>
    <row r="103" ht="45" customHeight="1">
      <c r="A103" s="33" t="inlineStr"/>
      <c r="B103" s="12" t="inlineStr">
        <is>
          <t>ITOT</t>
        </is>
      </c>
      <c r="C103" s="94" t="n">
        <v>437.269</v>
      </c>
      <c r="D103" s="78" t="n">
        <v>160.83</v>
      </c>
      <c r="E103" s="78" t="n">
        <v>70325.97327</v>
      </c>
      <c r="F103" s="79" t="n">
        <v>0.02583986162919752</v>
      </c>
      <c r="G103" s="12" t="inlineStr">
        <is>
          <t>US Large Cap</t>
        </is>
      </c>
      <c r="H103" s="12" t="inlineStr">
        <is>
          <t>stale_cache_from_fixture_cache</t>
        </is>
      </c>
    </row>
    <row r="104"/>
    <row r="105" ht="45" customHeight="1">
      <c r="A105" s="92" t="inlineStr">
        <is>
          <t>Husband_IRA</t>
        </is>
      </c>
      <c r="B105" s="3" t="n"/>
      <c r="C105" s="3" t="n"/>
      <c r="D105" s="4" t="n"/>
      <c r="E105" s="93" t="n">
        <v>1311283.78664</v>
      </c>
      <c r="F105" s="92" t="inlineStr">
        <is>
          <t>Account Total</t>
        </is>
      </c>
      <c r="G105" s="92" t="inlineStr">
        <is>
          <t>Sources:</t>
        </is>
      </c>
      <c r="H105" s="75" t="inlineStr">
        <is>
          <t>cash, stale_cache_from_fixture_cache</t>
        </is>
      </c>
    </row>
    <row r="106" ht="45" customHeight="1">
      <c r="A106" s="33" t="inlineStr"/>
      <c r="B106" s="12" t="inlineStr">
        <is>
          <t>AVUV</t>
        </is>
      </c>
      <c r="C106" s="94" t="n">
        <v>852</v>
      </c>
      <c r="D106" s="78" t="n">
        <v>124.94</v>
      </c>
      <c r="E106" s="78" t="n">
        <v>106448.88</v>
      </c>
      <c r="F106" s="79" t="n">
        <v>0.03911249573785033</v>
      </c>
      <c r="G106" s="12" t="inlineStr">
        <is>
          <t>US Small Cap</t>
        </is>
      </c>
      <c r="H106" s="12" t="inlineStr">
        <is>
          <t>stale_cache_from_fixture_cache</t>
        </is>
      </c>
    </row>
    <row r="107" ht="45" customHeight="1">
      <c r="A107" s="33" t="inlineStr"/>
      <c r="B107" s="12" t="inlineStr">
        <is>
          <t>CASH</t>
        </is>
      </c>
      <c r="C107" s="94" t="n">
        <v>67.58</v>
      </c>
      <c r="D107" s="78" t="n">
        <v>1</v>
      </c>
      <c r="E107" s="78" t="n">
        <v>67.58</v>
      </c>
      <c r="F107" s="79" t="n">
        <v>2.483090908954538e-05</v>
      </c>
      <c r="G107" s="12" t="inlineStr">
        <is>
          <t>Cash</t>
        </is>
      </c>
      <c r="H107" s="12" t="inlineStr">
        <is>
          <t>cash</t>
        </is>
      </c>
    </row>
    <row r="108" ht="45" customHeight="1">
      <c r="A108" s="33" t="inlineStr"/>
      <c r="B108" s="12" t="inlineStr">
        <is>
          <t>ITOT</t>
        </is>
      </c>
      <c r="C108" s="94" t="n">
        <v>3920.008</v>
      </c>
      <c r="D108" s="78" t="n">
        <v>160.83</v>
      </c>
      <c r="E108" s="78" t="n">
        <v>630454.88664</v>
      </c>
      <c r="F108" s="79" t="n">
        <v>0.2316479428117413</v>
      </c>
      <c r="G108" s="12" t="inlineStr">
        <is>
          <t>US Large Cap</t>
        </is>
      </c>
      <c r="H108" s="12" t="inlineStr">
        <is>
          <t>stale_cache_from_fixture_cache</t>
        </is>
      </c>
    </row>
    <row r="109" ht="45" customHeight="1">
      <c r="A109" s="33" t="inlineStr"/>
      <c r="B109" s="12" t="inlineStr">
        <is>
          <t>IXUS</t>
        </is>
      </c>
      <c r="C109" s="94" t="n">
        <v>4884</v>
      </c>
      <c r="D109" s="78" t="n">
        <v>94.26000000000001</v>
      </c>
      <c r="E109" s="78" t="n">
        <v>460365.84</v>
      </c>
      <c r="F109" s="79" t="n">
        <v>0.1691521503547232</v>
      </c>
      <c r="G109" s="12" t="inlineStr">
        <is>
          <t>International</t>
        </is>
      </c>
      <c r="H109" s="12" t="inlineStr">
        <is>
          <t>stale_cache_from_fixture_cache</t>
        </is>
      </c>
    </row>
    <row r="110" ht="45" customHeight="1">
      <c r="A110" s="33" t="inlineStr"/>
      <c r="B110" s="12" t="inlineStr">
        <is>
          <t>PDBC</t>
        </is>
      </c>
      <c r="C110" s="94" t="n">
        <v>7180</v>
      </c>
      <c r="D110" s="78" t="n">
        <v>15.87</v>
      </c>
      <c r="E110" s="78" t="n">
        <v>113946.6</v>
      </c>
      <c r="F110" s="79" t="n">
        <v>0.04186738185354826</v>
      </c>
      <c r="G110" s="12" t="inlineStr">
        <is>
          <t>Commodities</t>
        </is>
      </c>
      <c r="H110" s="12" t="inlineStr">
        <is>
          <t>stale_cache_from_fixture_cache</t>
        </is>
      </c>
    </row>
    <row r="111"/>
    <row r="112" ht="45" customHeight="1">
      <c r="A112" s="92" t="inlineStr">
        <is>
          <t>Husband_Roth</t>
        </is>
      </c>
      <c r="B112" s="3" t="n"/>
      <c r="C112" s="3" t="n"/>
      <c r="D112" s="4" t="n"/>
      <c r="E112" s="93" t="n">
        <v>137412.09985</v>
      </c>
      <c r="F112" s="92" t="inlineStr">
        <is>
          <t>Account Total</t>
        </is>
      </c>
      <c r="G112" s="92" t="inlineStr">
        <is>
          <t>Sources:</t>
        </is>
      </c>
      <c r="H112" s="75" t="inlineStr">
        <is>
          <t>cash, stale_cache_from_fixture_cache</t>
        </is>
      </c>
    </row>
    <row r="113" ht="45" customHeight="1">
      <c r="A113" s="33" t="inlineStr"/>
      <c r="B113" s="12" t="inlineStr">
        <is>
          <t>AVUV</t>
        </is>
      </c>
      <c r="C113" s="94" t="n">
        <v>503.89</v>
      </c>
      <c r="D113" s="78" t="n">
        <v>124.94</v>
      </c>
      <c r="E113" s="78" t="n">
        <v>62956.0166</v>
      </c>
      <c r="F113" s="79" t="n">
        <v>0.02313191957434907</v>
      </c>
      <c r="G113" s="12" t="inlineStr">
        <is>
          <t>US Small Cap</t>
        </is>
      </c>
      <c r="H113" s="12" t="inlineStr">
        <is>
          <t>stale_cache_from_fixture_cache</t>
        </is>
      </c>
    </row>
    <row r="114" ht="45" customHeight="1">
      <c r="A114" s="33" t="inlineStr"/>
      <c r="B114" s="12" t="inlineStr">
        <is>
          <t>CASH</t>
        </is>
      </c>
      <c r="C114" s="94" t="n">
        <v>9.98</v>
      </c>
      <c r="D114" s="78" t="n">
        <v>1</v>
      </c>
      <c r="E114" s="78" t="n">
        <v>9.98</v>
      </c>
      <c r="F114" s="79" t="n">
        <v>3.666949877384772e-06</v>
      </c>
      <c r="G114" s="12" t="inlineStr">
        <is>
          <t>Cash</t>
        </is>
      </c>
      <c r="H114" s="12" t="inlineStr">
        <is>
          <t>cash</t>
        </is>
      </c>
    </row>
    <row r="115" ht="45" customHeight="1">
      <c r="A115" s="33" t="inlineStr"/>
      <c r="B115" s="12" t="inlineStr">
        <is>
          <t>ITOT</t>
        </is>
      </c>
      <c r="C115" s="94" t="n">
        <v>172.775</v>
      </c>
      <c r="D115" s="78" t="n">
        <v>160.83</v>
      </c>
      <c r="E115" s="78" t="n">
        <v>27787.40325</v>
      </c>
      <c r="F115" s="79" t="n">
        <v>0.01020992133671631</v>
      </c>
      <c r="G115" s="12" t="inlineStr">
        <is>
          <t>US Large Cap</t>
        </is>
      </c>
      <c r="H115" s="12" t="inlineStr">
        <is>
          <t>stale_cache_from_fixture_cache</t>
        </is>
      </c>
    </row>
    <row r="116" ht="45" customHeight="1">
      <c r="A116" s="33" t="inlineStr"/>
      <c r="B116" s="12" t="inlineStr">
        <is>
          <t>IXUS</t>
        </is>
      </c>
      <c r="C116" s="94" t="n">
        <v>495</v>
      </c>
      <c r="D116" s="78" t="n">
        <v>94.26000000000001</v>
      </c>
      <c r="E116" s="78" t="n">
        <v>46658.7</v>
      </c>
      <c r="F116" s="79" t="n">
        <v>0.01714379902243816</v>
      </c>
      <c r="G116" s="12" t="inlineStr">
        <is>
          <t>International</t>
        </is>
      </c>
      <c r="H116" s="12" t="inlineStr">
        <is>
          <t>stale_cache_from_fixture_cache</t>
        </is>
      </c>
    </row>
    <row r="117"/>
    <row r="118" ht="45" customHeight="1">
      <c r="A118" s="92" t="inlineStr">
        <is>
          <t>Husband_Trust</t>
        </is>
      </c>
      <c r="B118" s="3" t="n"/>
      <c r="C118" s="3" t="n"/>
      <c r="D118" s="4" t="n"/>
      <c r="E118" s="93" t="n">
        <v>204048.53501</v>
      </c>
      <c r="F118" s="92" t="inlineStr">
        <is>
          <t>Account Total</t>
        </is>
      </c>
      <c r="G118" s="92" t="inlineStr">
        <is>
          <t>Sources:</t>
        </is>
      </c>
      <c r="H118" s="75" t="inlineStr">
        <is>
          <t>cash, stale_cache_from_fixture_cache</t>
        </is>
      </c>
    </row>
    <row r="119" ht="45" customHeight="1">
      <c r="A119" s="33" t="inlineStr"/>
      <c r="B119" s="12" t="inlineStr">
        <is>
          <t>CASH</t>
        </is>
      </c>
      <c r="C119" s="94" t="n">
        <v>10282.85</v>
      </c>
      <c r="D119" s="78" t="n">
        <v>1</v>
      </c>
      <c r="E119" s="78" t="n">
        <v>10282.85</v>
      </c>
      <c r="F119" s="79" t="n">
        <v>0.00377822600667996</v>
      </c>
      <c r="G119" s="12" t="inlineStr">
        <is>
          <t>Cash</t>
        </is>
      </c>
      <c r="H119" s="12" t="inlineStr">
        <is>
          <t>cash</t>
        </is>
      </c>
    </row>
    <row r="120" ht="45" customHeight="1">
      <c r="A120" s="33" t="inlineStr"/>
      <c r="B120" s="12" t="inlineStr">
        <is>
          <t>ITOT</t>
        </is>
      </c>
      <c r="C120" s="94" t="n">
        <v>646.247</v>
      </c>
      <c r="D120" s="78" t="n">
        <v>160.83</v>
      </c>
      <c r="E120" s="78" t="n">
        <v>103935.90501</v>
      </c>
      <c r="F120" s="79" t="n">
        <v>0.03818915372067083</v>
      </c>
      <c r="G120" s="12" t="inlineStr">
        <is>
          <t>US Large Cap</t>
        </is>
      </c>
      <c r="H120" s="12" t="inlineStr">
        <is>
          <t>stale_cache_from_fixture_cache</t>
        </is>
      </c>
    </row>
    <row r="121" ht="45" customHeight="1">
      <c r="A121" s="33" t="inlineStr"/>
      <c r="B121" s="12" t="inlineStr">
        <is>
          <t>IXUS</t>
        </is>
      </c>
      <c r="C121" s="94" t="n">
        <v>953</v>
      </c>
      <c r="D121" s="78" t="n">
        <v>94.26000000000001</v>
      </c>
      <c r="E121" s="78" t="n">
        <v>89829.78</v>
      </c>
      <c r="F121" s="79" t="n">
        <v>0.03300614236037085</v>
      </c>
      <c r="G121" s="12" t="inlineStr">
        <is>
          <t>International</t>
        </is>
      </c>
      <c r="H121" s="12" t="inlineStr">
        <is>
          <t>stale_cache_from_fixture_cache</t>
        </is>
      </c>
    </row>
    <row r="122"/>
    <row r="123" ht="45" customHeight="1">
      <c r="A123" s="92" t="inlineStr">
        <is>
          <t>Wife_IRA</t>
        </is>
      </c>
      <c r="B123" s="3" t="n"/>
      <c r="C123" s="3" t="n"/>
      <c r="D123" s="4" t="n"/>
      <c r="E123" s="93" t="n">
        <v>454861.506731</v>
      </c>
      <c r="F123" s="92" t="inlineStr">
        <is>
          <t>Account Total</t>
        </is>
      </c>
      <c r="G123" s="92" t="inlineStr">
        <is>
          <t>Sources:</t>
        </is>
      </c>
      <c r="H123" s="75" t="inlineStr">
        <is>
          <t>cash, stale_cache_from_fixture_cache</t>
        </is>
      </c>
    </row>
    <row r="124" ht="45" customHeight="1">
      <c r="A124" s="33" t="inlineStr"/>
      <c r="B124" s="12" t="inlineStr">
        <is>
          <t>CASH</t>
        </is>
      </c>
      <c r="C124" s="94" t="n">
        <v>181.78</v>
      </c>
      <c r="D124" s="78" t="n">
        <v>1</v>
      </c>
      <c r="E124" s="78" t="n">
        <v>181.78</v>
      </c>
      <c r="F124" s="79" t="n">
        <v>6.679139766643325e-05</v>
      </c>
      <c r="G124" s="12" t="inlineStr">
        <is>
          <t>Cash</t>
        </is>
      </c>
      <c r="H124" s="12" t="inlineStr">
        <is>
          <t>cash</t>
        </is>
      </c>
    </row>
    <row r="125" ht="45" customHeight="1">
      <c r="A125" s="33" t="inlineStr"/>
      <c r="B125" s="12" t="inlineStr">
        <is>
          <t>PDBC</t>
        </is>
      </c>
      <c r="C125" s="94" t="n">
        <v>3325</v>
      </c>
      <c r="D125" s="78" t="n">
        <v>15.87</v>
      </c>
      <c r="E125" s="78" t="n">
        <v>52767.75</v>
      </c>
      <c r="F125" s="79" t="n">
        <v>0.01938844633190083</v>
      </c>
      <c r="G125" s="12" t="inlineStr">
        <is>
          <t>Commodities</t>
        </is>
      </c>
      <c r="H125" s="12" t="inlineStr">
        <is>
          <t>stale_cache_from_fixture_cache</t>
        </is>
      </c>
    </row>
    <row r="126" ht="45" customHeight="1">
      <c r="A126" s="33" t="inlineStr"/>
      <c r="B126" s="12" t="inlineStr">
        <is>
          <t>VBR</t>
        </is>
      </c>
      <c r="C126" s="94" t="n">
        <v>156.9277</v>
      </c>
      <c r="D126" s="78" t="n">
        <v>242.77</v>
      </c>
      <c r="E126" s="78" t="n">
        <v>38097.337729</v>
      </c>
      <c r="F126" s="79" t="n">
        <v>0.01399809898938305</v>
      </c>
      <c r="G126" s="12" t="inlineStr">
        <is>
          <t>US Small Cap</t>
        </is>
      </c>
      <c r="H126" s="12" t="inlineStr">
        <is>
          <t>stale_cache_from_fixture_cache</t>
        </is>
      </c>
    </row>
    <row r="127" ht="45" customHeight="1">
      <c r="A127" s="33" t="inlineStr"/>
      <c r="B127" s="12" t="inlineStr">
        <is>
          <t>VTI</t>
        </is>
      </c>
      <c r="C127" s="94" t="n">
        <v>578.5074999999999</v>
      </c>
      <c r="D127" s="78" t="n">
        <v>362.22</v>
      </c>
      <c r="E127" s="78" t="n">
        <v>209546.98665</v>
      </c>
      <c r="F127" s="79" t="n">
        <v>0.07699381733492645</v>
      </c>
      <c r="G127" s="12" t="inlineStr">
        <is>
          <t>US Large Cap</t>
        </is>
      </c>
      <c r="H127" s="12" t="inlineStr">
        <is>
          <t>stale_cache_from_fixture_cache</t>
        </is>
      </c>
    </row>
    <row r="128" ht="30" customHeight="1">
      <c r="A128" s="33" t="inlineStr"/>
      <c r="B128" s="12" t="inlineStr">
        <is>
          <t>VXUS</t>
        </is>
      </c>
      <c r="C128" s="94" t="n">
        <v>1826.0849</v>
      </c>
      <c r="D128" s="78" t="n">
        <v>84.48</v>
      </c>
      <c r="E128" s="78" t="n">
        <v>154267.652352</v>
      </c>
      <c r="F128" s="79" t="n">
        <v>0.0566825399675955</v>
      </c>
      <c r="G128" s="12" t="inlineStr">
        <is>
          <t>International</t>
        </is>
      </c>
      <c r="H128" s="12" t="inlineStr">
        <is>
          <t>stale_cache_from_fixture_cache</t>
        </is>
      </c>
    </row>
    <row r="129"/>
    <row r="130" ht="45" customHeight="1">
      <c r="A130" s="92" t="inlineStr">
        <is>
          <t>Wife_Roth</t>
        </is>
      </c>
      <c r="B130" s="3" t="n"/>
      <c r="C130" s="3" t="n"/>
      <c r="D130" s="4" t="n"/>
      <c r="E130" s="93" t="n">
        <v>203932.259643</v>
      </c>
      <c r="F130" s="92" t="inlineStr">
        <is>
          <t>Account Total</t>
        </is>
      </c>
      <c r="G130" s="92" t="inlineStr">
        <is>
          <t>Sources:</t>
        </is>
      </c>
      <c r="H130" s="75" t="inlineStr">
        <is>
          <t>cash, stale_cache_from_fixture_cache</t>
        </is>
      </c>
    </row>
    <row r="131" ht="45" customHeight="1">
      <c r="A131" s="33" t="inlineStr"/>
      <c r="B131" s="12" t="inlineStr">
        <is>
          <t>CASH</t>
        </is>
      </c>
      <c r="C131" s="94" t="n">
        <v>225.79</v>
      </c>
      <c r="D131" s="78" t="n">
        <v>1</v>
      </c>
      <c r="E131" s="78" t="n">
        <v>225.79</v>
      </c>
      <c r="F131" s="79" t="n">
        <v>8.296198525197471e-05</v>
      </c>
      <c r="G131" s="12" t="inlineStr">
        <is>
          <t>Cash</t>
        </is>
      </c>
      <c r="H131" s="12" t="inlineStr">
        <is>
          <t>cash</t>
        </is>
      </c>
    </row>
    <row r="132" ht="45" customHeight="1">
      <c r="A132" s="33" t="inlineStr"/>
      <c r="B132" s="12" t="inlineStr">
        <is>
          <t>VBR</t>
        </is>
      </c>
      <c r="C132" s="94" t="n">
        <v>378.2105</v>
      </c>
      <c r="D132" s="78" t="n">
        <v>242.77</v>
      </c>
      <c r="E132" s="78" t="n">
        <v>91818.16308500001</v>
      </c>
      <c r="F132" s="79" t="n">
        <v>0.03373673365393144</v>
      </c>
      <c r="G132" s="12" t="inlineStr">
        <is>
          <t>US Small Cap</t>
        </is>
      </c>
      <c r="H132" s="12" t="inlineStr">
        <is>
          <t>stale_cache_from_fixture_cache</t>
        </is>
      </c>
    </row>
    <row r="133" ht="45" customHeight="1">
      <c r="A133" s="33" t="inlineStr"/>
      <c r="B133" s="12" t="inlineStr">
        <is>
          <t>VTI</t>
        </is>
      </c>
      <c r="C133" s="94" t="n">
        <v>118.1185</v>
      </c>
      <c r="D133" s="78" t="n">
        <v>362.22</v>
      </c>
      <c r="E133" s="78" t="n">
        <v>42784.88307000001</v>
      </c>
      <c r="F133" s="79" t="n">
        <v>0.01572044305886356</v>
      </c>
      <c r="G133" s="12" t="inlineStr">
        <is>
          <t>US Large Cap</t>
        </is>
      </c>
      <c r="H133" s="12" t="inlineStr">
        <is>
          <t>stale_cache_from_fixture_cache</t>
        </is>
      </c>
    </row>
    <row r="134" ht="45" customHeight="1">
      <c r="A134" s="33" t="inlineStr"/>
      <c r="B134" s="12" t="inlineStr">
        <is>
          <t>VXUS</t>
        </is>
      </c>
      <c r="C134" s="94" t="n">
        <v>817.9856</v>
      </c>
      <c r="D134" s="78" t="n">
        <v>84.48</v>
      </c>
      <c r="E134" s="78" t="n">
        <v>69103.423488</v>
      </c>
      <c r="F134" s="79" t="n">
        <v>0.02539066034931759</v>
      </c>
      <c r="G134" s="12" t="inlineStr">
        <is>
          <t>International</t>
        </is>
      </c>
      <c r="H134" s="12" t="inlineStr">
        <is>
          <t>stale_cache_from_fixture_cache</t>
        </is>
      </c>
    </row>
    <row r="135"/>
    <row r="136" ht="45" customHeight="1">
      <c r="A136" s="92" t="inlineStr">
        <is>
          <t>Wife_Trust</t>
        </is>
      </c>
      <c r="B136" s="3" t="n"/>
      <c r="C136" s="3" t="n"/>
      <c r="D136" s="4" t="n"/>
      <c r="E136" s="93" t="n">
        <v>326446.735616</v>
      </c>
      <c r="F136" s="92" t="inlineStr">
        <is>
          <t>Account Total</t>
        </is>
      </c>
      <c r="G136" s="92" t="inlineStr">
        <is>
          <t>Sources:</t>
        </is>
      </c>
      <c r="H136" s="75" t="inlineStr">
        <is>
          <t>cash, stale_cache_from_fixture_cache</t>
        </is>
      </c>
    </row>
    <row r="137" ht="45" customHeight="1">
      <c r="A137" s="33" t="inlineStr"/>
      <c r="B137" s="12" t="inlineStr">
        <is>
          <t>CASH</t>
        </is>
      </c>
      <c r="C137" s="94" t="n">
        <v>4856.42</v>
      </c>
      <c r="D137" s="78" t="n">
        <v>1</v>
      </c>
      <c r="E137" s="78" t="n">
        <v>4856.42</v>
      </c>
      <c r="F137" s="79" t="n">
        <v>0.00178439365967224</v>
      </c>
      <c r="G137" s="12" t="inlineStr">
        <is>
          <t>Cash</t>
        </is>
      </c>
      <c r="H137" s="12" t="inlineStr">
        <is>
          <t>cash</t>
        </is>
      </c>
    </row>
    <row r="138" ht="45" customHeight="1">
      <c r="A138" s="33" t="inlineStr"/>
      <c r="B138" s="12" t="inlineStr">
        <is>
          <t>VTI</t>
        </is>
      </c>
      <c r="C138" s="94" t="n">
        <v>675.4639999999999</v>
      </c>
      <c r="D138" s="78" t="n">
        <v>362.22</v>
      </c>
      <c r="E138" s="78" t="n">
        <v>244666.57008</v>
      </c>
      <c r="F138" s="79" t="n">
        <v>0.08989780051653394</v>
      </c>
      <c r="G138" s="12" t="inlineStr">
        <is>
          <t>US Large Cap</t>
        </is>
      </c>
      <c r="H138" s="12" t="inlineStr">
        <is>
          <t>stale_cache_from_fixture_cache</t>
        </is>
      </c>
    </row>
    <row r="139" ht="45" customHeight="1">
      <c r="A139" s="33" t="inlineStr"/>
      <c r="B139" s="12" t="inlineStr">
        <is>
          <t>VXUS</t>
        </is>
      </c>
      <c r="C139" s="94" t="n">
        <v>910.5557</v>
      </c>
      <c r="D139" s="78" t="n">
        <v>84.48</v>
      </c>
      <c r="E139" s="78" t="n">
        <v>76923.745536</v>
      </c>
      <c r="F139" s="79" t="n">
        <v>0.02826408008629385</v>
      </c>
      <c r="G139" s="12" t="inlineStr">
        <is>
          <t>International</t>
        </is>
      </c>
      <c r="H139" s="12" t="inlineStr">
        <is>
          <t>stale_cache_from_fixture_cache</t>
        </is>
      </c>
    </row>
    <row r="140" ht="30" customHeight="1">
      <c r="A140" s="2" t="inlineStr">
        <is>
          <t>TOTAL</t>
        </is>
      </c>
      <c r="E140" s="83" t="n">
        <v>2721607.96676</v>
      </c>
      <c r="F140" s="84" t="n">
        <v>1</v>
      </c>
    </row>
    <row r="141"/>
    <row r="142"/>
    <row r="143" ht="15" customHeight="1">
      <c r="A143" s="9" t="inlineStr">
        <is>
          <t>REBALANCING TRADES</t>
        </is>
      </c>
    </row>
    <row r="144" ht="90" customHeight="1">
      <c r="A144" s="12" t="inlineStr">
        <is>
          <t>Trades use a configurable household-level tax-location optimizer with account-level tax optimization when enabled. Security-buy subtotals exclude CASH target/hold rows so the Ending Cash After Trades line reconciles to the Cash row in Total Portfolio Mix. The global mode minimizes selected-target drift, estimated tax cost, turnover, and account-location inefficiency across all accounts while respecting account cash constraints, tax-lot sales including short-term vs long-term gains, minimum trades, turnover caps, concentration caps, taxable-gain budget, and wash-sale review settings. The heuristic mode remains available as a fallback.</t>
        </is>
      </c>
      <c r="B144" s="3" t="n"/>
      <c r="C144" s="3" t="n"/>
      <c r="D144" s="3" t="n"/>
      <c r="E144" s="3" t="n"/>
      <c r="F144" s="3" t="n"/>
      <c r="G144" s="3" t="n"/>
      <c r="H144" s="3" t="n"/>
      <c r="I144" s="3" t="n"/>
      <c r="J144" s="4" t="n"/>
    </row>
    <row r="145"/>
    <row r="146" ht="15" customHeight="1">
      <c r="A146" s="10" t="inlineStr">
        <is>
          <t>Husband_HSA — HSA — Sells $31,771 | Security Buys $31,771 | Ending Cash After Trades $276</t>
        </is>
      </c>
      <c r="B146" s="3" t="n"/>
      <c r="C146" s="3" t="n"/>
      <c r="D146" s="3" t="n"/>
      <c r="E146" s="3" t="n"/>
      <c r="F146" s="3" t="n"/>
      <c r="G146" s="3" t="n"/>
      <c r="H146" s="3" t="n"/>
      <c r="I146" s="3" t="n"/>
      <c r="J146" s="4" t="n"/>
    </row>
    <row r="147" ht="30" customHeight="1">
      <c r="A147" s="5" t="inlineStr">
        <is>
          <t>Account</t>
        </is>
      </c>
      <c r="B147" s="5" t="inlineStr">
        <is>
          <t>Tax Treatment</t>
        </is>
      </c>
      <c r="C147" s="5" t="inlineStr">
        <is>
          <t>Symbol</t>
        </is>
      </c>
      <c r="D147" s="5" t="inlineStr">
        <is>
          <t>Action</t>
        </is>
      </c>
      <c r="E147" s="5" t="inlineStr">
        <is>
          <t>Amount</t>
        </is>
      </c>
      <c r="F147" s="5" t="inlineStr">
        <is>
          <t>Shares</t>
        </is>
      </c>
      <c r="G147" s="5" t="inlineStr">
        <is>
          <t>Bucket</t>
        </is>
      </c>
      <c r="H147" s="5" t="inlineStr">
        <is>
          <t>Est. Tax Cost</t>
        </is>
      </c>
      <c r="I147" s="5" t="inlineStr">
        <is>
          <t>Tax Logic</t>
        </is>
      </c>
      <c r="J147" s="5" t="inlineStr">
        <is>
          <t>Note</t>
        </is>
      </c>
    </row>
    <row r="148" ht="90" customHeight="1">
      <c r="A148" s="12" t="inlineStr">
        <is>
          <t>Husband_HSA</t>
        </is>
      </c>
      <c r="B148" s="12" t="inlineStr">
        <is>
          <t>HSA</t>
        </is>
      </c>
      <c r="C148" s="2" t="inlineStr">
        <is>
          <t>ITOT</t>
        </is>
      </c>
      <c r="D148" s="95" t="inlineStr">
        <is>
          <t>SELL</t>
        </is>
      </c>
      <c r="E148" s="78" t="n">
        <v>31771</v>
      </c>
      <c r="F148" s="96" t="n">
        <v>197.54</v>
      </c>
      <c r="G148" s="12" t="inlineStr">
        <is>
          <t>US Large Cap</t>
        </is>
      </c>
      <c r="H148" s="78" t="n">
        <v>0</v>
      </c>
      <c r="I148" s="12" t="inlineStr">
        <is>
          <t>No current tax inside tax-advantaged account.</t>
        </is>
      </c>
      <c r="J148" s="12" t="inlineStr">
        <is>
          <t>No current tax inside this account type. Global optimizer fit score 90%; household target/location/tax tradeoff selected this sale.</t>
        </is>
      </c>
    </row>
    <row r="149" ht="90" customHeight="1">
      <c r="A149" s="12" t="inlineStr">
        <is>
          <t>Husband_HSA</t>
        </is>
      </c>
      <c r="B149" s="12" t="inlineStr">
        <is>
          <t>HSA</t>
        </is>
      </c>
      <c r="C149" s="2" t="inlineStr">
        <is>
          <t>VWO</t>
        </is>
      </c>
      <c r="D149" s="92" t="inlineStr">
        <is>
          <t>BUY</t>
        </is>
      </c>
      <c r="E149" s="78" t="n">
        <v>31771</v>
      </c>
      <c r="F149" s="96" t="n">
        <v>542.35</v>
      </c>
      <c r="G149" s="12" t="inlineStr">
        <is>
          <t>Emerging Markets</t>
        </is>
      </c>
      <c r="H149" s="78" t="n">
        <v>0</v>
      </c>
      <c r="I149" s="12" t="inlineStr">
        <is>
          <t>Buy side has no realized gain; global optimizer places exposure by account tax treatment and constraints.</t>
        </is>
      </c>
      <c r="J149" s="12" t="inlineStr">
        <is>
          <t>Global optimizer selected this account for Emerging Markets based on tax treatment, household drift, and location fit 90%. Single ETF selected for this unrepresented Emerging Markets sleeve in this account; ETF alternatives remain informational only.</t>
        </is>
      </c>
    </row>
    <row r="150" ht="90" customHeight="1">
      <c r="A150" s="11" t="inlineStr">
        <is>
          <t>Husband_HSA Subtotal</t>
        </is>
      </c>
      <c r="D150" s="11" t="inlineStr">
        <is>
          <t>SELL</t>
        </is>
      </c>
      <c r="E150" s="30" t="n">
        <v>31771</v>
      </c>
      <c r="F150" s="11" t="inlineStr">
        <is>
          <t>SECURITY BUY</t>
        </is>
      </c>
      <c r="G150" s="30" t="n">
        <v>31771</v>
      </c>
      <c r="H150" s="11" t="inlineStr">
        <is>
          <t>Ending Cash After Trades</t>
        </is>
      </c>
      <c r="I150" s="30" t="n">
        <v>275.8199999999997</v>
      </c>
      <c r="J150" s="97" t="inlineStr">
        <is>
          <t>Beginning cash $276; cash change $-0. CASH target/hold rows are not counted as security buys.</t>
        </is>
      </c>
    </row>
    <row r="151"/>
    <row r="152" ht="15" customHeight="1">
      <c r="A152" s="10" t="inlineStr">
        <is>
          <t>Husband_IRA — Tax-deferred — Sells $152,174 | Security Buys $0 | Ending Cash After Trades $152,242</t>
        </is>
      </c>
      <c r="B152" s="3" t="n"/>
      <c r="C152" s="3" t="n"/>
      <c r="D152" s="3" t="n"/>
      <c r="E152" s="3" t="n"/>
      <c r="F152" s="3" t="n"/>
      <c r="G152" s="3" t="n"/>
      <c r="H152" s="3" t="n"/>
      <c r="I152" s="3" t="n"/>
      <c r="J152" s="4" t="n"/>
    </row>
    <row r="153" ht="30" customHeight="1">
      <c r="A153" s="5" t="inlineStr">
        <is>
          <t>Account</t>
        </is>
      </c>
      <c r="B153" s="5" t="inlineStr">
        <is>
          <t>Tax Treatment</t>
        </is>
      </c>
      <c r="C153" s="5" t="inlineStr">
        <is>
          <t>Symbol</t>
        </is>
      </c>
      <c r="D153" s="5" t="inlineStr">
        <is>
          <t>Action</t>
        </is>
      </c>
      <c r="E153" s="5" t="inlineStr">
        <is>
          <t>Amount</t>
        </is>
      </c>
      <c r="F153" s="5" t="inlineStr">
        <is>
          <t>Shares</t>
        </is>
      </c>
      <c r="G153" s="5" t="inlineStr">
        <is>
          <t>Bucket</t>
        </is>
      </c>
      <c r="H153" s="5" t="inlineStr">
        <is>
          <t>Est. Tax Cost</t>
        </is>
      </c>
      <c r="I153" s="5" t="inlineStr">
        <is>
          <t>Tax Logic</t>
        </is>
      </c>
      <c r="J153" s="5" t="inlineStr">
        <is>
          <t>Note</t>
        </is>
      </c>
    </row>
    <row r="154" ht="90" customHeight="1">
      <c r="A154" s="12" t="inlineStr">
        <is>
          <t>Husband_IRA</t>
        </is>
      </c>
      <c r="B154" s="12" t="inlineStr">
        <is>
          <t>Tax-deferred</t>
        </is>
      </c>
      <c r="C154" s="2" t="inlineStr">
        <is>
          <t>ITOT</t>
        </is>
      </c>
      <c r="D154" s="95" t="inlineStr">
        <is>
          <t>SELL</t>
        </is>
      </c>
      <c r="E154" s="78" t="n">
        <v>45725</v>
      </c>
      <c r="F154" s="96" t="n">
        <v>284.31</v>
      </c>
      <c r="G154" s="12" t="inlineStr">
        <is>
          <t>US Large Cap</t>
        </is>
      </c>
      <c r="H154" s="78" t="n">
        <v>0</v>
      </c>
      <c r="I154" s="12" t="inlineStr">
        <is>
          <t>No current tax inside tax-advantaged account.</t>
        </is>
      </c>
      <c r="J154" s="12" t="inlineStr">
        <is>
          <t>No current tax inside this account type. Global optimizer fit score 65%; household target/location/tax tradeoff selected this sale.</t>
        </is>
      </c>
    </row>
    <row r="155" ht="90" customHeight="1">
      <c r="A155" s="12" t="inlineStr">
        <is>
          <t>Husband_IRA</t>
        </is>
      </c>
      <c r="B155" s="12" t="inlineStr">
        <is>
          <t>Tax-deferred</t>
        </is>
      </c>
      <c r="C155" s="2" t="inlineStr">
        <is>
          <t>AVUV</t>
        </is>
      </c>
      <c r="D155" s="95" t="inlineStr">
        <is>
          <t>SELL</t>
        </is>
      </c>
      <c r="E155" s="78" t="n">
        <v>106449</v>
      </c>
      <c r="F155" s="96" t="n">
        <v>852</v>
      </c>
      <c r="G155" s="12" t="inlineStr">
        <is>
          <t>US Small Cap</t>
        </is>
      </c>
      <c r="H155" s="78" t="n">
        <v>0</v>
      </c>
      <c r="I155" s="12" t="inlineStr">
        <is>
          <t>No current tax inside tax-advantaged account.</t>
        </is>
      </c>
      <c r="J155" s="12" t="inlineStr">
        <is>
          <t>No current tax inside this account type. Global optimizer fit score 50%; household target/location/tax tradeoff selected this sale.</t>
        </is>
      </c>
    </row>
    <row r="156" ht="90" customHeight="1">
      <c r="A156" s="12" t="inlineStr">
        <is>
          <t>Husband_IRA</t>
        </is>
      </c>
      <c r="B156" s="12" t="inlineStr">
        <is>
          <t>Tax-deferred</t>
        </is>
      </c>
      <c r="C156" s="2" t="inlineStr">
        <is>
          <t>CASH</t>
        </is>
      </c>
      <c r="D156" s="92" t="inlineStr">
        <is>
          <t>BUY</t>
        </is>
      </c>
      <c r="E156" s="78" t="n">
        <v>152174</v>
      </c>
      <c r="F156" s="96" t="n">
        <v>152173.75</v>
      </c>
      <c r="G156" s="12" t="inlineStr">
        <is>
          <t>Cash</t>
        </is>
      </c>
      <c r="H156" s="78" t="n">
        <v>0</v>
      </c>
      <c r="I156" s="12" t="inlineStr">
        <is>
          <t>Buy side has no realized gain; global optimizer places exposure by account tax treatment and constraints.</t>
        </is>
      </c>
      <c r="J156" s="12" t="inlineStr">
        <is>
          <t>Global optimizer selected this account for Cash based on tax treatment, household drift, and location fit 65%.</t>
        </is>
      </c>
    </row>
    <row r="157" ht="90" customHeight="1">
      <c r="A157" s="11" t="inlineStr">
        <is>
          <t>Husband_IRA Subtotal</t>
        </is>
      </c>
      <c r="D157" s="11" t="inlineStr">
        <is>
          <t>SELL</t>
        </is>
      </c>
      <c r="E157" s="30" t="n">
        <v>152174</v>
      </c>
      <c r="F157" s="11" t="inlineStr">
        <is>
          <t>SECURITY BUY</t>
        </is>
      </c>
      <c r="G157" s="30" t="n">
        <v>0</v>
      </c>
      <c r="H157" s="11" t="inlineStr">
        <is>
          <t>Ending Cash After Trades</t>
        </is>
      </c>
      <c r="I157" s="30" t="n">
        <v>152241.58</v>
      </c>
      <c r="J157" s="97" t="inlineStr">
        <is>
          <t>Beginning cash $68; cash change $152,174. CASH target/hold rows are not counted as security buys.</t>
        </is>
      </c>
    </row>
    <row r="158"/>
    <row r="159" ht="15" customHeight="1">
      <c r="A159" s="10" t="inlineStr">
        <is>
          <t>Husband_Roth — Tax-free (Roth) — Sells $46,560 | Security Buys $46,560 | Ending Cash After Trades $10</t>
        </is>
      </c>
      <c r="B159" s="3" t="n"/>
      <c r="C159" s="3" t="n"/>
      <c r="D159" s="3" t="n"/>
      <c r="E159" s="3" t="n"/>
      <c r="F159" s="3" t="n"/>
      <c r="G159" s="3" t="n"/>
      <c r="H159" s="3" t="n"/>
      <c r="I159" s="3" t="n"/>
      <c r="J159" s="4" t="n"/>
    </row>
    <row r="160" ht="30" customHeight="1">
      <c r="A160" s="5" t="inlineStr">
        <is>
          <t>Account</t>
        </is>
      </c>
      <c r="B160" s="5" t="inlineStr">
        <is>
          <t>Tax Treatment</t>
        </is>
      </c>
      <c r="C160" s="5" t="inlineStr">
        <is>
          <t>Symbol</t>
        </is>
      </c>
      <c r="D160" s="5" t="inlineStr">
        <is>
          <t>Action</t>
        </is>
      </c>
      <c r="E160" s="5" t="inlineStr">
        <is>
          <t>Amount</t>
        </is>
      </c>
      <c r="F160" s="5" t="inlineStr">
        <is>
          <t>Shares</t>
        </is>
      </c>
      <c r="G160" s="5" t="inlineStr">
        <is>
          <t>Bucket</t>
        </is>
      </c>
      <c r="H160" s="5" t="inlineStr">
        <is>
          <t>Est. Tax Cost</t>
        </is>
      </c>
      <c r="I160" s="5" t="inlineStr">
        <is>
          <t>Tax Logic</t>
        </is>
      </c>
      <c r="J160" s="5" t="inlineStr">
        <is>
          <t>Note</t>
        </is>
      </c>
    </row>
    <row r="161" ht="90" customHeight="1">
      <c r="A161" s="12" t="inlineStr">
        <is>
          <t>Husband_Roth</t>
        </is>
      </c>
      <c r="B161" s="12" t="inlineStr">
        <is>
          <t>Tax-free (Roth)</t>
        </is>
      </c>
      <c r="C161" s="2" t="inlineStr">
        <is>
          <t>IXUS</t>
        </is>
      </c>
      <c r="D161" s="95" t="inlineStr">
        <is>
          <t>SELL</t>
        </is>
      </c>
      <c r="E161" s="78" t="n">
        <v>18773</v>
      </c>
      <c r="F161" s="96" t="n">
        <v>199.16</v>
      </c>
      <c r="G161" s="12" t="inlineStr">
        <is>
          <t>International</t>
        </is>
      </c>
      <c r="H161" s="78" t="n">
        <v>0</v>
      </c>
      <c r="I161" s="12" t="inlineStr">
        <is>
          <t>No current tax inside tax-advantaged account.</t>
        </is>
      </c>
      <c r="J161" s="12" t="inlineStr">
        <is>
          <t>No current tax inside this account type. Global optimizer fit score 95%; household target/location/tax tradeoff selected this sale.</t>
        </is>
      </c>
    </row>
    <row r="162" ht="90" customHeight="1">
      <c r="A162" s="12" t="inlineStr">
        <is>
          <t>Husband_Roth</t>
        </is>
      </c>
      <c r="B162" s="12" t="inlineStr">
        <is>
          <t>Tax-free (Roth)</t>
        </is>
      </c>
      <c r="C162" s="2" t="inlineStr">
        <is>
          <t>ITOT</t>
        </is>
      </c>
      <c r="D162" s="95" t="inlineStr">
        <is>
          <t>SELL</t>
        </is>
      </c>
      <c r="E162" s="78" t="n">
        <v>27787</v>
      </c>
      <c r="F162" s="96" t="n">
        <v>172.78</v>
      </c>
      <c r="G162" s="12" t="inlineStr">
        <is>
          <t>US Large Cap</t>
        </is>
      </c>
      <c r="H162" s="78" t="n">
        <v>0</v>
      </c>
      <c r="I162" s="12" t="inlineStr">
        <is>
          <t>No current tax inside tax-advantaged account.</t>
        </is>
      </c>
      <c r="J162" s="12" t="inlineStr">
        <is>
          <t>No current tax inside this account type. Global optimizer fit score 95%; household target/location/tax tradeoff selected this sale.</t>
        </is>
      </c>
    </row>
    <row r="163" ht="90" customHeight="1">
      <c r="A163" s="12" t="inlineStr">
        <is>
          <t>Husband_Roth</t>
        </is>
      </c>
      <c r="B163" s="12" t="inlineStr">
        <is>
          <t>Tax-free (Roth)</t>
        </is>
      </c>
      <c r="C163" s="2" t="inlineStr">
        <is>
          <t>VWO</t>
        </is>
      </c>
      <c r="D163" s="92" t="inlineStr">
        <is>
          <t>BUY</t>
        </is>
      </c>
      <c r="E163" s="78" t="n">
        <v>46560</v>
      </c>
      <c r="F163" s="96" t="n">
        <v>794.8099999999999</v>
      </c>
      <c r="G163" s="12" t="inlineStr">
        <is>
          <t>Emerging Markets</t>
        </is>
      </c>
      <c r="H163" s="78" t="n">
        <v>0</v>
      </c>
      <c r="I163" s="12" t="inlineStr">
        <is>
          <t>Buy side has no realized gain; global optimizer places exposure by account tax treatment and constraints.</t>
        </is>
      </c>
      <c r="J163" s="12" t="inlineStr">
        <is>
          <t>Global optimizer selected this account for Emerging Markets based on tax treatment, household drift, and location fit 95%. Single ETF selected for this unrepresented Emerging Markets sleeve in this account; ETF alternatives remain informational only.</t>
        </is>
      </c>
    </row>
    <row r="164" ht="90" customHeight="1">
      <c r="A164" s="11" t="inlineStr">
        <is>
          <t>Husband_Roth Subtotal</t>
        </is>
      </c>
      <c r="D164" s="11" t="inlineStr">
        <is>
          <t>SELL</t>
        </is>
      </c>
      <c r="E164" s="30" t="n">
        <v>46560</v>
      </c>
      <c r="F164" s="11" t="inlineStr">
        <is>
          <t>SECURITY BUY</t>
        </is>
      </c>
      <c r="G164" s="30" t="n">
        <v>46560</v>
      </c>
      <c r="H164" s="11" t="inlineStr">
        <is>
          <t>Ending Cash After Trades</t>
        </is>
      </c>
      <c r="I164" s="30" t="n">
        <v>9.980000000003201</v>
      </c>
      <c r="J164" s="97" t="inlineStr">
        <is>
          <t>Beginning cash $10; cash change $0. CASH target/hold rows are not counted as security buys.</t>
        </is>
      </c>
    </row>
    <row r="165"/>
    <row r="166" ht="15" customHeight="1">
      <c r="A166" s="10" t="inlineStr">
        <is>
          <t>Wife_IRA — Tax-deferred — Sells $173,487 | Security Buys $173,486 | Ending Cash After Trades $183</t>
        </is>
      </c>
      <c r="B166" s="3" t="n"/>
      <c r="C166" s="3" t="n"/>
      <c r="D166" s="3" t="n"/>
      <c r="E166" s="3" t="n"/>
      <c r="F166" s="3" t="n"/>
      <c r="G166" s="3" t="n"/>
      <c r="H166" s="3" t="n"/>
      <c r="I166" s="3" t="n"/>
      <c r="J166" s="4" t="n"/>
    </row>
    <row r="167" ht="30" customHeight="1">
      <c r="A167" s="5" t="inlineStr">
        <is>
          <t>Account</t>
        </is>
      </c>
      <c r="B167" s="5" t="inlineStr">
        <is>
          <t>Tax Treatment</t>
        </is>
      </c>
      <c r="C167" s="5" t="inlineStr">
        <is>
          <t>Symbol</t>
        </is>
      </c>
      <c r="D167" s="5" t="inlineStr">
        <is>
          <t>Action</t>
        </is>
      </c>
      <c r="E167" s="5" t="inlineStr">
        <is>
          <t>Amount</t>
        </is>
      </c>
      <c r="F167" s="5" t="inlineStr">
        <is>
          <t>Shares</t>
        </is>
      </c>
      <c r="G167" s="5" t="inlineStr">
        <is>
          <t>Bucket</t>
        </is>
      </c>
      <c r="H167" s="5" t="inlineStr">
        <is>
          <t>Est. Tax Cost</t>
        </is>
      </c>
      <c r="I167" s="5" t="inlineStr">
        <is>
          <t>Tax Logic</t>
        </is>
      </c>
      <c r="J167" s="5" t="inlineStr">
        <is>
          <t>Note</t>
        </is>
      </c>
    </row>
    <row r="168" ht="90" customHeight="1">
      <c r="A168" s="12" t="inlineStr">
        <is>
          <t>Wife_IRA</t>
        </is>
      </c>
      <c r="B168" s="12" t="inlineStr">
        <is>
          <t>Tax-deferred</t>
        </is>
      </c>
      <c r="C168" s="2" t="inlineStr">
        <is>
          <t>VXUS</t>
        </is>
      </c>
      <c r="D168" s="95" t="inlineStr">
        <is>
          <t>SELL</t>
        </is>
      </c>
      <c r="E168" s="78" t="n">
        <v>139721</v>
      </c>
      <c r="F168" s="96" t="n">
        <v>1653.89</v>
      </c>
      <c r="G168" s="12" t="inlineStr">
        <is>
          <t>International</t>
        </is>
      </c>
      <c r="H168" s="78" t="n">
        <v>0</v>
      </c>
      <c r="I168" s="12" t="inlineStr">
        <is>
          <t>No current tax inside tax-advantaged account.</t>
        </is>
      </c>
      <c r="J168" s="12" t="inlineStr">
        <is>
          <t>No current tax inside this account type. Global optimizer fit score 65%; household target/location/tax tradeoff selected this sale.</t>
        </is>
      </c>
    </row>
    <row r="169" ht="90" customHeight="1">
      <c r="A169" s="12" t="inlineStr">
        <is>
          <t>Wife_IRA</t>
        </is>
      </c>
      <c r="B169" s="12" t="inlineStr">
        <is>
          <t>Tax-deferred</t>
        </is>
      </c>
      <c r="C169" s="2" t="inlineStr">
        <is>
          <t>VBR</t>
        </is>
      </c>
      <c r="D169" s="95" t="inlineStr">
        <is>
          <t>SELL</t>
        </is>
      </c>
      <c r="E169" s="78" t="n">
        <v>33766</v>
      </c>
      <c r="F169" s="96" t="n">
        <v>139.09</v>
      </c>
      <c r="G169" s="12" t="inlineStr">
        <is>
          <t>US Small Cap</t>
        </is>
      </c>
      <c r="H169" s="78" t="n">
        <v>0</v>
      </c>
      <c r="I169" s="12" t="inlineStr">
        <is>
          <t>No current tax inside tax-advantaged account.</t>
        </is>
      </c>
      <c r="J169" s="12" t="inlineStr">
        <is>
          <t>No current tax inside this account type. Global optimizer fit score 50%; household target/location/tax tradeoff selected this sale.</t>
        </is>
      </c>
    </row>
    <row r="170" ht="90" customHeight="1">
      <c r="A170" s="12" t="inlineStr">
        <is>
          <t>Wife_IRA</t>
        </is>
      </c>
      <c r="B170" s="12" t="inlineStr">
        <is>
          <t>Tax-deferred</t>
        </is>
      </c>
      <c r="C170" s="2" t="inlineStr">
        <is>
          <t>PDBC</t>
        </is>
      </c>
      <c r="D170" s="92" t="inlineStr">
        <is>
          <t>BUY</t>
        </is>
      </c>
      <c r="E170" s="78" t="n">
        <v>3386</v>
      </c>
      <c r="F170" s="96" t="n">
        <v>213.37</v>
      </c>
      <c r="G170" s="12" t="inlineStr">
        <is>
          <t>Commodities</t>
        </is>
      </c>
      <c r="H170" s="78" t="n">
        <v>0</v>
      </c>
      <c r="I170" s="12" t="inlineStr">
        <is>
          <t>Buy side has no realized gain; global optimizer places exposure by account tax treatment and constraints.</t>
        </is>
      </c>
      <c r="J170" s="12" t="inlineStr">
        <is>
          <t>Global optimizer selected this account for Commodities based on tax treatment, household drift, and location fit 95%.</t>
        </is>
      </c>
    </row>
    <row r="171" ht="90" customHeight="1">
      <c r="A171" s="12" t="inlineStr">
        <is>
          <t>Wife_IRA</t>
        </is>
      </c>
      <c r="B171" s="12" t="inlineStr">
        <is>
          <t>Tax-deferred</t>
        </is>
      </c>
      <c r="C171" s="2" t="inlineStr">
        <is>
          <t>VO</t>
        </is>
      </c>
      <c r="D171" s="92" t="inlineStr">
        <is>
          <t>BUY</t>
        </is>
      </c>
      <c r="E171" s="78" t="n">
        <v>170100</v>
      </c>
      <c r="F171" s="96" t="n">
        <v>2126.52</v>
      </c>
      <c r="G171" s="12" t="inlineStr">
        <is>
          <t>US Mid Cap</t>
        </is>
      </c>
      <c r="H171" s="78" t="n">
        <v>0</v>
      </c>
      <c r="I171" s="12" t="inlineStr">
        <is>
          <t>Buy side has no realized gain; global optimizer places exposure by account tax treatment and constraints.</t>
        </is>
      </c>
      <c r="J171" s="12" t="inlineStr">
        <is>
          <t>Global optimizer selected this account for US Mid Cap based on tax treatment, household drift, and location fit 65%. Single ETF selected for this unrepresented US Mid Cap sleeve in this account; ETF alternatives remain informational only.</t>
        </is>
      </c>
    </row>
    <row r="172" ht="90" customHeight="1">
      <c r="A172" s="11" t="inlineStr">
        <is>
          <t>Wife_IRA Subtotal</t>
        </is>
      </c>
      <c r="D172" s="11" t="inlineStr">
        <is>
          <t>SELL</t>
        </is>
      </c>
      <c r="E172" s="30" t="n">
        <v>173487</v>
      </c>
      <c r="F172" s="11" t="inlineStr">
        <is>
          <t>SECURITY BUY</t>
        </is>
      </c>
      <c r="G172" s="30" t="n">
        <v>173486</v>
      </c>
      <c r="H172" s="11" t="inlineStr">
        <is>
          <t>Ending Cash After Trades</t>
        </is>
      </c>
      <c r="I172" s="30" t="n">
        <v>182.7799999999988</v>
      </c>
      <c r="J172" s="97" t="inlineStr">
        <is>
          <t>Beginning cash $182; cash change $1. CASH target/hold rows are not counted as security buys.</t>
        </is>
      </c>
    </row>
    <row r="173"/>
    <row r="174" ht="15" customHeight="1">
      <c r="A174" s="10" t="inlineStr">
        <is>
          <t>Wife_Roth — Tax-free (Roth) — Sells $91,769 | Security Buys $91,770 | Ending Cash After Trades $225</t>
        </is>
      </c>
      <c r="B174" s="3" t="n"/>
      <c r="C174" s="3" t="n"/>
      <c r="D174" s="3" t="n"/>
      <c r="E174" s="3" t="n"/>
      <c r="F174" s="3" t="n"/>
      <c r="G174" s="3" t="n"/>
      <c r="H174" s="3" t="n"/>
      <c r="I174" s="3" t="n"/>
      <c r="J174" s="4" t="n"/>
    </row>
    <row r="175" ht="30" customHeight="1">
      <c r="A175" s="5" t="inlineStr">
        <is>
          <t>Account</t>
        </is>
      </c>
      <c r="B175" s="5" t="inlineStr">
        <is>
          <t>Tax Treatment</t>
        </is>
      </c>
      <c r="C175" s="5" t="inlineStr">
        <is>
          <t>Symbol</t>
        </is>
      </c>
      <c r="D175" s="5" t="inlineStr">
        <is>
          <t>Action</t>
        </is>
      </c>
      <c r="E175" s="5" t="inlineStr">
        <is>
          <t>Amount</t>
        </is>
      </c>
      <c r="F175" s="5" t="inlineStr">
        <is>
          <t>Shares</t>
        </is>
      </c>
      <c r="G175" s="5" t="inlineStr">
        <is>
          <t>Bucket</t>
        </is>
      </c>
      <c r="H175" s="5" t="inlineStr">
        <is>
          <t>Est. Tax Cost</t>
        </is>
      </c>
      <c r="I175" s="5" t="inlineStr">
        <is>
          <t>Tax Logic</t>
        </is>
      </c>
      <c r="J175" s="5" t="inlineStr">
        <is>
          <t>Note</t>
        </is>
      </c>
    </row>
    <row r="176" ht="90" customHeight="1">
      <c r="A176" s="12" t="inlineStr">
        <is>
          <t>Wife_Roth</t>
        </is>
      </c>
      <c r="B176" s="12" t="inlineStr">
        <is>
          <t>Tax-free (Roth)</t>
        </is>
      </c>
      <c r="C176" s="2" t="inlineStr">
        <is>
          <t>VXUS</t>
        </is>
      </c>
      <c r="D176" s="95" t="inlineStr">
        <is>
          <t>SELL</t>
        </is>
      </c>
      <c r="E176" s="78" t="n">
        <v>58253</v>
      </c>
      <c r="F176" s="96" t="n">
        <v>689.55</v>
      </c>
      <c r="G176" s="12" t="inlineStr">
        <is>
          <t>International</t>
        </is>
      </c>
      <c r="H176" s="78" t="n">
        <v>0</v>
      </c>
      <c r="I176" s="12" t="inlineStr">
        <is>
          <t>No current tax inside tax-advantaged account.</t>
        </is>
      </c>
      <c r="J176" s="12" t="inlineStr">
        <is>
          <t>No current tax inside this account type. Global optimizer fit score 95%; household target/location/tax tradeoff selected this sale.</t>
        </is>
      </c>
    </row>
    <row r="177" ht="90" customHeight="1">
      <c r="A177" s="12" t="inlineStr">
        <is>
          <t>Wife_Roth</t>
        </is>
      </c>
      <c r="B177" s="12" t="inlineStr">
        <is>
          <t>Tax-free (Roth)</t>
        </is>
      </c>
      <c r="C177" s="2" t="inlineStr">
        <is>
          <t>VTI</t>
        </is>
      </c>
      <c r="D177" s="95" t="inlineStr">
        <is>
          <t>SELL</t>
        </is>
      </c>
      <c r="E177" s="78" t="n">
        <v>33516</v>
      </c>
      <c r="F177" s="96" t="n">
        <v>92.53</v>
      </c>
      <c r="G177" s="12" t="inlineStr">
        <is>
          <t>US Large Cap</t>
        </is>
      </c>
      <c r="H177" s="78" t="n">
        <v>0</v>
      </c>
      <c r="I177" s="12" t="inlineStr">
        <is>
          <t>No current tax inside tax-advantaged account.</t>
        </is>
      </c>
      <c r="J177" s="12" t="inlineStr">
        <is>
          <t>No current tax inside this account type. Global optimizer fit score 95%; household target/location/tax tradeoff selected this sale.</t>
        </is>
      </c>
    </row>
    <row r="178" ht="90" customHeight="1">
      <c r="A178" s="12" t="inlineStr">
        <is>
          <t>Wife_Roth</t>
        </is>
      </c>
      <c r="B178" s="12" t="inlineStr">
        <is>
          <t>Tax-free (Roth)</t>
        </is>
      </c>
      <c r="C178" s="2" t="inlineStr">
        <is>
          <t>VWO</t>
        </is>
      </c>
      <c r="D178" s="92" t="inlineStr">
        <is>
          <t>BUY</t>
        </is>
      </c>
      <c r="E178" s="78" t="n">
        <v>91770</v>
      </c>
      <c r="F178" s="96" t="n">
        <v>1566.57</v>
      </c>
      <c r="G178" s="12" t="inlineStr">
        <is>
          <t>Emerging Markets</t>
        </is>
      </c>
      <c r="H178" s="78" t="n">
        <v>0</v>
      </c>
      <c r="I178" s="12" t="inlineStr">
        <is>
          <t>Buy side has no realized gain; global optimizer places exposure by account tax treatment and constraints.</t>
        </is>
      </c>
      <c r="J178" s="12" t="inlineStr">
        <is>
          <t>Global optimizer selected this account for Emerging Markets based on tax treatment, household drift, and location fit 95%. Single ETF selected for this unrepresented Emerging Markets sleeve in this account; ETF alternatives remain informational only.</t>
        </is>
      </c>
    </row>
    <row r="179" ht="90" customHeight="1">
      <c r="A179" s="11" t="inlineStr">
        <is>
          <t>Wife_Roth Subtotal</t>
        </is>
      </c>
      <c r="D179" s="11" t="inlineStr">
        <is>
          <t>SELL</t>
        </is>
      </c>
      <c r="E179" s="30" t="n">
        <v>91769</v>
      </c>
      <c r="F179" s="11" t="inlineStr">
        <is>
          <t>SECURITY BUY</t>
        </is>
      </c>
      <c r="G179" s="30" t="n">
        <v>91770</v>
      </c>
      <c r="H179" s="11" t="inlineStr">
        <is>
          <t>Ending Cash After Trades</t>
        </is>
      </c>
      <c r="I179" s="30" t="n">
        <v>224.7899999999936</v>
      </c>
      <c r="J179" s="97" t="inlineStr">
        <is>
          <t>Beginning cash $226; cash change $-1. CASH target/hold rows are not counted as security buys.</t>
        </is>
      </c>
    </row>
    <row r="180"/>
    <row r="181" ht="15" customHeight="1">
      <c r="A181" s="2" t="inlineStr">
        <is>
          <t>Grand Total</t>
        </is>
      </c>
      <c r="D181" s="2" t="inlineStr">
        <is>
          <t>SELL</t>
        </is>
      </c>
      <c r="E181" s="83" t="n">
        <v>495761</v>
      </c>
    </row>
    <row r="182" ht="30" customHeight="1">
      <c r="D182" s="2" t="inlineStr">
        <is>
          <t>SECURITY BUY</t>
        </is>
      </c>
      <c r="E182" s="83" t="n">
        <v>343587</v>
      </c>
    </row>
    <row r="183" ht="90" customHeight="1">
      <c r="D183" s="2" t="inlineStr">
        <is>
          <t>Cash Change</t>
        </is>
      </c>
      <c r="E183" s="83" t="n">
        <v>152174</v>
      </c>
      <c r="G183" s="12" t="inlineStr">
        <is>
          <t>Change in cash = sells minus non-cash security buys; CASH target/hold rows are not counted as buys.</t>
        </is>
      </c>
    </row>
    <row r="184" ht="90" customHeight="1">
      <c r="D184" s="2" t="inlineStr">
        <is>
          <t>Ending Cash After Trades</t>
        </is>
      </c>
      <c r="E184" s="93" t="n">
        <v>170100.75</v>
      </c>
      <c r="G184" s="12" t="inlineStr">
        <is>
          <t>This should reconcile to the Cash row in Total Portfolio Mix after trades. No cross-account transfers are assumed. Includes $17,166 of unchanged cash in investment accounts without recommended trades.</t>
        </is>
      </c>
    </row>
    <row r="185"/>
    <row r="186" ht="15" customHeight="1">
      <c r="A186" s="17" t="inlineStr">
        <is>
          <t>Tax optimization diagnostics</t>
        </is>
      </c>
      <c r="B186" s="3" t="n"/>
      <c r="C186" s="3" t="n"/>
      <c r="D186" s="3" t="n"/>
      <c r="E186" s="3" t="n"/>
      <c r="F186" s="3" t="n"/>
      <c r="G186" s="3" t="n"/>
      <c r="H186" s="3" t="n"/>
      <c r="I186" s="3" t="n"/>
      <c r="J186" s="4" t="n"/>
    </row>
    <row r="187" ht="30" customHeight="1">
      <c r="A187" s="5" t="inlineStr">
        <is>
          <t>Control / objective</t>
        </is>
      </c>
      <c r="B187" s="5" t="inlineStr">
        <is>
          <t>Setting / result</t>
        </is>
      </c>
      <c r="C187" s="5" t="inlineStr">
        <is>
          <t>What it protects against</t>
        </is>
      </c>
      <c r="D187" s="3" t="n"/>
      <c r="E187" s="3" t="n"/>
      <c r="F187" s="3" t="n"/>
      <c r="G187" s="3" t="n"/>
      <c r="H187" s="3" t="n"/>
      <c r="I187" s="3" t="n"/>
      <c r="J187" s="4" t="n"/>
    </row>
    <row r="188" ht="30" customHeight="1">
      <c r="A188" s="2" t="inlineStr">
        <is>
          <t>Trade optimizer mode</t>
        </is>
      </c>
      <c r="B188" s="12" t="inlineStr">
        <is>
          <t>GLOBAL_TAX_AWARE</t>
        </is>
      </c>
      <c r="C188" s="12" t="inlineStr">
        <is>
          <t>Household-level linear objective; account cash constraints are respected because assets generally cannot transfer directly across account types.</t>
        </is>
      </c>
      <c r="D188" s="3" t="n"/>
      <c r="E188" s="3" t="n"/>
      <c r="F188" s="3" t="n"/>
      <c r="G188" s="3" t="n"/>
      <c r="H188" s="3" t="n"/>
      <c r="I188" s="3" t="n"/>
      <c r="J188" s="4" t="n"/>
    </row>
    <row r="189" ht="90" customHeight="1">
      <c r="A189" s="2" t="inlineStr">
        <is>
          <t>Optimization objective</t>
        </is>
      </c>
      <c r="B189" s="12" t="inlineStr">
        <is>
          <t>Drift + tax cost + turnover + account-location penalty</t>
        </is>
      </c>
      <c r="C189" s="12" t="inlineStr">
        <is>
          <t>Balances diversification and after-tax asset-location rather than optimizing each account in isolation.</t>
        </is>
      </c>
      <c r="D189" s="3" t="n"/>
      <c r="E189" s="3" t="n"/>
      <c r="F189" s="3" t="n"/>
      <c r="G189" s="3" t="n"/>
      <c r="H189" s="3" t="n"/>
      <c r="I189" s="3" t="n"/>
      <c r="J189" s="4" t="n"/>
    </row>
    <row r="190" ht="30" customHeight="1">
      <c r="A190" s="2" t="inlineStr">
        <is>
          <t>Configured max turnover</t>
        </is>
      </c>
      <c r="B190" s="12" t="inlineStr">
        <is>
          <t>20.0%</t>
        </is>
      </c>
      <c r="C190" s="12" t="inlineStr">
        <is>
          <t>Actual recommended sell turnover: 18.2%; cash deployed from existing account cash: $0.</t>
        </is>
      </c>
      <c r="D190" s="3" t="n"/>
      <c r="E190" s="3" t="n"/>
      <c r="F190" s="3" t="n"/>
      <c r="G190" s="3" t="n"/>
      <c r="H190" s="3" t="n"/>
      <c r="I190" s="3" t="n"/>
      <c r="J190" s="4" t="n"/>
    </row>
    <row r="191" ht="30" customHeight="1">
      <c r="A191" s="2" t="inlineStr">
        <is>
          <t>Taxable gain budget</t>
        </is>
      </c>
      <c r="B191" s="12" t="inlineStr">
        <is>
          <t>$2,500</t>
        </is>
      </c>
      <c r="C191" s="12" t="inlineStr">
        <is>
          <t>Estimated realized tax cost in recommended sells: $0.</t>
        </is>
      </c>
      <c r="D191" s="3" t="n"/>
      <c r="E191" s="3" t="n"/>
      <c r="F191" s="3" t="n"/>
      <c r="G191" s="3" t="n"/>
      <c r="H191" s="3" t="n"/>
      <c r="I191" s="3" t="n"/>
      <c r="J191" s="4" t="n"/>
    </row>
    <row r="192" ht="30" customHeight="1">
      <c r="A192" s="2" t="inlineStr">
        <is>
          <t>Taxable gain sale policy</t>
        </is>
      </c>
      <c r="B192" s="12" t="inlineStr">
        <is>
          <t>DRIFT_THRESHOLD</t>
        </is>
      </c>
      <c r="C192" s="12" t="inlineStr">
        <is>
          <t>Addresses tax-tail-wagging-dog, legacy gains, and taxable income timing risk.</t>
        </is>
      </c>
      <c r="D192" s="3" t="n"/>
      <c r="E192" s="3" t="n"/>
      <c r="F192" s="3" t="n"/>
      <c r="G192" s="3" t="n"/>
      <c r="H192" s="3" t="n"/>
      <c r="I192" s="3" t="n"/>
      <c r="J192" s="4" t="n"/>
    </row>
    <row r="193" ht="30" customHeight="1">
      <c r="A193" s="2" t="inlineStr">
        <is>
          <t>Asset-location strength</t>
        </is>
      </c>
      <c r="B193" s="12" t="inlineStr">
        <is>
          <t>BALANCED</t>
        </is>
      </c>
      <c r="C193" s="12" t="inlineStr">
        <is>
          <t>Controls how hard the optimizer pushes Roth growth, pre-tax income assets, and taxable tax-efficient equity.</t>
        </is>
      </c>
      <c r="D193" s="3" t="n"/>
      <c r="E193" s="3" t="n"/>
      <c r="F193" s="3" t="n"/>
      <c r="G193" s="3" t="n"/>
      <c r="H193" s="3" t="n"/>
      <c r="I193" s="3" t="n"/>
      <c r="J193" s="4" t="n"/>
    </row>
    <row r="194" ht="90" customHeight="1">
      <c r="A194" s="2" t="inlineStr">
        <is>
          <t>Concentration / tilt caps</t>
        </is>
      </c>
      <c r="B194" s="12" t="inlineStr">
        <is>
          <t>single asset 45%; Roth growth 85%; pre-tax fixed income 85%</t>
        </is>
      </c>
      <c r="C194" s="12" t="inlineStr">
        <is>
          <t>Hard caps reduce odd account-level allocations and over-concentration.</t>
        </is>
      </c>
      <c r="D194" s="3" t="n"/>
      <c r="E194" s="3" t="n"/>
      <c r="F194" s="3" t="n"/>
      <c r="G194" s="3" t="n"/>
      <c r="H194" s="3" t="n"/>
      <c r="I194" s="3" t="n"/>
      <c r="J194" s="4" t="n"/>
    </row>
    <row r="195" ht="30" customHeight="1">
      <c r="A195" s="2" t="inlineStr">
        <is>
          <t>Wash-sale handling</t>
        </is>
      </c>
      <c r="B195" s="12" t="inlineStr">
        <is>
          <t>FLAG_ONLY</t>
        </is>
      </c>
      <c r="C195" s="12" t="inlineStr">
        <is>
          <t>The workbook flags review items; it does not certify tax compliance or see outside-account/spouse trades.</t>
        </is>
      </c>
      <c r="D195" s="3" t="n"/>
      <c r="E195" s="3" t="n"/>
      <c r="F195" s="3" t="n"/>
      <c r="G195" s="3" t="n"/>
      <c r="H195" s="3" t="n"/>
      <c r="I195" s="3" t="n"/>
      <c r="J195" s="4" t="n"/>
    </row>
    <row r="196" ht="30" customHeight="1">
      <c r="A196" s="2" t="inlineStr">
        <is>
          <t>Deferred taxable sales</t>
        </is>
      </c>
      <c r="B196" s="12" t="inlineStr">
        <is>
          <t>4</t>
        </is>
      </c>
      <c r="C196" s="12" t="inlineStr">
        <is>
          <t>High-tax-drag or policy-blocked taxable sales are shown below instead of forced into the recommendation.</t>
        </is>
      </c>
      <c r="D196" s="3" t="n"/>
      <c r="E196" s="3" t="n"/>
      <c r="F196" s="3" t="n"/>
      <c r="G196" s="3" t="n"/>
      <c r="H196" s="3" t="n"/>
      <c r="I196" s="3" t="n"/>
      <c r="J196" s="4" t="n"/>
    </row>
    <row r="197"/>
    <row r="198" ht="45" customHeight="1">
      <c r="A198" s="86" t="inlineStr">
        <is>
          <t>Tax-aware deferred taxable sales: candidate taxable-account sells below were not recommended now because estimated realized-tax drag was high relative to the rebalance benefit. Use new contributions, dividends, tax-advantaged trades, or staged sales first.</t>
        </is>
      </c>
      <c r="B198" s="3" t="n"/>
      <c r="C198" s="3" t="n"/>
      <c r="D198" s="3" t="n"/>
      <c r="E198" s="3" t="n"/>
      <c r="F198" s="3" t="n"/>
      <c r="G198" s="3" t="n"/>
      <c r="H198" s="3" t="n"/>
      <c r="I198" s="3" t="n"/>
      <c r="J198" s="4" t="n"/>
    </row>
    <row r="199" ht="30" customHeight="1">
      <c r="A199" s="5" t="inlineStr">
        <is>
          <t>Account</t>
        </is>
      </c>
      <c r="B199" s="5" t="inlineStr">
        <is>
          <t>Symbol</t>
        </is>
      </c>
      <c r="C199" s="5" t="inlineStr">
        <is>
          <t>Deferred Amount</t>
        </is>
      </c>
      <c r="D199" s="5" t="inlineStr">
        <is>
          <t>Bucket</t>
        </is>
      </c>
      <c r="E199" s="5" t="inlineStr">
        <is>
          <t>Est. Tax Cost</t>
        </is>
      </c>
      <c r="F199" s="5" t="inlineStr">
        <is>
          <t>Tax Drag</t>
        </is>
      </c>
      <c r="G199" s="5" t="inlineStr">
        <is>
          <t>Reason</t>
        </is>
      </c>
    </row>
    <row r="200" ht="60" customHeight="1">
      <c r="A200" s="12" t="inlineStr">
        <is>
          <t>Husband_Trust</t>
        </is>
      </c>
      <c r="B200" s="2" t="inlineStr">
        <is>
          <t>ITOT</t>
        </is>
      </c>
      <c r="C200" s="78" t="n">
        <v>103936</v>
      </c>
      <c r="D200" s="12" t="inlineStr">
        <is>
          <t>US Large Cap</t>
        </is>
      </c>
      <c r="E200" s="78" t="n">
        <v>1727</v>
      </c>
      <c r="F200" s="79" t="n">
        <v>0.0166122231765402</v>
      </c>
      <c r="G200" s="12" t="inlineStr">
        <is>
          <t>Deferred: estimated tax drag 1.7% exceeds 1.5%; use contributions, dividends, tax-advantaged accounts, or staged sales first. Taxable gain sale allowed only when low-drag or drift threshold is large.</t>
        </is>
      </c>
      <c r="H200" s="3" t="n"/>
      <c r="I200" s="3" t="n"/>
      <c r="J200" s="4" t="n"/>
    </row>
    <row r="201" ht="60" customHeight="1">
      <c r="A201" s="12" t="inlineStr">
        <is>
          <t>Husband_Trust</t>
        </is>
      </c>
      <c r="B201" s="2" t="inlineStr">
        <is>
          <t>IXUS</t>
        </is>
      </c>
      <c r="C201" s="78" t="n">
        <v>89830</v>
      </c>
      <c r="D201" s="12" t="inlineStr">
        <is>
          <t>International</t>
        </is>
      </c>
      <c r="E201" s="78" t="n">
        <v>1376</v>
      </c>
      <c r="F201" s="79" t="n">
        <v>0.01531235527906225</v>
      </c>
      <c r="G201" s="12" t="inlineStr">
        <is>
          <t>Deferred: estimated tax drag 1.5% exceeds 1.5%; use contributions, dividends, tax-advantaged accounts, or staged sales first. Taxable gain sale allowed only when low-drag or drift threshold is large.</t>
        </is>
      </c>
      <c r="H201" s="3" t="n"/>
      <c r="I201" s="3" t="n"/>
      <c r="J201" s="4" t="n"/>
    </row>
    <row r="202" ht="60" customHeight="1">
      <c r="A202" s="12" t="inlineStr">
        <is>
          <t>Wife_Trust</t>
        </is>
      </c>
      <c r="B202" s="2" t="inlineStr">
        <is>
          <t>VTI</t>
        </is>
      </c>
      <c r="C202" s="78" t="n">
        <v>138799</v>
      </c>
      <c r="D202" s="12" t="inlineStr">
        <is>
          <t>US Large Cap</t>
        </is>
      </c>
      <c r="E202" s="78" t="n">
        <v>3810</v>
      </c>
      <c r="F202" s="79" t="n">
        <v>0.01557070485274041</v>
      </c>
      <c r="G202" s="12" t="inlineStr">
        <is>
          <t>Deferred: estimated tax drag 1.6% exceeds 1.5%; use contributions, dividends, tax-advantaged accounts, or staged sales first. Taxable gain sale allowed only when low-drag or drift threshold is large.</t>
        </is>
      </c>
      <c r="H202" s="3" t="n"/>
      <c r="I202" s="3" t="n"/>
      <c r="J202" s="4" t="n"/>
    </row>
    <row r="203" ht="60" customHeight="1">
      <c r="A203" s="12" t="inlineStr">
        <is>
          <t>Wife_Trust</t>
        </is>
      </c>
      <c r="B203" s="2" t="inlineStr">
        <is>
          <t>VXUS</t>
        </is>
      </c>
      <c r="C203" s="78" t="n">
        <v>76924</v>
      </c>
      <c r="D203" s="12" t="inlineStr">
        <is>
          <t>International</t>
        </is>
      </c>
      <c r="E203" s="78" t="n">
        <v>1475</v>
      </c>
      <c r="F203" s="79" t="n">
        <v>0.01917060883606947</v>
      </c>
      <c r="G203" s="12" t="inlineStr">
        <is>
          <t>Deferred: estimated tax drag 1.9% exceeds 1.5%; use contributions, dividends, tax-advantaged accounts, or staged sales first. Taxable gain sale allowed only when low-drag or drift threshold is large.</t>
        </is>
      </c>
      <c r="H203" s="3" t="n"/>
      <c r="I203" s="3" t="n"/>
      <c r="J203" s="4" t="n"/>
    </row>
    <row r="204"/>
    <row r="205"/>
    <row r="206"/>
    <row r="207" ht="15" customHeight="1">
      <c r="A207" s="9" t="inlineStr">
        <is>
          <t>BEFORE &amp; AFTER REBALANCING</t>
        </is>
      </c>
    </row>
    <row r="208" ht="30" customHeight="1">
      <c r="A208" s="12" t="inlineStr">
        <is>
          <t>Shows current allocation, projected allocation after executing recommended trades, and remaining gap vs target. Positive delta = still over-allocated; negative = still under-allocated.</t>
        </is>
      </c>
      <c r="B208" s="3" t="n"/>
      <c r="C208" s="3" t="n"/>
      <c r="D208" s="3" t="n"/>
      <c r="E208" s="3" t="n"/>
      <c r="F208" s="3" t="n"/>
      <c r="G208" s="3" t="n"/>
      <c r="H208" s="3" t="n"/>
      <c r="I208" s="3" t="n"/>
      <c r="J208" s="4" t="n"/>
    </row>
    <row r="209"/>
    <row r="210"/>
    <row r="211" ht="30" customHeight="1">
      <c r="A211" s="10" t="inlineStr">
        <is>
          <t>Husband_401k  —  Total: $13,021</t>
        </is>
      </c>
      <c r="B211" s="3" t="n"/>
      <c r="C211" s="3" t="n"/>
      <c r="D211" s="3" t="n"/>
      <c r="E211" s="3" t="n"/>
      <c r="F211" s="3" t="n"/>
      <c r="G211" s="3" t="n"/>
      <c r="H211" s="3" t="n"/>
      <c r="I211" s="3" t="n"/>
      <c r="J211" s="4" t="n"/>
    </row>
    <row r="212" ht="15" customHeight="1">
      <c r="A212" s="5" t="inlineStr">
        <is>
          <t>Bucket</t>
        </is>
      </c>
      <c r="B212" s="5" t="inlineStr">
        <is>
          <t>Before $</t>
        </is>
      </c>
      <c r="C212" s="5" t="inlineStr">
        <is>
          <t>Before %</t>
        </is>
      </c>
      <c r="D212" s="98" t="inlineStr"/>
      <c r="E212" s="5" t="inlineStr">
        <is>
          <t>After $</t>
        </is>
      </c>
      <c r="F212" s="5" t="inlineStr">
        <is>
          <t>After %</t>
        </is>
      </c>
      <c r="G212" s="98" t="inlineStr"/>
      <c r="H212" s="5" t="inlineStr">
        <is>
          <t>Target %</t>
        </is>
      </c>
      <c r="I212" s="5" t="inlineStr">
        <is>
          <t>Delta pp</t>
        </is>
      </c>
      <c r="J212" s="5" t="inlineStr">
        <is>
          <t>Status</t>
        </is>
      </c>
    </row>
    <row r="213" ht="30" customHeight="1">
      <c r="A213" s="12" t="inlineStr">
        <is>
          <t>US Small Cap</t>
        </is>
      </c>
      <c r="B213" s="78" t="n">
        <v>10994.72</v>
      </c>
      <c r="C213" s="79" t="n">
        <v>0.8443674762407603</v>
      </c>
      <c r="D213" s="99" t="inlineStr"/>
      <c r="E213" s="78" t="n">
        <v>10994.72</v>
      </c>
      <c r="F213" s="79" t="n">
        <v>0.8443674762407603</v>
      </c>
      <c r="G213" s="33" t="inlineStr"/>
      <c r="H213" s="79" t="n">
        <v>0.06666666666666667</v>
      </c>
      <c r="I213" s="100" t="n">
        <v>0.7777008095740936</v>
      </c>
      <c r="J213" s="12" t="inlineStr">
        <is>
          <t>Over +77.8%</t>
        </is>
      </c>
    </row>
    <row r="214" ht="30" customHeight="1">
      <c r="A214" s="12" t="inlineStr">
        <is>
          <t>Cash</t>
        </is>
      </c>
      <c r="B214" s="78" t="n">
        <v>2026.53</v>
      </c>
      <c r="C214" s="79" t="n">
        <v>0.1556325237592397</v>
      </c>
      <c r="D214" s="99" t="inlineStr"/>
      <c r="E214" s="78" t="n">
        <v>2026.53</v>
      </c>
      <c r="F214" s="79" t="n">
        <v>0.1556325237592397</v>
      </c>
      <c r="G214" s="33" t="inlineStr"/>
      <c r="H214" s="64" t="inlineStr"/>
      <c r="I214" s="64" t="inlineStr"/>
      <c r="J214" s="33" t="inlineStr"/>
    </row>
    <row r="215"/>
    <row r="216" ht="15" customHeight="1">
      <c r="A216" s="10" t="inlineStr">
        <is>
          <t>Husband_HSA  —  Total: $70,602</t>
        </is>
      </c>
      <c r="B216" s="3" t="n"/>
      <c r="C216" s="3" t="n"/>
      <c r="D216" s="3" t="n"/>
      <c r="E216" s="3" t="n"/>
      <c r="F216" s="3" t="n"/>
      <c r="G216" s="3" t="n"/>
      <c r="H216" s="3" t="n"/>
      <c r="I216" s="3" t="n"/>
      <c r="J216" s="4" t="n"/>
    </row>
    <row r="217" ht="15" customHeight="1">
      <c r="A217" s="5" t="inlineStr">
        <is>
          <t>Bucket</t>
        </is>
      </c>
      <c r="B217" s="5" t="inlineStr">
        <is>
          <t>Before $</t>
        </is>
      </c>
      <c r="C217" s="5" t="inlineStr">
        <is>
          <t>Before %</t>
        </is>
      </c>
      <c r="D217" s="98" t="inlineStr"/>
      <c r="E217" s="5" t="inlineStr">
        <is>
          <t>After $</t>
        </is>
      </c>
      <c r="F217" s="5" t="inlineStr">
        <is>
          <t>After %</t>
        </is>
      </c>
      <c r="G217" s="98" t="inlineStr"/>
      <c r="H217" s="5" t="inlineStr">
        <is>
          <t>Target %</t>
        </is>
      </c>
      <c r="I217" s="5" t="inlineStr">
        <is>
          <t>Delta pp</t>
        </is>
      </c>
      <c r="J217" s="5" t="inlineStr">
        <is>
          <t>Status</t>
        </is>
      </c>
    </row>
    <row r="218" ht="30" customHeight="1">
      <c r="A218" s="12" t="inlineStr">
        <is>
          <t>US Large Cap</t>
        </is>
      </c>
      <c r="B218" s="78" t="n">
        <v>70325.97327</v>
      </c>
      <c r="C218" s="79" t="n">
        <v>0.9960933003649752</v>
      </c>
      <c r="D218" s="41" t="inlineStr">
        <is>
          <t>→</t>
        </is>
      </c>
      <c r="E218" s="80" t="n">
        <v>38554.97327</v>
      </c>
      <c r="F218" s="81" t="n">
        <v>0.5460905663196902</v>
      </c>
      <c r="G218" s="33" t="inlineStr"/>
      <c r="H218" s="79" t="n">
        <v>0.4666666666666666</v>
      </c>
      <c r="I218" s="100" t="n">
        <v>0.0794238996530236</v>
      </c>
      <c r="J218" s="12" t="inlineStr">
        <is>
          <t>Over +7.9%</t>
        </is>
      </c>
    </row>
    <row r="219" ht="45" customHeight="1">
      <c r="A219" s="12" t="inlineStr">
        <is>
          <t>Cash</t>
        </is>
      </c>
      <c r="B219" s="78" t="n">
        <v>275.82</v>
      </c>
      <c r="C219" s="79" t="n">
        <v>0.003906699635024723</v>
      </c>
      <c r="D219" s="99" t="inlineStr"/>
      <c r="E219" s="78" t="n">
        <v>275.8199999999997</v>
      </c>
      <c r="F219" s="79" t="n">
        <v>0.003906699635024719</v>
      </c>
      <c r="G219" s="33" t="inlineStr"/>
      <c r="H219" s="64" t="inlineStr"/>
      <c r="I219" s="64" t="inlineStr"/>
      <c r="J219" s="33" t="inlineStr"/>
    </row>
    <row r="220" ht="30" customHeight="1">
      <c r="A220" s="12" t="inlineStr">
        <is>
          <t>Emerging Markets</t>
        </is>
      </c>
      <c r="B220" s="78" t="n">
        <v>0</v>
      </c>
      <c r="C220" s="79" t="n">
        <v>0</v>
      </c>
      <c r="D220" s="41" t="inlineStr">
        <is>
          <t>→</t>
        </is>
      </c>
      <c r="E220" s="80" t="n">
        <v>31771</v>
      </c>
      <c r="F220" s="81" t="n">
        <v>0.4500027340452849</v>
      </c>
      <c r="G220" s="33" t="inlineStr"/>
      <c r="H220" s="79" t="n">
        <v>0.06666666666666667</v>
      </c>
      <c r="I220" s="100" t="n">
        <v>0.3833360673786183</v>
      </c>
      <c r="J220" s="12" t="inlineStr">
        <is>
          <t>Over +38.3%</t>
        </is>
      </c>
    </row>
    <row r="221"/>
    <row r="222" ht="15" customHeight="1">
      <c r="A222" s="10" t="inlineStr">
        <is>
          <t>Husband_IRA  —  Total: $1,311,284</t>
        </is>
      </c>
      <c r="B222" s="3" t="n"/>
      <c r="C222" s="3" t="n"/>
      <c r="D222" s="3" t="n"/>
      <c r="E222" s="3" t="n"/>
      <c r="F222" s="3" t="n"/>
      <c r="G222" s="3" t="n"/>
      <c r="H222" s="3" t="n"/>
      <c r="I222" s="3" t="n"/>
      <c r="J222" s="4" t="n"/>
    </row>
    <row r="223" ht="15" customHeight="1">
      <c r="A223" s="5" t="inlineStr">
        <is>
          <t>Bucket</t>
        </is>
      </c>
      <c r="B223" s="5" t="inlineStr">
        <is>
          <t>Before $</t>
        </is>
      </c>
      <c r="C223" s="5" t="inlineStr">
        <is>
          <t>Before %</t>
        </is>
      </c>
      <c r="D223" s="98" t="inlineStr"/>
      <c r="E223" s="5" t="inlineStr">
        <is>
          <t>After $</t>
        </is>
      </c>
      <c r="F223" s="5" t="inlineStr">
        <is>
          <t>After %</t>
        </is>
      </c>
      <c r="G223" s="98" t="inlineStr"/>
      <c r="H223" s="5" t="inlineStr">
        <is>
          <t>Target %</t>
        </is>
      </c>
      <c r="I223" s="5" t="inlineStr">
        <is>
          <t>Delta pp</t>
        </is>
      </c>
      <c r="J223" s="5" t="inlineStr">
        <is>
          <t>Status</t>
        </is>
      </c>
    </row>
    <row r="224" ht="45" customHeight="1">
      <c r="A224" s="12" t="inlineStr">
        <is>
          <t>US Large Cap</t>
        </is>
      </c>
      <c r="B224" s="78" t="n">
        <v>630454.88664</v>
      </c>
      <c r="C224" s="79" t="n">
        <v>0.4807921008887492</v>
      </c>
      <c r="D224" s="41" t="inlineStr">
        <is>
          <t>→</t>
        </is>
      </c>
      <c r="E224" s="80" t="n">
        <v>584729.88664</v>
      </c>
      <c r="F224" s="81" t="n">
        <v>0.4459216933798113</v>
      </c>
      <c r="G224" s="33" t="inlineStr"/>
      <c r="H224" s="79" t="n">
        <v>0.4666666666666666</v>
      </c>
      <c r="I224" s="100" t="n">
        <v>-0.02074497328685532</v>
      </c>
      <c r="J224" s="12" t="inlineStr">
        <is>
          <t>Under -2.1%</t>
        </is>
      </c>
    </row>
    <row r="225" ht="45" customHeight="1">
      <c r="A225" s="12" t="inlineStr">
        <is>
          <t>International</t>
        </is>
      </c>
      <c r="B225" s="78" t="n">
        <v>460365.84</v>
      </c>
      <c r="C225" s="79" t="n">
        <v>0.3510802502787209</v>
      </c>
      <c r="D225" s="99" t="inlineStr"/>
      <c r="E225" s="78" t="n">
        <v>460365.84</v>
      </c>
      <c r="F225" s="79" t="n">
        <v>0.3510802502787209</v>
      </c>
      <c r="G225" s="33" t="inlineStr"/>
      <c r="H225" s="79" t="n">
        <v>0.2666666666666667</v>
      </c>
      <c r="I225" s="100" t="n">
        <v>0.0844135836120542</v>
      </c>
      <c r="J225" s="12" t="inlineStr">
        <is>
          <t>Over +8.4%</t>
        </is>
      </c>
    </row>
    <row r="226" ht="45" customHeight="1">
      <c r="A226" s="12" t="inlineStr">
        <is>
          <t>US Small Cap</t>
        </is>
      </c>
      <c r="B226" s="78" t="n">
        <v>106448.88</v>
      </c>
      <c r="C226" s="79" t="n">
        <v>0.08117913230114884</v>
      </c>
      <c r="D226" s="41" t="inlineStr">
        <is>
          <t>→</t>
        </is>
      </c>
      <c r="E226" s="80" t="n">
        <v>0</v>
      </c>
      <c r="F226" s="81" t="n">
        <v>0</v>
      </c>
      <c r="G226" s="33" t="inlineStr"/>
      <c r="H226" s="79" t="n">
        <v>0.06666666666666667</v>
      </c>
      <c r="I226" s="100" t="n">
        <v>-0.06666666666666667</v>
      </c>
      <c r="J226" s="12" t="inlineStr">
        <is>
          <t>Under -6.7%</t>
        </is>
      </c>
    </row>
    <row r="227" ht="45" customHeight="1">
      <c r="A227" s="12" t="inlineStr">
        <is>
          <t>Commodities</t>
        </is>
      </c>
      <c r="B227" s="78" t="n">
        <v>113946.6</v>
      </c>
      <c r="C227" s="79" t="n">
        <v>0.08689697925113056</v>
      </c>
      <c r="D227" s="99" t="inlineStr"/>
      <c r="E227" s="78" t="n">
        <v>113946.6</v>
      </c>
      <c r="F227" s="79" t="n">
        <v>0.08689697925113056</v>
      </c>
      <c r="G227" s="33" t="inlineStr"/>
      <c r="H227" s="79" t="n">
        <v>0.06666666666666667</v>
      </c>
      <c r="I227" s="100" t="n">
        <v>0.02023031258446389</v>
      </c>
      <c r="J227" s="12" t="inlineStr">
        <is>
          <t>Over +2.0%</t>
        </is>
      </c>
    </row>
    <row r="228" ht="45" customHeight="1">
      <c r="A228" s="12" t="inlineStr">
        <is>
          <t>Cash</t>
        </is>
      </c>
      <c r="B228" s="78" t="n">
        <v>67.58</v>
      </c>
      <c r="C228" s="79" t="n">
        <v>5.153728025049807e-05</v>
      </c>
      <c r="D228" s="41" t="inlineStr">
        <is>
          <t>→</t>
        </is>
      </c>
      <c r="E228" s="80" t="n">
        <v>152241.58</v>
      </c>
      <c r="F228" s="81" t="n">
        <v>0.1161011686037085</v>
      </c>
      <c r="G228" s="33" t="inlineStr"/>
      <c r="H228" s="64" t="inlineStr"/>
      <c r="I228" s="64" t="inlineStr"/>
      <c r="J228" s="33" t="inlineStr"/>
    </row>
    <row r="229"/>
    <row r="230" ht="15" customHeight="1">
      <c r="A230" s="10" t="inlineStr">
        <is>
          <t>Husband_Roth  —  Total: $137,412</t>
        </is>
      </c>
      <c r="B230" s="3" t="n"/>
      <c r="C230" s="3" t="n"/>
      <c r="D230" s="3" t="n"/>
      <c r="E230" s="3" t="n"/>
      <c r="F230" s="3" t="n"/>
      <c r="G230" s="3" t="n"/>
      <c r="H230" s="3" t="n"/>
      <c r="I230" s="3" t="n"/>
      <c r="J230" s="4" t="n"/>
    </row>
    <row r="231" ht="15" customHeight="1">
      <c r="A231" s="5" t="inlineStr">
        <is>
          <t>Bucket</t>
        </is>
      </c>
      <c r="B231" s="5" t="inlineStr">
        <is>
          <t>Before $</t>
        </is>
      </c>
      <c r="C231" s="5" t="inlineStr">
        <is>
          <t>Before %</t>
        </is>
      </c>
      <c r="D231" s="98" t="inlineStr"/>
      <c r="E231" s="5" t="inlineStr">
        <is>
          <t>After $</t>
        </is>
      </c>
      <c r="F231" s="5" t="inlineStr">
        <is>
          <t>After %</t>
        </is>
      </c>
      <c r="G231" s="98" t="inlineStr"/>
      <c r="H231" s="5" t="inlineStr">
        <is>
          <t>Target %</t>
        </is>
      </c>
      <c r="I231" s="5" t="inlineStr">
        <is>
          <t>Delta pp</t>
        </is>
      </c>
      <c r="J231" s="5" t="inlineStr">
        <is>
          <t>Status</t>
        </is>
      </c>
    </row>
    <row r="232" ht="45" customHeight="1">
      <c r="A232" s="12" t="inlineStr">
        <is>
          <t>US Large Cap</t>
        </is>
      </c>
      <c r="B232" s="78" t="n">
        <v>27787.40325</v>
      </c>
      <c r="C232" s="79" t="n">
        <v>0.2022194790730432</v>
      </c>
      <c r="D232" s="41" t="inlineStr">
        <is>
          <t>→</t>
        </is>
      </c>
      <c r="E232" s="80" t="n">
        <v>0.4032500000030268</v>
      </c>
      <c r="F232" s="81" t="n">
        <v>2.934603287797925e-06</v>
      </c>
      <c r="G232" s="33" t="inlineStr"/>
      <c r="H232" s="79" t="n">
        <v>0.4666666666666666</v>
      </c>
      <c r="I232" s="100" t="n">
        <v>-0.4666637320633788</v>
      </c>
      <c r="J232" s="12" t="inlineStr">
        <is>
          <t>Under -46.7%</t>
        </is>
      </c>
    </row>
    <row r="233" ht="45" customHeight="1">
      <c r="A233" s="12" t="inlineStr">
        <is>
          <t>International</t>
        </is>
      </c>
      <c r="B233" s="78" t="n">
        <v>46658.7</v>
      </c>
      <c r="C233" s="79" t="n">
        <v>0.339553067385863</v>
      </c>
      <c r="D233" s="41" t="inlineStr">
        <is>
          <t>→</t>
        </is>
      </c>
      <c r="E233" s="80" t="n">
        <v>27885.7</v>
      </c>
      <c r="F233" s="81" t="n">
        <v>0.2029348218274826</v>
      </c>
      <c r="G233" s="33" t="inlineStr"/>
      <c r="H233" s="79" t="n">
        <v>0.2666666666666667</v>
      </c>
      <c r="I233" s="100" t="n">
        <v>-0.06373184483918407</v>
      </c>
      <c r="J233" s="12" t="inlineStr">
        <is>
          <t>Under -6.4%</t>
        </is>
      </c>
    </row>
    <row r="234" ht="45" customHeight="1">
      <c r="A234" s="12" t="inlineStr">
        <is>
          <t>US Small Cap</t>
        </is>
      </c>
      <c r="B234" s="78" t="n">
        <v>62956.0166</v>
      </c>
      <c r="C234" s="79" t="n">
        <v>0.4581548252935747</v>
      </c>
      <c r="D234" s="99" t="inlineStr"/>
      <c r="E234" s="78" t="n">
        <v>62956.0166</v>
      </c>
      <c r="F234" s="79" t="n">
        <v>0.4581548252935747</v>
      </c>
      <c r="G234" s="33" t="inlineStr"/>
      <c r="H234" s="79" t="n">
        <v>0.06666666666666667</v>
      </c>
      <c r="I234" s="100" t="n">
        <v>0.391488158626908</v>
      </c>
      <c r="J234" s="12" t="inlineStr">
        <is>
          <t>Over +39.1%</t>
        </is>
      </c>
    </row>
    <row r="235" ht="45" customHeight="1">
      <c r="A235" s="12" t="inlineStr">
        <is>
          <t>Cash</t>
        </is>
      </c>
      <c r="B235" s="78" t="n">
        <v>9.98</v>
      </c>
      <c r="C235" s="79" t="n">
        <v>7.262824751891744e-05</v>
      </c>
      <c r="D235" s="99" t="inlineStr"/>
      <c r="E235" s="78" t="n">
        <v>9.979999999995925</v>
      </c>
      <c r="F235" s="79" t="n">
        <v>7.262824751888779e-05</v>
      </c>
      <c r="G235" s="33" t="inlineStr"/>
      <c r="H235" s="64" t="inlineStr"/>
      <c r="I235" s="64" t="inlineStr"/>
      <c r="J235" s="33" t="inlineStr"/>
    </row>
    <row r="236" ht="30" customHeight="1">
      <c r="A236" s="12" t="inlineStr">
        <is>
          <t>Emerging Markets</t>
        </is>
      </c>
      <c r="B236" s="78" t="n">
        <v>0</v>
      </c>
      <c r="C236" s="79" t="n">
        <v>0</v>
      </c>
      <c r="D236" s="41" t="inlineStr">
        <is>
          <t>→</t>
        </is>
      </c>
      <c r="E236" s="80" t="n">
        <v>46560</v>
      </c>
      <c r="F236" s="81" t="n">
        <v>0.3388347900281359</v>
      </c>
      <c r="G236" s="33" t="inlineStr"/>
      <c r="H236" s="79" t="n">
        <v>0.06666666666666667</v>
      </c>
      <c r="I236" s="100" t="n">
        <v>0.2721681233614692</v>
      </c>
      <c r="J236" s="12" t="inlineStr">
        <is>
          <t>Over +27.2%</t>
        </is>
      </c>
    </row>
    <row r="237"/>
    <row r="238" ht="15" customHeight="1">
      <c r="A238" s="10" t="inlineStr">
        <is>
          <t>Husband_Trust  —  Total: $204,049</t>
        </is>
      </c>
      <c r="B238" s="3" t="n"/>
      <c r="C238" s="3" t="n"/>
      <c r="D238" s="3" t="n"/>
      <c r="E238" s="3" t="n"/>
      <c r="F238" s="3" t="n"/>
      <c r="G238" s="3" t="n"/>
      <c r="H238" s="3" t="n"/>
      <c r="I238" s="3" t="n"/>
      <c r="J238" s="4" t="n"/>
    </row>
    <row r="239" ht="15" customHeight="1">
      <c r="A239" s="5" t="inlineStr">
        <is>
          <t>Bucket</t>
        </is>
      </c>
      <c r="B239" s="5" t="inlineStr">
        <is>
          <t>Before $</t>
        </is>
      </c>
      <c r="C239" s="5" t="inlineStr">
        <is>
          <t>Before %</t>
        </is>
      </c>
      <c r="D239" s="98" t="inlineStr"/>
      <c r="E239" s="5" t="inlineStr">
        <is>
          <t>After $</t>
        </is>
      </c>
      <c r="F239" s="5" t="inlineStr">
        <is>
          <t>After %</t>
        </is>
      </c>
      <c r="G239" s="98" t="inlineStr"/>
      <c r="H239" s="5" t="inlineStr">
        <is>
          <t>Target %</t>
        </is>
      </c>
      <c r="I239" s="5" t="inlineStr">
        <is>
          <t>Delta pp</t>
        </is>
      </c>
      <c r="J239" s="5" t="inlineStr">
        <is>
          <t>Status</t>
        </is>
      </c>
    </row>
    <row r="240" ht="30" customHeight="1">
      <c r="A240" s="12" t="inlineStr">
        <is>
          <t>US Large Cap</t>
        </is>
      </c>
      <c r="B240" s="78" t="n">
        <v>103935.90501</v>
      </c>
      <c r="C240" s="79" t="n">
        <v>0.5093685431503162</v>
      </c>
      <c r="D240" s="99" t="inlineStr"/>
      <c r="E240" s="78" t="n">
        <v>103935.90501</v>
      </c>
      <c r="F240" s="79" t="n">
        <v>0.5093685431503162</v>
      </c>
      <c r="G240" s="33" t="inlineStr"/>
      <c r="H240" s="79" t="n">
        <v>0.4666666666666666</v>
      </c>
      <c r="I240" s="100" t="n">
        <v>0.04270187648364959</v>
      </c>
      <c r="J240" s="12" t="inlineStr">
        <is>
          <t>Over +4.3%</t>
        </is>
      </c>
    </row>
    <row r="241" ht="30" customHeight="1">
      <c r="A241" s="12" t="inlineStr">
        <is>
          <t>International</t>
        </is>
      </c>
      <c r="B241" s="78" t="n">
        <v>89829.78</v>
      </c>
      <c r="C241" s="79" t="n">
        <v>0.4402373190064688</v>
      </c>
      <c r="D241" s="99" t="inlineStr"/>
      <c r="E241" s="78" t="n">
        <v>89829.78</v>
      </c>
      <c r="F241" s="79" t="n">
        <v>0.4402373190064688</v>
      </c>
      <c r="G241" s="33" t="inlineStr"/>
      <c r="H241" s="79" t="n">
        <v>0.2666666666666667</v>
      </c>
      <c r="I241" s="100" t="n">
        <v>0.1735706523398021</v>
      </c>
      <c r="J241" s="12" t="inlineStr">
        <is>
          <t>Over +17.4%</t>
        </is>
      </c>
    </row>
    <row r="242" ht="45" customHeight="1">
      <c r="A242" s="12" t="inlineStr">
        <is>
          <t>Cash</t>
        </is>
      </c>
      <c r="B242" s="78" t="n">
        <v>10282.85</v>
      </c>
      <c r="C242" s="79" t="n">
        <v>0.05039413784321489</v>
      </c>
      <c r="D242" s="99" t="inlineStr"/>
      <c r="E242" s="78" t="n">
        <v>10282.85</v>
      </c>
      <c r="F242" s="79" t="n">
        <v>0.05039413784321489</v>
      </c>
      <c r="G242" s="33" t="inlineStr"/>
      <c r="H242" s="64" t="inlineStr"/>
      <c r="I242" s="64" t="inlineStr"/>
      <c r="J242" s="33" t="inlineStr"/>
    </row>
    <row r="243"/>
    <row r="244" ht="15" customHeight="1">
      <c r="A244" s="10" t="inlineStr">
        <is>
          <t>Wife_IRA  —  Total: $454,862</t>
        </is>
      </c>
      <c r="B244" s="3" t="n"/>
      <c r="C244" s="3" t="n"/>
      <c r="D244" s="3" t="n"/>
      <c r="E244" s="3" t="n"/>
      <c r="F244" s="3" t="n"/>
      <c r="G244" s="3" t="n"/>
      <c r="H244" s="3" t="n"/>
      <c r="I244" s="3" t="n"/>
      <c r="J244" s="4" t="n"/>
    </row>
    <row r="245" ht="15" customHeight="1">
      <c r="A245" s="5" t="inlineStr">
        <is>
          <t>Bucket</t>
        </is>
      </c>
      <c r="B245" s="5" t="inlineStr">
        <is>
          <t>Before $</t>
        </is>
      </c>
      <c r="C245" s="5" t="inlineStr">
        <is>
          <t>Before %</t>
        </is>
      </c>
      <c r="D245" s="98" t="inlineStr"/>
      <c r="E245" s="5" t="inlineStr">
        <is>
          <t>After $</t>
        </is>
      </c>
      <c r="F245" s="5" t="inlineStr">
        <is>
          <t>After %</t>
        </is>
      </c>
      <c r="G245" s="98" t="inlineStr"/>
      <c r="H245" s="5" t="inlineStr">
        <is>
          <t>Target %</t>
        </is>
      </c>
      <c r="I245" s="5" t="inlineStr">
        <is>
          <t>Delta pp</t>
        </is>
      </c>
      <c r="J245" s="5" t="inlineStr">
        <is>
          <t>Status</t>
        </is>
      </c>
    </row>
    <row r="246" ht="30" customHeight="1">
      <c r="A246" s="12" t="inlineStr">
        <is>
          <t>US Large Cap</t>
        </is>
      </c>
      <c r="B246" s="78" t="n">
        <v>209546.98665</v>
      </c>
      <c r="C246" s="79" t="n">
        <v>0.4606830508828344</v>
      </c>
      <c r="D246" s="99" t="inlineStr"/>
      <c r="E246" s="78" t="n">
        <v>209546.98665</v>
      </c>
      <c r="F246" s="79" t="n">
        <v>0.4606830508828344</v>
      </c>
      <c r="G246" s="33" t="inlineStr"/>
      <c r="H246" s="79" t="n">
        <v>0.4666666666666666</v>
      </c>
      <c r="I246" s="101" t="n">
        <v>-0.005983615783832219</v>
      </c>
      <c r="J246" s="12" t="inlineStr">
        <is>
          <t>✓ On target</t>
        </is>
      </c>
    </row>
    <row r="247" ht="45" customHeight="1">
      <c r="A247" s="12" t="inlineStr">
        <is>
          <t>International</t>
        </is>
      </c>
      <c r="B247" s="78" t="n">
        <v>154267.652352</v>
      </c>
      <c r="C247" s="79" t="n">
        <v>0.3391530170593929</v>
      </c>
      <c r="D247" s="41" t="inlineStr">
        <is>
          <t>→</t>
        </is>
      </c>
      <c r="E247" s="80" t="n">
        <v>14546.652352</v>
      </c>
      <c r="F247" s="81" t="n">
        <v>0.03198039872959119</v>
      </c>
      <c r="G247" s="33" t="inlineStr"/>
      <c r="H247" s="79" t="n">
        <v>0.2666666666666667</v>
      </c>
      <c r="I247" s="100" t="n">
        <v>-0.2346862679370755</v>
      </c>
      <c r="J247" s="12" t="inlineStr">
        <is>
          <t>Under -23.5%</t>
        </is>
      </c>
    </row>
    <row r="248" ht="45" customHeight="1">
      <c r="A248" s="12" t="inlineStr">
        <is>
          <t>US Small Cap</t>
        </is>
      </c>
      <c r="B248" s="78" t="n">
        <v>38097.337729</v>
      </c>
      <c r="C248" s="79" t="n">
        <v>0.08375590628188799</v>
      </c>
      <c r="D248" s="41" t="inlineStr">
        <is>
          <t>→</t>
        </is>
      </c>
      <c r="E248" s="80" t="n">
        <v>4331.337728999999</v>
      </c>
      <c r="F248" s="81" t="n">
        <v>0.009522321992310295</v>
      </c>
      <c r="G248" s="33" t="inlineStr"/>
      <c r="H248" s="79" t="n">
        <v>0.06666666666666667</v>
      </c>
      <c r="I248" s="100" t="n">
        <v>-0.05714434467435637</v>
      </c>
      <c r="J248" s="12" t="inlineStr">
        <is>
          <t>Under -5.7%</t>
        </is>
      </c>
    </row>
    <row r="249" ht="30" customHeight="1">
      <c r="A249" s="12" t="inlineStr">
        <is>
          <t>Commodities</t>
        </is>
      </c>
      <c r="B249" s="78" t="n">
        <v>52767.75</v>
      </c>
      <c r="C249" s="79" t="n">
        <v>0.1160083876501914</v>
      </c>
      <c r="D249" s="41" t="inlineStr">
        <is>
          <t>→</t>
        </is>
      </c>
      <c r="E249" s="80" t="n">
        <v>56153.75</v>
      </c>
      <c r="F249" s="81" t="n">
        <v>0.12345241171003</v>
      </c>
      <c r="G249" s="33" t="inlineStr"/>
      <c r="H249" s="79" t="n">
        <v>0.06666666666666667</v>
      </c>
      <c r="I249" s="100" t="n">
        <v>0.05678574504336334</v>
      </c>
      <c r="J249" s="12" t="inlineStr">
        <is>
          <t>Over +5.7%</t>
        </is>
      </c>
    </row>
    <row r="250" ht="45" customHeight="1">
      <c r="A250" s="12" t="inlineStr">
        <is>
          <t>Cash</t>
        </is>
      </c>
      <c r="B250" s="78" t="n">
        <v>181.78</v>
      </c>
      <c r="C250" s="79" t="n">
        <v>0.0003996381256932841</v>
      </c>
      <c r="D250" s="99" t="inlineStr"/>
      <c r="E250" s="78" t="n">
        <v>182.7799999999988</v>
      </c>
      <c r="F250" s="79" t="n">
        <v>0.0004018365970635824</v>
      </c>
      <c r="G250" s="33" t="inlineStr"/>
      <c r="H250" s="64" t="inlineStr"/>
      <c r="I250" s="64" t="inlineStr"/>
      <c r="J250" s="33" t="inlineStr"/>
    </row>
    <row r="251" ht="30" customHeight="1">
      <c r="A251" s="12" t="inlineStr">
        <is>
          <t>US Mid Cap</t>
        </is>
      </c>
      <c r="B251" s="78" t="n">
        <v>0</v>
      </c>
      <c r="C251" s="79" t="n">
        <v>0</v>
      </c>
      <c r="D251" s="41" t="inlineStr">
        <is>
          <t>→</t>
        </is>
      </c>
      <c r="E251" s="80" t="n">
        <v>170100</v>
      </c>
      <c r="F251" s="81" t="n">
        <v>0.3739599800881705</v>
      </c>
      <c r="G251" s="33" t="inlineStr"/>
      <c r="H251" s="79" t="n">
        <v>0.06666666666666667</v>
      </c>
      <c r="I251" s="100" t="n">
        <v>0.3072933134215038</v>
      </c>
      <c r="J251" s="12" t="inlineStr">
        <is>
          <t>Over +30.7%</t>
        </is>
      </c>
    </row>
    <row r="252"/>
    <row r="253" ht="15" customHeight="1">
      <c r="A253" s="10" t="inlineStr">
        <is>
          <t>Wife_Roth  —  Total: $203,932</t>
        </is>
      </c>
      <c r="B253" s="3" t="n"/>
      <c r="C253" s="3" t="n"/>
      <c r="D253" s="3" t="n"/>
      <c r="E253" s="3" t="n"/>
      <c r="F253" s="3" t="n"/>
      <c r="G253" s="3" t="n"/>
      <c r="H253" s="3" t="n"/>
      <c r="I253" s="3" t="n"/>
      <c r="J253" s="4" t="n"/>
    </row>
    <row r="254" ht="15" customHeight="1">
      <c r="A254" s="5" t="inlineStr">
        <is>
          <t>Bucket</t>
        </is>
      </c>
      <c r="B254" s="5" t="inlineStr">
        <is>
          <t>Before $</t>
        </is>
      </c>
      <c r="C254" s="5" t="inlineStr">
        <is>
          <t>Before %</t>
        </is>
      </c>
      <c r="D254" s="98" t="inlineStr"/>
      <c r="E254" s="5" t="inlineStr">
        <is>
          <t>After $</t>
        </is>
      </c>
      <c r="F254" s="5" t="inlineStr">
        <is>
          <t>After %</t>
        </is>
      </c>
      <c r="G254" s="98" t="inlineStr"/>
      <c r="H254" s="5" t="inlineStr">
        <is>
          <t>Target %</t>
        </is>
      </c>
      <c r="I254" s="5" t="inlineStr">
        <is>
          <t>Delta pp</t>
        </is>
      </c>
      <c r="J254" s="5" t="inlineStr">
        <is>
          <t>Status</t>
        </is>
      </c>
    </row>
    <row r="255" ht="45" customHeight="1">
      <c r="A255" s="12" t="inlineStr">
        <is>
          <t>US Large Cap</t>
        </is>
      </c>
      <c r="B255" s="78" t="n">
        <v>42784.88307000001</v>
      </c>
      <c r="C255" s="79" t="n">
        <v>0.2097994851079394</v>
      </c>
      <c r="D255" s="41" t="inlineStr">
        <is>
          <t>→</t>
        </is>
      </c>
      <c r="E255" s="80" t="n">
        <v>9268.883070000011</v>
      </c>
      <c r="F255" s="81" t="n">
        <v>0.04545079374016619</v>
      </c>
      <c r="G255" s="33" t="inlineStr"/>
      <c r="H255" s="79" t="n">
        <v>0.4666666666666666</v>
      </c>
      <c r="I255" s="100" t="n">
        <v>-0.4212158729265004</v>
      </c>
      <c r="J255" s="12" t="inlineStr">
        <is>
          <t>Under -42.1%</t>
        </is>
      </c>
    </row>
    <row r="256" ht="45" customHeight="1">
      <c r="A256" s="12" t="inlineStr">
        <is>
          <t>International</t>
        </is>
      </c>
      <c r="B256" s="78" t="n">
        <v>69103.423488</v>
      </c>
      <c r="C256" s="79" t="n">
        <v>0.3388547923166798</v>
      </c>
      <c r="D256" s="41" t="inlineStr">
        <is>
          <t>→</t>
        </is>
      </c>
      <c r="E256" s="80" t="n">
        <v>10850.423488</v>
      </c>
      <c r="F256" s="81" t="n">
        <v>0.05320601805224219</v>
      </c>
      <c r="G256" s="33" t="inlineStr"/>
      <c r="H256" s="79" t="n">
        <v>0.2666666666666667</v>
      </c>
      <c r="I256" s="100" t="n">
        <v>-0.2134606486144245</v>
      </c>
      <c r="J256" s="12" t="inlineStr">
        <is>
          <t>Under -21.3%</t>
        </is>
      </c>
    </row>
    <row r="257" ht="45" customHeight="1">
      <c r="A257" s="12" t="inlineStr">
        <is>
          <t>US Small Cap</t>
        </is>
      </c>
      <c r="B257" s="78" t="n">
        <v>91818.16308500001</v>
      </c>
      <c r="C257" s="79" t="n">
        <v>0.4502385411986076</v>
      </c>
      <c r="D257" s="99" t="inlineStr"/>
      <c r="E257" s="78" t="n">
        <v>91818.16308500001</v>
      </c>
      <c r="F257" s="79" t="n">
        <v>0.4502385411986076</v>
      </c>
      <c r="G257" s="33" t="inlineStr"/>
      <c r="H257" s="79" t="n">
        <v>0.06666666666666667</v>
      </c>
      <c r="I257" s="100" t="n">
        <v>0.3835718745319409</v>
      </c>
      <c r="J257" s="12" t="inlineStr">
        <is>
          <t>Over +38.4%</t>
        </is>
      </c>
    </row>
    <row r="258" ht="45" customHeight="1">
      <c r="A258" s="12" t="inlineStr">
        <is>
          <t>Cash</t>
        </is>
      </c>
      <c r="B258" s="78" t="n">
        <v>225.79</v>
      </c>
      <c r="C258" s="79" t="n">
        <v>0.001107181376773168</v>
      </c>
      <c r="D258" s="99" t="inlineStr"/>
      <c r="E258" s="78" t="n">
        <v>224.7900000000081</v>
      </c>
      <c r="F258" s="79" t="n">
        <v>0.001102277787700295</v>
      </c>
      <c r="G258" s="33" t="inlineStr"/>
      <c r="H258" s="64" t="inlineStr"/>
      <c r="I258" s="64" t="inlineStr"/>
      <c r="J258" s="33" t="inlineStr"/>
    </row>
    <row r="259" ht="30" customHeight="1">
      <c r="A259" s="12" t="inlineStr">
        <is>
          <t>Emerging Markets</t>
        </is>
      </c>
      <c r="B259" s="78" t="n">
        <v>0</v>
      </c>
      <c r="C259" s="79" t="n">
        <v>0</v>
      </c>
      <c r="D259" s="41" t="inlineStr">
        <is>
          <t>→</t>
        </is>
      </c>
      <c r="E259" s="80" t="n">
        <v>91770</v>
      </c>
      <c r="F259" s="81" t="n">
        <v>0.4500023692212837</v>
      </c>
      <c r="G259" s="33" t="inlineStr"/>
      <c r="H259" s="79" t="n">
        <v>0.06666666666666667</v>
      </c>
      <c r="I259" s="100" t="n">
        <v>0.3833357025546171</v>
      </c>
      <c r="J259" s="12" t="inlineStr">
        <is>
          <t>Over +38.3%</t>
        </is>
      </c>
    </row>
    <row r="260"/>
    <row r="261" ht="15" customHeight="1">
      <c r="A261" s="10" t="inlineStr">
        <is>
          <t>Wife_Trust  —  Total: $326,447</t>
        </is>
      </c>
      <c r="B261" s="3" t="n"/>
      <c r="C261" s="3" t="n"/>
      <c r="D261" s="3" t="n"/>
      <c r="E261" s="3" t="n"/>
      <c r="F261" s="3" t="n"/>
      <c r="G261" s="3" t="n"/>
      <c r="H261" s="3" t="n"/>
      <c r="I261" s="3" t="n"/>
      <c r="J261" s="4" t="n"/>
    </row>
    <row r="262" ht="15" customHeight="1">
      <c r="A262" s="5" t="inlineStr">
        <is>
          <t>Bucket</t>
        </is>
      </c>
      <c r="B262" s="5" t="inlineStr">
        <is>
          <t>Before $</t>
        </is>
      </c>
      <c r="C262" s="5" t="inlineStr">
        <is>
          <t>Before %</t>
        </is>
      </c>
      <c r="D262" s="98" t="inlineStr"/>
      <c r="E262" s="5" t="inlineStr">
        <is>
          <t>After $</t>
        </is>
      </c>
      <c r="F262" s="5" t="inlineStr">
        <is>
          <t>After %</t>
        </is>
      </c>
      <c r="G262" s="98" t="inlineStr"/>
      <c r="H262" s="5" t="inlineStr">
        <is>
          <t>Target %</t>
        </is>
      </c>
      <c r="I262" s="5" t="inlineStr">
        <is>
          <t>Delta pp</t>
        </is>
      </c>
      <c r="J262" s="5" t="inlineStr">
        <is>
          <t>Status</t>
        </is>
      </c>
    </row>
    <row r="263" ht="30" customHeight="1">
      <c r="A263" s="12" t="inlineStr">
        <is>
          <t>US Large Cap</t>
        </is>
      </c>
      <c r="B263" s="78" t="n">
        <v>244666.57008</v>
      </c>
      <c r="C263" s="79" t="n">
        <v>0.7494838924283251</v>
      </c>
      <c r="D263" s="99" t="inlineStr"/>
      <c r="E263" s="78" t="n">
        <v>244666.57008</v>
      </c>
      <c r="F263" s="79" t="n">
        <v>0.7494838924283251</v>
      </c>
      <c r="G263" s="33" t="inlineStr"/>
      <c r="H263" s="79" t="n">
        <v>0.4666666666666666</v>
      </c>
      <c r="I263" s="100" t="n">
        <v>0.2828172257616585</v>
      </c>
      <c r="J263" s="12" t="inlineStr">
        <is>
          <t>Over +28.3%</t>
        </is>
      </c>
    </row>
    <row r="264" ht="45" customHeight="1">
      <c r="A264" s="12" t="inlineStr">
        <is>
          <t>International</t>
        </is>
      </c>
      <c r="B264" s="78" t="n">
        <v>76923.745536</v>
      </c>
      <c r="C264" s="79" t="n">
        <v>0.2356394999350999</v>
      </c>
      <c r="D264" s="99" t="inlineStr"/>
      <c r="E264" s="78" t="n">
        <v>76923.745536</v>
      </c>
      <c r="F264" s="79" t="n">
        <v>0.2356394999350999</v>
      </c>
      <c r="G264" s="33" t="inlineStr"/>
      <c r="H264" s="79" t="n">
        <v>0.2666666666666667</v>
      </c>
      <c r="I264" s="100" t="n">
        <v>-0.03102716673156675</v>
      </c>
      <c r="J264" s="12" t="inlineStr">
        <is>
          <t>Under -3.1%</t>
        </is>
      </c>
    </row>
    <row r="265" ht="45" customHeight="1">
      <c r="A265" s="12" t="inlineStr">
        <is>
          <t>Cash</t>
        </is>
      </c>
      <c r="B265" s="78" t="n">
        <v>4856.42</v>
      </c>
      <c r="C265" s="79" t="n">
        <v>0.01487660763657511</v>
      </c>
      <c r="D265" s="99" t="inlineStr"/>
      <c r="E265" s="78" t="n">
        <v>4856.42</v>
      </c>
      <c r="F265" s="79" t="n">
        <v>0.01487660763657511</v>
      </c>
      <c r="G265" s="33" t="inlineStr"/>
      <c r="H265" s="64" t="inlineStr"/>
      <c r="I265" s="64" t="inlineStr"/>
      <c r="J265" s="33" t="inlineStr"/>
    </row>
    <row r="266"/>
    <row r="267"/>
    <row r="268" ht="15" customHeight="1">
      <c r="A268" s="13" t="inlineStr">
        <is>
          <t>PORTFOLIO TOTAL</t>
        </is>
      </c>
      <c r="B268" s="3" t="n"/>
      <c r="C268" s="3" t="n"/>
      <c r="D268" s="3" t="n"/>
      <c r="E268" s="3" t="n"/>
      <c r="F268" s="3" t="n"/>
      <c r="G268" s="3" t="n"/>
      <c r="H268" s="3" t="n"/>
      <c r="I268" s="3" t="n"/>
      <c r="J268" s="4" t="n"/>
    </row>
    <row r="269" ht="15" customHeight="1">
      <c r="A269" s="5" t="inlineStr">
        <is>
          <t>Bucket</t>
        </is>
      </c>
      <c r="B269" s="5" t="inlineStr">
        <is>
          <t>Before $</t>
        </is>
      </c>
      <c r="C269" s="5" t="inlineStr">
        <is>
          <t>Before %</t>
        </is>
      </c>
      <c r="D269" s="98" t="inlineStr"/>
      <c r="E269" s="5" t="inlineStr">
        <is>
          <t>After $</t>
        </is>
      </c>
      <c r="F269" s="5" t="inlineStr">
        <is>
          <t>After %</t>
        </is>
      </c>
      <c r="G269" s="98" t="inlineStr"/>
      <c r="H269" s="5" t="inlineStr">
        <is>
          <t>Target %</t>
        </is>
      </c>
      <c r="I269" s="5" t="inlineStr">
        <is>
          <t>Delta pp</t>
        </is>
      </c>
      <c r="J269" s="5" t="inlineStr">
        <is>
          <t>Status</t>
        </is>
      </c>
    </row>
    <row r="270" ht="45" customHeight="1">
      <c r="A270" s="2" t="inlineStr">
        <is>
          <t>US Large Cap</t>
        </is>
      </c>
      <c r="B270" s="78" t="n">
        <v>1329502.60797</v>
      </c>
      <c r="C270" s="79" t="n">
        <v>0.4884989404086499</v>
      </c>
      <c r="D270" s="41" t="inlineStr">
        <is>
          <t>→</t>
        </is>
      </c>
      <c r="E270" s="80" t="n">
        <v>1190703.60797</v>
      </c>
      <c r="F270" s="81" t="n">
        <v>0.4375000450147492</v>
      </c>
      <c r="G270" s="33" t="inlineStr"/>
      <c r="H270" s="79" t="n">
        <v>0.4666666666666666</v>
      </c>
      <c r="I270" s="100" t="n">
        <v>-0.02916662165191741</v>
      </c>
      <c r="J270" s="12" t="inlineStr">
        <is>
          <t>Under -2.9%</t>
        </is>
      </c>
    </row>
    <row r="271" ht="30" customHeight="1">
      <c r="A271" s="2" t="inlineStr">
        <is>
          <t>International</t>
        </is>
      </c>
      <c r="B271" s="78" t="n">
        <v>897149.1413760001</v>
      </c>
      <c r="C271" s="79" t="n">
        <v>0.3296393721407392</v>
      </c>
      <c r="D271" s="41" t="inlineStr">
        <is>
          <t>→</t>
        </is>
      </c>
      <c r="E271" s="80" t="n">
        <v>680402.1413760001</v>
      </c>
      <c r="F271" s="81" t="n">
        <v>0.2500000549991042</v>
      </c>
      <c r="G271" s="33" t="inlineStr"/>
      <c r="H271" s="79" t="n">
        <v>0.2666666666666667</v>
      </c>
      <c r="I271" s="101" t="n">
        <v>-0.01666661166756245</v>
      </c>
      <c r="J271" s="12" t="inlineStr">
        <is>
          <t>✓ On target</t>
        </is>
      </c>
    </row>
    <row r="272" ht="45" customHeight="1">
      <c r="A272" s="2" t="inlineStr">
        <is>
          <t>US Small Cap</t>
        </is>
      </c>
      <c r="B272" s="78" t="n">
        <v>310315.117414</v>
      </c>
      <c r="C272" s="79" t="n">
        <v>0.1140190362476862</v>
      </c>
      <c r="D272" s="41" t="inlineStr">
        <is>
          <t>→</t>
        </is>
      </c>
      <c r="E272" s="80" t="n">
        <v>170100.237414</v>
      </c>
      <c r="F272" s="81" t="n">
        <v>0.0624999042814016</v>
      </c>
      <c r="G272" s="33" t="inlineStr"/>
      <c r="H272" s="79" t="n">
        <v>0.06666666666666667</v>
      </c>
      <c r="I272" s="101" t="n">
        <v>-0.004166762385265067</v>
      </c>
      <c r="J272" s="12" t="inlineStr">
        <is>
          <t>✓ On target</t>
        </is>
      </c>
    </row>
    <row r="273" ht="45" customHeight="1">
      <c r="A273" s="2" t="inlineStr">
        <is>
          <t>Commodities</t>
        </is>
      </c>
      <c r="B273" s="78" t="n">
        <v>166714.35</v>
      </c>
      <c r="C273" s="79" t="n">
        <v>0.06125582818544908</v>
      </c>
      <c r="D273" s="41" t="inlineStr">
        <is>
          <t>→</t>
        </is>
      </c>
      <c r="E273" s="80" t="n">
        <v>170100.35</v>
      </c>
      <c r="F273" s="81" t="n">
        <v>0.06249994564885839</v>
      </c>
      <c r="G273" s="33" t="inlineStr"/>
      <c r="H273" s="79" t="n">
        <v>0.06666666666666667</v>
      </c>
      <c r="I273" s="101" t="n">
        <v>-0.004166721017808274</v>
      </c>
      <c r="J273" s="12" t="inlineStr">
        <is>
          <t>✓ On target</t>
        </is>
      </c>
    </row>
    <row r="274" ht="45" customHeight="1">
      <c r="A274" s="2" t="inlineStr">
        <is>
          <t>Cash</t>
        </is>
      </c>
      <c r="B274" s="78" t="n">
        <v>17926.75</v>
      </c>
      <c r="C274" s="79" t="n">
        <v>0.006586823017475697</v>
      </c>
      <c r="D274" s="41" t="inlineStr">
        <is>
          <t>→</t>
        </is>
      </c>
      <c r="E274" s="80" t="n">
        <v>170100.7500000001</v>
      </c>
      <c r="F274" s="81" t="n">
        <v>0.06250009262079739</v>
      </c>
      <c r="G274" s="33" t="inlineStr"/>
      <c r="H274" s="64" t="inlineStr"/>
      <c r="I274" s="64" t="inlineStr"/>
      <c r="J274" s="33" t="inlineStr"/>
    </row>
    <row r="275" ht="45" customHeight="1">
      <c r="A275" s="2" t="inlineStr">
        <is>
          <t>Emerging Markets</t>
        </is>
      </c>
      <c r="B275" s="78" t="n">
        <v>0</v>
      </c>
      <c r="C275" s="79" t="n">
        <v>0</v>
      </c>
      <c r="D275" s="41" t="inlineStr">
        <is>
          <t>→</t>
        </is>
      </c>
      <c r="E275" s="80" t="n">
        <v>170101</v>
      </c>
      <c r="F275" s="81" t="n">
        <v>0.06250018447825922</v>
      </c>
      <c r="G275" s="33" t="inlineStr"/>
      <c r="H275" s="79" t="n">
        <v>0.06666666666666667</v>
      </c>
      <c r="I275" s="101" t="n">
        <v>-0.004166482188407442</v>
      </c>
      <c r="J275" s="12" t="inlineStr">
        <is>
          <t>✓ On target</t>
        </is>
      </c>
    </row>
    <row r="276" ht="45" customHeight="1">
      <c r="A276" s="2" t="inlineStr">
        <is>
          <t>US Mid Cap</t>
        </is>
      </c>
      <c r="B276" s="78" t="n">
        <v>0</v>
      </c>
      <c r="C276" s="79" t="n">
        <v>0</v>
      </c>
      <c r="D276" s="41" t="inlineStr">
        <is>
          <t>→</t>
        </is>
      </c>
      <c r="E276" s="80" t="n">
        <v>170100</v>
      </c>
      <c r="F276" s="81" t="n">
        <v>0.06249981704841179</v>
      </c>
      <c r="G276" s="33" t="inlineStr"/>
      <c r="H276" s="79" t="n">
        <v>0.06666666666666667</v>
      </c>
      <c r="I276" s="101" t="n">
        <v>-0.004166849618254871</v>
      </c>
      <c r="J276" s="12" t="inlineStr">
        <is>
          <t>✓ On target</t>
        </is>
      </c>
    </row>
    <row r="277"/>
    <row r="278" ht="15" customHeight="1">
      <c r="A278" s="102" t="inlineStr">
        <is>
          <t>TAX-EFFICIENT REBALANCING SEQUENCE</t>
        </is>
      </c>
      <c r="B278" s="3" t="n"/>
      <c r="C278" s="3" t="n"/>
      <c r="D278" s="3" t="n"/>
      <c r="E278" s="3" t="n"/>
      <c r="F278" s="3" t="n"/>
      <c r="G278" s="3" t="n"/>
      <c r="H278" s="3" t="n"/>
      <c r="I278" s="3" t="n"/>
      <c r="J278" s="4" t="n"/>
    </row>
    <row r="279" ht="15" customHeight="1">
      <c r="A279" s="2" t="inlineStr">
        <is>
          <t>Direct new 401k/IRA/HSA contributions to underweight buckets. No tax event — just redirect future dollars.</t>
        </is>
      </c>
      <c r="B279" s="3" t="n"/>
      <c r="C279" s="3" t="n"/>
      <c r="D279" s="3" t="n"/>
      <c r="E279" s="3" t="n"/>
      <c r="F279" s="3" t="n"/>
      <c r="G279" s="3" t="n"/>
      <c r="H279" s="3" t="n"/>
      <c r="I279" s="3" t="n"/>
      <c r="J279" s="4" t="n"/>
    </row>
    <row r="280" ht="15" customHeight="1">
      <c r="A280" s="12" t="inlineStr">
        <is>
          <t>Example: if Roth is underweight AVUV, direct new Roth contributions to AVUV instead of current holdings.</t>
        </is>
      </c>
      <c r="B280" s="3" t="n"/>
      <c r="C280" s="3" t="n"/>
      <c r="D280" s="3" t="n"/>
      <c r="E280" s="3" t="n"/>
      <c r="F280" s="3" t="n"/>
      <c r="G280" s="3" t="n"/>
      <c r="H280" s="3" t="n"/>
      <c r="I280" s="3" t="n"/>
      <c r="J280" s="4" t="n"/>
    </row>
    <row r="281"/>
    <row r="282" ht="30" customHeight="1">
      <c r="A282" s="2" t="inlineStr">
        <is>
          <t>Sell overweight and buy underweight within each IRA, 401k, Roth, and HSA. No capital gains tax on trades inside these accounts.</t>
        </is>
      </c>
      <c r="B282" s="3" t="n"/>
      <c r="C282" s="3" t="n"/>
      <c r="D282" s="3" t="n"/>
      <c r="E282" s="3" t="n"/>
      <c r="F282" s="3" t="n"/>
      <c r="G282" s="3" t="n"/>
      <c r="H282" s="3" t="n"/>
      <c r="I282" s="3" t="n"/>
      <c r="J282" s="4" t="n"/>
    </row>
    <row r="283" ht="15" customHeight="1">
      <c r="A283" s="12" t="inlineStr">
        <is>
          <t>This is the primary rebalancing mechanism — do these trades first.</t>
        </is>
      </c>
      <c r="B283" s="3" t="n"/>
      <c r="C283" s="3" t="n"/>
      <c r="D283" s="3" t="n"/>
      <c r="E283" s="3" t="n"/>
      <c r="F283" s="3" t="n"/>
      <c r="G283" s="3" t="n"/>
      <c r="H283" s="3" t="n"/>
      <c r="I283" s="3" t="n"/>
      <c r="J283" s="4" t="n"/>
    </row>
    <row r="284"/>
    <row r="285" ht="30" customHeight="1">
      <c r="A285" s="2" t="inlineStr">
        <is>
          <t>Reinvest dividends into underweight buckets rather than the same fund. Over time this naturally rebalances without selling.</t>
        </is>
      </c>
      <c r="B285" s="3" t="n"/>
      <c r="C285" s="3" t="n"/>
      <c r="D285" s="3" t="n"/>
      <c r="E285" s="3" t="n"/>
      <c r="F285" s="3" t="n"/>
      <c r="G285" s="3" t="n"/>
      <c r="H285" s="3" t="n"/>
      <c r="I285" s="3" t="n"/>
      <c r="J285" s="4" t="n"/>
    </row>
    <row r="286" ht="15" customHeight="1">
      <c r="A286" s="12" t="inlineStr">
        <is>
          <t>Turn off auto-reinvest in overweight funds; redirect to underweight funds in the same account.</t>
        </is>
      </c>
      <c r="B286" s="3" t="n"/>
      <c r="C286" s="3" t="n"/>
      <c r="D286" s="3" t="n"/>
      <c r="E286" s="3" t="n"/>
      <c r="F286" s="3" t="n"/>
      <c r="G286" s="3" t="n"/>
      <c r="H286" s="3" t="n"/>
      <c r="I286" s="3" t="n"/>
      <c r="J286" s="4" t="n"/>
    </row>
    <row r="287"/>
    <row r="288" ht="30" customHeight="1">
      <c r="A288" s="2" t="inlineStr">
        <is>
          <t>If a taxable holding has unrealized losses, sell it and buy a similar (not "substantially identical") fund in the target bucket.</t>
        </is>
      </c>
      <c r="B288" s="3" t="n"/>
      <c r="C288" s="3" t="n"/>
      <c r="D288" s="3" t="n"/>
      <c r="E288" s="3" t="n"/>
      <c r="F288" s="3" t="n"/>
      <c r="G288" s="3" t="n"/>
      <c r="H288" s="3" t="n"/>
      <c r="I288" s="3" t="n"/>
      <c r="J288" s="4" t="n"/>
    </row>
    <row r="289" ht="15" customHeight="1">
      <c r="A289" s="12" t="inlineStr">
        <is>
          <t>Example: sell ITOT (at a loss) and buy VTI — both are US Large but not identical. Harvest the loss.</t>
        </is>
      </c>
      <c r="B289" s="3" t="n"/>
      <c r="C289" s="3" t="n"/>
      <c r="D289" s="3" t="n"/>
      <c r="E289" s="3" t="n"/>
      <c r="F289" s="3" t="n"/>
      <c r="G289" s="3" t="n"/>
      <c r="H289" s="3" t="n"/>
      <c r="I289" s="3" t="n"/>
      <c r="J289" s="4" t="n"/>
    </row>
    <row r="290"/>
    <row r="291" ht="15" customHeight="1">
      <c r="A291" s="2" t="inlineStr">
        <is>
          <t>If the above steps don't close the gap, sell overweight positions in taxable accounts. LTCG tax applies.</t>
        </is>
      </c>
      <c r="B291" s="3" t="n"/>
      <c r="C291" s="3" t="n"/>
      <c r="D291" s="3" t="n"/>
      <c r="E291" s="3" t="n"/>
      <c r="F291" s="3" t="n"/>
      <c r="G291" s="3" t="n"/>
      <c r="H291" s="3" t="n"/>
      <c r="I291" s="3" t="n"/>
      <c r="J291" s="4" t="n"/>
    </row>
    <row r="292" ht="15" customHeight="1">
      <c r="A292" s="12" t="inlineStr">
        <is>
          <t>Prioritize lots held &gt;1 year (LTCG rate 15-20%) over short-term lots (ordinary income rate).</t>
        </is>
      </c>
      <c r="B292" s="3" t="n"/>
      <c r="C292" s="3" t="n"/>
      <c r="D292" s="3" t="n"/>
      <c r="E292" s="3" t="n"/>
      <c r="F292" s="3" t="n"/>
      <c r="G292" s="3" t="n"/>
      <c r="H292" s="3" t="n"/>
      <c r="I292" s="3" t="n"/>
      <c r="J292" s="4" t="n"/>
    </row>
    <row r="293"/>
    <row r="294" ht="15" customHeight="1">
      <c r="A294" s="2" t="inlineStr">
        <is>
          <t>You don't need to reach target in one trade. Spread rebalancing over 2-3 years to smooth tax impact.</t>
        </is>
      </c>
      <c r="B294" s="3" t="n"/>
      <c r="C294" s="3" t="n"/>
      <c r="D294" s="3" t="n"/>
      <c r="E294" s="3" t="n"/>
      <c r="F294" s="3" t="n"/>
      <c r="G294" s="3" t="n"/>
      <c r="H294" s="3" t="n"/>
      <c r="I294" s="3" t="n"/>
      <c r="J294" s="4" t="n"/>
    </row>
    <row r="295" ht="15" customHeight="1">
      <c r="A295" s="12" t="inlineStr">
        <is>
          <t>Each year: execute steps 1-4, then reassess. Only do step 5 if significantly out of band (&gt;5% delta).</t>
        </is>
      </c>
      <c r="B295" s="3" t="n"/>
      <c r="C295" s="3" t="n"/>
      <c r="D295" s="3" t="n"/>
      <c r="E295" s="3" t="n"/>
      <c r="F295" s="3" t="n"/>
      <c r="G295" s="3" t="n"/>
      <c r="H295" s="3" t="n"/>
      <c r="I295" s="3" t="n"/>
      <c r="J295" s="4" t="n"/>
    </row>
    <row r="296"/>
    <row r="297"/>
    <row r="298" ht="15" customHeight="1">
      <c r="A298" s="9" t="inlineStr">
        <is>
          <t>ASSET-LOCATION OPTIMIZER</t>
        </is>
      </c>
    </row>
    <row r="299"/>
    <row r="300" ht="60" customHeight="1">
      <c r="A300" s="12" t="inlineStr">
        <is>
          <t>Tax-efficient asset placement: same overall allocation, but assets held in their most tax-advantaged account. Equities (growth + qualified dividends/LTCG) favor Roth and taxable; bonds/REITs (ordinary income) favor IRA.</t>
        </is>
      </c>
      <c r="B300" s="3" t="n"/>
      <c r="C300" s="3" t="n"/>
      <c r="D300" s="3" t="n"/>
      <c r="E300" s="3" t="n"/>
      <c r="F300" s="3" t="n"/>
      <c r="G300" s="4" t="n"/>
    </row>
    <row r="301"/>
    <row r="302" ht="15" customHeight="1">
      <c r="A302" s="13" t="inlineStr">
        <is>
          <t>Current Account Balances</t>
        </is>
      </c>
      <c r="B302" s="3" t="n"/>
      <c r="C302" s="4" t="n"/>
    </row>
    <row r="303" ht="30" customHeight="1">
      <c r="A303" s="12" t="inlineStr">
        <is>
          <t>Tax-Deferred (IRA/401k)</t>
        </is>
      </c>
      <c r="B303" s="103" t="n">
        <v>1779166.543371</v>
      </c>
      <c r="C303" s="104" t="inlineStr">
        <is>
          <t>67%</t>
        </is>
      </c>
    </row>
    <row r="304" ht="30" customHeight="1">
      <c r="A304" s="12" t="inlineStr">
        <is>
          <t>Tax-Free (Roth)</t>
        </is>
      </c>
      <c r="B304" s="103" t="n">
        <v>341344.3594930001</v>
      </c>
      <c r="C304" s="104" t="inlineStr">
        <is>
          <t>13%</t>
        </is>
      </c>
    </row>
    <row r="305" ht="30" customHeight="1">
      <c r="A305" s="12" t="inlineStr">
        <is>
          <t>Taxable (Trust)</t>
        </is>
      </c>
      <c r="B305" s="103" t="n">
        <v>530495.270626</v>
      </c>
      <c r="C305" s="104" t="inlineStr">
        <is>
          <t>20%</t>
        </is>
      </c>
    </row>
    <row r="306" ht="30" customHeight="1">
      <c r="A306" s="2" t="inlineStr">
        <is>
          <t>Total Investable</t>
        </is>
      </c>
      <c r="B306" s="105" t="n">
        <v>2651006.17349</v>
      </c>
      <c r="C306" s="104" t="inlineStr">
        <is>
          <t>100%</t>
        </is>
      </c>
    </row>
    <row r="307"/>
    <row r="308" ht="15" customHeight="1">
      <c r="A308" s="13" t="inlineStr">
        <is>
          <t>Annual Tax Drag by Placement</t>
        </is>
      </c>
      <c r="B308" s="3" t="n"/>
      <c r="C308" s="3" t="n"/>
      <c r="D308" s="4" t="n"/>
    </row>
    <row r="309" ht="30" customHeight="1">
      <c r="A309" s="35" t="inlineStr">
        <is>
          <t>Scenario</t>
        </is>
      </c>
      <c r="B309" s="35" t="inlineStr">
        <is>
          <t>Bond Tax Drag/yr</t>
        </is>
      </c>
      <c r="C309" s="35" t="inlineStr">
        <is>
          <t>Equity Tax Drag/yr</t>
        </is>
      </c>
      <c r="D309" s="35" t="inlineStr">
        <is>
          <t>Total/yr</t>
        </is>
      </c>
    </row>
    <row r="310" ht="45" customHeight="1">
      <c r="A310" s="12" t="inlineStr">
        <is>
          <t>Naive (blended mix in every account)</t>
        </is>
      </c>
      <c r="B310" s="78" t="n">
        <v>763.91318970144</v>
      </c>
      <c r="C310" s="78" t="n">
        <v>1623.31552811556</v>
      </c>
      <c r="D310" s="78" t="n">
        <v>2387.228717817</v>
      </c>
    </row>
    <row r="311" ht="60" customHeight="1">
      <c r="A311" s="2" t="inlineStr">
        <is>
          <t>Optimized (bonds→IRA, equities→Roth/taxable)</t>
        </is>
      </c>
      <c r="B311" s="83" t="n">
        <v>0</v>
      </c>
      <c r="C311" s="83" t="n">
        <v>1909.782974253601</v>
      </c>
      <c r="D311" s="83" t="n">
        <v>1909.782974253601</v>
      </c>
    </row>
    <row r="312"/>
    <row r="313" ht="15" customHeight="1">
      <c r="A313" s="20" t="inlineStr">
        <is>
          <t>Estimated Savings</t>
        </is>
      </c>
      <c r="B313" s="3" t="n"/>
      <c r="C313" s="4" t="n"/>
    </row>
    <row r="314" ht="30" customHeight="1">
      <c r="A314" s="2" t="inlineStr">
        <is>
          <t>Annual tax drag reduction</t>
        </is>
      </c>
      <c r="B314" s="105" t="n">
        <v>477.445743563399</v>
      </c>
    </row>
    <row r="315" ht="45" customHeight="1">
      <c r="A315" s="2" t="inlineStr">
        <is>
          <t>Compounded over 30 years (at 6.0%)</t>
        </is>
      </c>
      <c r="B315" s="106" t="n">
        <v>40010.75417243778</v>
      </c>
    </row>
    <row r="316"/>
    <row r="317" ht="15" customHeight="1">
      <c r="A317" s="13" t="inlineStr">
        <is>
          <t>Placement Recommendations</t>
        </is>
      </c>
      <c r="B317" s="3" t="n"/>
      <c r="C317" s="3" t="n"/>
      <c r="D317" s="3" t="n"/>
      <c r="E317" s="4" t="n"/>
    </row>
    <row r="318" ht="30" customHeight="1">
      <c r="A318" s="12" t="inlineStr">
        <is>
          <t>• Hold all bond/income assets ($397,651) inside the IRA — ordinary-income yield is sheltered from annual tax.</t>
        </is>
      </c>
      <c r="B318" s="3" t="n"/>
      <c r="C318" s="3" t="n"/>
      <c r="D318" s="3" t="n"/>
      <c r="E318" s="3" t="n"/>
      <c r="F318" s="3" t="n"/>
      <c r="G318" s="4" t="n"/>
    </row>
    <row r="319" ht="30" customHeight="1">
      <c r="A319" s="12" t="inlineStr">
        <is>
          <t>• Hold the highest-growth equities ($341,344) in the Roth — all future appreciation is permanently tax-free.</t>
        </is>
      </c>
      <c r="B319" s="3" t="n"/>
      <c r="C319" s="3" t="n"/>
      <c r="D319" s="3" t="n"/>
      <c r="E319" s="3" t="n"/>
      <c r="F319" s="3" t="n"/>
      <c r="G319" s="4" t="n"/>
    </row>
    <row r="320" ht="45" customHeight="1">
      <c r="A320" s="12" t="inlineStr">
        <is>
          <t>• Hold remaining equities in the taxable Trust — qualified dividends and LTCG are taxed at preferential rates, and heirs receive a stepped-up basis at death.</t>
        </is>
      </c>
      <c r="B320" s="3" t="n"/>
      <c r="C320" s="3" t="n"/>
      <c r="D320" s="3" t="n"/>
      <c r="E320" s="3" t="n"/>
      <c r="F320" s="3" t="n"/>
      <c r="G320" s="4" t="n"/>
    </row>
    <row r="321" ht="30" customHeight="1">
      <c r="A321" s="12" t="inlineStr">
        <is>
          <t>• Avoid holding bonds in the taxable Trust — their ordinary-income yield is the least tax-efficient use of taxable space.</t>
        </is>
      </c>
      <c r="B321" s="3" t="n"/>
      <c r="C321" s="3" t="n"/>
      <c r="D321" s="3" t="n"/>
      <c r="E321" s="3" t="n"/>
      <c r="F321" s="3" t="n"/>
      <c r="G321" s="4" t="n"/>
    </row>
    <row r="322" ht="30" customHeight="1">
      <c r="A322" s="12" t="inlineStr">
        <is>
          <t>• Re-evaluate placement after large Roth conversions, which shift the IRA/Roth balance.</t>
        </is>
      </c>
      <c r="B322" s="3" t="n"/>
      <c r="C322" s="3" t="n"/>
      <c r="D322" s="3" t="n"/>
      <c r="E322" s="3" t="n"/>
      <c r="F322" s="3" t="n"/>
      <c r="G322" s="4" t="n"/>
    </row>
    <row r="323"/>
    <row r="324" ht="30" customHeight="1">
      <c r="A324" s="107" t="inlineStr">
        <is>
          <t>Note: estimate uses marginal ordinary rate 24%% and LTCG 15%%; actual savings depend on realized turnover and bracket in each year.</t>
        </is>
      </c>
      <c r="B324" s="3" t="n"/>
      <c r="C324" s="3" t="n"/>
      <c r="D324" s="3" t="n"/>
      <c r="E324" s="3" t="n"/>
      <c r="F324" s="3" t="n"/>
      <c r="G324" s="4" t="n"/>
    </row>
  </sheetData>
  <mergeCells count="122">
    <mergeCell ref="A7:I7"/>
    <mergeCell ref="C61:F61"/>
    <mergeCell ref="A97:D97"/>
    <mergeCell ref="G200:J200"/>
    <mergeCell ref="A324:G324"/>
    <mergeCell ref="A27:I27"/>
    <mergeCell ref="A112:D112"/>
    <mergeCell ref="C32:F32"/>
    <mergeCell ref="G202:J202"/>
    <mergeCell ref="A302:C302"/>
    <mergeCell ref="B86:C86"/>
    <mergeCell ref="A313:C313"/>
    <mergeCell ref="C196:J196"/>
    <mergeCell ref="A319:G319"/>
    <mergeCell ref="A261:J261"/>
    <mergeCell ref="B3:H3"/>
    <mergeCell ref="A300:G300"/>
    <mergeCell ref="A222:J222"/>
    <mergeCell ref="A29:F29"/>
    <mergeCell ref="E49:F49"/>
    <mergeCell ref="C54:F54"/>
    <mergeCell ref="A174:J174"/>
    <mergeCell ref="A64:F64"/>
    <mergeCell ref="C56:F56"/>
    <mergeCell ref="A198:J198"/>
    <mergeCell ref="A238:J238"/>
    <mergeCell ref="A101:D101"/>
    <mergeCell ref="A95:J95"/>
    <mergeCell ref="A298:G298"/>
    <mergeCell ref="A159:J159"/>
    <mergeCell ref="C195:J195"/>
    <mergeCell ref="C187:J187"/>
    <mergeCell ref="E48:F48"/>
    <mergeCell ref="A280:J280"/>
    <mergeCell ref="A26:I26"/>
    <mergeCell ref="A288:J288"/>
    <mergeCell ref="A85:F85"/>
    <mergeCell ref="E38:F38"/>
    <mergeCell ref="A289:J289"/>
    <mergeCell ref="A211:J211"/>
    <mergeCell ref="C30:F30"/>
    <mergeCell ref="A186:J186"/>
    <mergeCell ref="A317:E317"/>
    <mergeCell ref="E40:F40"/>
    <mergeCell ref="A2:H2"/>
    <mergeCell ref="A146:J146"/>
    <mergeCell ref="A292:J292"/>
    <mergeCell ref="A286:J286"/>
    <mergeCell ref="A136:D136"/>
    <mergeCell ref="A105:D105"/>
    <mergeCell ref="B89:C89"/>
    <mergeCell ref="C190:J190"/>
    <mergeCell ref="A294:J294"/>
    <mergeCell ref="D86:F86"/>
    <mergeCell ref="A278:J278"/>
    <mergeCell ref="E50:F50"/>
    <mergeCell ref="G201:J201"/>
    <mergeCell ref="A144:J144"/>
    <mergeCell ref="D81:E81"/>
    <mergeCell ref="C191:J191"/>
    <mergeCell ref="C57:F57"/>
    <mergeCell ref="B5:H5"/>
    <mergeCell ref="E39:F39"/>
    <mergeCell ref="G203:J203"/>
    <mergeCell ref="A308:D308"/>
    <mergeCell ref="E44:F44"/>
    <mergeCell ref="D87:F87"/>
    <mergeCell ref="A152:J152"/>
    <mergeCell ref="C53:F53"/>
    <mergeCell ref="B88:C88"/>
    <mergeCell ref="C58:F58"/>
    <mergeCell ref="A63:F63"/>
    <mergeCell ref="A291:J291"/>
    <mergeCell ref="E46:F46"/>
    <mergeCell ref="C188:J188"/>
    <mergeCell ref="A268:J268"/>
    <mergeCell ref="A283:J283"/>
    <mergeCell ref="D83:E83"/>
    <mergeCell ref="C31:F31"/>
    <mergeCell ref="A36:F36"/>
    <mergeCell ref="E41:F41"/>
    <mergeCell ref="A285:J285"/>
    <mergeCell ref="C189:J189"/>
    <mergeCell ref="C60:F60"/>
    <mergeCell ref="E43:F43"/>
    <mergeCell ref="A321:G321"/>
    <mergeCell ref="A244:J244"/>
    <mergeCell ref="A80:F80"/>
    <mergeCell ref="A253:J253"/>
    <mergeCell ref="E42:F42"/>
    <mergeCell ref="A318:G318"/>
    <mergeCell ref="A1:H1"/>
    <mergeCell ref="E35:F35"/>
    <mergeCell ref="A230:J230"/>
    <mergeCell ref="A295:J295"/>
    <mergeCell ref="A320:G320"/>
    <mergeCell ref="A143:J143"/>
    <mergeCell ref="A130:D130"/>
    <mergeCell ref="A166:J166"/>
    <mergeCell ref="A279:J279"/>
    <mergeCell ref="C193:J193"/>
    <mergeCell ref="A123:D123"/>
    <mergeCell ref="A207:J207"/>
    <mergeCell ref="B87:C87"/>
    <mergeCell ref="A52:F52"/>
    <mergeCell ref="D89:F89"/>
    <mergeCell ref="A216:J216"/>
    <mergeCell ref="C192:J192"/>
    <mergeCell ref="E45:F45"/>
    <mergeCell ref="D88:F88"/>
    <mergeCell ref="C55:F55"/>
    <mergeCell ref="C194:J194"/>
    <mergeCell ref="A4:H4"/>
    <mergeCell ref="A118:D118"/>
    <mergeCell ref="A208:J208"/>
    <mergeCell ref="A282:J282"/>
    <mergeCell ref="D82:E82"/>
    <mergeCell ref="B33:F33"/>
    <mergeCell ref="C59:F59"/>
    <mergeCell ref="E37:F37"/>
    <mergeCell ref="A322:G322"/>
    <mergeCell ref="E47:F47"/>
  </mergeCells>
  <pageMargins left="0.75" right="0.75" top="1" bottom="1" header="0.5" footer="0.5"/>
</worksheet>
</file>

<file path=xl/worksheets/sheet13.xml><?xml version="1.0" encoding="utf-8"?>
<worksheet xmlns="http://schemas.openxmlformats.org/spreadsheetml/2006/main">
  <sheetPr>
    <tabColor rgb="007030A0"/>
    <outlinePr summaryBelow="1" summaryRight="1"/>
    <pageSetUpPr/>
  </sheetPr>
  <dimension ref="A1:J28"/>
  <sheetViews>
    <sheetView showGridLines="0" workbookViewId="0">
      <selection activeCell="A1" sqref="A1"/>
    </sheetView>
  </sheetViews>
  <sheetFormatPr baseColWidth="8" defaultRowHeight="15"/>
  <cols>
    <col width="19.4" customWidth="1" min="1" max="1"/>
    <col width="10.3" customWidth="1" min="2" max="2"/>
    <col width="19.4" customWidth="1" min="3" max="3"/>
    <col width="9.4" customWidth="1" min="4" max="4"/>
    <col width="9.4" customWidth="1" min="5" max="5"/>
    <col width="9.4" customWidth="1" min="6" max="6"/>
    <col width="9.4" customWidth="1" min="7" max="7"/>
    <col width="9.4" customWidth="1" min="8" max="8"/>
    <col width="10.3" customWidth="1" min="9" max="9"/>
    <col width="11.4" customWidth="1" min="10" max="10"/>
  </cols>
  <sheetData>
    <row r="1" ht="18" customHeight="1">
      <c r="A1" s="9" t="inlineStr">
        <is>
          <t>STATE RESIDENCY TAX ANALYSIS</t>
        </is>
      </c>
    </row>
    <row r="2"/>
    <row r="3" ht="15" customHeight="1">
      <c r="A3" s="13" t="inlineStr">
        <is>
          <t>Lifetime Income Components (State Tax Basis)</t>
        </is>
      </c>
      <c r="B3" s="3" t="n"/>
      <c r="C3" s="4" t="n"/>
    </row>
    <row r="4" ht="30" customHeight="1">
      <c r="A4" s="12" t="inlineStr">
        <is>
          <t>Earned Income (W-2/S-Corp)</t>
        </is>
      </c>
      <c r="B4" s="103" t="n">
        <v>266239.88</v>
      </c>
      <c r="C4" s="107" t="inlineStr">
        <is>
          <t>Taxable in all states with income tax</t>
        </is>
      </c>
    </row>
    <row r="5" ht="45" customHeight="1">
      <c r="A5" s="12" t="inlineStr">
        <is>
          <t>Qualified Retirement Distributions</t>
        </is>
      </c>
      <c r="B5" s="103" t="n">
        <v>2766098.221351614</v>
      </c>
      <c r="C5" s="107" t="inlineStr">
        <is>
          <t>IRA/401k/pension/qualified annuity — exempt in IL</t>
        </is>
      </c>
    </row>
    <row r="6" ht="45" customHeight="1">
      <c r="A6" s="12" t="inlineStr">
        <is>
          <t>Non-Qualified Annuity Income</t>
        </is>
      </c>
      <c r="B6" s="103" t="n">
        <v>257592.8344499338</v>
      </c>
      <c r="C6" s="107" t="inlineStr">
        <is>
          <t>Personal market annuities — taxable in IL</t>
        </is>
      </c>
    </row>
    <row r="7" ht="30" customHeight="1">
      <c r="A7" s="12" t="inlineStr">
        <is>
          <t>Social Security (fed taxable)</t>
        </is>
      </c>
      <c r="B7" s="103" t="n">
        <v>2195917.533958432</v>
      </c>
      <c r="C7" s="107" t="inlineStr">
        <is>
          <t>Exempt in most states</t>
        </is>
      </c>
    </row>
    <row r="8" ht="30" customHeight="1">
      <c r="A8" s="12" t="inlineStr">
        <is>
          <t>Investment Income</t>
        </is>
      </c>
      <c r="B8" s="103" t="n">
        <v>161613.78</v>
      </c>
      <c r="C8" s="107" t="inlineStr">
        <is>
          <t>Note interest, capital gains</t>
        </is>
      </c>
    </row>
    <row r="9" ht="30" customHeight="1">
      <c r="A9" s="12" t="inlineStr">
        <is>
          <t>Roth Conversions</t>
        </is>
      </c>
      <c r="B9" s="103" t="n">
        <v>767288.7784371469</v>
      </c>
      <c r="C9" s="107" t="inlineStr">
        <is>
          <t>Exempt in IL (retirement distribution)</t>
        </is>
      </c>
    </row>
    <row r="10" ht="30" customHeight="1">
      <c r="A10" s="2" t="inlineStr">
        <is>
          <t>Total AGI</t>
        </is>
      </c>
      <c r="B10" s="105" t="n">
        <v>6436249.352175974</v>
      </c>
    </row>
    <row r="11"/>
    <row r="12" ht="15" customHeight="1">
      <c r="A12" s="13" t="inlineStr">
        <is>
          <t>Lifetime Tax Burden by State</t>
        </is>
      </c>
      <c r="B12" s="3" t="n"/>
      <c r="C12" s="3" t="n"/>
      <c r="D12" s="3" t="n"/>
      <c r="E12" s="3" t="n"/>
      <c r="F12" s="3" t="n"/>
      <c r="G12" s="3" t="n"/>
      <c r="H12" s="3" t="n"/>
      <c r="I12" s="3" t="n"/>
      <c r="J12" s="4" t="n"/>
    </row>
    <row r="13" ht="45" customHeight="1">
      <c r="A13" s="5" t="inlineStr">
        <is>
          <t>State</t>
        </is>
      </c>
      <c r="B13" s="5" t="inlineStr">
        <is>
          <t>Income Rate</t>
        </is>
      </c>
      <c r="C13" s="5" t="inlineStr">
        <is>
          <t>Income Tax</t>
        </is>
      </c>
      <c r="D13" s="5" t="inlineStr">
        <is>
          <t>Property Tax</t>
        </is>
      </c>
      <c r="E13" s="5" t="inlineStr">
        <is>
          <t>Sales Tax</t>
        </is>
      </c>
      <c r="F13" s="5" t="inlineStr">
        <is>
          <t>Estate Tax</t>
        </is>
      </c>
      <c r="G13" s="5" t="inlineStr">
        <is>
          <t>Total Tax</t>
        </is>
      </c>
      <c r="H13" s="5" t="inlineStr">
        <is>
          <t>Delta vs IL</t>
        </is>
      </c>
      <c r="I13" s="5" t="inlineStr">
        <is>
          <t>Retirement Income Taxed</t>
        </is>
      </c>
    </row>
    <row r="14" ht="30" customHeight="1">
      <c r="A14" s="2" t="inlineStr">
        <is>
          <t>Illinois (Current)</t>
        </is>
      </c>
      <c r="B14" s="2" t="inlineStr">
        <is>
          <t>5.0%</t>
        </is>
      </c>
      <c r="C14" s="105" t="n">
        <v>33929.60147527172</v>
      </c>
      <c r="D14" s="105" t="n">
        <v>1331692.90291592</v>
      </c>
      <c r="E14" s="105" t="n">
        <v>218732.1304958794</v>
      </c>
      <c r="F14" s="105" t="n">
        <v>64452.74414210484</v>
      </c>
      <c r="G14" s="105" t="n">
        <v>1648807.379029176</v>
      </c>
      <c r="H14" s="2" t="inlineStr">
        <is>
          <t>Baseline</t>
        </is>
      </c>
      <c r="I14" s="2" t="inlineStr">
        <is>
          <t>Exempt</t>
        </is>
      </c>
    </row>
    <row r="15" ht="30" customHeight="1">
      <c r="A15" s="12" t="inlineStr">
        <is>
          <t>New York</t>
        </is>
      </c>
      <c r="B15" s="12" t="inlineStr">
        <is>
          <t>6.9%</t>
        </is>
      </c>
      <c r="C15" s="103" t="n">
        <v>189901.0395088766</v>
      </c>
      <c r="D15" s="108" t="n">
        <v>1030988.053870389</v>
      </c>
      <c r="E15" s="108" t="n">
        <v>199983.6621676612</v>
      </c>
      <c r="F15" s="108" t="n">
        <v>0</v>
      </c>
      <c r="G15" s="109" t="n">
        <v>1420872.755546927</v>
      </c>
      <c r="H15" s="109" t="n">
        <v>-227934.6234822483</v>
      </c>
      <c r="I15" s="110" t="n">
        <v>3533386.99978876</v>
      </c>
    </row>
    <row r="16" ht="15" customHeight="1">
      <c r="A16" s="12" t="inlineStr">
        <is>
          <t>Texas</t>
        </is>
      </c>
      <c r="B16" s="12" t="inlineStr">
        <is>
          <t>None</t>
        </is>
      </c>
      <c r="C16" s="103" t="n">
        <v>0</v>
      </c>
      <c r="D16" s="108" t="n">
        <v>1104630.057718274</v>
      </c>
      <c r="E16" s="108" t="n">
        <v>204983.2537218528</v>
      </c>
      <c r="F16" s="108" t="n">
        <v>0</v>
      </c>
      <c r="G16" s="109" t="n">
        <v>1309613.311440127</v>
      </c>
      <c r="H16" s="109" t="n">
        <v>-339194.0675890485</v>
      </c>
      <c r="I16" s="75" t="inlineStr">
        <is>
          <t>Exempt</t>
        </is>
      </c>
    </row>
    <row r="17" ht="30" customHeight="1">
      <c r="A17" s="12" t="inlineStr">
        <is>
          <t>North Carolina</t>
        </is>
      </c>
      <c r="B17" s="12" t="inlineStr">
        <is>
          <t>4.5%</t>
        </is>
      </c>
      <c r="C17" s="103" t="n">
        <v>189847.5072407413</v>
      </c>
      <c r="D17" s="108" t="n">
        <v>521630.8605891851</v>
      </c>
      <c r="E17" s="108" t="n">
        <v>174985.7043967036</v>
      </c>
      <c r="F17" s="108" t="n">
        <v>0</v>
      </c>
      <c r="G17" s="109" t="n">
        <v>886464.0722266301</v>
      </c>
      <c r="H17" s="109" t="n">
        <v>-762343.3068025457</v>
      </c>
      <c r="I17" s="110" t="n">
        <v>3533386.99978876</v>
      </c>
    </row>
    <row r="18" ht="30" customHeight="1">
      <c r="A18" s="12" t="inlineStr">
        <is>
          <t>California</t>
        </is>
      </c>
      <c r="B18" s="12" t="inlineStr">
        <is>
          <t>9.3%</t>
        </is>
      </c>
      <c r="C18" s="103" t="n">
        <v>193488.1147509422</v>
      </c>
      <c r="D18" s="108" t="n">
        <v>447988.8567413002</v>
      </c>
      <c r="E18" s="108" t="n">
        <v>218732.1304958794</v>
      </c>
      <c r="F18" s="108" t="n">
        <v>0</v>
      </c>
      <c r="G18" s="109" t="n">
        <v>860209.1019881218</v>
      </c>
      <c r="H18" s="109" t="n">
        <v>-788598.277041054</v>
      </c>
      <c r="I18" s="110" t="n">
        <v>3533386.99978876</v>
      </c>
    </row>
    <row r="19" ht="30" customHeight="1">
      <c r="A19" s="12" t="inlineStr">
        <is>
          <t>Indiana</t>
        </is>
      </c>
      <c r="B19" s="12" t="inlineStr">
        <is>
          <t>3.0%</t>
        </is>
      </c>
      <c r="C19" s="103" t="n">
        <v>128674.4215742802</v>
      </c>
      <c r="D19" s="108" t="n">
        <v>533904.5278971659</v>
      </c>
      <c r="E19" s="108" t="n">
        <v>174985.7043967036</v>
      </c>
      <c r="F19" s="108" t="n">
        <v>0</v>
      </c>
      <c r="G19" s="109" t="n">
        <v>837564.6538681496</v>
      </c>
      <c r="H19" s="109" t="n">
        <v>-811242.7251610261</v>
      </c>
      <c r="I19" s="110" t="n">
        <v>3533386.99978876</v>
      </c>
    </row>
    <row r="20" ht="30" customHeight="1">
      <c r="A20" s="12" t="inlineStr">
        <is>
          <t>Arizona</t>
        </is>
      </c>
      <c r="B20" s="12" t="inlineStr">
        <is>
          <t>2.5%</t>
        </is>
      </c>
      <c r="C20" s="103" t="n">
        <v>105470.8373559673</v>
      </c>
      <c r="D20" s="108" t="n">
        <v>386620.520201396</v>
      </c>
      <c r="E20" s="108" t="n">
        <v>209982.8452760443</v>
      </c>
      <c r="F20" s="108" t="n">
        <v>0</v>
      </c>
      <c r="G20" s="109" t="n">
        <v>702074.2028334077</v>
      </c>
      <c r="H20" s="109" t="n">
        <v>-946733.1761957681</v>
      </c>
      <c r="I20" s="110" t="n">
        <v>3533386.99978876</v>
      </c>
    </row>
    <row r="21" ht="15" customHeight="1">
      <c r="A21" s="12" t="inlineStr">
        <is>
          <t>Florida</t>
        </is>
      </c>
      <c r="B21" s="12" t="inlineStr">
        <is>
          <t>None</t>
        </is>
      </c>
      <c r="C21" s="103" t="n">
        <v>0</v>
      </c>
      <c r="D21" s="108" t="n">
        <v>509357.1932812044</v>
      </c>
      <c r="E21" s="108" t="n">
        <v>176735.5614406706</v>
      </c>
      <c r="F21" s="108" t="n">
        <v>0</v>
      </c>
      <c r="G21" s="109" t="n">
        <v>686092.754721875</v>
      </c>
      <c r="H21" s="109" t="n">
        <v>-962714.6243073008</v>
      </c>
      <c r="I21" s="75" t="inlineStr">
        <is>
          <t>Exempt</t>
        </is>
      </c>
    </row>
    <row r="22" ht="30" customHeight="1">
      <c r="A22" s="12" t="inlineStr">
        <is>
          <t>Colorado</t>
        </is>
      </c>
      <c r="B22" s="12" t="inlineStr">
        <is>
          <t>4.4%</t>
        </is>
      </c>
      <c r="C22" s="103" t="n">
        <v>153750.1457465025</v>
      </c>
      <c r="D22" s="108" t="n">
        <v>337525.8509694727</v>
      </c>
      <c r="E22" s="108" t="n">
        <v>192484.2748363739</v>
      </c>
      <c r="F22" s="108" t="n">
        <v>0</v>
      </c>
      <c r="G22" s="109" t="n">
        <v>683760.2715523492</v>
      </c>
      <c r="H22" s="109" t="n">
        <v>-965047.1074768265</v>
      </c>
      <c r="I22" s="110" t="n">
        <v>2808874.99978876</v>
      </c>
    </row>
    <row r="23" ht="15" customHeight="1">
      <c r="A23" s="12" t="inlineStr">
        <is>
          <t>Tennessee</t>
        </is>
      </c>
      <c r="B23" s="12" t="inlineStr">
        <is>
          <t>None</t>
        </is>
      </c>
      <c r="C23" s="103" t="n">
        <v>0</v>
      </c>
      <c r="D23" s="108" t="n">
        <v>435715.1894333194</v>
      </c>
      <c r="E23" s="108" t="n">
        <v>238730.4967126456</v>
      </c>
      <c r="F23" s="108" t="n">
        <v>0</v>
      </c>
      <c r="G23" s="109" t="n">
        <v>674445.686145965</v>
      </c>
      <c r="H23" s="109" t="n">
        <v>-974361.6928832107</v>
      </c>
      <c r="I23" s="75" t="inlineStr">
        <is>
          <t>Exempt</t>
        </is>
      </c>
    </row>
    <row r="24" ht="15" customHeight="1">
      <c r="A24" s="12" t="inlineStr">
        <is>
          <t>Nevada</t>
        </is>
      </c>
      <c r="B24" s="12" t="inlineStr">
        <is>
          <t>None</t>
        </is>
      </c>
      <c r="C24" s="103" t="n">
        <v>0</v>
      </c>
      <c r="D24" s="108" t="n">
        <v>337525.8509694727</v>
      </c>
      <c r="E24" s="108" t="n">
        <v>205733.1924549815</v>
      </c>
      <c r="F24" s="108" t="n">
        <v>0</v>
      </c>
      <c r="G24" s="109" t="n">
        <v>543259.0434244542</v>
      </c>
      <c r="H24" s="109" t="n">
        <v>-1105548.335604722</v>
      </c>
      <c r="I24" s="75" t="inlineStr">
        <is>
          <t>Exempt</t>
        </is>
      </c>
    </row>
    <row r="25"/>
    <row r="26"/>
    <row r="27" ht="30" customHeight="1">
      <c r="A27" s="2" t="inlineStr">
        <is>
          <t>Illinois exempts $2,766,098 of retirement income (43% of AGI) from state tax. Moving to a state that taxes retirement income (e.g. North Carolina) would add ~$124,474 in lifetime state income tax.</t>
        </is>
      </c>
      <c r="B27" s="3" t="n"/>
      <c r="C27" s="3" t="n"/>
      <c r="D27" s="3" t="n"/>
      <c r="E27" s="3" t="n"/>
      <c r="F27" s="3" t="n"/>
      <c r="G27" s="3" t="n"/>
      <c r="H27" s="3" t="n"/>
      <c r="I27" s="3" t="n"/>
      <c r="J27" s="4" t="n"/>
    </row>
    <row r="28" ht="30" customHeight="1">
      <c r="A28" s="107" t="inlineStr">
        <is>
          <t>Qualified retirement income includes IRA/401k RMDs, pension, qualified annuity distributions, and Roth conversions. Non-qualified (Personal market) annuity income is taxable even in Illinois.</t>
        </is>
      </c>
      <c r="B28" s="3" t="n"/>
      <c r="C28" s="3" t="n"/>
      <c r="D28" s="3" t="n"/>
      <c r="E28" s="3" t="n"/>
      <c r="F28" s="3" t="n"/>
      <c r="G28" s="3" t="n"/>
      <c r="H28" s="3" t="n"/>
      <c r="I28" s="3" t="n"/>
      <c r="J28" s="4" t="n"/>
    </row>
  </sheetData>
  <mergeCells count="5">
    <mergeCell ref="A1:J1"/>
    <mergeCell ref="A27:J27"/>
    <mergeCell ref="A12:J12"/>
    <mergeCell ref="A3:C3"/>
    <mergeCell ref="A28:J28"/>
  </mergeCells>
  <pageMargins left="0.75" right="0.75" top="1" bottom="1" header="0.5" footer="0.5"/>
</worksheet>
</file>

<file path=xl/worksheets/sheet14.xml><?xml version="1.0" encoding="utf-8"?>
<worksheet xmlns="http://schemas.openxmlformats.org/spreadsheetml/2006/main">
  <sheetPr>
    <tabColor rgb="007030A0"/>
    <outlinePr summaryBelow="1" summaryRight="1"/>
    <pageSetUpPr/>
  </sheetPr>
  <dimension ref="A1:J108"/>
  <sheetViews>
    <sheetView showGridLines="0" workbookViewId="0">
      <selection activeCell="A1" sqref="A1"/>
    </sheetView>
  </sheetViews>
  <sheetFormatPr baseColWidth="8" defaultRowHeight="15"/>
  <cols>
    <col width="10" customWidth="1" min="1" max="1"/>
    <col width="10" customWidth="1" min="2" max="2"/>
    <col width="12" customWidth="1" min="3" max="3"/>
    <col width="9.4" customWidth="1" min="4" max="4"/>
    <col width="9.4" customWidth="1" min="5" max="5"/>
    <col width="9.4" customWidth="1" min="6" max="6"/>
    <col width="9.4" customWidth="1" min="7" max="7"/>
    <col width="9.4" customWidth="1" min="8" max="8"/>
    <col width="9.4" customWidth="1" min="9" max="9"/>
    <col width="9.4" customWidth="1" min="10" max="10"/>
  </cols>
  <sheetData>
    <row r="1" ht="18" customHeight="1">
      <c r="A1" s="9" t="inlineStr">
        <is>
          <t>SOCIAL SECURITY CLAIMING STRATEGY</t>
        </is>
      </c>
    </row>
    <row r="2"/>
    <row r="3" ht="15" customHeight="1">
      <c r="A3" s="13" t="inlineStr">
        <is>
          <t>Recommended spouse-pair claim ages from full projection sweep</t>
        </is>
      </c>
      <c r="B3" s="3" t="n"/>
      <c r="C3" s="3" t="n"/>
      <c r="D3" s="3" t="n"/>
      <c r="E3" s="3" t="n"/>
      <c r="F3" s="3" t="n"/>
      <c r="G3" s="3" t="n"/>
      <c r="H3" s="3" t="n"/>
      <c r="I3" s="3" t="n"/>
      <c r="J3" s="4" t="n"/>
    </row>
    <row r="4" ht="45" customHeight="1">
      <c r="A4" s="11" t="inlineStr">
        <is>
          <t>Recommended Husband Claim Age</t>
        </is>
      </c>
      <c r="B4" s="12" t="n">
        <v>62</v>
      </c>
      <c r="C4" s="12" t="inlineStr">
        <is>
          <t>Highest score from the 62–70 × 62–70 projection sweep.</t>
        </is>
      </c>
      <c r="D4" s="3" t="n"/>
      <c r="E4" s="3" t="n"/>
      <c r="F4" s="3" t="n"/>
      <c r="G4" s="3" t="n"/>
      <c r="H4" s="3" t="n"/>
      <c r="I4" s="3" t="n"/>
      <c r="J4" s="4" t="n"/>
    </row>
    <row r="5" ht="45" customHeight="1">
      <c r="A5" s="11" t="inlineStr">
        <is>
          <t>Recommended Wife Claim Age</t>
        </is>
      </c>
      <c r="B5" s="12" t="n">
        <v>62</v>
      </c>
      <c r="C5" s="12" t="inlineStr">
        <is>
          <t>Projection uses the same tax, IRMAA, withdrawal, ACA, survivor, and estate machinery as the base plan.</t>
        </is>
      </c>
      <c r="D5" s="3" t="n"/>
      <c r="E5" s="3" t="n"/>
      <c r="F5" s="3" t="n"/>
      <c r="G5" s="3" t="n"/>
      <c r="H5" s="3" t="n"/>
      <c r="I5" s="3" t="n"/>
      <c r="J5" s="4" t="n"/>
    </row>
    <row r="6" ht="45" customHeight="1">
      <c r="A6" s="11" t="inlineStr">
        <is>
          <t>Current Configured Claim Ages</t>
        </is>
      </c>
      <c r="B6" s="12" t="inlineStr">
        <is>
          <t>H 70 / W 70</t>
        </is>
      </c>
      <c r="C6" s="12" t="inlineStr">
        <is>
          <t>Current row shown below for comparison.</t>
        </is>
      </c>
      <c r="D6" s="3" t="n"/>
      <c r="E6" s="3" t="n"/>
      <c r="F6" s="3" t="n"/>
      <c r="G6" s="3" t="n"/>
      <c r="H6" s="3" t="n"/>
      <c r="I6" s="3" t="n"/>
      <c r="J6" s="4" t="n"/>
    </row>
    <row r="7" ht="45" customHeight="1">
      <c r="A7" s="11" t="inlineStr">
        <is>
          <t>Best vs Current Terminal NW</t>
        </is>
      </c>
      <c r="B7" s="103" t="n">
        <v>3688689.736585461</v>
      </c>
      <c r="C7" s="12" t="inlineStr">
        <is>
          <t>Positive means the sweep’s selected pair improves terminal net worth versus current config.</t>
        </is>
      </c>
      <c r="D7" s="3" t="n"/>
      <c r="E7" s="3" t="n"/>
      <c r="F7" s="3" t="n"/>
      <c r="G7" s="3" t="n"/>
      <c r="H7" s="3" t="n"/>
      <c r="I7" s="3" t="n"/>
      <c r="J7" s="4" t="n"/>
    </row>
    <row r="8" ht="45" customHeight="1">
      <c r="A8" s="11" t="inlineStr">
        <is>
          <t>Best vs Current Lifetime Tax</t>
        </is>
      </c>
      <c r="B8" s="103" t="n">
        <v>803358.3889286184</v>
      </c>
      <c r="C8" s="12" t="inlineStr">
        <is>
          <t>Negative means lower lifetime tax versus current config.</t>
        </is>
      </c>
      <c r="D8" s="3" t="n"/>
      <c r="E8" s="3" t="n"/>
      <c r="F8" s="3" t="n"/>
      <c r="G8" s="3" t="n"/>
      <c r="H8" s="3" t="n"/>
      <c r="I8" s="3" t="n"/>
      <c r="J8" s="4" t="n"/>
    </row>
    <row r="9"/>
    <row r="10" ht="15" customHeight="1">
      <c r="A10" s="13" t="inlineStr">
        <is>
          <t>Top 10 claiming pairs — full projection ranking</t>
        </is>
      </c>
      <c r="B10" s="3" t="n"/>
      <c r="C10" s="3" t="n"/>
      <c r="D10" s="3" t="n"/>
      <c r="E10" s="3" t="n"/>
      <c r="F10" s="3" t="n"/>
      <c r="G10" s="3" t="n"/>
      <c r="H10" s="3" t="n"/>
      <c r="I10" s="3" t="n"/>
      <c r="J10" s="4" t="n"/>
    </row>
    <row r="11" ht="30" customHeight="1">
      <c r="A11" s="5" t="inlineStr">
        <is>
          <t>Rank</t>
        </is>
      </c>
      <c r="B11" s="5" t="inlineStr">
        <is>
          <t>H Claim</t>
        </is>
      </c>
      <c r="C11" s="5" t="inlineStr">
        <is>
          <t>W Claim</t>
        </is>
      </c>
      <c r="D11" s="5" t="inlineStr">
        <is>
          <t>Score</t>
        </is>
      </c>
      <c r="E11" s="5" t="inlineStr">
        <is>
          <t>Terminal NW</t>
        </is>
      </c>
      <c r="F11" s="5" t="inlineStr">
        <is>
          <t>Δ Terminal NW</t>
        </is>
      </c>
      <c r="G11" s="5" t="inlineStr">
        <is>
          <t>Lifetime SS</t>
        </is>
      </c>
      <c r="H11" s="5" t="inlineStr">
        <is>
          <t>Δ Lifetime SS</t>
        </is>
      </c>
      <c r="I11" s="5" t="inlineStr">
        <is>
          <t>Lifetime Tax</t>
        </is>
      </c>
      <c r="J11" s="5" t="inlineStr">
        <is>
          <t>IRMAA</t>
        </is>
      </c>
    </row>
    <row r="12" ht="30" customHeight="1">
      <c r="A12" s="75" t="n">
        <v>1</v>
      </c>
      <c r="B12" s="75" t="n">
        <v>62</v>
      </c>
      <c r="C12" s="75" t="n">
        <v>62</v>
      </c>
      <c r="D12" s="111" t="n">
        <v>10748019.78880155</v>
      </c>
      <c r="E12" s="111" t="n">
        <v>8527250.344766133</v>
      </c>
      <c r="F12" s="111" t="n">
        <v>3721591.042989822</v>
      </c>
      <c r="G12" s="111" t="n">
        <v>3861406.753164189</v>
      </c>
      <c r="H12" s="111" t="n">
        <v>1143284.257048528</v>
      </c>
      <c r="I12" s="111" t="n">
        <v>1566282.909128773</v>
      </c>
      <c r="J12" s="111" t="n">
        <v>74354.39999999999</v>
      </c>
    </row>
    <row r="13" ht="15" customHeight="1">
      <c r="A13" s="12" t="n">
        <v>2</v>
      </c>
      <c r="B13" s="12" t="n">
        <v>62</v>
      </c>
      <c r="C13" s="12" t="n">
        <v>63</v>
      </c>
      <c r="D13" s="108" t="n">
        <v>10662291.70627891</v>
      </c>
      <c r="E13" s="108" t="n">
        <v>8444484.398244102</v>
      </c>
      <c r="F13" s="108" t="n">
        <v>3638825.096467791</v>
      </c>
      <c r="G13" s="108" t="n">
        <v>3828424.589535601</v>
      </c>
      <c r="H13" s="108" t="n">
        <v>1110302.09341994</v>
      </c>
      <c r="I13" s="108" t="n">
        <v>1540597.281500793</v>
      </c>
      <c r="J13" s="108" t="n">
        <v>70020</v>
      </c>
    </row>
    <row r="14" ht="15" customHeight="1">
      <c r="A14" s="12" t="n">
        <v>3</v>
      </c>
      <c r="B14" s="12" t="n">
        <v>63</v>
      </c>
      <c r="C14" s="12" t="n">
        <v>62</v>
      </c>
      <c r="D14" s="108" t="n">
        <v>10643062.3067045</v>
      </c>
      <c r="E14" s="108" t="n">
        <v>8425846.849739466</v>
      </c>
      <c r="F14" s="108" t="n">
        <v>3620187.547963155</v>
      </c>
      <c r="G14" s="108" t="n">
        <v>3818675.058887597</v>
      </c>
      <c r="H14" s="108" t="n">
        <v>1100552.562771935</v>
      </c>
      <c r="I14" s="108" t="n">
        <v>1533606.801922565</v>
      </c>
      <c r="J14" s="108" t="n">
        <v>67852.8</v>
      </c>
    </row>
    <row r="15" ht="15" customHeight="1">
      <c r="A15" s="12" t="n">
        <v>4</v>
      </c>
      <c r="B15" s="12" t="n">
        <v>62</v>
      </c>
      <c r="C15" s="12" t="n">
        <v>64</v>
      </c>
      <c r="D15" s="108" t="n">
        <v>10583138.03229918</v>
      </c>
      <c r="E15" s="108" t="n">
        <v>8364514.91580768</v>
      </c>
      <c r="F15" s="108" t="n">
        <v>3558855.61403137</v>
      </c>
      <c r="G15" s="108" t="n">
        <v>3796089.134997769</v>
      </c>
      <c r="H15" s="108" t="n">
        <v>1077966.638882108</v>
      </c>
      <c r="I15" s="108" t="n">
        <v>1513947.618506266</v>
      </c>
      <c r="J15" s="108" t="n">
        <v>63518.4</v>
      </c>
    </row>
    <row r="16" ht="15" customHeight="1">
      <c r="A16" s="12" t="n">
        <v>5</v>
      </c>
      <c r="B16" s="12" t="n">
        <v>63</v>
      </c>
      <c r="C16" s="12" t="n">
        <v>63</v>
      </c>
      <c r="D16" s="108" t="n">
        <v>10563555.1834182</v>
      </c>
      <c r="E16" s="108" t="n">
        <v>8345404.093230836</v>
      </c>
      <c r="F16" s="108" t="n">
        <v>3539744.791454526</v>
      </c>
      <c r="G16" s="108" t="n">
        <v>3785692.895259009</v>
      </c>
      <c r="H16" s="108" t="n">
        <v>1067570.399143348</v>
      </c>
      <c r="I16" s="108" t="n">
        <v>1506190.605071649</v>
      </c>
      <c r="J16" s="108" t="n">
        <v>61351.2</v>
      </c>
    </row>
    <row r="17" ht="15" customHeight="1">
      <c r="A17" s="12" t="n">
        <v>6</v>
      </c>
      <c r="B17" s="12" t="n">
        <v>64</v>
      </c>
      <c r="C17" s="12" t="n">
        <v>62</v>
      </c>
      <c r="D17" s="108" t="n">
        <v>10539112.59897344</v>
      </c>
      <c r="E17" s="108" t="n">
        <v>8325969.185933911</v>
      </c>
      <c r="F17" s="108" t="n">
        <v>3520309.884157601</v>
      </c>
      <c r="G17" s="108" t="n">
        <v>3776781.240969369</v>
      </c>
      <c r="H17" s="108" t="n">
        <v>1058658.744853708</v>
      </c>
      <c r="I17" s="108" t="n">
        <v>1502286.627929841</v>
      </c>
      <c r="J17" s="108" t="n">
        <v>61351.2</v>
      </c>
    </row>
    <row r="18" ht="15" customHeight="1">
      <c r="A18" s="12" t="n">
        <v>7</v>
      </c>
      <c r="B18" s="12" t="n">
        <v>62</v>
      </c>
      <c r="C18" s="12" t="n">
        <v>65</v>
      </c>
      <c r="D18" s="108" t="n">
        <v>10497031.47094905</v>
      </c>
      <c r="E18" s="108" t="n">
        <v>8282425.242658058</v>
      </c>
      <c r="F18" s="108" t="n">
        <v>3476765.940881748</v>
      </c>
      <c r="G18" s="108" t="n">
        <v>3764387.708980287</v>
      </c>
      <c r="H18" s="108" t="n">
        <v>1046265.212864626</v>
      </c>
      <c r="I18" s="108" t="n">
        <v>1489744.280689295</v>
      </c>
      <c r="J18" s="108" t="n">
        <v>60037.2</v>
      </c>
    </row>
    <row r="19" ht="15" customHeight="1">
      <c r="A19" s="12" t="n">
        <v>8</v>
      </c>
      <c r="B19" s="12" t="n">
        <v>63</v>
      </c>
      <c r="C19" s="12" t="n">
        <v>64</v>
      </c>
      <c r="D19" s="108" t="n">
        <v>10470568.88594183</v>
      </c>
      <c r="E19" s="108" t="n">
        <v>8258529.417643082</v>
      </c>
      <c r="F19" s="108" t="n">
        <v>3452870.115866772</v>
      </c>
      <c r="G19" s="108" t="n">
        <v>3753357.440721177</v>
      </c>
      <c r="H19" s="108" t="n">
        <v>1035234.944605516</v>
      </c>
      <c r="I19" s="108" t="n">
        <v>1482594.772422434</v>
      </c>
      <c r="J19" s="108" t="n">
        <v>58723.2</v>
      </c>
    </row>
    <row r="20" ht="15" customHeight="1">
      <c r="A20" s="12" t="n">
        <v>9</v>
      </c>
      <c r="B20" s="12" t="n">
        <v>64</v>
      </c>
      <c r="C20" s="12" t="n">
        <v>63</v>
      </c>
      <c r="D20" s="108" t="n">
        <v>10444216.29891021</v>
      </c>
      <c r="E20" s="108" t="n">
        <v>8236823.615282003</v>
      </c>
      <c r="F20" s="108" t="n">
        <v>3431164.313505692</v>
      </c>
      <c r="G20" s="108" t="n">
        <v>3743799.077340781</v>
      </c>
      <c r="H20" s="108" t="n">
        <v>1025676.58122512</v>
      </c>
      <c r="I20" s="108" t="n">
        <v>1477683.193712579</v>
      </c>
      <c r="J20" s="108" t="n">
        <v>58723.2</v>
      </c>
    </row>
    <row r="21" ht="15" customHeight="1">
      <c r="A21" s="12" t="n">
        <v>10</v>
      </c>
      <c r="B21" s="12" t="n">
        <v>63</v>
      </c>
      <c r="C21" s="12" t="n">
        <v>65</v>
      </c>
      <c r="D21" s="108" t="n">
        <v>10386900.68156426</v>
      </c>
      <c r="E21" s="108" t="n">
        <v>8182251.949612823</v>
      </c>
      <c r="F21" s="108" t="n">
        <v>3376592.647836513</v>
      </c>
      <c r="G21" s="108" t="n">
        <v>3721656.014703695</v>
      </c>
      <c r="H21" s="108" t="n">
        <v>1003533.518588034</v>
      </c>
      <c r="I21" s="108" t="n">
        <v>1460912.082752259</v>
      </c>
      <c r="J21" s="108" t="n">
        <v>56095.2</v>
      </c>
    </row>
    <row r="22"/>
    <row r="23"/>
    <row r="24" ht="15" customHeight="1">
      <c r="A24" s="13" t="inlineStr">
        <is>
          <t>Complete 62–70 × 62–70 spouse-pair sweep</t>
        </is>
      </c>
      <c r="B24" s="3" t="n"/>
      <c r="C24" s="3" t="n"/>
      <c r="D24" s="3" t="n"/>
      <c r="E24" s="3" t="n"/>
      <c r="F24" s="3" t="n"/>
      <c r="G24" s="3" t="n"/>
      <c r="H24" s="3" t="n"/>
      <c r="I24" s="3" t="n"/>
      <c r="J24" s="4" t="n"/>
    </row>
    <row r="25" ht="30" customHeight="1">
      <c r="A25" s="5" t="inlineStr">
        <is>
          <t>H Claim</t>
        </is>
      </c>
      <c r="B25" s="5" t="inlineStr">
        <is>
          <t>W Claim</t>
        </is>
      </c>
      <c r="C25" s="5" t="inlineStr">
        <is>
          <t>Score</t>
        </is>
      </c>
      <c r="D25" s="5" t="inlineStr">
        <is>
          <t>Terminal NW</t>
        </is>
      </c>
      <c r="E25" s="5" t="inlineStr">
        <is>
          <t>Δ Terminal NW</t>
        </is>
      </c>
      <c r="F25" s="5" t="inlineStr">
        <is>
          <t>Lifetime SS</t>
        </is>
      </c>
      <c r="G25" s="5" t="inlineStr">
        <is>
          <t>Δ Lifetime SS</t>
        </is>
      </c>
      <c r="H25" s="5" t="inlineStr">
        <is>
          <t>Lifetime Tax</t>
        </is>
      </c>
      <c r="I25" s="5" t="inlineStr">
        <is>
          <t>IRMAA</t>
        </is>
      </c>
      <c r="J25" s="5" t="inlineStr">
        <is>
          <t>Survivor Years</t>
        </is>
      </c>
    </row>
    <row r="26" ht="30" customHeight="1">
      <c r="A26" s="75" t="n">
        <v>62</v>
      </c>
      <c r="B26" s="75" t="n">
        <v>62</v>
      </c>
      <c r="C26" s="111" t="n">
        <v>10748019.78880155</v>
      </c>
      <c r="D26" s="111" t="n">
        <v>8527250.344766133</v>
      </c>
      <c r="E26" s="111" t="n">
        <v>3721591.042989822</v>
      </c>
      <c r="F26" s="111" t="n">
        <v>3861406.753164189</v>
      </c>
      <c r="G26" s="111" t="n">
        <v>1143284.257048528</v>
      </c>
      <c r="H26" s="111" t="n">
        <v>1566282.909128773</v>
      </c>
      <c r="I26" s="111" t="n">
        <v>74354.39999999999</v>
      </c>
      <c r="J26" s="75" t="n">
        <v>2</v>
      </c>
    </row>
    <row r="27" ht="30" customHeight="1">
      <c r="A27" s="12" t="n">
        <v>62</v>
      </c>
      <c r="B27" s="12" t="n">
        <v>63</v>
      </c>
      <c r="C27" s="103" t="n">
        <v>10662291.70627891</v>
      </c>
      <c r="D27" s="108" t="n">
        <v>8444484.398244102</v>
      </c>
      <c r="E27" s="108" t="n">
        <v>3638825.096467791</v>
      </c>
      <c r="F27" s="108" t="n">
        <v>3828424.589535601</v>
      </c>
      <c r="G27" s="108" t="n">
        <v>1110302.09341994</v>
      </c>
      <c r="H27" s="108" t="n">
        <v>1540597.281500793</v>
      </c>
      <c r="I27" s="108" t="n">
        <v>70020</v>
      </c>
      <c r="J27" s="33" t="n">
        <v>2</v>
      </c>
    </row>
    <row r="28" ht="30" customHeight="1">
      <c r="A28" s="12" t="n">
        <v>62</v>
      </c>
      <c r="B28" s="12" t="n">
        <v>64</v>
      </c>
      <c r="C28" s="103" t="n">
        <v>10583138.03229918</v>
      </c>
      <c r="D28" s="108" t="n">
        <v>8364514.91580768</v>
      </c>
      <c r="E28" s="108" t="n">
        <v>3558855.61403137</v>
      </c>
      <c r="F28" s="108" t="n">
        <v>3796089.134997769</v>
      </c>
      <c r="G28" s="108" t="n">
        <v>1077966.638882108</v>
      </c>
      <c r="H28" s="108" t="n">
        <v>1513947.618506266</v>
      </c>
      <c r="I28" s="108" t="n">
        <v>63518.4</v>
      </c>
      <c r="J28" s="33" t="n">
        <v>2</v>
      </c>
    </row>
    <row r="29" ht="30" customHeight="1">
      <c r="A29" s="12" t="n">
        <v>62</v>
      </c>
      <c r="B29" s="12" t="n">
        <v>65</v>
      </c>
      <c r="C29" s="103" t="n">
        <v>10497031.47094905</v>
      </c>
      <c r="D29" s="108" t="n">
        <v>8282425.242658058</v>
      </c>
      <c r="E29" s="108" t="n">
        <v>3476765.940881748</v>
      </c>
      <c r="F29" s="108" t="n">
        <v>3764387.708980287</v>
      </c>
      <c r="G29" s="108" t="n">
        <v>1046265.212864626</v>
      </c>
      <c r="H29" s="108" t="n">
        <v>1489744.280689295</v>
      </c>
      <c r="I29" s="108" t="n">
        <v>60037.2</v>
      </c>
      <c r="J29" s="33" t="n">
        <v>2</v>
      </c>
    </row>
    <row r="30" ht="30" customHeight="1">
      <c r="A30" s="12" t="n">
        <v>62</v>
      </c>
      <c r="B30" s="12" t="n">
        <v>66</v>
      </c>
      <c r="C30" s="103" t="n">
        <v>10189768.51604554</v>
      </c>
      <c r="D30" s="108" t="n">
        <v>7987504.560811698</v>
      </c>
      <c r="E30" s="108" t="n">
        <v>3181845.259035388</v>
      </c>
      <c r="F30" s="108" t="n">
        <v>3684201.997198442</v>
      </c>
      <c r="G30" s="108" t="n">
        <v>966079.5010827812</v>
      </c>
      <c r="H30" s="108" t="n">
        <v>1427156.841964604</v>
      </c>
      <c r="I30" s="108" t="n">
        <v>54781.2</v>
      </c>
      <c r="J30" s="33" t="n">
        <v>3</v>
      </c>
    </row>
    <row r="31" ht="30" customHeight="1">
      <c r="A31" s="12" t="n">
        <v>62</v>
      </c>
      <c r="B31" s="12" t="n">
        <v>67</v>
      </c>
      <c r="C31" s="103" t="n">
        <v>9858866.533108953</v>
      </c>
      <c r="D31" s="108" t="n">
        <v>7643356.076847821</v>
      </c>
      <c r="E31" s="108" t="n">
        <v>2837696.77507151</v>
      </c>
      <c r="F31" s="108" t="n">
        <v>3605588.554275065</v>
      </c>
      <c r="G31" s="108" t="n">
        <v>887466.058159404</v>
      </c>
      <c r="H31" s="108" t="n">
        <v>1337464.098013932</v>
      </c>
      <c r="I31" s="108" t="n">
        <v>52614</v>
      </c>
      <c r="J31" s="33" t="n">
        <v>4</v>
      </c>
    </row>
    <row r="32" ht="30" customHeight="1">
      <c r="A32" s="12" t="n">
        <v>62</v>
      </c>
      <c r="B32" s="12" t="n">
        <v>68</v>
      </c>
      <c r="C32" s="103" t="n">
        <v>9565994.074706485</v>
      </c>
      <c r="D32" s="108" t="n">
        <v>7334466.175258534</v>
      </c>
      <c r="E32" s="108" t="n">
        <v>2528806.873482224</v>
      </c>
      <c r="F32" s="108" t="n">
        <v>3528516.551409009</v>
      </c>
      <c r="G32" s="108" t="n">
        <v>810394.0552933477</v>
      </c>
      <c r="H32" s="108" t="n">
        <v>1251301.051961058</v>
      </c>
      <c r="I32" s="108" t="n">
        <v>45687.6</v>
      </c>
      <c r="J32" s="33" t="n">
        <v>5</v>
      </c>
    </row>
    <row r="33" ht="30" customHeight="1">
      <c r="A33" s="12" t="n">
        <v>62</v>
      </c>
      <c r="B33" s="12" t="n">
        <v>69</v>
      </c>
      <c r="C33" s="103" t="n">
        <v>9367589.116186643</v>
      </c>
      <c r="D33" s="108" t="n">
        <v>7114591.885387455</v>
      </c>
      <c r="E33" s="108" t="n">
        <v>2308932.583611145</v>
      </c>
      <c r="F33" s="108" t="n">
        <v>3452955.764285424</v>
      </c>
      <c r="G33" s="108" t="n">
        <v>734833.268169763</v>
      </c>
      <c r="H33" s="108" t="n">
        <v>1162939.733486235</v>
      </c>
      <c r="I33" s="108" t="n">
        <v>37018.8</v>
      </c>
      <c r="J33" s="33" t="n">
        <v>6</v>
      </c>
    </row>
    <row r="34" ht="30" customHeight="1">
      <c r="A34" s="12" t="n">
        <v>62</v>
      </c>
      <c r="B34" s="12" t="n">
        <v>70</v>
      </c>
      <c r="C34" s="103" t="n">
        <v>9186419.668988239</v>
      </c>
      <c r="D34" s="108" t="n">
        <v>6914251.01890658</v>
      </c>
      <c r="E34" s="108" t="n">
        <v>2108591.71713027</v>
      </c>
      <c r="F34" s="108" t="n">
        <v>3378876.561223086</v>
      </c>
      <c r="G34" s="108" t="n">
        <v>660754.0651074252</v>
      </c>
      <c r="H34" s="108" t="n">
        <v>1078390.311141427</v>
      </c>
      <c r="I34" s="108" t="n">
        <v>28317.6</v>
      </c>
      <c r="J34" s="33" t="n">
        <v>7</v>
      </c>
    </row>
    <row r="35" ht="30" customHeight="1">
      <c r="A35" s="12" t="n">
        <v>63</v>
      </c>
      <c r="B35" s="12" t="n">
        <v>62</v>
      </c>
      <c r="C35" s="103" t="n">
        <v>10643062.3067045</v>
      </c>
      <c r="D35" s="108" t="n">
        <v>8425846.849739466</v>
      </c>
      <c r="E35" s="108" t="n">
        <v>3620187.547963155</v>
      </c>
      <c r="F35" s="108" t="n">
        <v>3818675.058887597</v>
      </c>
      <c r="G35" s="108" t="n">
        <v>1100552.562771935</v>
      </c>
      <c r="H35" s="108" t="n">
        <v>1533606.801922565</v>
      </c>
      <c r="I35" s="108" t="n">
        <v>67852.8</v>
      </c>
      <c r="J35" s="33" t="n">
        <v>2</v>
      </c>
    </row>
    <row r="36" ht="30" customHeight="1">
      <c r="A36" s="12" t="n">
        <v>63</v>
      </c>
      <c r="B36" s="12" t="n">
        <v>63</v>
      </c>
      <c r="C36" s="103" t="n">
        <v>10563555.1834182</v>
      </c>
      <c r="D36" s="108" t="n">
        <v>8345404.093230836</v>
      </c>
      <c r="E36" s="108" t="n">
        <v>3539744.791454526</v>
      </c>
      <c r="F36" s="108" t="n">
        <v>3785692.895259009</v>
      </c>
      <c r="G36" s="108" t="n">
        <v>1067570.399143348</v>
      </c>
      <c r="H36" s="108" t="n">
        <v>1506190.605071649</v>
      </c>
      <c r="I36" s="108" t="n">
        <v>61351.2</v>
      </c>
      <c r="J36" s="33" t="n">
        <v>2</v>
      </c>
    </row>
    <row r="37" ht="30" customHeight="1">
      <c r="A37" s="12" t="n">
        <v>63</v>
      </c>
      <c r="B37" s="12" t="n">
        <v>64</v>
      </c>
      <c r="C37" s="103" t="n">
        <v>10470568.88594183</v>
      </c>
      <c r="D37" s="108" t="n">
        <v>8258529.417643082</v>
      </c>
      <c r="E37" s="108" t="n">
        <v>3452870.115866772</v>
      </c>
      <c r="F37" s="108" t="n">
        <v>3753357.440721177</v>
      </c>
      <c r="G37" s="108" t="n">
        <v>1035234.944605516</v>
      </c>
      <c r="H37" s="108" t="n">
        <v>1482594.772422434</v>
      </c>
      <c r="I37" s="108" t="n">
        <v>58723.2</v>
      </c>
      <c r="J37" s="33" t="n">
        <v>2</v>
      </c>
    </row>
    <row r="38" ht="30" customHeight="1">
      <c r="A38" s="12" t="n">
        <v>63</v>
      </c>
      <c r="B38" s="12" t="n">
        <v>65</v>
      </c>
      <c r="C38" s="103" t="n">
        <v>10386900.68156426</v>
      </c>
      <c r="D38" s="108" t="n">
        <v>8182251.949612823</v>
      </c>
      <c r="E38" s="108" t="n">
        <v>3376592.647836513</v>
      </c>
      <c r="F38" s="108" t="n">
        <v>3721656.014703695</v>
      </c>
      <c r="G38" s="108" t="n">
        <v>1003533.518588034</v>
      </c>
      <c r="H38" s="108" t="n">
        <v>1460912.082752259</v>
      </c>
      <c r="I38" s="108" t="n">
        <v>56095.2</v>
      </c>
      <c r="J38" s="33" t="n">
        <v>2</v>
      </c>
    </row>
    <row r="39" ht="30" customHeight="1">
      <c r="A39" s="12" t="n">
        <v>63</v>
      </c>
      <c r="B39" s="12" t="n">
        <v>66</v>
      </c>
      <c r="C39" s="103" t="n">
        <v>10058731.86878069</v>
      </c>
      <c r="D39" s="108" t="n">
        <v>7872414.849431172</v>
      </c>
      <c r="E39" s="108" t="n">
        <v>3066755.547654862</v>
      </c>
      <c r="F39" s="108" t="n">
        <v>3641470.30292185</v>
      </c>
      <c r="G39" s="108" t="n">
        <v>923347.806806189</v>
      </c>
      <c r="H39" s="108" t="n">
        <v>1400372.083572336</v>
      </c>
      <c r="I39" s="108" t="n">
        <v>54781.2</v>
      </c>
      <c r="J39" s="33" t="n">
        <v>3</v>
      </c>
    </row>
    <row r="40" ht="30" customHeight="1">
      <c r="A40" s="12" t="n">
        <v>63</v>
      </c>
      <c r="B40" s="12" t="n">
        <v>67</v>
      </c>
      <c r="C40" s="103" t="n">
        <v>9729295.031186709</v>
      </c>
      <c r="D40" s="108" t="n">
        <v>7527782.692668241</v>
      </c>
      <c r="E40" s="108" t="n">
        <v>2722123.39089193</v>
      </c>
      <c r="F40" s="108" t="n">
        <v>3562856.859998473</v>
      </c>
      <c r="G40" s="108" t="n">
        <v>844734.3638828117</v>
      </c>
      <c r="H40" s="108" t="n">
        <v>1310026.521480004</v>
      </c>
      <c r="I40" s="108" t="n">
        <v>51318</v>
      </c>
      <c r="J40" s="33" t="n">
        <v>4</v>
      </c>
    </row>
    <row r="41" ht="30" customHeight="1">
      <c r="A41" s="12" t="n">
        <v>63</v>
      </c>
      <c r="B41" s="12" t="n">
        <v>68</v>
      </c>
      <c r="C41" s="103" t="n">
        <v>9477016.0961741</v>
      </c>
      <c r="D41" s="108" t="n">
        <v>7254822.797360571</v>
      </c>
      <c r="E41" s="108" t="n">
        <v>2449163.495584261</v>
      </c>
      <c r="F41" s="108" t="n">
        <v>3485784.857132417</v>
      </c>
      <c r="G41" s="108" t="n">
        <v>767662.3610167555</v>
      </c>
      <c r="H41" s="108" t="n">
        <v>1222238.358318887</v>
      </c>
      <c r="I41" s="108" t="n">
        <v>41353.2</v>
      </c>
      <c r="J41" s="33" t="n">
        <v>5</v>
      </c>
    </row>
    <row r="42" ht="30" customHeight="1">
      <c r="A42" s="12" t="n">
        <v>63</v>
      </c>
      <c r="B42" s="12" t="n">
        <v>69</v>
      </c>
      <c r="C42" s="103" t="n">
        <v>9294545.806941051</v>
      </c>
      <c r="D42" s="108" t="n">
        <v>7049136.841072496</v>
      </c>
      <c r="E42" s="108" t="n">
        <v>2243477.539296186</v>
      </c>
      <c r="F42" s="108" t="n">
        <v>3410224.070008832</v>
      </c>
      <c r="G42" s="108" t="n">
        <v>692101.5738931708</v>
      </c>
      <c r="H42" s="108" t="n">
        <v>1131605.104140278</v>
      </c>
      <c r="I42" s="108" t="n">
        <v>33210</v>
      </c>
      <c r="J42" s="33" t="n">
        <v>6</v>
      </c>
    </row>
    <row r="43" ht="30" customHeight="1">
      <c r="A43" s="12" t="n">
        <v>63</v>
      </c>
      <c r="B43" s="12" t="n">
        <v>70</v>
      </c>
      <c r="C43" s="103" t="n">
        <v>9097559.264372887</v>
      </c>
      <c r="D43" s="108" t="n">
        <v>6840711.779171026</v>
      </c>
      <c r="E43" s="108" t="n">
        <v>2035052.477394716</v>
      </c>
      <c r="F43" s="108" t="n">
        <v>3336144.866946495</v>
      </c>
      <c r="G43" s="108" t="n">
        <v>618022.3708308334</v>
      </c>
      <c r="H43" s="108" t="n">
        <v>1053146.981744634</v>
      </c>
      <c r="I43" s="108" t="n">
        <v>26150.4</v>
      </c>
      <c r="J43" s="33" t="n">
        <v>7</v>
      </c>
    </row>
    <row r="44" ht="30" customHeight="1">
      <c r="A44" s="12" t="n">
        <v>64</v>
      </c>
      <c r="B44" s="12" t="n">
        <v>62</v>
      </c>
      <c r="C44" s="103" t="n">
        <v>10539112.59897344</v>
      </c>
      <c r="D44" s="108" t="n">
        <v>8325969.185933911</v>
      </c>
      <c r="E44" s="108" t="n">
        <v>3520309.884157601</v>
      </c>
      <c r="F44" s="108" t="n">
        <v>3776781.240969369</v>
      </c>
      <c r="G44" s="108" t="n">
        <v>1058658.744853708</v>
      </c>
      <c r="H44" s="108" t="n">
        <v>1502286.627929841</v>
      </c>
      <c r="I44" s="108" t="n">
        <v>61351.2</v>
      </c>
      <c r="J44" s="33" t="n">
        <v>2</v>
      </c>
    </row>
    <row r="45" ht="30" customHeight="1">
      <c r="A45" s="12" t="n">
        <v>64</v>
      </c>
      <c r="B45" s="12" t="n">
        <v>63</v>
      </c>
      <c r="C45" s="103" t="n">
        <v>10444216.29891021</v>
      </c>
      <c r="D45" s="108" t="n">
        <v>8236823.615282003</v>
      </c>
      <c r="E45" s="108" t="n">
        <v>3431164.313505692</v>
      </c>
      <c r="F45" s="108" t="n">
        <v>3743799.077340781</v>
      </c>
      <c r="G45" s="108" t="n">
        <v>1025676.58122512</v>
      </c>
      <c r="H45" s="108" t="n">
        <v>1477683.193712579</v>
      </c>
      <c r="I45" s="108" t="n">
        <v>58723.2</v>
      </c>
      <c r="J45" s="33" t="n">
        <v>2</v>
      </c>
    </row>
    <row r="46" ht="30" customHeight="1">
      <c r="A46" s="12" t="n">
        <v>64</v>
      </c>
      <c r="B46" s="12" t="n">
        <v>64</v>
      </c>
      <c r="C46" s="103" t="n">
        <v>10358494.33311666</v>
      </c>
      <c r="D46" s="108" t="n">
        <v>8158678.056450249</v>
      </c>
      <c r="E46" s="108" t="n">
        <v>3353018.754673938</v>
      </c>
      <c r="F46" s="108" t="n">
        <v>3711463.62280295</v>
      </c>
      <c r="G46" s="108" t="n">
        <v>993341.1266872883</v>
      </c>
      <c r="H46" s="108" t="n">
        <v>1455552.146136535</v>
      </c>
      <c r="I46" s="108" t="n">
        <v>56095.2</v>
      </c>
      <c r="J46" s="33" t="n">
        <v>2</v>
      </c>
    </row>
    <row r="47" ht="30" customHeight="1">
      <c r="A47" s="12" t="n">
        <v>64</v>
      </c>
      <c r="B47" s="12" t="n">
        <v>65</v>
      </c>
      <c r="C47" s="103" t="n">
        <v>10262454.1518894</v>
      </c>
      <c r="D47" s="108" t="n">
        <v>8072392.138780722</v>
      </c>
      <c r="E47" s="108" t="n">
        <v>3266732.837004412</v>
      </c>
      <c r="F47" s="108" t="n">
        <v>3679762.196785468</v>
      </c>
      <c r="G47" s="108" t="n">
        <v>961639.7006698065</v>
      </c>
      <c r="H47" s="108" t="n">
        <v>1433604.983676794</v>
      </c>
      <c r="I47" s="108" t="n">
        <v>56095.2</v>
      </c>
      <c r="J47" s="33" t="n">
        <v>2</v>
      </c>
    </row>
    <row r="48" ht="30" customHeight="1">
      <c r="A48" s="12" t="n">
        <v>64</v>
      </c>
      <c r="B48" s="12" t="n">
        <v>66</v>
      </c>
      <c r="C48" s="103" t="n">
        <v>9930300.35116335</v>
      </c>
      <c r="D48" s="108" t="n">
        <v>7759679.790865612</v>
      </c>
      <c r="E48" s="108" t="n">
        <v>2954020.489089302</v>
      </c>
      <c r="F48" s="108" t="n">
        <v>3599576.485003623</v>
      </c>
      <c r="G48" s="108" t="n">
        <v>881453.9888879615</v>
      </c>
      <c r="H48" s="108" t="n">
        <v>1374174.724705886</v>
      </c>
      <c r="I48" s="108" t="n">
        <v>54781.2</v>
      </c>
      <c r="J48" s="33" t="n">
        <v>3</v>
      </c>
    </row>
    <row r="49" ht="30" customHeight="1">
      <c r="A49" s="12" t="n">
        <v>64</v>
      </c>
      <c r="B49" s="12" t="n">
        <v>67</v>
      </c>
      <c r="C49" s="103" t="n">
        <v>9621499.606048539</v>
      </c>
      <c r="D49" s="108" t="n">
        <v>7429824.301192367</v>
      </c>
      <c r="E49" s="108" t="n">
        <v>2624164.999416057</v>
      </c>
      <c r="F49" s="108" t="n">
        <v>3520963.042080245</v>
      </c>
      <c r="G49" s="108" t="n">
        <v>802840.5459645842</v>
      </c>
      <c r="H49" s="108" t="n">
        <v>1281432.937224073</v>
      </c>
      <c r="I49" s="108" t="n">
        <v>47854.8</v>
      </c>
      <c r="J49" s="33" t="n">
        <v>4</v>
      </c>
    </row>
    <row r="50" ht="30" customHeight="1">
      <c r="A50" s="12" t="n">
        <v>64</v>
      </c>
      <c r="B50" s="12" t="n">
        <v>68</v>
      </c>
      <c r="C50" s="103" t="n">
        <v>9379557.199410895</v>
      </c>
      <c r="D50" s="108" t="n">
        <v>7168318.360900591</v>
      </c>
      <c r="E50" s="108" t="n">
        <v>2362659.059124281</v>
      </c>
      <c r="F50" s="108" t="n">
        <v>3443891.039214189</v>
      </c>
      <c r="G50" s="108" t="n">
        <v>725768.5430985279</v>
      </c>
      <c r="H50" s="108" t="n">
        <v>1193466.200703885</v>
      </c>
      <c r="I50" s="108" t="n">
        <v>39186</v>
      </c>
      <c r="J50" s="33" t="n">
        <v>5</v>
      </c>
    </row>
    <row r="51" ht="30" customHeight="1">
      <c r="A51" s="12" t="n">
        <v>64</v>
      </c>
      <c r="B51" s="12" t="n">
        <v>69</v>
      </c>
      <c r="C51" s="103" t="n">
        <v>9187492.351372847</v>
      </c>
      <c r="D51" s="108" t="n">
        <v>6951875.774902579</v>
      </c>
      <c r="E51" s="108" t="n">
        <v>2146216.473126269</v>
      </c>
      <c r="F51" s="108" t="n">
        <v>3368330.252090605</v>
      </c>
      <c r="G51" s="108" t="n">
        <v>650207.7559749437</v>
      </c>
      <c r="H51" s="108" t="n">
        <v>1103312.475620339</v>
      </c>
      <c r="I51" s="108" t="n">
        <v>29401.2</v>
      </c>
      <c r="J51" s="33" t="n">
        <v>6</v>
      </c>
    </row>
    <row r="52" ht="30" customHeight="1">
      <c r="A52" s="12" t="n">
        <v>64</v>
      </c>
      <c r="B52" s="12" t="n">
        <v>70</v>
      </c>
      <c r="C52" s="103" t="n">
        <v>8981235.614778364</v>
      </c>
      <c r="D52" s="108" t="n">
        <v>6739851.583001588</v>
      </c>
      <c r="E52" s="108" t="n">
        <v>1934192.281225277</v>
      </c>
      <c r="F52" s="108" t="n">
        <v>3294251.049028267</v>
      </c>
      <c r="G52" s="108" t="n">
        <v>576128.5529126055</v>
      </c>
      <c r="H52" s="108" t="n">
        <v>1029967.417251489</v>
      </c>
      <c r="I52" s="108" t="n">
        <v>22899.6</v>
      </c>
      <c r="J52" s="33" t="n">
        <v>7</v>
      </c>
    </row>
    <row r="53" ht="30" customHeight="1">
      <c r="A53" s="12" t="n">
        <v>65</v>
      </c>
      <c r="B53" s="12" t="n">
        <v>62</v>
      </c>
      <c r="C53" s="103" t="n">
        <v>10153812.5998504</v>
      </c>
      <c r="D53" s="108" t="n">
        <v>7958655.050146142</v>
      </c>
      <c r="E53" s="108" t="n">
        <v>3152995.748369832</v>
      </c>
      <c r="F53" s="108" t="n">
        <v>3675944.16457895</v>
      </c>
      <c r="G53" s="108" t="n">
        <v>957821.6684632888</v>
      </c>
      <c r="H53" s="108" t="n">
        <v>1426005.414874698</v>
      </c>
      <c r="I53" s="108" t="n">
        <v>54781.2</v>
      </c>
      <c r="J53" s="33" t="n">
        <v>3</v>
      </c>
    </row>
    <row r="54" ht="30" customHeight="1">
      <c r="A54" s="12" t="n">
        <v>65</v>
      </c>
      <c r="B54" s="12" t="n">
        <v>63</v>
      </c>
      <c r="C54" s="103" t="n">
        <v>10050262.24016607</v>
      </c>
      <c r="D54" s="108" t="n">
        <v>7866019.155187105</v>
      </c>
      <c r="E54" s="108" t="n">
        <v>3060359.853410794</v>
      </c>
      <c r="F54" s="108" t="n">
        <v>3642962.000950362</v>
      </c>
      <c r="G54" s="108" t="n">
        <v>924839.5048347008</v>
      </c>
      <c r="H54" s="108" t="n">
        <v>1403937.7159714</v>
      </c>
      <c r="I54" s="108" t="n">
        <v>54781.2</v>
      </c>
      <c r="J54" s="33" t="n">
        <v>3</v>
      </c>
    </row>
    <row r="55" ht="30" customHeight="1">
      <c r="A55" s="12" t="n">
        <v>65</v>
      </c>
      <c r="B55" s="12" t="n">
        <v>64</v>
      </c>
      <c r="C55" s="103" t="n">
        <v>9950806.011614572</v>
      </c>
      <c r="D55" s="108" t="n">
        <v>7776600.988705164</v>
      </c>
      <c r="E55" s="108" t="n">
        <v>2970941.686928853</v>
      </c>
      <c r="F55" s="108" t="n">
        <v>3610626.54641253</v>
      </c>
      <c r="G55" s="108" t="n">
        <v>892504.0502968691</v>
      </c>
      <c r="H55" s="108" t="n">
        <v>1381640.323503121</v>
      </c>
      <c r="I55" s="108" t="n">
        <v>54781.2</v>
      </c>
      <c r="J55" s="33" t="n">
        <v>3</v>
      </c>
    </row>
    <row r="56" ht="30" customHeight="1">
      <c r="A56" s="12" t="n">
        <v>65</v>
      </c>
      <c r="B56" s="12" t="n">
        <v>65</v>
      </c>
      <c r="C56" s="103" t="n">
        <v>9849856.052416489</v>
      </c>
      <c r="D56" s="108" t="n">
        <v>7686838.132813456</v>
      </c>
      <c r="E56" s="108" t="n">
        <v>2881178.831037145</v>
      </c>
      <c r="F56" s="108" t="n">
        <v>3578925.120395049</v>
      </c>
      <c r="G56" s="108" t="n">
        <v>860802.6242793873</v>
      </c>
      <c r="H56" s="108" t="n">
        <v>1361126.000792016</v>
      </c>
      <c r="I56" s="108" t="n">
        <v>54781.2</v>
      </c>
      <c r="J56" s="33" t="n">
        <v>3</v>
      </c>
    </row>
    <row r="57" ht="30" customHeight="1">
      <c r="A57" s="12" t="n">
        <v>65</v>
      </c>
      <c r="B57" s="12" t="n">
        <v>66</v>
      </c>
      <c r="C57" s="103" t="n">
        <v>9562084.085167546</v>
      </c>
      <c r="D57" s="108" t="n">
        <v>7405112.580892798</v>
      </c>
      <c r="E57" s="108" t="n">
        <v>2599453.279116487</v>
      </c>
      <c r="F57" s="108" t="n">
        <v>3498739.408613204</v>
      </c>
      <c r="G57" s="108" t="n">
        <v>780616.9124975423</v>
      </c>
      <c r="H57" s="108" t="n">
        <v>1296505.104338454</v>
      </c>
      <c r="I57" s="108" t="n">
        <v>45262.8</v>
      </c>
      <c r="J57" s="33" t="n">
        <v>2</v>
      </c>
    </row>
    <row r="58" ht="30" customHeight="1">
      <c r="A58" s="12" t="n">
        <v>65</v>
      </c>
      <c r="B58" s="12" t="n">
        <v>67</v>
      </c>
      <c r="C58" s="103" t="n">
        <v>9276579.985892519</v>
      </c>
      <c r="D58" s="108" t="n">
        <v>7081545.657061373</v>
      </c>
      <c r="E58" s="108" t="n">
        <v>2275886.355285062</v>
      </c>
      <c r="F58" s="108" t="n">
        <v>3420125.965689826</v>
      </c>
      <c r="G58" s="108" t="n">
        <v>702003.4695741651</v>
      </c>
      <c r="H58" s="108" t="n">
        <v>1185459.236858679</v>
      </c>
      <c r="I58" s="108" t="n">
        <v>39632.39999999999</v>
      </c>
      <c r="J58" s="33" t="n">
        <v>3</v>
      </c>
    </row>
    <row r="59" ht="30" customHeight="1">
      <c r="A59" s="12" t="n">
        <v>65</v>
      </c>
      <c r="B59" s="12" t="n">
        <v>68</v>
      </c>
      <c r="C59" s="103" t="n">
        <v>9066989.746855212</v>
      </c>
      <c r="D59" s="108" t="n">
        <v>6845983.337079429</v>
      </c>
      <c r="E59" s="108" t="n">
        <v>2040324.035303119</v>
      </c>
      <c r="F59" s="108" t="n">
        <v>3343053.96282377</v>
      </c>
      <c r="G59" s="108" t="n">
        <v>624931.4667081088</v>
      </c>
      <c r="H59" s="108" t="n">
        <v>1092199.953047987</v>
      </c>
      <c r="I59" s="108" t="n">
        <v>29847.6</v>
      </c>
      <c r="J59" s="33" t="n">
        <v>4</v>
      </c>
    </row>
    <row r="60" ht="30" customHeight="1">
      <c r="A60" s="12" t="n">
        <v>65</v>
      </c>
      <c r="B60" s="12" t="n">
        <v>69</v>
      </c>
      <c r="C60" s="103" t="n">
        <v>8857698.148410339</v>
      </c>
      <c r="D60" s="108" t="n">
        <v>6627595.324180437</v>
      </c>
      <c r="E60" s="108" t="n">
        <v>1821936.022404127</v>
      </c>
      <c r="F60" s="108" t="n">
        <v>3267493.175700185</v>
      </c>
      <c r="G60" s="108" t="n">
        <v>549370.6795845241</v>
      </c>
      <c r="H60" s="108" t="n">
        <v>1016211.551470284</v>
      </c>
      <c r="I60" s="108" t="n">
        <v>21178.8</v>
      </c>
      <c r="J60" s="33" t="n">
        <v>5</v>
      </c>
    </row>
    <row r="61" ht="30" customHeight="1">
      <c r="A61" s="12" t="n">
        <v>65</v>
      </c>
      <c r="B61" s="12" t="n">
        <v>70</v>
      </c>
      <c r="C61" s="103" t="n">
        <v>8638979.243376937</v>
      </c>
      <c r="D61" s="108" t="n">
        <v>6415660.034584679</v>
      </c>
      <c r="E61" s="108" t="n">
        <v>1610000.732808368</v>
      </c>
      <c r="F61" s="108" t="n">
        <v>3193413.972637848</v>
      </c>
      <c r="G61" s="108" t="n">
        <v>475291.4765221863</v>
      </c>
      <c r="H61" s="108" t="n">
        <v>953250.3638455891</v>
      </c>
      <c r="I61" s="108" t="n">
        <v>16844.4</v>
      </c>
      <c r="J61" s="33" t="n">
        <v>6</v>
      </c>
    </row>
    <row r="62" ht="30" customHeight="1">
      <c r="A62" s="12" t="n">
        <v>66</v>
      </c>
      <c r="B62" s="12" t="n">
        <v>62</v>
      </c>
      <c r="C62" s="103" t="n">
        <v>9748177.617303405</v>
      </c>
      <c r="D62" s="108" t="n">
        <v>7536627.873743755</v>
      </c>
      <c r="E62" s="108" t="n">
        <v>2730968.571967444</v>
      </c>
      <c r="F62" s="108" t="n">
        <v>3577084.285764813</v>
      </c>
      <c r="G62" s="108" t="n">
        <v>858961.7896491522</v>
      </c>
      <c r="H62" s="108" t="n">
        <v>1314216.542205161</v>
      </c>
      <c r="I62" s="108" t="n">
        <v>51318</v>
      </c>
      <c r="J62" s="33" t="n">
        <v>4</v>
      </c>
    </row>
    <row r="63" ht="30" customHeight="1">
      <c r="A63" s="12" t="n">
        <v>66</v>
      </c>
      <c r="B63" s="12" t="n">
        <v>63</v>
      </c>
      <c r="C63" s="103" t="n">
        <v>9646303.714380996</v>
      </c>
      <c r="D63" s="108" t="n">
        <v>7446720.992578073</v>
      </c>
      <c r="E63" s="108" t="n">
        <v>2641061.690801763</v>
      </c>
      <c r="F63" s="108" t="n">
        <v>3544102.122136225</v>
      </c>
      <c r="G63" s="108" t="n">
        <v>825979.6260205642</v>
      </c>
      <c r="H63" s="108" t="n">
        <v>1293201.400333302</v>
      </c>
      <c r="I63" s="108" t="n">
        <v>51318</v>
      </c>
      <c r="J63" s="33" t="n">
        <v>4</v>
      </c>
    </row>
    <row r="64" ht="30" customHeight="1">
      <c r="A64" s="12" t="n">
        <v>66</v>
      </c>
      <c r="B64" s="12" t="n">
        <v>64</v>
      </c>
      <c r="C64" s="103" t="n">
        <v>9554783.391042061</v>
      </c>
      <c r="D64" s="108" t="n">
        <v>7360203.542564856</v>
      </c>
      <c r="E64" s="108" t="n">
        <v>2554544.240788545</v>
      </c>
      <c r="F64" s="108" t="n">
        <v>3511766.667598394</v>
      </c>
      <c r="G64" s="108" t="n">
        <v>793644.1714827325</v>
      </c>
      <c r="H64" s="108" t="n">
        <v>1269332.019121188</v>
      </c>
      <c r="I64" s="108" t="n">
        <v>47854.8</v>
      </c>
      <c r="J64" s="33" t="n">
        <v>4</v>
      </c>
    </row>
    <row r="65" ht="30" customHeight="1">
      <c r="A65" s="12" t="n">
        <v>66</v>
      </c>
      <c r="B65" s="12" t="n">
        <v>65</v>
      </c>
      <c r="C65" s="103" t="n">
        <v>9470071.153427953</v>
      </c>
      <c r="D65" s="108" t="n">
        <v>7282780.082136111</v>
      </c>
      <c r="E65" s="108" t="n">
        <v>2477120.780359801</v>
      </c>
      <c r="F65" s="108" t="n">
        <v>3480065.241580912</v>
      </c>
      <c r="G65" s="108" t="n">
        <v>761942.7454652512</v>
      </c>
      <c r="H65" s="108" t="n">
        <v>1247086.570289071</v>
      </c>
      <c r="I65" s="108" t="n">
        <v>45687.6</v>
      </c>
      <c r="J65" s="33" t="n">
        <v>4</v>
      </c>
    </row>
    <row r="66" ht="30" customHeight="1">
      <c r="A66" s="12" t="n">
        <v>66</v>
      </c>
      <c r="B66" s="12" t="n">
        <v>66</v>
      </c>
      <c r="C66" s="103" t="n">
        <v>9220823.96983018</v>
      </c>
      <c r="D66" s="108" t="n">
        <v>7020801.381099396</v>
      </c>
      <c r="E66" s="108" t="n">
        <v>2215142.079323086</v>
      </c>
      <c r="F66" s="108" t="n">
        <v>3399879.529799067</v>
      </c>
      <c r="G66" s="108" t="n">
        <v>681757.0336834057</v>
      </c>
      <c r="H66" s="108" t="n">
        <v>1162391.741068286</v>
      </c>
      <c r="I66" s="108" t="n">
        <v>37465.2</v>
      </c>
      <c r="J66" s="33" t="n">
        <v>3</v>
      </c>
    </row>
    <row r="67" ht="30" customHeight="1">
      <c r="A67" s="12" t="n">
        <v>66</v>
      </c>
      <c r="B67" s="12" t="n">
        <v>67</v>
      </c>
      <c r="C67" s="103" t="n">
        <v>9031871.282284655</v>
      </c>
      <c r="D67" s="108" t="n">
        <v>6793332.149412282</v>
      </c>
      <c r="E67" s="108" t="n">
        <v>1987672.847635971</v>
      </c>
      <c r="F67" s="108" t="n">
        <v>3321266.08687569</v>
      </c>
      <c r="G67" s="108" t="n">
        <v>603143.5907600285</v>
      </c>
      <c r="H67" s="108" t="n">
        <v>1058297.354003317</v>
      </c>
      <c r="I67" s="108" t="n">
        <v>24429.6</v>
      </c>
      <c r="J67" s="33" t="n">
        <v>2</v>
      </c>
    </row>
    <row r="68" ht="30" customHeight="1">
      <c r="A68" s="12" t="n">
        <v>66</v>
      </c>
      <c r="B68" s="12" t="n">
        <v>68</v>
      </c>
      <c r="C68" s="103" t="n">
        <v>8801034.121192887</v>
      </c>
      <c r="D68" s="108" t="n">
        <v>6560894.893233771</v>
      </c>
      <c r="E68" s="108" t="n">
        <v>1755235.59145746</v>
      </c>
      <c r="F68" s="108" t="n">
        <v>3244194.084009633</v>
      </c>
      <c r="G68" s="108" t="n">
        <v>526071.5878939722</v>
      </c>
      <c r="H68" s="108" t="n">
        <v>987210.4560505167</v>
      </c>
      <c r="I68" s="108" t="n">
        <v>16844.4</v>
      </c>
      <c r="J68" s="33" t="n">
        <v>3</v>
      </c>
    </row>
    <row r="69" ht="30" customHeight="1">
      <c r="A69" s="12" t="n">
        <v>66</v>
      </c>
      <c r="B69" s="12" t="n">
        <v>69</v>
      </c>
      <c r="C69" s="103" t="n">
        <v>8571611.497919152</v>
      </c>
      <c r="D69" s="108" t="n">
        <v>6341231.744825384</v>
      </c>
      <c r="E69" s="108" t="n">
        <v>1535572.443049073</v>
      </c>
      <c r="F69" s="108" t="n">
        <v>3168633.296886049</v>
      </c>
      <c r="G69" s="108" t="n">
        <v>450510.8007703875</v>
      </c>
      <c r="H69" s="108" t="n">
        <v>927910.7437922801</v>
      </c>
      <c r="I69" s="108" t="n">
        <v>10342.8</v>
      </c>
      <c r="J69" s="33" t="n">
        <v>4</v>
      </c>
    </row>
    <row r="70" ht="30" customHeight="1">
      <c r="A70" s="12" t="n">
        <v>66</v>
      </c>
      <c r="B70" s="12" t="n">
        <v>70</v>
      </c>
      <c r="C70" s="103" t="n">
        <v>8295391.982118021</v>
      </c>
      <c r="D70" s="108" t="n">
        <v>6090712.669967407</v>
      </c>
      <c r="E70" s="108" t="n">
        <v>1285053.368191097</v>
      </c>
      <c r="F70" s="108" t="n">
        <v>3094554.093823711</v>
      </c>
      <c r="G70" s="108" t="n">
        <v>376431.5977080502</v>
      </c>
      <c r="H70" s="108" t="n">
        <v>881699.1816730975</v>
      </c>
      <c r="I70" s="108" t="n">
        <v>8175.599999999999</v>
      </c>
      <c r="J70" s="33" t="n">
        <v>5</v>
      </c>
    </row>
    <row r="71" ht="30" customHeight="1">
      <c r="A71" s="12" t="n">
        <v>67</v>
      </c>
      <c r="B71" s="12" t="n">
        <v>62</v>
      </c>
      <c r="C71" s="103" t="n">
        <v>9425134.215174977</v>
      </c>
      <c r="D71" s="108" t="n">
        <v>7188892.369017802</v>
      </c>
      <c r="E71" s="108" t="n">
        <v>2383233.067241492</v>
      </c>
      <c r="F71" s="108" t="n">
        <v>3480162.835947033</v>
      </c>
      <c r="G71" s="108" t="n">
        <v>762040.3398313713</v>
      </c>
      <c r="H71" s="108" t="n">
        <v>1200400.589789857</v>
      </c>
      <c r="I71" s="108" t="n">
        <v>43520.4</v>
      </c>
      <c r="J71" s="33" t="n">
        <v>5</v>
      </c>
    </row>
    <row r="72" ht="30" customHeight="1">
      <c r="A72" s="12" t="n">
        <v>67</v>
      </c>
      <c r="B72" s="12" t="n">
        <v>63</v>
      </c>
      <c r="C72" s="103" t="n">
        <v>9360643.772169478</v>
      </c>
      <c r="D72" s="108" t="n">
        <v>7127336.738941737</v>
      </c>
      <c r="E72" s="108" t="n">
        <v>2321677.437165426</v>
      </c>
      <c r="F72" s="108" t="n">
        <v>3447180.672318445</v>
      </c>
      <c r="G72" s="108" t="n">
        <v>729058.1762027834</v>
      </c>
      <c r="H72" s="108" t="n">
        <v>1174687.639090702</v>
      </c>
      <c r="I72" s="108" t="n">
        <v>39186</v>
      </c>
      <c r="J72" s="33" t="n">
        <v>5</v>
      </c>
    </row>
    <row r="73" ht="30" customHeight="1">
      <c r="A73" s="12" t="n">
        <v>67</v>
      </c>
      <c r="B73" s="12" t="n">
        <v>64</v>
      </c>
      <c r="C73" s="103" t="n">
        <v>9288919.346587144</v>
      </c>
      <c r="D73" s="108" t="n">
        <v>7058676.777933463</v>
      </c>
      <c r="E73" s="108" t="n">
        <v>2253017.476157153</v>
      </c>
      <c r="F73" s="108" t="n">
        <v>3414845.217780613</v>
      </c>
      <c r="G73" s="108" t="n">
        <v>696722.7216649521</v>
      </c>
      <c r="H73" s="108" t="n">
        <v>1149225.449126933</v>
      </c>
      <c r="I73" s="108" t="n">
        <v>35377.2</v>
      </c>
      <c r="J73" s="33" t="n">
        <v>5</v>
      </c>
    </row>
    <row r="74" ht="30" customHeight="1">
      <c r="A74" s="12" t="n">
        <v>67</v>
      </c>
      <c r="B74" s="12" t="n">
        <v>65</v>
      </c>
      <c r="C74" s="103" t="n">
        <v>9227962.475066729</v>
      </c>
      <c r="D74" s="108" t="n">
        <v>7007547.552345963</v>
      </c>
      <c r="E74" s="108" t="n">
        <v>2201888.250569653</v>
      </c>
      <c r="F74" s="108" t="n">
        <v>3383143.791763131</v>
      </c>
      <c r="G74" s="108" t="n">
        <v>665021.2956474698</v>
      </c>
      <c r="H74" s="108" t="n">
        <v>1127351.669042366</v>
      </c>
      <c r="I74" s="108" t="n">
        <v>35377.2</v>
      </c>
      <c r="J74" s="33" t="n">
        <v>5</v>
      </c>
    </row>
    <row r="75" ht="30" customHeight="1">
      <c r="A75" s="12" t="n">
        <v>67</v>
      </c>
      <c r="B75" s="12" t="n">
        <v>66</v>
      </c>
      <c r="C75" s="103" t="n">
        <v>8956204.973043276</v>
      </c>
      <c r="D75" s="108" t="n">
        <v>6732178.028636847</v>
      </c>
      <c r="E75" s="108" t="n">
        <v>1926518.726860536</v>
      </c>
      <c r="F75" s="108" t="n">
        <v>3302958.079981287</v>
      </c>
      <c r="G75" s="108" t="n">
        <v>584835.5838656253</v>
      </c>
      <c r="H75" s="108" t="n">
        <v>1052334.335574856</v>
      </c>
      <c r="I75" s="108" t="n">
        <v>26596.8</v>
      </c>
      <c r="J75" s="33" t="n">
        <v>4</v>
      </c>
    </row>
    <row r="76" ht="30" customHeight="1">
      <c r="A76" s="12" t="n">
        <v>67</v>
      </c>
      <c r="B76" s="12" t="n">
        <v>67</v>
      </c>
      <c r="C76" s="103" t="n">
        <v>8734128.603592021</v>
      </c>
      <c r="D76" s="108" t="n">
        <v>6495148.564630833</v>
      </c>
      <c r="E76" s="108" t="n">
        <v>1689489.262854522</v>
      </c>
      <c r="F76" s="108" t="n">
        <v>3224344.637057909</v>
      </c>
      <c r="G76" s="108" t="n">
        <v>506222.1409422476</v>
      </c>
      <c r="H76" s="108" t="n">
        <v>970687.3980967201</v>
      </c>
      <c r="I76" s="108" t="n">
        <v>14677.2</v>
      </c>
      <c r="J76" s="33" t="n">
        <v>3</v>
      </c>
    </row>
    <row r="77" ht="30" customHeight="1">
      <c r="A77" s="12" t="n">
        <v>67</v>
      </c>
      <c r="B77" s="12" t="n">
        <v>68</v>
      </c>
      <c r="C77" s="103" t="n">
        <v>8514424.034671707</v>
      </c>
      <c r="D77" s="108" t="n">
        <v>6280979.187878905</v>
      </c>
      <c r="E77" s="108" t="n">
        <v>1475319.886102594</v>
      </c>
      <c r="F77" s="108" t="n">
        <v>3147272.634191853</v>
      </c>
      <c r="G77" s="108" t="n">
        <v>429150.1380761913</v>
      </c>
      <c r="H77" s="108" t="n">
        <v>905652.1873990499</v>
      </c>
      <c r="I77" s="108" t="n">
        <v>8175.599999999999</v>
      </c>
      <c r="J77" s="33" t="n">
        <v>2</v>
      </c>
    </row>
    <row r="78" ht="30" customHeight="1">
      <c r="A78" s="12" t="n">
        <v>67</v>
      </c>
      <c r="B78" s="12" t="n">
        <v>69</v>
      </c>
      <c r="C78" s="103" t="n">
        <v>8177163.387053996</v>
      </c>
      <c r="D78" s="108" t="n">
        <v>5978108.488969045</v>
      </c>
      <c r="E78" s="108" t="n">
        <v>1172449.187192734</v>
      </c>
      <c r="F78" s="108" t="n">
        <v>3071711.847068268</v>
      </c>
      <c r="G78" s="108" t="n">
        <v>353589.3509526071</v>
      </c>
      <c r="H78" s="108" t="n">
        <v>864481.3489833174</v>
      </c>
      <c r="I78" s="108" t="n">
        <v>8175.599999999999</v>
      </c>
      <c r="J78" s="33" t="n">
        <v>3</v>
      </c>
    </row>
    <row r="79" ht="30" customHeight="1">
      <c r="A79" s="12" t="n">
        <v>67</v>
      </c>
      <c r="B79" s="12" t="n">
        <v>70</v>
      </c>
      <c r="C79" s="103" t="n">
        <v>7892498.616170413</v>
      </c>
      <c r="D79" s="108" t="n">
        <v>5736450.388470476</v>
      </c>
      <c r="E79" s="108" t="n">
        <v>930791.0866941661</v>
      </c>
      <c r="F79" s="108" t="n">
        <v>2997632.644005931</v>
      </c>
      <c r="G79" s="108" t="n">
        <v>279510.1478902693</v>
      </c>
      <c r="H79" s="108" t="n">
        <v>833408.8163059942</v>
      </c>
      <c r="I79" s="108" t="n">
        <v>8175.599999999999</v>
      </c>
      <c r="J79" s="33" t="n">
        <v>4</v>
      </c>
    </row>
    <row r="80" ht="30" customHeight="1">
      <c r="A80" s="12" t="n">
        <v>68</v>
      </c>
      <c r="B80" s="12" t="n">
        <v>62</v>
      </c>
      <c r="C80" s="103" t="n">
        <v>9217134.627058975</v>
      </c>
      <c r="D80" s="108" t="n">
        <v>6947378.241139427</v>
      </c>
      <c r="E80" s="108" t="n">
        <v>2141718.939363116</v>
      </c>
      <c r="F80" s="108" t="n">
        <v>3385141.806713914</v>
      </c>
      <c r="G80" s="108" t="n">
        <v>667019.3105982528</v>
      </c>
      <c r="H80" s="108" t="n">
        <v>1087067.820794367</v>
      </c>
      <c r="I80" s="108" t="n">
        <v>28317.6</v>
      </c>
      <c r="J80" s="33" t="n">
        <v>6</v>
      </c>
    </row>
    <row r="81" ht="30" customHeight="1">
      <c r="A81" s="12" t="n">
        <v>68</v>
      </c>
      <c r="B81" s="12" t="n">
        <v>63</v>
      </c>
      <c r="C81" s="103" t="n">
        <v>9113373.766640237</v>
      </c>
      <c r="D81" s="108" t="n">
        <v>6858155.566876758</v>
      </c>
      <c r="E81" s="108" t="n">
        <v>2052496.265100447</v>
      </c>
      <c r="F81" s="108" t="n">
        <v>3352159.643085326</v>
      </c>
      <c r="G81" s="108" t="n">
        <v>634037.1469696648</v>
      </c>
      <c r="H81" s="108" t="n">
        <v>1068623.843321849</v>
      </c>
      <c r="I81" s="108" t="n">
        <v>28317.6</v>
      </c>
      <c r="J81" s="33" t="n">
        <v>6</v>
      </c>
    </row>
    <row r="82" ht="30" customHeight="1">
      <c r="A82" s="12" t="n">
        <v>68</v>
      </c>
      <c r="B82" s="12" t="n">
        <v>64</v>
      </c>
      <c r="C82" s="103" t="n">
        <v>9052296.100627691</v>
      </c>
      <c r="D82" s="108" t="n">
        <v>6806851.950200999</v>
      </c>
      <c r="E82" s="108" t="n">
        <v>2001192.648424689</v>
      </c>
      <c r="F82" s="108" t="n">
        <v>3319824.188547494</v>
      </c>
      <c r="G82" s="108" t="n">
        <v>601701.6924318331</v>
      </c>
      <c r="H82" s="108" t="n">
        <v>1048229.638120802</v>
      </c>
      <c r="I82" s="108" t="n">
        <v>26150.4</v>
      </c>
      <c r="J82" s="33" t="n">
        <v>6</v>
      </c>
    </row>
    <row r="83" ht="30" customHeight="1">
      <c r="A83" s="12" t="n">
        <v>68</v>
      </c>
      <c r="B83" s="12" t="n">
        <v>65</v>
      </c>
      <c r="C83" s="103" t="n">
        <v>8966770.197044527</v>
      </c>
      <c r="D83" s="108" t="n">
        <v>6730164.286942786</v>
      </c>
      <c r="E83" s="108" t="n">
        <v>1924504.985166475</v>
      </c>
      <c r="F83" s="108" t="n">
        <v>3288122.762530013</v>
      </c>
      <c r="G83" s="108" t="n">
        <v>570000.2664143518</v>
      </c>
      <c r="H83" s="108" t="n">
        <v>1028617.252428272</v>
      </c>
      <c r="I83" s="108" t="n">
        <v>22899.6</v>
      </c>
      <c r="J83" s="33" t="n">
        <v>6</v>
      </c>
    </row>
    <row r="84" ht="30" customHeight="1">
      <c r="A84" s="12" t="n">
        <v>68</v>
      </c>
      <c r="B84" s="12" t="n">
        <v>66</v>
      </c>
      <c r="C84" s="103" t="n">
        <v>8707869.74219666</v>
      </c>
      <c r="D84" s="108" t="n">
        <v>6482797.955005413</v>
      </c>
      <c r="E84" s="108" t="n">
        <v>1677138.653229102</v>
      </c>
      <c r="F84" s="108" t="n">
        <v>3207937.050748168</v>
      </c>
      <c r="G84" s="108" t="n">
        <v>489814.5546325068</v>
      </c>
      <c r="H84" s="108" t="n">
        <v>966020.8635569199</v>
      </c>
      <c r="I84" s="108" t="n">
        <v>16844.4</v>
      </c>
      <c r="J84" s="33" t="n">
        <v>5</v>
      </c>
    </row>
    <row r="85" ht="30" customHeight="1">
      <c r="A85" s="12" t="n">
        <v>68</v>
      </c>
      <c r="B85" s="12" t="n">
        <v>67</v>
      </c>
      <c r="C85" s="103" t="n">
        <v>8455930.176905271</v>
      </c>
      <c r="D85" s="108" t="n">
        <v>6236666.179688998</v>
      </c>
      <c r="E85" s="108" t="n">
        <v>1431006.877912688</v>
      </c>
      <c r="F85" s="108" t="n">
        <v>3129323.60782479</v>
      </c>
      <c r="G85" s="108" t="n">
        <v>411201.1117091291</v>
      </c>
      <c r="H85" s="108" t="n">
        <v>901884.0106085188</v>
      </c>
      <c r="I85" s="108" t="n">
        <v>8175.599999999999</v>
      </c>
      <c r="J85" s="33" t="n">
        <v>4</v>
      </c>
    </row>
    <row r="86" ht="30" customHeight="1">
      <c r="A86" s="12" t="n">
        <v>68</v>
      </c>
      <c r="B86" s="12" t="n">
        <v>68</v>
      </c>
      <c r="C86" s="103" t="n">
        <v>8106551.727829101</v>
      </c>
      <c r="D86" s="108" t="n">
        <v>5918807.136990972</v>
      </c>
      <c r="E86" s="108" t="n">
        <v>1113147.835214661</v>
      </c>
      <c r="F86" s="108" t="n">
        <v>3052251.604958734</v>
      </c>
      <c r="G86" s="108" t="n">
        <v>334129.1088430728</v>
      </c>
      <c r="H86" s="108" t="n">
        <v>856331.4141206053</v>
      </c>
      <c r="I86" s="108" t="n">
        <v>8175.599999999999</v>
      </c>
      <c r="J86" s="33" t="n">
        <v>3</v>
      </c>
    </row>
    <row r="87" ht="30" customHeight="1">
      <c r="A87" s="12" t="n">
        <v>68</v>
      </c>
      <c r="B87" s="12" t="n">
        <v>69</v>
      </c>
      <c r="C87" s="103" t="n">
        <v>7805336.97725061</v>
      </c>
      <c r="D87" s="108" t="n">
        <v>5661804.816620985</v>
      </c>
      <c r="E87" s="108" t="n">
        <v>856145.5148446746</v>
      </c>
      <c r="F87" s="108" t="n">
        <v>2976690.81783515</v>
      </c>
      <c r="G87" s="108" t="n">
        <v>258568.3217194886</v>
      </c>
      <c r="H87" s="108" t="n">
        <v>824983.0572055249</v>
      </c>
      <c r="I87" s="108" t="n">
        <v>8175.599999999999</v>
      </c>
      <c r="J87" s="33" t="n">
        <v>2</v>
      </c>
    </row>
    <row r="88" ht="30" customHeight="1">
      <c r="A88" s="12" t="n">
        <v>68</v>
      </c>
      <c r="B88" s="12" t="n">
        <v>70</v>
      </c>
      <c r="C88" s="103" t="n">
        <v>7512083.68335177</v>
      </c>
      <c r="D88" s="108" t="n">
        <v>5419559.891934176</v>
      </c>
      <c r="E88" s="108" t="n">
        <v>613900.5901578655</v>
      </c>
      <c r="F88" s="108" t="n">
        <v>2902611.614772812</v>
      </c>
      <c r="G88" s="108" t="n">
        <v>184489.1186571508</v>
      </c>
      <c r="H88" s="108" t="n">
        <v>801912.223355219</v>
      </c>
      <c r="I88" s="108" t="n">
        <v>8175.599999999999</v>
      </c>
      <c r="J88" s="33" t="n">
        <v>3</v>
      </c>
    </row>
    <row r="89" ht="30" customHeight="1">
      <c r="A89" s="12" t="n">
        <v>69</v>
      </c>
      <c r="B89" s="12" t="n">
        <v>62</v>
      </c>
      <c r="C89" s="103" t="n">
        <v>8941605.21706618</v>
      </c>
      <c r="D89" s="108" t="n">
        <v>6674862.430134253</v>
      </c>
      <c r="E89" s="108" t="n">
        <v>1869203.128357942</v>
      </c>
      <c r="F89" s="108" t="n">
        <v>3292103.233900905</v>
      </c>
      <c r="G89" s="108" t="n">
        <v>573980.7377852439</v>
      </c>
      <c r="H89" s="108" t="n">
        <v>1002460.846968978</v>
      </c>
      <c r="I89" s="108" t="n">
        <v>22899.6</v>
      </c>
      <c r="J89" s="33" t="n">
        <v>7</v>
      </c>
    </row>
    <row r="90" ht="30" customHeight="1">
      <c r="A90" s="12" t="n">
        <v>69</v>
      </c>
      <c r="B90" s="12" t="n">
        <v>63</v>
      </c>
      <c r="C90" s="103" t="n">
        <v>8877128.118936677</v>
      </c>
      <c r="D90" s="108" t="n">
        <v>6623597.450330578</v>
      </c>
      <c r="E90" s="108" t="n">
        <v>1817938.148554267</v>
      </c>
      <c r="F90" s="108" t="n">
        <v>3259001.771288151</v>
      </c>
      <c r="G90" s="108" t="n">
        <v>540879.2751724902</v>
      </c>
      <c r="H90" s="108" t="n">
        <v>984738.7026820526</v>
      </c>
      <c r="I90" s="108" t="n">
        <v>20732.4</v>
      </c>
      <c r="J90" s="33" t="n">
        <v>7</v>
      </c>
    </row>
    <row r="91" ht="30" customHeight="1">
      <c r="A91" s="12" t="n">
        <v>69</v>
      </c>
      <c r="B91" s="12" t="n">
        <v>64</v>
      </c>
      <c r="C91" s="103" t="n">
        <v>8774318.485327775</v>
      </c>
      <c r="D91" s="108" t="n">
        <v>6537773.976653957</v>
      </c>
      <c r="E91" s="108" t="n">
        <v>1732114.674877646</v>
      </c>
      <c r="F91" s="108" t="n">
        <v>3226666.31675032</v>
      </c>
      <c r="G91" s="108" t="n">
        <v>508543.8206346589</v>
      </c>
      <c r="H91" s="108" t="n">
        <v>969389.4080765033</v>
      </c>
      <c r="I91" s="108" t="n">
        <v>20732.4</v>
      </c>
      <c r="J91" s="33" t="n">
        <v>7</v>
      </c>
    </row>
    <row r="92" ht="30" customHeight="1">
      <c r="A92" s="12" t="n">
        <v>69</v>
      </c>
      <c r="B92" s="12" t="n">
        <v>65</v>
      </c>
      <c r="C92" s="103" t="n">
        <v>8678265.624051405</v>
      </c>
      <c r="D92" s="108" t="n">
        <v>6456130.359646009</v>
      </c>
      <c r="E92" s="108" t="n">
        <v>1650471.057869699</v>
      </c>
      <c r="F92" s="108" t="n">
        <v>3194964.890732838</v>
      </c>
      <c r="G92" s="108" t="n">
        <v>476842.3946171771</v>
      </c>
      <c r="H92" s="108" t="n">
        <v>954264.4263274434</v>
      </c>
      <c r="I92" s="108" t="n">
        <v>18565.2</v>
      </c>
      <c r="J92" s="33" t="n">
        <v>7</v>
      </c>
    </row>
    <row r="93" ht="30" customHeight="1">
      <c r="A93" s="12" t="n">
        <v>69</v>
      </c>
      <c r="B93" s="12" t="n">
        <v>66</v>
      </c>
      <c r="C93" s="103" t="n">
        <v>8403649.002616018</v>
      </c>
      <c r="D93" s="108" t="n">
        <v>6203061.935363712</v>
      </c>
      <c r="E93" s="108" t="n">
        <v>1397402.633587401</v>
      </c>
      <c r="F93" s="108" t="n">
        <v>3114779.178950993</v>
      </c>
      <c r="G93" s="108" t="n">
        <v>396656.6828353321</v>
      </c>
      <c r="H93" s="108" t="n">
        <v>901682.1116986866</v>
      </c>
      <c r="I93" s="108" t="n">
        <v>12510</v>
      </c>
      <c r="J93" s="33" t="n">
        <v>6</v>
      </c>
    </row>
    <row r="94" ht="30" customHeight="1">
      <c r="A94" s="12" t="n">
        <v>69</v>
      </c>
      <c r="B94" s="12" t="n">
        <v>67</v>
      </c>
      <c r="C94" s="103" t="n">
        <v>8070027.864659651</v>
      </c>
      <c r="D94" s="108" t="n">
        <v>5896061.38203695</v>
      </c>
      <c r="E94" s="108" t="n">
        <v>1090402.08026064</v>
      </c>
      <c r="F94" s="108" t="n">
        <v>3036165.736027616</v>
      </c>
      <c r="G94" s="108" t="n">
        <v>318043.2399119544</v>
      </c>
      <c r="H94" s="108" t="n">
        <v>854023.6534049144</v>
      </c>
      <c r="I94" s="108" t="n">
        <v>8175.599999999999</v>
      </c>
      <c r="J94" s="33" t="n">
        <v>5</v>
      </c>
    </row>
    <row r="95" ht="30" customHeight="1">
      <c r="A95" s="12" t="n">
        <v>69</v>
      </c>
      <c r="B95" s="12" t="n">
        <v>68</v>
      </c>
      <c r="C95" s="103" t="n">
        <v>7752409.858031009</v>
      </c>
      <c r="D95" s="108" t="n">
        <v>5622351.668979274</v>
      </c>
      <c r="E95" s="108" t="n">
        <v>816692.3672029637</v>
      </c>
      <c r="F95" s="108" t="n">
        <v>2959093.73316156</v>
      </c>
      <c r="G95" s="108" t="n">
        <v>240971.2370458986</v>
      </c>
      <c r="H95" s="108" t="n">
        <v>820859.9441098245</v>
      </c>
      <c r="I95" s="108" t="n">
        <v>8175.599999999999</v>
      </c>
      <c r="J95" s="33" t="n">
        <v>4</v>
      </c>
    </row>
    <row r="96" ht="30" customHeight="1">
      <c r="A96" s="12" t="n">
        <v>69</v>
      </c>
      <c r="B96" s="12" t="n">
        <v>69</v>
      </c>
      <c r="C96" s="103" t="n">
        <v>7442841.457873152</v>
      </c>
      <c r="D96" s="108" t="n">
        <v>5364229.864524901</v>
      </c>
      <c r="E96" s="108" t="n">
        <v>558570.5627485905</v>
      </c>
      <c r="F96" s="108" t="n">
        <v>2883532.946037975</v>
      </c>
      <c r="G96" s="108" t="n">
        <v>165410.4499223139</v>
      </c>
      <c r="H96" s="108" t="n">
        <v>796745.7526897247</v>
      </c>
      <c r="I96" s="108" t="n">
        <v>8175.599999999999</v>
      </c>
      <c r="J96" s="33" t="n">
        <v>3</v>
      </c>
    </row>
    <row r="97" ht="30" customHeight="1">
      <c r="A97" s="12" t="n">
        <v>69</v>
      </c>
      <c r="B97" s="12" t="n">
        <v>70</v>
      </c>
      <c r="C97" s="103" t="n">
        <v>7142181.091545143</v>
      </c>
      <c r="D97" s="108" t="n">
        <v>5120148.496173501</v>
      </c>
      <c r="E97" s="108" t="n">
        <v>314489.1943971906</v>
      </c>
      <c r="F97" s="108" t="n">
        <v>2809453.742975637</v>
      </c>
      <c r="G97" s="108" t="n">
        <v>91331.24685997609</v>
      </c>
      <c r="H97" s="108" t="n">
        <v>779245.5476039958</v>
      </c>
      <c r="I97" s="108" t="n">
        <v>8175.599999999999</v>
      </c>
      <c r="J97" s="33" t="n">
        <v>2</v>
      </c>
    </row>
    <row r="98" ht="30" customHeight="1">
      <c r="A98" s="12" t="n">
        <v>70</v>
      </c>
      <c r="B98" s="12" t="n">
        <v>62</v>
      </c>
      <c r="C98" s="103" t="n">
        <v>8658394.239881124</v>
      </c>
      <c r="D98" s="108" t="n">
        <v>6412948.497214946</v>
      </c>
      <c r="E98" s="108" t="n">
        <v>1607289.195438636</v>
      </c>
      <c r="F98" s="108" t="n">
        <v>3202359.136392723</v>
      </c>
      <c r="G98" s="108" t="n">
        <v>484236.6402770616</v>
      </c>
      <c r="H98" s="108" t="n">
        <v>938348.193726546</v>
      </c>
      <c r="I98" s="108" t="n">
        <v>18565.2</v>
      </c>
      <c r="J98" s="33" t="n">
        <v>8</v>
      </c>
    </row>
    <row r="99" ht="30" customHeight="1">
      <c r="A99" s="12" t="n">
        <v>70</v>
      </c>
      <c r="B99" s="12" t="n">
        <v>63</v>
      </c>
      <c r="C99" s="103" t="n">
        <v>8591987.619948413</v>
      </c>
      <c r="D99" s="108" t="n">
        <v>6363555.127126317</v>
      </c>
      <c r="E99" s="108" t="n">
        <v>1557895.825350007</v>
      </c>
      <c r="F99" s="108" t="n">
        <v>3167787.484216573</v>
      </c>
      <c r="G99" s="108" t="n">
        <v>449664.988100912</v>
      </c>
      <c r="H99" s="108" t="n">
        <v>922956.9913944778</v>
      </c>
      <c r="I99" s="108" t="n">
        <v>16398</v>
      </c>
      <c r="J99" s="33" t="n">
        <v>8</v>
      </c>
    </row>
    <row r="100" ht="30" customHeight="1">
      <c r="A100" s="12" t="n">
        <v>70</v>
      </c>
      <c r="B100" s="12" t="n">
        <v>64</v>
      </c>
      <c r="C100" s="103" t="n">
        <v>8483553.1674059</v>
      </c>
      <c r="D100" s="108" t="n">
        <v>6275451.054626171</v>
      </c>
      <c r="E100" s="108" t="n">
        <v>1469791.752849861</v>
      </c>
      <c r="F100" s="108" t="n">
        <v>3135335.069890344</v>
      </c>
      <c r="G100" s="108" t="n">
        <v>417212.5737746828</v>
      </c>
      <c r="H100" s="108" t="n">
        <v>910834.9571106164</v>
      </c>
      <c r="I100" s="108" t="n">
        <v>16398</v>
      </c>
      <c r="J100" s="33" t="n">
        <v>8</v>
      </c>
    </row>
    <row r="101" ht="30" customHeight="1">
      <c r="A101" s="12" t="n">
        <v>70</v>
      </c>
      <c r="B101" s="12" t="n">
        <v>65</v>
      </c>
      <c r="C101" s="103" t="n">
        <v>8375589.283309713</v>
      </c>
      <c r="D101" s="108" t="n">
        <v>6188363.121940026</v>
      </c>
      <c r="E101" s="108" t="n">
        <v>1382703.820163716</v>
      </c>
      <c r="F101" s="108" t="n">
        <v>3103633.643872862</v>
      </c>
      <c r="G101" s="108" t="n">
        <v>385511.147757201</v>
      </c>
      <c r="H101" s="108" t="n">
        <v>900009.4825031764</v>
      </c>
      <c r="I101" s="108" t="n">
        <v>16398</v>
      </c>
      <c r="J101" s="33" t="n">
        <v>8</v>
      </c>
    </row>
    <row r="102" ht="30" customHeight="1">
      <c r="A102" s="12" t="n">
        <v>70</v>
      </c>
      <c r="B102" s="12" t="n">
        <v>66</v>
      </c>
      <c r="C102" s="103" t="n">
        <v>8034915.377894816</v>
      </c>
      <c r="D102" s="108" t="n">
        <v>5882689.149028091</v>
      </c>
      <c r="E102" s="108" t="n">
        <v>1077029.84725178</v>
      </c>
      <c r="F102" s="108" t="n">
        <v>3023447.932091017</v>
      </c>
      <c r="G102" s="108" t="n">
        <v>305325.435975356</v>
      </c>
      <c r="H102" s="108" t="n">
        <v>858711.7032242932</v>
      </c>
      <c r="I102" s="108" t="n">
        <v>12510</v>
      </c>
      <c r="J102" s="33" t="n">
        <v>7</v>
      </c>
    </row>
    <row r="103" ht="30" customHeight="1">
      <c r="A103" s="12" t="n">
        <v>70</v>
      </c>
      <c r="B103" s="12" t="n">
        <v>67</v>
      </c>
      <c r="C103" s="103" t="n">
        <v>7731300.190856881</v>
      </c>
      <c r="D103" s="108" t="n">
        <v>5615903.846093558</v>
      </c>
      <c r="E103" s="108" t="n">
        <v>810244.5443172473</v>
      </c>
      <c r="F103" s="108" t="n">
        <v>2944834.48916764</v>
      </c>
      <c r="G103" s="108" t="n">
        <v>226711.9930519788</v>
      </c>
      <c r="H103" s="108" t="n">
        <v>821262.5444043163</v>
      </c>
      <c r="I103" s="108" t="n">
        <v>8175.599999999999</v>
      </c>
      <c r="J103" s="33" t="n">
        <v>6</v>
      </c>
    </row>
    <row r="104" ht="30" customHeight="1">
      <c r="A104" s="12" t="n">
        <v>70</v>
      </c>
      <c r="B104" s="12" t="n">
        <v>68</v>
      </c>
      <c r="C104" s="103" t="n">
        <v>7405904.787109035</v>
      </c>
      <c r="D104" s="108" t="n">
        <v>5341525.244759813</v>
      </c>
      <c r="E104" s="108" t="n">
        <v>535865.9429835025</v>
      </c>
      <c r="F104" s="108" t="n">
        <v>2867762.486301584</v>
      </c>
      <c r="G104" s="108" t="n">
        <v>149639.9901859225</v>
      </c>
      <c r="H104" s="108" t="n">
        <v>795207.3439523621</v>
      </c>
      <c r="I104" s="108" t="n">
        <v>8175.599999999999</v>
      </c>
      <c r="J104" s="33" t="n">
        <v>5</v>
      </c>
    </row>
    <row r="105" ht="30" customHeight="1">
      <c r="A105" s="12" t="n">
        <v>70</v>
      </c>
      <c r="B105" s="12" t="n">
        <v>69</v>
      </c>
      <c r="C105" s="103" t="n">
        <v>7090425.639327687</v>
      </c>
      <c r="D105" s="108" t="n">
        <v>5083058.640918174</v>
      </c>
      <c r="E105" s="108" t="n">
        <v>277399.3391418634</v>
      </c>
      <c r="F105" s="108" t="n">
        <v>2792201.699177999</v>
      </c>
      <c r="G105" s="108" t="n">
        <v>74079.20306233782</v>
      </c>
      <c r="H105" s="108" t="n">
        <v>776659.1007684858</v>
      </c>
      <c r="I105" s="108" t="n">
        <v>8175.599999999999</v>
      </c>
      <c r="J105" s="33" t="n">
        <v>4</v>
      </c>
    </row>
    <row r="106" ht="30" customHeight="1">
      <c r="A106" s="112" t="n">
        <v>70</v>
      </c>
      <c r="B106" s="112" t="n">
        <v>70</v>
      </c>
      <c r="C106" s="113" t="n">
        <v>6785582.984096179</v>
      </c>
      <c r="D106" s="113" t="n">
        <v>4838560.608180672</v>
      </c>
      <c r="E106" s="113" t="n">
        <v>32901.3064043615</v>
      </c>
      <c r="F106" s="113" t="n">
        <v>2718122.496115661</v>
      </c>
      <c r="G106" s="113" t="n">
        <v>0</v>
      </c>
      <c r="H106" s="113" t="n">
        <v>762924.5202001551</v>
      </c>
      <c r="I106" s="113" t="n">
        <v>8175.599999999999</v>
      </c>
      <c r="J106" s="112" t="n">
        <v>3</v>
      </c>
    </row>
    <row r="107"/>
    <row r="108" ht="60" customHeight="1">
      <c r="A108" s="112" t="inlineStr">
        <is>
          <t>This sheet runs every husband/wife claiming-age pair from 62 through 70 through the projection engine. It does not use a static break-even table or a hard-coded age-70 answer. Results remain sensitive to the selected Roth policy, mortality assumptions, ACA/IRMAA interactions, and survivor-benefit settings.</t>
        </is>
      </c>
      <c r="B108" s="3" t="n"/>
      <c r="C108" s="3" t="n"/>
      <c r="D108" s="3" t="n"/>
      <c r="E108" s="3" t="n"/>
      <c r="F108" s="3" t="n"/>
      <c r="G108" s="3" t="n"/>
      <c r="H108" s="3" t="n"/>
      <c r="I108" s="3" t="n"/>
      <c r="J108" s="4" t="n"/>
    </row>
  </sheetData>
  <mergeCells count="10">
    <mergeCell ref="C4:J4"/>
    <mergeCell ref="A1:J1"/>
    <mergeCell ref="C7:J7"/>
    <mergeCell ref="C6:J6"/>
    <mergeCell ref="A3:J3"/>
    <mergeCell ref="A108:J108"/>
    <mergeCell ref="C5:J5"/>
    <mergeCell ref="A24:J24"/>
    <mergeCell ref="A10:J10"/>
    <mergeCell ref="C8:J8"/>
  </mergeCells>
  <pageMargins left="0.75" right="0.75" top="1" bottom="1" header="0.5" footer="0.5"/>
</worksheet>
</file>

<file path=xl/worksheets/sheet15.xml><?xml version="1.0" encoding="utf-8"?>
<worksheet xmlns="http://schemas.openxmlformats.org/spreadsheetml/2006/main">
  <sheetPr>
    <tabColor rgb="007030A0"/>
    <outlinePr summaryBelow="1" summaryRight="1"/>
    <pageSetUpPr/>
  </sheetPr>
  <dimension ref="A1:H14"/>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18" customHeight="1">
      <c r="A1" s="1" t="inlineStr">
        <is>
          <t>S-CORP vs LLC — ENTITY COMPARISON</t>
        </is>
      </c>
    </row>
    <row r="2" ht="18" customHeight="1">
      <c r="A2" s="5" t="inlineStr">
        <is>
          <t>Category</t>
        </is>
      </c>
      <c r="B2" s="3" t="n"/>
      <c r="C2" s="4" t="n"/>
      <c r="D2" s="10" t="inlineStr">
        <is>
          <t>S-Corporation (Current)</t>
        </is>
      </c>
      <c r="E2" s="3" t="n"/>
      <c r="F2" s="4" t="n"/>
      <c r="G2" s="17" t="inlineStr">
        <is>
          <t>LLC / Sole-Prop</t>
        </is>
      </c>
      <c r="H2" s="4" t="n"/>
    </row>
    <row r="3" ht="30" customHeight="1">
      <c r="A3" s="11" t="inlineStr">
        <is>
          <t>SE / Payroll Tax Base</t>
        </is>
      </c>
      <c r="B3" s="3" t="n"/>
      <c r="C3" s="4" t="n"/>
      <c r="D3" s="97" t="inlineStr">
        <is>
          <t>Salary only ($60,000/yr)</t>
        </is>
      </c>
      <c r="E3" s="3" t="n"/>
      <c r="F3" s="4" t="n"/>
      <c r="G3" s="97" t="inlineStr">
        <is>
          <t>Full net income (~$271,000/yr)</t>
        </is>
      </c>
      <c r="H3" s="4" t="n"/>
    </row>
    <row r="4" ht="15" customHeight="1">
      <c r="A4" s="11" t="inlineStr">
        <is>
          <t>SE Tax Savings vs SMLLC</t>
        </is>
      </c>
      <c r="B4" s="3" t="n"/>
      <c r="C4" s="4" t="n"/>
      <c r="D4" s="12" t="inlineStr">
        <is>
          <t>~$32,283/yr</t>
        </is>
      </c>
      <c r="E4" s="3" t="n"/>
      <c r="F4" s="4" t="n"/>
      <c r="G4" s="12" t="inlineStr">
        <is>
          <t>Baseline (max SE tax)</t>
        </is>
      </c>
      <c r="H4" s="4" t="n"/>
    </row>
    <row r="5" ht="15" customHeight="1">
      <c r="A5" s="11" t="inlineStr">
        <is>
          <t>QBI Deduction</t>
        </is>
      </c>
      <c r="B5" s="3" t="n"/>
      <c r="C5" s="4" t="n"/>
      <c r="D5" s="97" t="inlineStr">
        <is>
          <t>20% of W-2 wages + allocable basis</t>
        </is>
      </c>
      <c r="E5" s="3" t="n"/>
      <c r="F5" s="4" t="n"/>
      <c r="G5" s="97" t="inlineStr">
        <is>
          <t>20% of net income (simpler)</t>
        </is>
      </c>
      <c r="H5" s="4" t="n"/>
    </row>
    <row r="6" ht="15" customHeight="1">
      <c r="A6" s="11" t="inlineStr">
        <is>
          <t>Reasonable Compensation</t>
        </is>
      </c>
      <c r="B6" s="3" t="n"/>
      <c r="C6" s="4" t="n"/>
      <c r="D6" s="12" t="inlineStr">
        <is>
          <t>Required ($60,000 configured in the app)</t>
        </is>
      </c>
      <c r="E6" s="3" t="n"/>
      <c r="F6" s="4" t="n"/>
      <c r="G6" s="12" t="inlineStr">
        <is>
          <t>Not applicable</t>
        </is>
      </c>
      <c r="H6" s="4" t="n"/>
    </row>
    <row r="7" ht="15" customHeight="1">
      <c r="A7" s="11" t="inlineStr">
        <is>
          <t>Administrative Cost</t>
        </is>
      </c>
      <c r="B7" s="3" t="n"/>
      <c r="C7" s="4" t="n"/>
      <c r="D7" s="97" t="inlineStr">
        <is>
          <t>$1,500–$3,000/yr (payroll, returns)</t>
        </is>
      </c>
      <c r="E7" s="3" t="n"/>
      <c r="F7" s="4" t="n"/>
      <c r="G7" s="97" t="inlineStr">
        <is>
          <t>$200–$500/yr (simpler)</t>
        </is>
      </c>
      <c r="H7" s="4" t="n"/>
    </row>
    <row r="8" ht="15" customHeight="1">
      <c r="A8" s="11" t="inlineStr">
        <is>
          <t>Illinois Corp Surcharge</t>
        </is>
      </c>
      <c r="B8" s="3" t="n"/>
      <c r="C8" s="4" t="n"/>
      <c r="D8" s="12" t="inlineStr">
        <is>
          <t>1.5% on taxable income</t>
        </is>
      </c>
      <c r="E8" s="3" t="n"/>
      <c r="F8" s="4" t="n"/>
      <c r="G8" s="12" t="inlineStr">
        <is>
          <t>None</t>
        </is>
      </c>
      <c r="H8" s="4" t="n"/>
    </row>
    <row r="9" ht="15" customHeight="1">
      <c r="A9" s="11" t="inlineStr">
        <is>
          <t>SEHI Deduction</t>
        </is>
      </c>
      <c r="B9" s="3" t="n"/>
      <c r="C9" s="4" t="n"/>
      <c r="D9" s="97" t="inlineStr">
        <is>
          <t>Added to W-2 box 1; deducted via Sch 1</t>
        </is>
      </c>
      <c r="E9" s="3" t="n"/>
      <c r="F9" s="4" t="n"/>
      <c r="G9" s="97" t="inlineStr">
        <is>
          <t>Deducted directly on Sch 1</t>
        </is>
      </c>
      <c r="H9" s="4" t="n"/>
    </row>
    <row r="10" ht="15" customHeight="1">
      <c r="A10" s="11" t="inlineStr">
        <is>
          <t>Retirement Contributions</t>
        </is>
      </c>
      <c r="B10" s="3" t="n"/>
      <c r="C10" s="4" t="n"/>
      <c r="D10" s="12" t="inlineStr">
        <is>
          <t>Up to $70K total (employer + employee)</t>
        </is>
      </c>
      <c r="E10" s="3" t="n"/>
      <c r="F10" s="4" t="n"/>
      <c r="G10" s="12" t="inlineStr">
        <is>
          <t>Same cap</t>
        </is>
      </c>
      <c r="H10" s="4" t="n"/>
    </row>
    <row r="11" ht="15" customHeight="1">
      <c r="A11" s="11" t="inlineStr">
        <is>
          <t>Audit Risk</t>
        </is>
      </c>
      <c r="B11" s="3" t="n"/>
      <c r="C11" s="4" t="n"/>
      <c r="D11" s="97" t="inlineStr">
        <is>
          <t>Moderate (reasonable salary scrutiny)</t>
        </is>
      </c>
      <c r="E11" s="3" t="n"/>
      <c r="F11" s="4" t="n"/>
      <c r="G11" s="97" t="inlineStr">
        <is>
          <t>Higher SE income triggers</t>
        </is>
      </c>
      <c r="H11" s="4" t="n"/>
    </row>
    <row r="12" ht="30" customHeight="1">
      <c r="A12" s="92" t="inlineStr">
        <is>
          <t>Recommended at this income</t>
        </is>
      </c>
      <c r="B12" s="3" t="n"/>
      <c r="C12" s="4" t="n"/>
      <c r="D12" s="75" t="inlineStr">
        <is>
          <t>★ YES — net savings ~$29,783/yr</t>
        </is>
      </c>
      <c r="E12" s="3" t="n"/>
      <c r="F12" s="4" t="n"/>
      <c r="G12" s="74" t="inlineStr">
        <is>
          <t>Not recommended above $100K net income</t>
        </is>
      </c>
      <c r="H12" s="4" t="n"/>
    </row>
    <row r="13"/>
    <row r="14" ht="60" customHeight="1">
      <c r="A14" s="112" t="inlineStr">
        <is>
          <t>At $290,000 gross income with $60,000 reasonable salary, the S-Corp saves approximately $32,283 in payroll taxes less ~$2,500 in administrative overhead = net $29,783/yr benefit. Illinois 1.5% corporate surcharge applies on distributable income. Annuity PV/reserve figures elsewhere in the workbook are calibration-dependent and should be refreshed against current carrier illustrations before sale/replacement decisions.</t>
        </is>
      </c>
      <c r="B14" s="3" t="n"/>
      <c r="C14" s="3" t="n"/>
      <c r="D14" s="3" t="n"/>
      <c r="E14" s="3" t="n"/>
      <c r="F14" s="3" t="n"/>
      <c r="G14" s="3" t="n"/>
      <c r="H14" s="4" t="n"/>
    </row>
  </sheetData>
  <mergeCells count="35">
    <mergeCell ref="D2:F2"/>
    <mergeCell ref="G12:H12"/>
    <mergeCell ref="D11:F11"/>
    <mergeCell ref="G2:H2"/>
    <mergeCell ref="G11:H11"/>
    <mergeCell ref="A3:C3"/>
    <mergeCell ref="A1:H1"/>
    <mergeCell ref="A12:C12"/>
    <mergeCell ref="D7:F7"/>
    <mergeCell ref="G8:H8"/>
    <mergeCell ref="A2:C2"/>
    <mergeCell ref="G9:H9"/>
    <mergeCell ref="A5:C5"/>
    <mergeCell ref="G7:H7"/>
    <mergeCell ref="A8:C8"/>
    <mergeCell ref="D4:F4"/>
    <mergeCell ref="G10:H10"/>
    <mergeCell ref="D12:F12"/>
    <mergeCell ref="D3:F3"/>
    <mergeCell ref="D9:F9"/>
    <mergeCell ref="G6:H6"/>
    <mergeCell ref="A4:C4"/>
    <mergeCell ref="D8:F8"/>
    <mergeCell ref="G3:H3"/>
    <mergeCell ref="A10:C10"/>
    <mergeCell ref="D5:F5"/>
    <mergeCell ref="G5:H5"/>
    <mergeCell ref="A9:C9"/>
    <mergeCell ref="A14:H14"/>
    <mergeCell ref="D10:F10"/>
    <mergeCell ref="G4:H4"/>
    <mergeCell ref="A11:C11"/>
    <mergeCell ref="A6:C6"/>
    <mergeCell ref="A7:C7"/>
    <mergeCell ref="D6:F6"/>
  </mergeCells>
  <pageMargins left="0.75" right="0.75" top="1" bottom="1" header="0.5" footer="0.5"/>
</worksheet>
</file>

<file path=xl/worksheets/sheet16.xml><?xml version="1.0" encoding="utf-8"?>
<worksheet xmlns="http://schemas.openxmlformats.org/spreadsheetml/2006/main">
  <sheetPr>
    <tabColor rgb="007030A0"/>
    <outlinePr summaryBelow="1" summaryRight="1"/>
    <pageSetUpPr/>
  </sheetPr>
  <dimension ref="A1:H28"/>
  <sheetViews>
    <sheetView showGridLines="0" workbookViewId="0">
      <selection activeCell="A1" sqref="A1"/>
    </sheetView>
  </sheetViews>
  <sheetFormatPr baseColWidth="8" defaultRowHeight="15"/>
  <cols>
    <col width="16.1" customWidth="1" min="1" max="1"/>
    <col width="16.5" customWidth="1" min="2" max="2"/>
    <col width="16.5" customWidth="1" min="3" max="3"/>
    <col width="14.8" customWidth="1" min="4" max="4"/>
    <col width="16.5" customWidth="1" min="5" max="5"/>
    <col width="16.5" customWidth="1" min="6" max="6"/>
    <col width="10.6" customWidth="1" min="7" max="7"/>
    <col width="10.6" customWidth="1" min="8" max="8"/>
  </cols>
  <sheetData>
    <row r="1" ht="18" customHeight="1">
      <c r="A1" s="9" t="inlineStr">
        <is>
          <t>CHARITABLE GIVING — Cash vs DAF vs QCD</t>
        </is>
      </c>
    </row>
    <row r="2"/>
    <row r="3" ht="15" customHeight="1">
      <c r="A3" s="13" t="inlineStr">
        <is>
          <t>Giving Vehicle Comparison</t>
        </is>
      </c>
      <c r="B3" s="3" t="n"/>
      <c r="C3" s="3" t="n"/>
      <c r="D3" s="3" t="n"/>
      <c r="E3" s="3" t="n"/>
      <c r="F3" s="4" t="n"/>
    </row>
    <row r="4" ht="30" customHeight="1">
      <c r="A4" s="5" t="inlineStr">
        <is>
          <t>Vehicle</t>
        </is>
      </c>
      <c r="B4" s="5" t="inlineStr">
        <is>
          <t>Best Used When</t>
        </is>
      </c>
      <c r="C4" s="5" t="inlineStr">
        <is>
          <t>Tax Savings</t>
        </is>
      </c>
      <c r="D4" s="5" t="inlineStr">
        <is>
          <t>Net Cost to Donor</t>
        </is>
      </c>
      <c r="E4" s="5" t="inlineStr">
        <is>
          <t>Gross Value to Charity</t>
        </is>
      </c>
      <c r="F4" s="5" t="inlineStr">
        <is>
          <t>Recommended?</t>
        </is>
      </c>
    </row>
    <row r="5" ht="60" customHeight="1">
      <c r="A5" s="12" t="inlineStr">
        <is>
          <t>Cash / Check</t>
        </is>
      </c>
      <c r="B5" s="12" t="inlineStr">
        <is>
          <t>Always available; simple</t>
        </is>
      </c>
      <c r="C5" s="12" t="inlineStr">
        <is>
          <t>Deductible only if itemizing (SALT cap constrains)</t>
        </is>
      </c>
      <c r="D5" s="12" t="inlineStr">
        <is>
          <t>Dollar-for-dollar</t>
        </is>
      </c>
      <c r="E5" s="12" t="inlineStr">
        <is>
          <t>Full gift</t>
        </is>
      </c>
      <c r="F5" s="12" t="inlineStr">
        <is>
          <t>Secondary — use when already itemizing</t>
        </is>
      </c>
    </row>
    <row r="6" ht="75" customHeight="1">
      <c r="A6" s="12" t="inlineStr">
        <is>
          <t>Donor Advised Fund (DAF)</t>
        </is>
      </c>
      <c r="B6" s="12" t="inlineStr">
        <is>
          <t>High-income years; bunch 3-5 years of gifts into one year</t>
        </is>
      </c>
      <c r="C6" s="12" t="inlineStr">
        <is>
          <t>Full deduction in contribution year; invest tax-free; distribute over time</t>
        </is>
      </c>
      <c r="D6" s="12" t="inlineStr">
        <is>
          <t>Reduced by tax savings</t>
        </is>
      </c>
      <c r="E6" s="12" t="inlineStr">
        <is>
          <t>Full gift (potentially grown)</t>
        </is>
      </c>
      <c r="F6" s="75" t="inlineStr">
        <is>
          <t>★ PRIMARY — High-income years</t>
        </is>
      </c>
    </row>
    <row r="7" ht="75" customHeight="1">
      <c r="A7" s="12" t="inlineStr">
        <is>
          <t>QCD (from IRA)</t>
        </is>
      </c>
      <c r="B7" s="12" t="inlineStr">
        <is>
          <t>After RMD start age (2037 for Husband); up to $108K/person/yr</t>
        </is>
      </c>
      <c r="C7" s="12" t="inlineStr">
        <is>
          <t>Excluded from AGI entirely — bypasses SALT calculus; counts toward RMD</t>
        </is>
      </c>
      <c r="D7" s="12" t="inlineStr">
        <is>
          <t>Reduced by avoided tax</t>
        </is>
      </c>
      <c r="E7" s="12" t="inlineStr">
        <is>
          <t>Full gift direct to charity</t>
        </is>
      </c>
      <c r="F7" s="75" t="inlineStr">
        <is>
          <t>★ PRIMARY — 2037+</t>
        </is>
      </c>
    </row>
    <row r="8"/>
    <row r="9"/>
    <row r="10" ht="15" customHeight="1">
      <c r="A10" s="10" t="inlineStr">
        <is>
          <t>SALT-Cap Strategy by Phase</t>
        </is>
      </c>
      <c r="B10" s="3" t="n"/>
      <c r="C10" s="3" t="n"/>
      <c r="D10" s="3" t="n"/>
      <c r="E10" s="3" t="n"/>
      <c r="F10" s="4" t="n"/>
    </row>
    <row r="11" ht="30" customHeight="1">
      <c r="A11" s="11" t="inlineStr">
        <is>
          <t>Highest-income year</t>
        </is>
      </c>
      <c r="B11" s="12" t="inlineStr">
        <is>
          <t>Bundle 3 years of charitable giving into a DAF contribution. SALT cap is $40,400; likely itemizing. Deduction maximized.</t>
        </is>
      </c>
      <c r="C11" s="3" t="n"/>
      <c r="D11" s="3" t="n"/>
      <c r="E11" s="3" t="n"/>
      <c r="F11" s="4" t="n"/>
    </row>
    <row r="12" ht="30" customHeight="1">
      <c r="A12" s="11" t="inlineStr">
        <is>
          <t>Subsequent high-income years</t>
        </is>
      </c>
      <c r="B12" s="12" t="inlineStr">
        <is>
          <t>SALT cap $40,804–$41,624. Test itemize vs. standard each year. Continue DAF distributions as desired.</t>
        </is>
      </c>
      <c r="C12" s="3" t="n"/>
      <c r="D12" s="3" t="n"/>
      <c r="E12" s="3" t="n"/>
      <c r="F12" s="4" t="n"/>
    </row>
    <row r="13" ht="30" customHeight="1">
      <c r="A13" s="11" t="inlineStr">
        <is>
          <t>Pre-statutory-change year</t>
        </is>
      </c>
      <c r="B13" s="12" t="inlineStr">
        <is>
          <t>Consider a second large DAF contribution to capture high SALT cap before it reverts.</t>
        </is>
      </c>
      <c r="C13" s="3" t="n"/>
      <c r="D13" s="3" t="n"/>
      <c r="E13" s="3" t="n"/>
      <c r="F13" s="4" t="n"/>
    </row>
    <row r="14" ht="30" customHeight="1">
      <c r="A14" s="11" t="inlineStr">
        <is>
          <t>Post-statutory-change years</t>
        </is>
      </c>
      <c r="B14" s="12" t="inlineStr">
        <is>
          <t>Itemizing becomes less common. Standard deduction likely wins. Shift giving to QCDs when eligible.</t>
        </is>
      </c>
      <c r="C14" s="3" t="n"/>
      <c r="D14" s="3" t="n"/>
      <c r="E14" s="3" t="n"/>
      <c r="F14" s="4" t="n"/>
    </row>
    <row r="15" ht="30" customHeight="1">
      <c r="A15" s="11" t="inlineStr">
        <is>
          <t>2037+ (RMD Era)</t>
        </is>
      </c>
      <c r="B15" s="12" t="inlineStr">
        <is>
          <t>QCDs up to $108K/person/yr. Counts toward RMD, excluded from AGI. Optimal — no SALT impact at all.</t>
        </is>
      </c>
      <c r="C15" s="3" t="n"/>
      <c r="D15" s="3" t="n"/>
      <c r="E15" s="3" t="n"/>
      <c r="F15" s="4" t="n"/>
    </row>
    <row r="16"/>
    <row r="17"/>
    <row r="18" ht="15" customHeight="1">
      <c r="A18" s="13" t="inlineStr">
        <is>
          <t>DAF OPTIMIZATION — Recommended Contribution Amount &amp; Year</t>
        </is>
      </c>
      <c r="B18" s="3" t="n"/>
      <c r="C18" s="3" t="n"/>
      <c r="D18" s="3" t="n"/>
      <c r="E18" s="3" t="n"/>
      <c r="F18" s="4" t="n"/>
    </row>
    <row r="19" ht="30" customHeight="1">
      <c r="A19" s="5" t="inlineStr">
        <is>
          <t>Parameter</t>
        </is>
      </c>
      <c r="B19" s="4" t="n"/>
      <c r="C19" s="5" t="inlineStr">
        <is>
          <t>Recommended</t>
        </is>
      </c>
      <c r="D19" s="5" t="inlineStr">
        <is>
          <t>Current database setting</t>
        </is>
      </c>
      <c r="E19" s="5" t="inlineStr">
        <is>
          <t>Notes</t>
        </is>
      </c>
      <c r="F19" s="4" t="n"/>
    </row>
    <row r="20" ht="15" customHeight="1">
      <c r="A20" s="11" t="inlineStr">
        <is>
          <t>Toggle</t>
        </is>
      </c>
      <c r="B20" s="4" t="n"/>
      <c r="C20" s="114" t="inlineStr">
        <is>
          <t>TRUE</t>
        </is>
      </c>
      <c r="D20" s="75" t="inlineStr">
        <is>
          <t>False</t>
        </is>
      </c>
      <c r="E20" s="12" t="inlineStr">
        <is>
          <t>Enable DAF in Plan Data / System</t>
        </is>
      </c>
      <c r="F20" s="4" t="n"/>
    </row>
    <row r="21" ht="30" customHeight="1">
      <c r="A21" s="11" t="inlineStr">
        <is>
          <t>Contribution Year</t>
        </is>
      </c>
      <c r="B21" s="4" t="n"/>
      <c r="C21" s="114" t="inlineStr">
        <is>
          <t>2026</t>
        </is>
      </c>
      <c r="D21" s="112" t="inlineStr">
        <is>
          <t>2026</t>
        </is>
      </c>
      <c r="E21" s="12" t="inlineStr">
        <is>
          <t>Highest income year; max SALT headroom</t>
        </is>
      </c>
      <c r="F21" s="4" t="n"/>
    </row>
    <row r="22" ht="30" customHeight="1">
      <c r="A22" s="11" t="inlineStr">
        <is>
          <t>Contribution Amount</t>
        </is>
      </c>
      <c r="B22" s="4" t="n"/>
      <c r="C22" s="114" t="inlineStr">
        <is>
          <t>$20,000</t>
        </is>
      </c>
      <c r="D22" s="112" t="inlineStr">
        <is>
          <t>$20,000</t>
        </is>
      </c>
      <c r="E22" s="12" t="inlineStr">
        <is>
          <t>5 yrs × $4,000/yr avg; ≤ 60% AGI limit $156,600</t>
        </is>
      </c>
      <c r="F22" s="4" t="n"/>
    </row>
    <row r="23" ht="30" customHeight="1">
      <c r="A23" s="11" t="inlineStr">
        <is>
          <t>Est. Tax Savings</t>
        </is>
      </c>
      <c r="B23" s="4" t="n"/>
      <c r="C23" s="114" t="inlineStr">
        <is>
          <t>$4,800</t>
        </is>
      </c>
      <c r="D23" s="75" t="inlineStr">
        <is>
          <t>N/A</t>
        </is>
      </c>
      <c r="E23" s="12" t="inlineStr">
        <is>
          <t>At 24% marginal rate; actual depends on final AGI</t>
        </is>
      </c>
      <c r="F23" s="4" t="n"/>
    </row>
    <row r="24" ht="30" customHeight="1">
      <c r="A24" s="11" t="inlineStr">
        <is>
          <t>Annual Grant Amount</t>
        </is>
      </c>
      <c r="B24" s="4" t="n"/>
      <c r="C24" s="114" t="inlineStr">
        <is>
          <t>$4,000/yr</t>
        </is>
      </c>
      <c r="D24" s="112" t="inlineStr">
        <is>
          <t>$4,000/yr</t>
        </is>
      </c>
      <c r="E24" s="12" t="inlineStr">
        <is>
          <t>Replace ongoing charitable cash spending from DAF</t>
        </is>
      </c>
      <c r="F24" s="4" t="n"/>
    </row>
    <row r="25" ht="30" customHeight="1">
      <c r="A25" s="11" t="inlineStr">
        <is>
          <t>Grant Start Year</t>
        </is>
      </c>
      <c r="B25" s="4" t="n"/>
      <c r="C25" s="114" t="inlineStr">
        <is>
          <t>2027</t>
        </is>
      </c>
      <c r="D25" s="112" t="inlineStr">
        <is>
          <t>2027</t>
        </is>
      </c>
      <c r="E25" s="12" t="inlineStr">
        <is>
          <t>Begin distributing year after contribution</t>
        </is>
      </c>
      <c r="F25" s="4" t="n"/>
    </row>
    <row r="26" ht="15" customHeight="1">
      <c r="A26" s="11" t="inlineStr">
        <is>
          <t>Grant End Year</t>
        </is>
      </c>
      <c r="B26" s="4" t="n"/>
      <c r="C26" s="114" t="inlineStr">
        <is>
          <t>2031</t>
        </is>
      </c>
      <c r="D26" s="112" t="inlineStr">
        <is>
          <t>2031</t>
        </is>
      </c>
      <c r="E26" s="12" t="inlineStr">
        <is>
          <t>Spread over 5 years</t>
        </is>
      </c>
      <c r="F26" s="4" t="n"/>
    </row>
    <row r="27"/>
    <row r="28" ht="45" customHeight="1">
      <c r="A28" s="115" t="inlineStr">
        <is>
          <t>ACTION: To activate DAF, add these rows to Plan Data import/export under section=DAF, subsection=Settings: enabled=TRUE, contribution_amount=20,000, contribution_year=&lt;selected_year&gt;, annual_grant_amount=4,000, grant_start_year=2027, grant_end_year=2031</t>
        </is>
      </c>
      <c r="B28" s="3" t="n"/>
      <c r="C28" s="3" t="n"/>
      <c r="D28" s="3" t="n"/>
      <c r="E28" s="3" t="n"/>
      <c r="F28" s="4" t="n"/>
    </row>
  </sheetData>
  <mergeCells count="26">
    <mergeCell ref="A24:B24"/>
    <mergeCell ref="E24:F24"/>
    <mergeCell ref="E23:F23"/>
    <mergeCell ref="A18:F18"/>
    <mergeCell ref="A1:H1"/>
    <mergeCell ref="A3:F3"/>
    <mergeCell ref="B12:F12"/>
    <mergeCell ref="E20:F20"/>
    <mergeCell ref="A25:B25"/>
    <mergeCell ref="B11:F11"/>
    <mergeCell ref="E19:F19"/>
    <mergeCell ref="B14:F14"/>
    <mergeCell ref="B13:F13"/>
    <mergeCell ref="A26:B26"/>
    <mergeCell ref="A21:B21"/>
    <mergeCell ref="A10:F10"/>
    <mergeCell ref="A28:F28"/>
    <mergeCell ref="A23:B23"/>
    <mergeCell ref="E26:F26"/>
    <mergeCell ref="A22:B22"/>
    <mergeCell ref="A20:B20"/>
    <mergeCell ref="B15:F15"/>
    <mergeCell ref="A19:B19"/>
    <mergeCell ref="E25:F25"/>
    <mergeCell ref="E22:F22"/>
    <mergeCell ref="E21:F21"/>
  </mergeCells>
  <pageMargins left="0.75" right="0.75" top="1" bottom="1" header="0.5" footer="0.5"/>
</worksheet>
</file>

<file path=xl/worksheets/sheet17.xml><?xml version="1.0" encoding="utf-8"?>
<worksheet xmlns="http://schemas.openxmlformats.org/spreadsheetml/2006/main">
  <sheetPr>
    <tabColor rgb="007030A0"/>
    <outlinePr summaryBelow="1" summaryRight="1"/>
    <pageSetUpPr/>
  </sheetPr>
  <dimension ref="A1:H43"/>
  <sheetViews>
    <sheetView showGridLines="0" workbookViewId="0">
      <selection activeCell="A1" sqref="A1"/>
    </sheetView>
  </sheetViews>
  <sheetFormatPr baseColWidth="8" defaultRowHeight="15"/>
  <cols>
    <col width="20.6" customWidth="1" min="1" max="1"/>
    <col width="22.7" customWidth="1" min="2" max="2"/>
    <col width="12.4" customWidth="1" min="3" max="3"/>
    <col width="12.4" customWidth="1" min="4" max="4"/>
    <col width="12.4" customWidth="1" min="5" max="5"/>
    <col width="12.4" customWidth="1" min="6" max="6"/>
    <col width="12.4" customWidth="1" min="7" max="7"/>
    <col width="12.4" customWidth="1" min="8" max="8"/>
  </cols>
  <sheetData>
    <row r="1" ht="18" customHeight="1">
      <c r="A1" s="9" t="inlineStr">
        <is>
          <t>ESTATE &amp; LEGACY PLAN</t>
        </is>
      </c>
    </row>
    <row r="2"/>
    <row r="3" ht="15" customHeight="1">
      <c r="A3" s="13" t="inlineStr">
        <is>
          <t>Projected Gross Estate</t>
        </is>
      </c>
      <c r="B3" s="3" t="n"/>
      <c r="C3" s="3" t="n"/>
      <c r="D3" s="4" t="n"/>
    </row>
    <row r="4" ht="30" customHeight="1">
      <c r="A4" s="11" t="inlineStr">
        <is>
          <t>At First Death (2054)</t>
        </is>
      </c>
      <c r="B4" s="105" t="n">
        <v>4998447.910246454</v>
      </c>
    </row>
    <row r="5" ht="30" customHeight="1">
      <c r="A5" s="11" t="inlineStr">
        <is>
          <t>At Second Death (2056)</t>
        </is>
      </c>
      <c r="B5" s="105" t="n">
        <v>4805659.30177631</v>
      </c>
    </row>
    <row r="6"/>
    <row r="7" ht="15" customHeight="1">
      <c r="A7" s="10" t="inlineStr">
        <is>
          <t>Federal Estate Tax</t>
        </is>
      </c>
      <c r="B7" s="3" t="n"/>
      <c r="C7" s="3" t="n"/>
      <c r="D7" s="4" t="n"/>
    </row>
    <row r="8" ht="30" customHeight="1">
      <c r="A8" s="12" t="inlineStr">
        <is>
          <t>Federal Exemption (MFJ, OBBBA)</t>
        </is>
      </c>
      <c r="B8" s="103" t="n">
        <v>30000000</v>
      </c>
    </row>
    <row r="9" ht="30" customHeight="1">
      <c r="A9" s="12" t="inlineStr">
        <is>
          <t>Projected Estate at Second Death</t>
        </is>
      </c>
      <c r="B9" s="103" t="n">
        <v>4805659.30177631</v>
      </c>
    </row>
    <row r="10" ht="30" customHeight="1">
      <c r="A10" s="2" t="inlineStr">
        <is>
          <t>Est. Federal Estate Tax</t>
        </is>
      </c>
      <c r="B10" s="105" t="n">
        <v>0</v>
      </c>
    </row>
    <row r="11" ht="45" customHeight="1">
      <c r="A11" s="12" t="inlineStr">
        <is>
          <t>Note</t>
        </is>
      </c>
      <c r="B11" s="12" t="inlineStr">
        <is>
          <t>Estate well below $30M exemption — no federal tax likely</t>
        </is>
      </c>
    </row>
    <row r="12"/>
    <row r="13" ht="15" customHeight="1">
      <c r="A13" s="17" t="inlineStr">
        <is>
          <t>Illinois Estate Tax (At Second Death)</t>
        </is>
      </c>
      <c r="B13" s="3" t="n"/>
      <c r="C13" s="3" t="n"/>
      <c r="D13" s="4" t="n"/>
    </row>
    <row r="14" ht="15" customHeight="1">
      <c r="A14" s="12" t="inlineStr">
        <is>
          <t>IL Exemption</t>
        </is>
      </c>
      <c r="B14" s="103" t="n">
        <v>4000000</v>
      </c>
    </row>
    <row r="15" ht="30" customHeight="1">
      <c r="A15" s="12" t="inlineStr">
        <is>
          <t>Estate over IL Exemption</t>
        </is>
      </c>
      <c r="B15" s="103" t="n">
        <v>805659.3017763104</v>
      </c>
    </row>
    <row r="16" ht="45" customHeight="1">
      <c r="A16" s="2" t="inlineStr">
        <is>
          <t>Est. IL Estate Tax (cliff/interrelated calc)</t>
        </is>
      </c>
      <c r="B16" s="116" t="n">
        <v>338627.6304343565</v>
      </c>
    </row>
    <row r="17" ht="90" customHeight="1">
      <c r="A17" s="117" t="inlineStr">
        <is>
          <t>⚠ ACTION REQUIRED</t>
        </is>
      </c>
      <c r="B17" s="74" t="inlineStr">
        <is>
          <t>Estate may exceed $4M IL exemption. Consider: annual gifting, ILIT, charitable bequest, or credit-shelter/QTIP trust. Calculation uses the IL cliff/interrelated structure, not a tax-on-excess shortcut.</t>
        </is>
      </c>
    </row>
    <row r="18"/>
    <row r="19" ht="15" customHeight="1">
      <c r="A19" s="13" t="inlineStr">
        <is>
          <t>Gifting Strategy</t>
        </is>
      </c>
      <c r="B19" s="3" t="n"/>
      <c r="C19" s="3" t="n"/>
      <c r="D19" s="4" t="n"/>
    </row>
    <row r="20" ht="30" customHeight="1">
      <c r="A20" s="11" t="inlineStr">
        <is>
          <t>Annual Exclusion per Donee</t>
        </is>
      </c>
      <c r="B20" s="12" t="inlineStr">
        <is>
          <t>$19,000.0 per recipient (tax reference year, indexed)</t>
        </is>
      </c>
      <c r="C20" s="3" t="n"/>
      <c r="D20" s="4" t="n"/>
    </row>
    <row r="21" ht="15" customHeight="1">
      <c r="A21" s="11" t="inlineStr">
        <is>
          <t>Trust Type</t>
        </is>
      </c>
      <c r="B21" s="12" t="inlineStr">
        <is>
          <t>Revocable Living Trust</t>
        </is>
      </c>
      <c r="C21" s="3" t="n"/>
      <c r="D21" s="4" t="n"/>
    </row>
    <row r="22" ht="45" customHeight="1">
      <c r="A22" s="11" t="inlineStr">
        <is>
          <t>Step-Up in Basis</t>
        </is>
      </c>
      <c r="B22" s="12" t="inlineStr">
        <is>
          <t>Non-retirement assets (Trust, home, autos) receive step-up at death; IRAs/401k do NOT — heirs pay ordinary income</t>
        </is>
      </c>
      <c r="C22" s="3" t="n"/>
      <c r="D22" s="4" t="n"/>
    </row>
    <row r="23" ht="45" customHeight="1">
      <c r="A23" s="11" t="inlineStr">
        <is>
          <t>Recommended Actions</t>
        </is>
      </c>
      <c r="B23" s="12" t="inlineStr">
        <is>
          <t>Max annual gifts; consider Roth conversions to reduce taxable IRA inherited by heirs; review beneficiary designations annually</t>
        </is>
      </c>
      <c r="C23" s="3" t="n"/>
      <c r="D23" s="4" t="n"/>
    </row>
    <row r="24"/>
    <row r="25" ht="15" customHeight="1">
      <c r="A25" s="5" t="inlineStr">
        <is>
          <t>QTIP Trust  [DISABLED — enable in Plan Data / System]</t>
        </is>
      </c>
      <c r="B25" s="3" t="n"/>
      <c r="C25" s="3" t="n"/>
      <c r="D25" s="4" t="n"/>
    </row>
    <row r="26" ht="15" customHeight="1">
      <c r="A26" s="118" t="inlineStr">
        <is>
          <t>Status</t>
        </is>
      </c>
      <c r="B26" s="112" t="inlineStr">
        <is>
          <t>DISABLED — consider enabling</t>
        </is>
      </c>
      <c r="C26" s="3" t="n"/>
      <c r="D26" s="4" t="n"/>
    </row>
    <row r="27" ht="15" customHeight="1">
      <c r="A27" s="118" t="inlineStr">
        <is>
          <t>Funding Amount</t>
        </is>
      </c>
      <c r="B27" s="112" t="inlineStr">
        <is>
          <t>All remaining marital assets</t>
        </is>
      </c>
      <c r="C27" s="3" t="n"/>
      <c r="D27" s="4" t="n"/>
    </row>
    <row r="28" ht="45" customHeight="1">
      <c r="A28" s="118" t="inlineStr">
        <is>
          <t>Purpose</t>
        </is>
      </c>
      <c r="B28" s="112" t="inlineStr">
        <is>
          <t>Qualifies for unlimited marital deduction; surviving spouse receives all income; executor controls remainder beneficiaries</t>
        </is>
      </c>
      <c r="C28" s="3" t="n"/>
      <c r="D28" s="4" t="n"/>
    </row>
    <row r="29" ht="30" customHeight="1">
      <c r="A29" s="118" t="inlineStr">
        <is>
          <t>Manages Annuity</t>
        </is>
      </c>
      <c r="B29" s="112" t="inlineStr">
        <is>
          <t>YES — annuity income flows to QTIP trustee after first death</t>
        </is>
      </c>
      <c r="C29" s="3" t="n"/>
      <c r="D29" s="4" t="n"/>
    </row>
    <row r="30" ht="45" customHeight="1">
      <c r="A30" s="118" t="inlineStr">
        <is>
          <t>Tax Effect</t>
        </is>
      </c>
      <c r="B30" s="112" t="inlineStr">
        <is>
          <t>Defers estate tax on marital share to second death; QTIP assets included in survivor's gross estate</t>
        </is>
      </c>
      <c r="C30" s="3" t="n"/>
      <c r="D30" s="4" t="n"/>
    </row>
    <row r="31" ht="30" customHeight="1">
      <c r="A31" s="118" t="inlineStr">
        <is>
          <t>Key Requirement</t>
        </is>
      </c>
      <c r="B31" s="112" t="inlineStr">
        <is>
          <t>Executor must file QTIP election on Form 706 by estate tax return due date</t>
        </is>
      </c>
      <c r="C31" s="3" t="n"/>
      <c r="D31" s="4" t="n"/>
    </row>
    <row r="32" ht="15" customHeight="1">
      <c r="A32" s="118" t="inlineStr">
        <is>
          <t>Cost</t>
        </is>
      </c>
      <c r="B32" s="112" t="inlineStr">
        <is>
          <t>$3,000–$5,000 drafting; $1,000–$2,000/yr admin</t>
        </is>
      </c>
      <c r="C32" s="3" t="n"/>
      <c r="D32" s="4" t="n"/>
    </row>
    <row r="33"/>
    <row r="34" ht="15" customHeight="1">
      <c r="A34" s="20" t="inlineStr">
        <is>
          <t>Credit Shelter Trust (Bypass Trust)  [ENABLED]</t>
        </is>
      </c>
      <c r="B34" s="3" t="n"/>
      <c r="C34" s="3" t="n"/>
      <c r="D34" s="4" t="n"/>
    </row>
    <row r="35" ht="15" customHeight="1">
      <c r="A35" s="92" t="inlineStr">
        <is>
          <t>Status</t>
        </is>
      </c>
      <c r="B35" s="75" t="inlineStr">
        <is>
          <t>ENABLED — Credit Shelter Trust in place</t>
        </is>
      </c>
      <c r="C35" s="3" t="n"/>
      <c r="D35" s="4" t="n"/>
    </row>
    <row r="36" ht="15" customHeight="1">
      <c r="A36" s="92" t="inlineStr">
        <is>
          <t>Funding Amount</t>
        </is>
      </c>
      <c r="B36" s="75" t="inlineStr">
        <is>
          <t>$4,000,000 (= IL exemption amount)</t>
        </is>
      </c>
      <c r="C36" s="3" t="n"/>
      <c r="D36" s="4" t="n"/>
    </row>
    <row r="37" ht="30" customHeight="1">
      <c r="A37" s="92" t="inlineStr">
        <is>
          <t>Purpose</t>
        </is>
      </c>
      <c r="B37" s="75" t="inlineStr">
        <is>
          <t>Assets bypass survivor estate for IL purposes. Preserves the $4,000,000 IL exemption.</t>
        </is>
      </c>
      <c r="C37" s="3" t="n"/>
      <c r="D37" s="4" t="n"/>
    </row>
    <row r="38" ht="30" customHeight="1">
      <c r="A38" s="92" t="inlineStr">
        <is>
          <t>Projected IL Tax Saved</t>
        </is>
      </c>
      <c r="B38" s="75" t="inlineStr">
        <is>
          <t>~$320,000 (approx 8% avg rate on $4,000,000 bypass amount)</t>
        </is>
      </c>
      <c r="C38" s="3" t="n"/>
      <c r="D38" s="4" t="n"/>
    </row>
    <row r="39" ht="45" customHeight="1">
      <c r="A39" s="92" t="inlineStr">
        <is>
          <t>Mechanism</t>
        </is>
      </c>
      <c r="B39" s="75" t="inlineStr">
        <is>
          <t>First-to-die funds trust up to IL exemption; survivor has limited access (income, HEMS); remainder passes to heirs free of IL estate tax</t>
        </is>
      </c>
      <c r="C39" s="3" t="n"/>
      <c r="D39" s="4" t="n"/>
    </row>
    <row r="40" ht="30" customHeight="1">
      <c r="A40" s="92" t="inlineStr">
        <is>
          <t>Federal Effect</t>
        </is>
      </c>
      <c r="B40" s="75" t="inlineStr">
        <is>
          <t>No federal benefit (OBBBA $30M exemption covers this estate); pure IL tax play</t>
        </is>
      </c>
      <c r="C40" s="3" t="n"/>
      <c r="D40" s="4" t="n"/>
    </row>
    <row r="41" ht="30" customHeight="1">
      <c r="A41" s="92" t="inlineStr">
        <is>
          <t>Portability</t>
        </is>
      </c>
      <c r="B41" s="75" t="inlineStr">
        <is>
          <t>Illinois has NO portability — unused exemption at first death is LOST without this trust</t>
        </is>
      </c>
      <c r="C41" s="3" t="n"/>
      <c r="D41" s="4" t="n"/>
    </row>
    <row r="42" ht="30" customHeight="1">
      <c r="A42" s="92" t="inlineStr">
        <is>
          <t>Cost</t>
        </is>
      </c>
      <c r="B42" s="75" t="inlineStr">
        <is>
          <t>$3,000–$5,000 drafting; trustee fees ~0.5%/yr on trust assets</t>
        </is>
      </c>
      <c r="C42" s="3" t="n"/>
      <c r="D42" s="4" t="n"/>
    </row>
    <row r="43" ht="30" customHeight="1">
      <c r="A43" s="119" t="inlineStr">
        <is>
          <t>Recommendation</t>
        </is>
      </c>
      <c r="B43" s="119" t="inlineStr">
        <is>
          <t>STRONGLY RECOMMENDED — potential $320,000 IL estate tax savings</t>
        </is>
      </c>
      <c r="C43" s="3" t="n"/>
      <c r="D43" s="4" t="n"/>
    </row>
  </sheetData>
  <mergeCells count="27">
    <mergeCell ref="B42:D42"/>
    <mergeCell ref="B23:D23"/>
    <mergeCell ref="A19:D19"/>
    <mergeCell ref="A1:H1"/>
    <mergeCell ref="B29:D29"/>
    <mergeCell ref="B38:D38"/>
    <mergeCell ref="A13:D13"/>
    <mergeCell ref="B28:D28"/>
    <mergeCell ref="B37:D37"/>
    <mergeCell ref="A34:D34"/>
    <mergeCell ref="B40:D40"/>
    <mergeCell ref="B30:D30"/>
    <mergeCell ref="B20:D20"/>
    <mergeCell ref="B36:D36"/>
    <mergeCell ref="B41:D41"/>
    <mergeCell ref="B32:D32"/>
    <mergeCell ref="B35:D35"/>
    <mergeCell ref="B26:D26"/>
    <mergeCell ref="A7:D7"/>
    <mergeCell ref="A25:D25"/>
    <mergeCell ref="B31:D31"/>
    <mergeCell ref="B22:D22"/>
    <mergeCell ref="A3:D3"/>
    <mergeCell ref="B27:D27"/>
    <mergeCell ref="B21:D21"/>
    <mergeCell ref="B43:D43"/>
    <mergeCell ref="B39:D39"/>
  </mergeCells>
  <pageMargins left="0.75" right="0.75" top="1" bottom="1" header="0.5" footer="0.5"/>
</worksheet>
</file>

<file path=xl/worksheets/sheet18.xml><?xml version="1.0" encoding="utf-8"?>
<worksheet xmlns="http://schemas.openxmlformats.org/spreadsheetml/2006/main">
  <sheetPr>
    <tabColor rgb="007030A0"/>
    <outlinePr summaryBelow="1" summaryRight="1"/>
    <pageSetUpPr/>
  </sheetPr>
  <dimension ref="A1:J29"/>
  <sheetViews>
    <sheetView showGridLines="0" workbookViewId="0">
      <pane ySplit="10" topLeftCell="A11" activePane="bottomLeft" state="frozen"/>
      <selection pane="bottomLeft" activeCell="A1" sqref="A1"/>
    </sheetView>
  </sheetViews>
  <sheetFormatPr baseColWidth="8" defaultRowHeight="15"/>
  <cols>
    <col width="13.9" customWidth="1" min="1" max="1"/>
    <col width="16.4" customWidth="1" min="2" max="2"/>
    <col width="13.5" customWidth="1" min="3" max="3"/>
    <col width="9.4" customWidth="1" min="4" max="4"/>
    <col width="9.699999999999999" customWidth="1" min="5" max="5"/>
    <col width="9.699999999999999" customWidth="1" min="6" max="6"/>
    <col width="9.699999999999999" customWidth="1" min="7" max="7"/>
    <col width="9.699999999999999" customWidth="1" min="8" max="8"/>
    <col width="9.699999999999999" customWidth="1" min="9" max="9"/>
    <col width="16.4" customWidth="1" min="10" max="10"/>
  </cols>
  <sheetData>
    <row r="1" ht="18" customHeight="1">
      <c r="A1" s="69" t="inlineStr">
        <is>
          <t>2H. PLANNING LEVERS / SENSITIVITY DASHBOARD</t>
        </is>
      </c>
    </row>
    <row r="2"/>
    <row r="3" ht="30" customHeight="1">
      <c r="A3" s="120" t="inlineStr">
        <is>
          <t>Use this worksheet to screen changes before changing actual Plan Data and rebuilding. Yellow cells are editable test assumptions; results are directional estimates only.</t>
        </is>
      </c>
      <c r="B3" s="3" t="n"/>
      <c r="C3" s="3" t="n"/>
      <c r="D3" s="3" t="n"/>
      <c r="E3" s="3" t="n"/>
      <c r="F3" s="3" t="n"/>
      <c r="G3" s="3" t="n"/>
      <c r="H3" s="3" t="n"/>
      <c r="I3" s="3" t="n"/>
      <c r="J3" s="4" t="n"/>
    </row>
    <row r="4"/>
    <row r="5" ht="15" customHeight="1">
      <c r="A5" s="5" t="inlineStr">
        <is>
          <t>Current model anchor</t>
        </is>
      </c>
      <c r="B5" s="4" t="n"/>
    </row>
    <row r="6" ht="30" customHeight="1">
      <c r="A6" s="121" t="inlineStr">
        <is>
          <t>Terminal net worth</t>
        </is>
      </c>
      <c r="B6" s="103" t="n">
        <v>4805659.30177631</v>
      </c>
    </row>
    <row r="7" ht="30" customHeight="1">
      <c r="A7" s="121" t="inlineStr">
        <is>
          <t>Monte Carlo success</t>
        </is>
      </c>
      <c r="B7" s="70" t="n">
        <v>0.6875</v>
      </c>
    </row>
    <row r="8" ht="30" customHeight="1">
      <c r="A8" s="121" t="inlineStr">
        <is>
          <t>Core annual spending</t>
        </is>
      </c>
      <c r="B8" s="103" t="n">
        <v>154158</v>
      </c>
    </row>
    <row r="9" ht="30" customHeight="1">
      <c r="A9" s="121" t="inlineStr">
        <is>
          <t>Earned income assumption</t>
        </is>
      </c>
      <c r="B9" s="103" t="n">
        <v>290000</v>
      </c>
    </row>
    <row r="10" ht="30" customHeight="1">
      <c r="A10" s="121" t="inlineStr">
        <is>
          <t>Remaining plan years</t>
        </is>
      </c>
      <c r="B10" s="122" t="n">
        <v>31</v>
      </c>
    </row>
    <row r="11"/>
    <row r="12" ht="30" customHeight="1">
      <c r="A12" s="5" t="inlineStr">
        <is>
          <t>Focus</t>
        </is>
      </c>
      <c r="B12" s="5" t="inlineStr">
        <is>
          <t>Lever</t>
        </is>
      </c>
      <c r="C12" s="5" t="inlineStr">
        <is>
          <t>Source Section</t>
        </is>
      </c>
      <c r="D12" s="5" t="inlineStr">
        <is>
          <t>Test Amount</t>
        </is>
      </c>
      <c r="E12" s="5" t="inlineStr">
        <is>
          <t>Unit</t>
        </is>
      </c>
      <c r="F12" s="5" t="inlineStr">
        <is>
          <t>Estimated Δ TNW</t>
        </is>
      </c>
      <c r="G12" s="5" t="inlineStr">
        <is>
          <t>Estimated Δ Success</t>
        </is>
      </c>
      <c r="H12" s="5" t="inlineStr">
        <is>
          <t>TNW Rank</t>
        </is>
      </c>
      <c r="I12" s="5" t="inlineStr">
        <is>
          <t>Success Rank</t>
        </is>
      </c>
      <c r="J12" s="5" t="inlineStr">
        <is>
          <t>Guidance</t>
        </is>
      </c>
    </row>
    <row r="13" ht="75" customHeight="1">
      <c r="A13" s="12" t="inlineStr">
        <is>
          <t>TNW</t>
        </is>
      </c>
      <c r="B13" s="2" t="inlineStr">
        <is>
          <t>Reduce recurring/core spending</t>
        </is>
      </c>
      <c r="C13" s="12" t="inlineStr">
        <is>
          <t>Spending Categories</t>
        </is>
      </c>
      <c r="D13" s="123" t="n">
        <v>10000</v>
      </c>
      <c r="E13" s="12" t="inlineStr">
        <is>
          <t>$/year</t>
        </is>
      </c>
      <c r="F13" s="103">
        <f>D13*$B$10*0.55</f>
        <v/>
      </c>
      <c r="G13" s="70">
        <f>MIN(0.30,MAX(-0.30,(D13/MAX(1,$B$8))*0.25))</f>
        <v/>
      </c>
      <c r="H13" s="122">
        <f>RANK.EQ(F13,$F$13:$F$22,0)</f>
        <v/>
      </c>
      <c r="I13" s="122">
        <f>RANK.EQ(G13,$G$13:$G$22,0)</f>
        <v/>
      </c>
      <c r="J13" s="124" t="inlineStr">
        <is>
          <t>Improves both TNW and success by lowering annual withdrawals.</t>
        </is>
      </c>
    </row>
    <row r="14" ht="75" customHeight="1">
      <c r="A14" s="12" t="inlineStr">
        <is>
          <t>TNW</t>
        </is>
      </c>
      <c r="B14" s="2" t="inlineStr">
        <is>
          <t>Work longer / retire later</t>
        </is>
      </c>
      <c r="C14" s="12" t="inlineStr">
        <is>
          <t>Retirement Timing</t>
        </is>
      </c>
      <c r="D14" s="125" t="n">
        <v>1</v>
      </c>
      <c r="E14" s="12" t="inlineStr">
        <is>
          <t>years</t>
        </is>
      </c>
      <c r="F14" s="103">
        <f>D14*($B$9*0.45+$B$8*0.25)</f>
        <v/>
      </c>
      <c r="G14" s="70">
        <f>MIN(0.30,MAX(-0.30,D14*0.08))</f>
        <v/>
      </c>
      <c r="H14" s="122">
        <f>RANK.EQ(F14,$F$13:$F$22,0)</f>
        <v/>
      </c>
      <c r="I14" s="122">
        <f>RANK.EQ(G14,$G$13:$G$22,0)</f>
        <v/>
      </c>
      <c r="J14" s="124" t="inlineStr">
        <is>
          <t>Usually the strongest lever because it adds income and delays withdrawals.</t>
        </is>
      </c>
    </row>
    <row r="15" ht="75" customHeight="1">
      <c r="A15" s="12" t="inlineStr">
        <is>
          <t>TNW</t>
        </is>
      </c>
      <c r="B15" s="2" t="inlineStr">
        <is>
          <t>Cut or delay large discretionary spending</t>
        </is>
      </c>
      <c r="C15" s="12" t="inlineStr">
        <is>
          <t>Large Discretionary</t>
        </is>
      </c>
      <c r="D15" s="123" t="n">
        <v>25000</v>
      </c>
      <c r="E15" s="12" t="inlineStr">
        <is>
          <t>$ one-time</t>
        </is>
      </c>
      <c r="F15" s="103">
        <f>D15</f>
        <v/>
      </c>
      <c r="G15" s="70">
        <f>MIN(0.30,MAX(-0.30,(D15/MAX(1,$B$8))*0.04))</f>
        <v/>
      </c>
      <c r="H15" s="122">
        <f>RANK.EQ(F15,$F$13:$F$22,0)</f>
        <v/>
      </c>
      <c r="I15" s="122">
        <f>RANK.EQ(G15,$G$13:$G$22,0)</f>
        <v/>
      </c>
      <c r="J15" s="124" t="inlineStr">
        <is>
          <t>Directly preserves liquidity and compounding capital.</t>
        </is>
      </c>
    </row>
    <row r="16" ht="75" customHeight="1">
      <c r="A16" s="12" t="inlineStr">
        <is>
          <t>TNW</t>
        </is>
      </c>
      <c r="B16" s="2" t="inlineStr">
        <is>
          <t>Preserve annual S-Corp tax advantage</t>
        </is>
      </c>
      <c r="C16" s="12" t="inlineStr">
        <is>
          <t>Entity &amp; Charitable</t>
        </is>
      </c>
      <c r="D16" s="123" t="n">
        <v>29000</v>
      </c>
      <c r="E16" s="12" t="inlineStr">
        <is>
          <t>$/year</t>
        </is>
      </c>
      <c r="F16" s="103">
        <f>D16*MIN(5,$B$10)*0.9</f>
        <v/>
      </c>
      <c r="G16" s="70">
        <f>MIN(0.30,MAX(-0.30,(D16/MAX(1,$B$8))*0.03))</f>
        <v/>
      </c>
      <c r="H16" s="122">
        <f>RANK.EQ(F16,$F$13:$F$22,0)</f>
        <v/>
      </c>
      <c r="I16" s="122">
        <f>RANK.EQ(G16,$G$13:$G$22,0)</f>
        <v/>
      </c>
      <c r="J16" s="124" t="inlineStr">
        <is>
          <t>Use the S-Corp vs LLC optimizer result if the actual benefit differs.</t>
        </is>
      </c>
    </row>
    <row r="17" ht="75" customHeight="1">
      <c r="A17" s="12" t="inlineStr">
        <is>
          <t>TNW</t>
        </is>
      </c>
      <c r="B17" s="2" t="inlineStr">
        <is>
          <t>Roth/tax optimization savings</t>
        </is>
      </c>
      <c r="C17" s="12" t="inlineStr">
        <is>
          <t>Roth Conversion</t>
        </is>
      </c>
      <c r="D17" s="123" t="n">
        <v>50000</v>
      </c>
      <c r="E17" s="12" t="inlineStr">
        <is>
          <t>$ total</t>
        </is>
      </c>
      <c r="F17" s="103">
        <f>D17</f>
        <v/>
      </c>
      <c r="G17" s="70">
        <f>0</f>
        <v/>
      </c>
      <c r="H17" s="122">
        <f>RANK.EQ(F17,$F$13:$F$22,0)</f>
        <v/>
      </c>
      <c r="I17" s="122">
        <f>RANK.EQ(G17,$G$13:$G$22,0)</f>
        <v/>
      </c>
      <c r="J17" s="124" t="inlineStr">
        <is>
          <t>Improves after-tax legacy; confirm near-term liquidity does not fall.</t>
        </is>
      </c>
    </row>
    <row r="18" ht="75" customHeight="1">
      <c r="A18" s="12" t="inlineStr">
        <is>
          <t>TNW</t>
        </is>
      </c>
      <c r="B18" s="2" t="inlineStr">
        <is>
          <t>Improve return without raising volatility</t>
        </is>
      </c>
      <c r="C18" s="12" t="inlineStr">
        <is>
          <t>Asset Allocation</t>
        </is>
      </c>
      <c r="D18" s="125" t="n">
        <v>25</v>
      </c>
      <c r="E18" s="12" t="inlineStr">
        <is>
          <t>bps/year</t>
        </is>
      </c>
      <c r="F18" s="103">
        <f>$B$6*(D18/10000)*$B$10*0.35</f>
        <v/>
      </c>
      <c r="G18" s="70">
        <f>MIN(0.30,MAX(-0.30,(D18/25)*0.01))</f>
        <v/>
      </c>
      <c r="H18" s="122">
        <f>RANK.EQ(F18,$F$13:$F$22,0)</f>
        <v/>
      </c>
      <c r="I18" s="122">
        <f>RANK.EQ(G18,$G$13:$G$22,0)</f>
        <v/>
      </c>
      <c r="J18" s="124" t="inlineStr">
        <is>
          <t>Only positive if volatility does not rise enough to reduce success.</t>
        </is>
      </c>
    </row>
    <row r="19" ht="75" customHeight="1">
      <c r="A19" s="12" t="inlineStr">
        <is>
          <t>Success</t>
        </is>
      </c>
      <c r="B19" s="2" t="inlineStr">
        <is>
          <t>Dedicated liquidity reserve</t>
        </is>
      </c>
      <c r="C19" s="12" t="inlineStr">
        <is>
          <t>Cash Reserves</t>
        </is>
      </c>
      <c r="D19" s="123" t="n">
        <v>50000</v>
      </c>
      <c r="E19" s="12" t="inlineStr">
        <is>
          <t>$ reserve</t>
        </is>
      </c>
      <c r="F19" s="103">
        <f>0</f>
        <v/>
      </c>
      <c r="G19" s="70">
        <f>MIN(0.30,MAX(-0.30,(D19/MAX(1,$B$8))*0.08))</f>
        <v/>
      </c>
      <c r="H19" s="122">
        <f>RANK.EQ(F19,$F$13:$F$22,0)</f>
        <v/>
      </c>
      <c r="I19" s="122">
        <f>RANK.EQ(G19,$G$13:$G$22,0)</f>
        <v/>
      </c>
      <c r="J19" s="124" t="inlineStr">
        <is>
          <t>Reduces forced selling after poor early returns.</t>
        </is>
      </c>
    </row>
    <row r="20" ht="75" customHeight="1">
      <c r="A20" s="12" t="inlineStr">
        <is>
          <t>Success</t>
        </is>
      </c>
      <c r="B20" s="2" t="inlineStr">
        <is>
          <t>Home-equity backstop</t>
        </is>
      </c>
      <c r="C20" s="12" t="inlineStr">
        <is>
          <t>Housing</t>
        </is>
      </c>
      <c r="D20" s="123" t="n">
        <v>250000</v>
      </c>
      <c r="E20" s="12" t="inlineStr">
        <is>
          <t>$ available</t>
        </is>
      </c>
      <c r="F20" s="103">
        <f>0</f>
        <v/>
      </c>
      <c r="G20" s="70">
        <f>MIN(0.30,MAX(-0.30,(D20/MAX(1,$B$8))*0.06))</f>
        <v/>
      </c>
      <c r="H20" s="122">
        <f>RANK.EQ(F20,$F$13:$F$22,0)</f>
        <v/>
      </c>
      <c r="I20" s="122">
        <f>RANK.EQ(G20,$G$13:$G$22,0)</f>
        <v/>
      </c>
      <c r="J20" s="124" t="inlineStr">
        <is>
          <t>Improves success only if there is a real access plan.</t>
        </is>
      </c>
    </row>
    <row r="21" ht="75" customHeight="1">
      <c r="A21" s="12" t="inlineStr">
        <is>
          <t>Success</t>
        </is>
      </c>
      <c r="B21" s="2" t="inlineStr">
        <is>
          <t>Dynamic spending guardrail</t>
        </is>
      </c>
      <c r="C21" s="12" t="inlineStr">
        <is>
          <t>Spending Categories</t>
        </is>
      </c>
      <c r="D21" s="125" t="n">
        <v>10</v>
      </c>
      <c r="E21" s="12" t="inlineStr">
        <is>
          <t>% cut in bad markets</t>
        </is>
      </c>
      <c r="F21" s="103">
        <f>$B$8*(D21/100)*$B$10*0.25</f>
        <v/>
      </c>
      <c r="G21" s="70">
        <f>MIN(0.30,MAX(-0.30,D21*0.006))</f>
        <v/>
      </c>
      <c r="H21" s="122">
        <f>RANK.EQ(F21,$F$13:$F$22,0)</f>
        <v/>
      </c>
      <c r="I21" s="122">
        <f>RANK.EQ(G21,$G$13:$G$22,0)</f>
        <v/>
      </c>
      <c r="J21" s="124" t="inlineStr">
        <is>
          <t>Flexing discretionary spending after poor markets is often high impact.</t>
        </is>
      </c>
    </row>
    <row r="22" ht="75" customHeight="1">
      <c r="A22" s="12" t="inlineStr">
        <is>
          <t>Success</t>
        </is>
      </c>
      <c r="B22" s="2" t="inlineStr">
        <is>
          <t>LTC / catastrophic-care protection</t>
        </is>
      </c>
      <c r="C22" s="12" t="inlineStr">
        <is>
          <t>Insurance &amp; LTC Policies</t>
        </is>
      </c>
      <c r="D22" s="123" t="n">
        <v>250000</v>
      </c>
      <c r="E22" s="12" t="inlineStr">
        <is>
          <t>$ coverage</t>
        </is>
      </c>
      <c r="F22" s="103">
        <f>-D22*0.05</f>
        <v/>
      </c>
      <c r="G22" s="70">
        <f>MIN(0.30,MAX(-0.30,(D22/MAX(1,$B$8))*0.04))</f>
        <v/>
      </c>
      <c r="H22" s="122">
        <f>RANK.EQ(F22,$F$13:$F$22,0)</f>
        <v/>
      </c>
      <c r="I22" s="122">
        <f>RANK.EQ(G22,$G$13:$G$22,0)</f>
        <v/>
      </c>
      <c r="J22" s="124" t="inlineStr">
        <is>
          <t>May lower expected TNW slightly, but protects downside paths.</t>
        </is>
      </c>
    </row>
    <row r="23"/>
    <row r="24"/>
    <row r="25" ht="15" customHeight="1">
      <c r="A25" s="69" t="inlineStr">
        <is>
          <t>HOW TO USE</t>
        </is>
      </c>
    </row>
    <row r="26" ht="15" customHeight="1">
      <c r="A26" s="126" t="inlineStr">
        <is>
          <t>1. Change a yellow test amount to screen sensitivity.</t>
        </is>
      </c>
    </row>
    <row r="27" ht="15" customHeight="1">
      <c r="A27" s="126" t="inlineStr">
        <is>
          <t>2. If the lever looks material, change the actual Plan Data or Optimizer input in the UI.</t>
        </is>
      </c>
    </row>
    <row r="28" ht="15" customHeight="1">
      <c r="A28" s="126" t="inlineStr">
        <is>
          <t>3. Rebuild outputs and compare measured Δ TNW and Δ success in Build Impact.</t>
        </is>
      </c>
    </row>
    <row r="29" ht="30" customHeight="1">
      <c r="A29" s="126" t="inlineStr">
        <is>
          <t>4. Do not accept TNW improvements that materially reduce probability of success unless that risk tradeoff is intentional.</t>
        </is>
      </c>
    </row>
  </sheetData>
  <mergeCells count="8">
    <mergeCell ref="A27:J27"/>
    <mergeCell ref="A3:J3"/>
    <mergeCell ref="A5:B5"/>
    <mergeCell ref="A1:I1"/>
    <mergeCell ref="A28:J28"/>
    <mergeCell ref="A29:J29"/>
    <mergeCell ref="A26:J26"/>
    <mergeCell ref="A25:J25"/>
  </mergeCells>
  <pageMargins left="0.75" right="0.75" top="1" bottom="1" header="0.5" footer="0.5"/>
</worksheet>
</file>

<file path=xl/worksheets/sheet19.xml><?xml version="1.0" encoding="utf-8"?>
<worksheet xmlns="http://schemas.openxmlformats.org/spreadsheetml/2006/main">
  <sheetPr>
    <tabColor rgb="00C00000"/>
    <outlinePr summaryBelow="1" summaryRight="1"/>
    <pageSetUpPr/>
  </sheetPr>
  <dimension ref="A1:H10"/>
  <sheetViews>
    <sheetView showGridLines="0" workbookViewId="0">
      <selection activeCell="A1" sqref="A1"/>
    </sheetView>
  </sheetViews>
  <sheetFormatPr baseColWidth="8" defaultRowHeight="15"/>
  <cols>
    <col width="15" customWidth="1" min="1" max="1"/>
    <col width="14" customWidth="1" min="2" max="2"/>
    <col width="17" customWidth="1" min="3" max="3"/>
    <col width="14" customWidth="1" min="4" max="4"/>
    <col width="14" customWidth="1" min="5" max="5"/>
    <col width="14" customWidth="1" min="6" max="6"/>
    <col width="14" customWidth="1" min="7" max="7"/>
    <col width="14" customWidth="1" min="8" max="8"/>
  </cols>
  <sheetData>
    <row r="1" ht="18" customHeight="1">
      <c r="A1" s="43" t="inlineStr">
        <is>
          <t>3. RISK &amp; STRESS TESTS</t>
        </is>
      </c>
    </row>
    <row r="2" ht="20" customHeight="1"/>
    <row r="3" ht="15" customHeight="1">
      <c r="A3" s="2" t="inlineStr">
        <is>
          <t>Monte Carlo, survivor, and protection stress tests.</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3. Risk &amp; Stress Tests</t>
        </is>
      </c>
      <c r="B6" s="4" t="n"/>
      <c r="C6" s="7" t="inlineStr">
        <is>
          <t>3A. Monte Carlo</t>
        </is>
      </c>
      <c r="D6" s="3" t="n"/>
      <c r="E6" s="3" t="n"/>
      <c r="F6" s="3" t="n"/>
      <c r="G6" s="4" t="n"/>
    </row>
    <row r="7" ht="15" customHeight="1">
      <c r="C7" s="7" t="inlineStr">
        <is>
          <t>3B. Survivor</t>
        </is>
      </c>
      <c r="D7" s="3" t="n"/>
      <c r="E7" s="3" t="n"/>
      <c r="F7" s="3" t="n"/>
      <c r="G7" s="4" t="n"/>
    </row>
    <row r="8" ht="15" customHeight="1">
      <c r="C8" s="7" t="inlineStr">
        <is>
          <t>3C. LTC + Life Insurance</t>
        </is>
      </c>
      <c r="D8" s="3" t="n"/>
      <c r="E8" s="3" t="n"/>
      <c r="F8" s="3" t="n"/>
      <c r="G8" s="4" t="n"/>
    </row>
    <row r="9" ht="20" customHeight="1"/>
    <row r="10" ht="30" customHeight="1">
      <c r="A10" s="8" t="inlineStr">
        <is>
          <t>This workbook is an output/reporting surface. Edit plan data in the app database; use CSV only for import/export utilities.</t>
        </is>
      </c>
      <c r="B10" s="3" t="n"/>
      <c r="C10" s="3" t="n"/>
      <c r="D10" s="3" t="n"/>
      <c r="E10" s="3" t="n"/>
      <c r="F10" s="3" t="n"/>
      <c r="G10" s="3" t="n"/>
      <c r="H10" s="4" t="n"/>
    </row>
    <row r="11" ht="20" customHeight="1"/>
  </sheetData>
  <mergeCells count="9">
    <mergeCell ref="A3:H3"/>
    <mergeCell ref="C7:G7"/>
    <mergeCell ref="C6:G6"/>
    <mergeCell ref="A5:B5"/>
    <mergeCell ref="A10:H10"/>
    <mergeCell ref="C5:G5"/>
    <mergeCell ref="A1:H1"/>
    <mergeCell ref="C8:G8"/>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s>
  <pageMargins left="0.75" right="0.75" top="1" bottom="1" header="0.5" footer="0.5"/>
</worksheet>
</file>

<file path=xl/worksheets/sheet20.xml><?xml version="1.0" encoding="utf-8"?>
<worksheet xmlns="http://schemas.openxmlformats.org/spreadsheetml/2006/main">
  <sheetPr>
    <tabColor rgb="00C00000"/>
    <outlinePr summaryBelow="1" summaryRight="1"/>
    <pageSetUpPr/>
  </sheetPr>
  <dimension ref="A1:J121"/>
  <sheetViews>
    <sheetView showGridLines="0" workbookViewId="0">
      <pane ySplit="3" topLeftCell="A4" activePane="bottomLeft" state="frozen"/>
      <selection pane="bottomLeft" activeCell="A1" sqref="A1"/>
    </sheetView>
  </sheetViews>
  <sheetFormatPr baseColWidth="8" defaultRowHeight="15"/>
  <cols>
    <col width="17.1" customWidth="1" min="1" max="1"/>
    <col width="10.1" customWidth="1" min="2" max="2"/>
    <col width="18.6" customWidth="1" min="3" max="3"/>
    <col width="9.4" customWidth="1" min="4" max="4"/>
    <col width="9.4" customWidth="1" min="5" max="5"/>
    <col width="9.4" customWidth="1" min="6" max="6"/>
    <col width="18.6" customWidth="1" min="7" max="7"/>
    <col width="9.4" customWidth="1" min="8" max="8"/>
    <col width="9.4" customWidth="1" min="9" max="9"/>
    <col width="6.3" customWidth="1" min="10" max="10"/>
  </cols>
  <sheetData>
    <row r="1" ht="18" customHeight="1">
      <c r="A1" s="9" t="inlineStr">
        <is>
          <t>MARKET-LUCK STRESS TEST — Monte Carlo  ·  16 Simulations</t>
        </is>
      </c>
    </row>
    <row r="2"/>
    <row r="3" ht="15" customHeight="1">
      <c r="A3" s="1" t="inlineStr">
        <is>
          <t>A.  Methodology</t>
        </is>
      </c>
    </row>
    <row r="4" ht="15" customHeight="1">
      <c r="A4" s="5" t="inlineStr">
        <is>
          <t>Parameter</t>
        </is>
      </c>
      <c r="B4" s="3" t="n"/>
      <c r="C4" s="4" t="n"/>
      <c r="D4" s="5" t="inlineStr">
        <is>
          <t>Value / Description</t>
        </is>
      </c>
      <c r="E4" s="3" t="n"/>
      <c r="F4" s="3" t="n"/>
      <c r="G4" s="3" t="n"/>
      <c r="H4" s="3" t="n"/>
      <c r="I4" s="3" t="n"/>
      <c r="J4" s="4" t="n"/>
    </row>
    <row r="5" ht="15" customHeight="1">
      <c r="A5" s="11" t="inlineStr">
        <is>
          <t>Simulations</t>
        </is>
      </c>
      <c r="B5" s="3" t="n"/>
      <c r="C5" s="4" t="n"/>
      <c r="D5" s="12" t="inlineStr">
        <is>
          <t>16</t>
        </is>
      </c>
      <c r="E5" s="3" t="n"/>
      <c r="F5" s="3" t="n"/>
      <c r="G5" s="3" t="n"/>
      <c r="H5" s="3" t="n"/>
      <c r="I5" s="3" t="n"/>
      <c r="J5" s="4" t="n"/>
    </row>
    <row r="6" ht="15" customHeight="1">
      <c r="A6" s="11" t="inlineStr">
        <is>
          <t>Random Seed</t>
        </is>
      </c>
      <c r="B6" s="3" t="n"/>
      <c r="C6" s="4" t="n"/>
      <c r="D6" s="12" t="inlineStr">
        <is>
          <t>42</t>
        </is>
      </c>
      <c r="E6" s="3" t="n"/>
      <c r="F6" s="3" t="n"/>
      <c r="G6" s="3" t="n"/>
      <c r="H6" s="3" t="n"/>
      <c r="I6" s="3" t="n"/>
      <c r="J6" s="4" t="n"/>
    </row>
    <row r="7" ht="15" customHeight="1">
      <c r="A7" s="11" t="inlineStr">
        <is>
          <t>Configured Portfolio Return μ</t>
        </is>
      </c>
      <c r="B7" s="3" t="n"/>
      <c r="C7" s="4" t="n"/>
      <c r="D7" s="12" t="inlineStr">
        <is>
          <t>6.0%  (deterministic reference return)</t>
        </is>
      </c>
      <c r="E7" s="3" t="n"/>
      <c r="F7" s="3" t="n"/>
      <c r="G7" s="3" t="n"/>
      <c r="H7" s="3" t="n"/>
      <c r="I7" s="3" t="n"/>
      <c r="J7" s="4" t="n"/>
    </row>
    <row r="8" ht="15" customHeight="1">
      <c r="A8" s="11" t="inlineStr">
        <is>
          <t>MC Portfolio Return Model</t>
        </is>
      </c>
      <c r="B8" s="3" t="n"/>
      <c r="C8" s="4" t="n"/>
      <c r="D8" s="12" t="inlineStr">
        <is>
          <t>asset class covariance</t>
        </is>
      </c>
      <c r="E8" s="3" t="n"/>
      <c r="F8" s="3" t="n"/>
      <c r="G8" s="3" t="n"/>
      <c r="H8" s="3" t="n"/>
      <c r="I8" s="3" t="n"/>
      <c r="J8" s="4" t="n"/>
    </row>
    <row r="9" ht="15" customHeight="1">
      <c r="A9" s="11" t="inlineStr">
        <is>
          <t>MC Expected Return μ</t>
        </is>
      </c>
      <c r="B9" s="3" t="n"/>
      <c r="C9" s="4" t="n"/>
      <c r="D9" s="12" t="inlineStr">
        <is>
          <t>6.7%  (arithmetic expected return used in simulations)</t>
        </is>
      </c>
      <c r="E9" s="3" t="n"/>
      <c r="F9" s="3" t="n"/>
      <c r="G9" s="3" t="n"/>
      <c r="H9" s="3" t="n"/>
      <c r="I9" s="3" t="n"/>
      <c r="J9" s="4" t="n"/>
    </row>
    <row r="10" ht="15" customHeight="1">
      <c r="A10" s="11" t="inlineStr">
        <is>
          <t>Sampled Arithmetic Mean Return</t>
        </is>
      </c>
      <c r="B10" s="3" t="n"/>
      <c r="C10" s="4" t="n"/>
      <c r="D10" s="12" t="inlineStr">
        <is>
          <t>7.1% across simulated years</t>
        </is>
      </c>
      <c r="E10" s="3" t="n"/>
      <c r="F10" s="3" t="n"/>
      <c r="G10" s="3" t="n"/>
      <c r="H10" s="3" t="n"/>
      <c r="I10" s="3" t="n"/>
      <c r="J10" s="4" t="n"/>
    </row>
    <row r="11" ht="15" customHeight="1">
      <c r="A11" s="11" t="inlineStr">
        <is>
          <t>Sampled Geometric Mean Return</t>
        </is>
      </c>
      <c r="B11" s="3" t="n"/>
      <c r="C11" s="4" t="n"/>
      <c r="D11" s="12" t="inlineStr">
        <is>
          <t>6.3% compounded across simulated years</t>
        </is>
      </c>
      <c r="E11" s="3" t="n"/>
      <c r="F11" s="3" t="n"/>
      <c r="G11" s="3" t="n"/>
      <c r="H11" s="3" t="n"/>
      <c r="I11" s="3" t="n"/>
      <c r="J11" s="4" t="n"/>
    </row>
    <row r="12" ht="15" customHeight="1">
      <c r="A12" s="11" t="inlineStr">
        <is>
          <t>Annual Return Std Dev σ</t>
        </is>
      </c>
      <c r="B12" s="3" t="n"/>
      <c r="C12" s="4" t="n"/>
      <c r="D12" s="12" t="inlineStr">
        <is>
          <t>11.1%</t>
        </is>
      </c>
      <c r="E12" s="3" t="n"/>
      <c r="F12" s="3" t="n"/>
      <c r="G12" s="3" t="n"/>
      <c r="H12" s="3" t="n"/>
      <c r="I12" s="3" t="n"/>
      <c r="J12" s="4" t="n"/>
    </row>
    <row r="13" ht="15" customHeight="1">
      <c r="A13" s="11" t="inlineStr">
        <is>
          <t>Sampled Mean Inflation</t>
        </is>
      </c>
      <c r="B13" s="3" t="n"/>
      <c r="C13" s="4" t="n"/>
      <c r="D13" s="12" t="inlineStr">
        <is>
          <t>2.6% across simulated years</t>
        </is>
      </c>
      <c r="E13" s="3" t="n"/>
      <c r="F13" s="3" t="n"/>
      <c r="G13" s="3" t="n"/>
      <c r="H13" s="3" t="n"/>
      <c r="I13" s="3" t="n"/>
      <c r="J13" s="4" t="n"/>
    </row>
    <row r="14" ht="30" customHeight="1">
      <c r="A14" s="11" t="inlineStr">
        <is>
          <t>Return Distribution</t>
        </is>
      </c>
      <c r="B14" s="3" t="n"/>
      <c r="C14" s="4" t="n"/>
      <c r="D14" s="12" t="inlineStr">
        <is>
          <t>Asset-class covariance or blended μ/σ, with regime/fat-tail annual draws and AR(1) serial dependence when enabled</t>
        </is>
      </c>
      <c r="E14" s="3" t="n"/>
      <c r="F14" s="3" t="n"/>
      <c r="G14" s="3" t="n"/>
      <c r="H14" s="3" t="n"/>
      <c r="I14" s="3" t="n"/>
      <c r="J14" s="4" t="n"/>
    </row>
    <row r="15" ht="15" customHeight="1">
      <c r="A15" s="11" t="inlineStr">
        <is>
          <t>Regime Recentered?</t>
        </is>
      </c>
      <c r="B15" s="3" t="n"/>
      <c r="C15" s="4" t="n"/>
      <c r="D15" s="12" t="inlineStr">
        <is>
          <t>YES</t>
        </is>
      </c>
      <c r="E15" s="3" t="n"/>
      <c r="F15" s="3" t="n"/>
      <c r="G15" s="3" t="n"/>
      <c r="H15" s="3" t="n"/>
      <c r="I15" s="3" t="n"/>
      <c r="J15" s="4" t="n"/>
    </row>
    <row r="16" ht="15" customHeight="1">
      <c r="A16" s="11" t="inlineStr">
        <is>
          <t>Wellness Shock Events</t>
        </is>
      </c>
      <c r="B16" s="3" t="n"/>
      <c r="C16" s="4" t="n"/>
      <c r="D16" s="12" t="inlineStr">
        <is>
          <t>13; mean event cost $149,588</t>
        </is>
      </c>
      <c r="E16" s="3" t="n"/>
      <c r="F16" s="3" t="n"/>
      <c r="G16" s="3" t="n"/>
      <c r="H16" s="3" t="n"/>
      <c r="I16" s="3" t="n"/>
      <c r="J16" s="4" t="n"/>
    </row>
    <row r="17" ht="15" customHeight="1">
      <c r="A17" s="11" t="inlineStr">
        <is>
          <t>Starting Liquid Assets</t>
        </is>
      </c>
      <c r="B17" s="3" t="n"/>
      <c r="C17" s="4" t="n"/>
      <c r="D17" s="12" t="inlineStr">
        <is>
          <t>$2,802,110</t>
        </is>
      </c>
      <c r="E17" s="3" t="n"/>
      <c r="F17" s="3" t="n"/>
      <c r="G17" s="3" t="n"/>
      <c r="H17" s="3" t="n"/>
      <c r="I17" s="3" t="n"/>
      <c r="J17" s="4" t="n"/>
    </row>
    <row r="18" ht="30" customHeight="1">
      <c r="A18" s="11" t="inlineStr">
        <is>
          <t>Net Portfolio Draw</t>
        </is>
      </c>
      <c r="B18" s="3" t="n"/>
      <c r="C18" s="4" t="n"/>
      <c r="D18" s="12" t="inlineStr">
        <is>
          <t>Spending + taxes minus non-portfolio income streams; stochastic inflation and wellness shocks apply inside MC</t>
        </is>
      </c>
      <c r="E18" s="3" t="n"/>
      <c r="F18" s="3" t="n"/>
      <c r="G18" s="3" t="n"/>
      <c r="H18" s="3" t="n"/>
      <c r="I18" s="3" t="n"/>
      <c r="J18" s="4" t="n"/>
    </row>
    <row r="19" ht="15" customHeight="1">
      <c r="A19" s="11" t="inlineStr">
        <is>
          <t>Plan Horizon</t>
        </is>
      </c>
      <c r="B19" s="3" t="n"/>
      <c r="C19" s="4" t="n"/>
      <c r="D19" s="12" t="inlineStr">
        <is>
          <t>2026–2056  (31 years)</t>
        </is>
      </c>
      <c r="E19" s="3" t="n"/>
      <c r="F19" s="3" t="n"/>
      <c r="G19" s="3" t="n"/>
      <c r="H19" s="3" t="n"/>
      <c r="I19" s="3" t="n"/>
      <c r="J19" s="4" t="n"/>
    </row>
    <row r="20" ht="30" customHeight="1">
      <c r="A20" s="11" t="inlineStr">
        <is>
          <t>Success Definition</t>
        </is>
      </c>
      <c r="B20" s="3" t="n"/>
      <c r="C20" s="4" t="n"/>
      <c r="D20" s="12" t="inlineStr">
        <is>
          <t>No unfunded annual spending gap and liquid retirement assets remain above configured floor in every active projected year.</t>
        </is>
      </c>
      <c r="E20" s="3" t="n"/>
      <c r="F20" s="3" t="n"/>
      <c r="G20" s="3" t="n"/>
      <c r="H20" s="3" t="n"/>
      <c r="I20" s="3" t="n"/>
      <c r="J20" s="4" t="n"/>
    </row>
    <row r="21" ht="15" customHeight="1">
      <c r="A21" s="11" t="inlineStr">
        <is>
          <t>Success Rate 95% CI</t>
        </is>
      </c>
      <c r="B21" s="3" t="n"/>
      <c r="C21" s="4" t="n"/>
      <c r="D21" s="12" t="inlineStr">
        <is>
          <t>44.4%–85.8% (SE 11.6%)</t>
        </is>
      </c>
      <c r="E21" s="3" t="n"/>
      <c r="F21" s="3" t="n"/>
      <c r="G21" s="3" t="n"/>
      <c r="H21" s="3" t="n"/>
      <c r="I21" s="3" t="n"/>
      <c r="J21" s="4" t="n"/>
    </row>
    <row r="22" ht="15" customHeight="1">
      <c r="A22" s="11" t="inlineStr">
        <is>
          <t>Sequence-of-Returns</t>
        </is>
      </c>
      <c r="B22" s="3" t="n"/>
      <c r="C22" s="4" t="n"/>
      <c r="D22" s="12" t="inlineStr">
        <is>
          <t>Sims sorted by first-5-year average return, split into quintiles</t>
        </is>
      </c>
      <c r="E22" s="3" t="n"/>
      <c r="F22" s="3" t="n"/>
      <c r="G22" s="3" t="n"/>
      <c r="H22" s="3" t="n"/>
      <c r="I22" s="3" t="n"/>
      <c r="J22" s="4" t="n"/>
    </row>
    <row r="23" ht="15" customHeight="1">
      <c r="A23" s="11" t="inlineStr">
        <is>
          <t>Sensitivity Grid</t>
        </is>
      </c>
      <c r="B23" s="3" t="n"/>
      <c r="C23" s="4" t="n"/>
      <c r="D23" s="12" t="inlineStr">
        <is>
          <t>3 full re-simulations per cell; μ ∈ {4%–8%}, σ ∈ {8%–16%}</t>
        </is>
      </c>
      <c r="E23" s="3" t="n"/>
      <c r="F23" s="3" t="n"/>
      <c r="G23" s="3" t="n"/>
      <c r="H23" s="3" t="n"/>
      <c r="I23" s="3" t="n"/>
      <c r="J23" s="4" t="n"/>
    </row>
    <row r="24" ht="30" customHeight="1">
      <c r="A24" s="11" t="inlineStr">
        <is>
          <t>Note</t>
        </is>
      </c>
      <c r="B24" s="3" t="n"/>
      <c r="C24" s="4" t="n"/>
      <c r="D24" s="12" t="inlineStr">
        <is>
          <t>Deterministic projection is a no-volatility reference path; MC median is the probabilistic planning number.</t>
        </is>
      </c>
      <c r="E24" s="3" t="n"/>
      <c r="F24" s="3" t="n"/>
      <c r="G24" s="3" t="n"/>
      <c r="H24" s="3" t="n"/>
      <c r="I24" s="3" t="n"/>
      <c r="J24" s="4" t="n"/>
    </row>
    <row r="25"/>
    <row r="26" ht="15" customHeight="1">
      <c r="A26" s="1" t="inlineStr">
        <is>
          <t>B.  Headline Results</t>
        </is>
      </c>
    </row>
    <row r="27" ht="15" customHeight="1">
      <c r="A27" s="5" t="inlineStr">
        <is>
          <t>Metric</t>
        </is>
      </c>
      <c r="B27" s="3" t="n"/>
      <c r="C27" s="3" t="n"/>
      <c r="D27" s="3" t="n"/>
      <c r="E27" s="4" t="n"/>
      <c r="F27" s="5" t="inlineStr">
        <is>
          <t>Value</t>
        </is>
      </c>
      <c r="G27" s="4" t="n"/>
      <c r="H27" s="5" t="inlineStr">
        <is>
          <t>Status</t>
        </is>
      </c>
      <c r="I27" s="3" t="n"/>
      <c r="J27" s="4" t="n"/>
    </row>
    <row r="28" ht="15" customHeight="1">
      <c r="A28" s="11" t="inlineStr">
        <is>
          <t>Plan Funding Success Rate</t>
        </is>
      </c>
      <c r="B28" s="3" t="n"/>
      <c r="C28" s="3" t="n"/>
      <c r="D28" s="3" t="n"/>
      <c r="E28" s="4" t="n"/>
      <c r="F28" s="84" t="n">
        <v>0.6875</v>
      </c>
      <c r="G28" s="4" t="n"/>
      <c r="H28" s="127" t="inlineStr">
        <is>
          <t>Review</t>
        </is>
      </c>
      <c r="I28" s="3" t="n"/>
      <c r="J28" s="4" t="n"/>
    </row>
    <row r="29" ht="15" customHeight="1">
      <c r="A29" s="11" t="inlineStr">
        <is>
          <t>Success Rate CI Low (95%)</t>
        </is>
      </c>
      <c r="B29" s="3" t="n"/>
      <c r="C29" s="3" t="n"/>
      <c r="D29" s="3" t="n"/>
      <c r="E29" s="4" t="n"/>
      <c r="F29" s="84" t="n">
        <v>0.4440393186673406</v>
      </c>
      <c r="G29" s="4" t="n"/>
      <c r="H29" s="127" t="inlineStr">
        <is>
          <t>Review</t>
        </is>
      </c>
      <c r="I29" s="3" t="n"/>
      <c r="J29" s="4" t="n"/>
    </row>
    <row r="30" ht="15" customHeight="1">
      <c r="A30" s="11" t="inlineStr">
        <is>
          <t>Success Rate CI High (95%)</t>
        </is>
      </c>
      <c r="B30" s="3" t="n"/>
      <c r="C30" s="3" t="n"/>
      <c r="D30" s="3" t="n"/>
      <c r="E30" s="4" t="n"/>
      <c r="F30" s="84" t="n">
        <v>0.8583556494803894</v>
      </c>
      <c r="G30" s="4" t="n"/>
      <c r="H30" s="128" t="inlineStr">
        <is>
          <t>On Track</t>
        </is>
      </c>
      <c r="I30" s="3" t="n"/>
      <c r="J30" s="4" t="n"/>
    </row>
    <row r="31" ht="15" customHeight="1">
      <c r="A31" s="11" t="inlineStr">
        <is>
          <t>Median Terminal Liquid Assets (P50)</t>
        </is>
      </c>
      <c r="B31" s="3" t="n"/>
      <c r="C31" s="3" t="n"/>
      <c r="D31" s="3" t="n"/>
      <c r="E31" s="4" t="n"/>
      <c r="F31" s="83" t="n">
        <v>3272027.001496765</v>
      </c>
      <c r="G31" s="4" t="n"/>
      <c r="H31" s="128" t="inlineStr">
        <is>
          <t>On Track</t>
        </is>
      </c>
      <c r="I31" s="3" t="n"/>
      <c r="J31" s="4" t="n"/>
    </row>
    <row r="32" ht="15" customHeight="1">
      <c r="A32" s="11" t="inlineStr">
        <is>
          <t>P10 Terminal Liquid Assets</t>
        </is>
      </c>
      <c r="B32" s="3" t="n"/>
      <c r="C32" s="3" t="n"/>
      <c r="D32" s="3" t="n"/>
      <c r="E32" s="4" t="n"/>
      <c r="F32" s="83" t="n">
        <v>0</v>
      </c>
      <c r="G32" s="4" t="n"/>
      <c r="H32" s="127" t="inlineStr">
        <is>
          <t>Review</t>
        </is>
      </c>
      <c r="I32" s="3" t="n"/>
      <c r="J32" s="4" t="n"/>
    </row>
    <row r="33" ht="15" customHeight="1">
      <c r="A33" s="11" t="inlineStr">
        <is>
          <t>P25 Terminal Liquid Assets</t>
        </is>
      </c>
      <c r="B33" s="3" t="n"/>
      <c r="C33" s="3" t="n"/>
      <c r="D33" s="3" t="n"/>
      <c r="E33" s="4" t="n"/>
      <c r="F33" s="83" t="n">
        <v>0</v>
      </c>
      <c r="G33" s="4" t="n"/>
      <c r="H33" s="127" t="inlineStr">
        <is>
          <t>Review</t>
        </is>
      </c>
      <c r="I33" s="3" t="n"/>
      <c r="J33" s="4" t="n"/>
    </row>
    <row r="34" ht="15" customHeight="1">
      <c r="A34" s="11" t="inlineStr">
        <is>
          <t>P75 Terminal Liquid Assets</t>
        </is>
      </c>
      <c r="B34" s="3" t="n"/>
      <c r="C34" s="3" t="n"/>
      <c r="D34" s="3" t="n"/>
      <c r="E34" s="4" t="n"/>
      <c r="F34" s="83" t="n">
        <v>7878474.233089874</v>
      </c>
      <c r="G34" s="4" t="n"/>
      <c r="H34" s="128" t="inlineStr">
        <is>
          <t>On Track</t>
        </is>
      </c>
      <c r="I34" s="3" t="n"/>
      <c r="J34" s="4" t="n"/>
    </row>
    <row r="35" ht="15" customHeight="1">
      <c r="A35" s="11" t="inlineStr">
        <is>
          <t>P90 Terminal Liquid Assets</t>
        </is>
      </c>
      <c r="B35" s="3" t="n"/>
      <c r="C35" s="3" t="n"/>
      <c r="D35" s="3" t="n"/>
      <c r="E35" s="4" t="n"/>
      <c r="F35" s="83" t="n">
        <v>15310239.16876961</v>
      </c>
      <c r="G35" s="4" t="n"/>
      <c r="H35" s="128" t="inlineStr">
        <is>
          <t>On Track</t>
        </is>
      </c>
      <c r="I35" s="3" t="n"/>
      <c r="J35" s="4" t="n"/>
    </row>
    <row r="36" ht="15" customHeight="1">
      <c r="A36" s="11" t="inlineStr">
        <is>
          <t>Mean Terminal Liquid Assets</t>
        </is>
      </c>
      <c r="B36" s="3" t="n"/>
      <c r="C36" s="3" t="n"/>
      <c r="D36" s="3" t="n"/>
      <c r="E36" s="4" t="n"/>
      <c r="F36" s="83" t="n">
        <v>5780596.030432496</v>
      </c>
      <c r="G36" s="4" t="n"/>
      <c r="H36" s="128" t="inlineStr">
        <is>
          <t>On Track</t>
        </is>
      </c>
      <c r="I36" s="3" t="n"/>
      <c r="J36" s="4" t="n"/>
    </row>
    <row r="37" ht="15" customHeight="1">
      <c r="A37" s="11" t="inlineStr">
        <is>
          <t>Median Terminal Total Net Worth</t>
        </is>
      </c>
      <c r="B37" s="3" t="n"/>
      <c r="C37" s="3" t="n"/>
      <c r="D37" s="3" t="n"/>
      <c r="E37" s="4" t="n"/>
      <c r="F37" s="83" t="n">
        <v>6694530.057859042</v>
      </c>
      <c r="G37" s="4" t="n"/>
      <c r="H37" s="128" t="inlineStr">
        <is>
          <t>On Track</t>
        </is>
      </c>
      <c r="I37" s="3" t="n"/>
      <c r="J37" s="4" t="n"/>
    </row>
    <row r="38"/>
    <row r="39" ht="15" customHeight="1">
      <c r="A39" s="129" t="inlineStr">
        <is>
          <t>B2.  Deterministic vs Monte Carlo Comparison</t>
        </is>
      </c>
    </row>
    <row r="40" ht="30" customHeight="1">
      <c r="A40" s="5" t="inlineStr">
        <is>
          <t>Measure</t>
        </is>
      </c>
      <c r="B40" s="4" t="n"/>
      <c r="C40" s="5" t="inlineStr">
        <is>
          <t>No-Volatility Deterministic Reference</t>
        </is>
      </c>
      <c r="D40" s="4" t="n"/>
      <c r="E40" s="5" t="inlineStr">
        <is>
          <t>MC P10</t>
        </is>
      </c>
      <c r="F40" s="5" t="inlineStr">
        <is>
          <t>MC P50</t>
        </is>
      </c>
      <c r="G40" s="5" t="inlineStr">
        <is>
          <t>MC P90</t>
        </is>
      </c>
      <c r="H40" s="5" t="inlineStr">
        <is>
          <t>Purpose</t>
        </is>
      </c>
      <c r="I40" s="3" t="n"/>
      <c r="J40" s="4" t="n"/>
    </row>
    <row r="41" ht="75" customHeight="1">
      <c r="A41" s="11" t="inlineStr">
        <is>
          <t>Terminal Total Net Worth</t>
        </is>
      </c>
      <c r="B41" s="4" t="n"/>
      <c r="C41" s="83" t="n">
        <v>4805659.30177631</v>
      </c>
      <c r="D41" s="4" t="n"/>
      <c r="E41" s="78" t="n">
        <v>3390274.137803575</v>
      </c>
      <c r="F41" s="83" t="n">
        <v>6694530.057859042</v>
      </c>
      <c r="G41" s="78" t="n">
        <v>18732108.17536821</v>
      </c>
      <c r="H41" s="12" t="inlineStr">
        <is>
          <t>Broad estate/net-worth measure including illiquid assets. Deterministic line is a reference path, not the MC median.</t>
        </is>
      </c>
      <c r="I41" s="3" t="n"/>
      <c r="J41" s="4" t="n"/>
    </row>
    <row r="42" ht="30" customHeight="1">
      <c r="A42" s="11" t="inlineStr">
        <is>
          <t>Terminal Liquid Retirement Assets</t>
        </is>
      </c>
      <c r="B42" s="4" t="n"/>
      <c r="C42" s="83" t="n">
        <v>1415385.163972736</v>
      </c>
      <c r="D42" s="4" t="n"/>
      <c r="E42" s="78" t="n">
        <v>0</v>
      </c>
      <c r="F42" s="83" t="n">
        <v>3272027.001496765</v>
      </c>
      <c r="G42" s="78" t="n">
        <v>15310239.16876961</v>
      </c>
      <c r="H42" s="12" t="inlineStr">
        <is>
          <t>Spendable funding measure used for MC success.</t>
        </is>
      </c>
      <c r="I42" s="3" t="n"/>
      <c r="J42" s="4" t="n"/>
    </row>
    <row r="43" ht="60" customHeight="1">
      <c r="A43" s="11" t="inlineStr">
        <is>
          <t>Success Liquidity Floor</t>
        </is>
      </c>
      <c r="B43" s="4" t="n"/>
      <c r="C43" s="83" t="n">
        <v>0</v>
      </c>
      <c r="D43" s="4" t="n"/>
      <c r="H43" s="12" t="inlineStr">
        <is>
          <t>Success requires no unfunded gaps and liquid assets above 0 years of base spending every year.</t>
        </is>
      </c>
      <c r="I43" s="3" t="n"/>
      <c r="J43" s="4" t="n"/>
    </row>
    <row r="44"/>
    <row r="45" ht="15" customHeight="1">
      <c r="A45" s="1" t="inlineStr">
        <is>
          <t>C.  Ending Liquid Asset Percentile Distribution</t>
        </is>
      </c>
    </row>
    <row r="46" ht="15" customHeight="1">
      <c r="A46" s="5" t="inlineStr">
        <is>
          <t>Percentile</t>
        </is>
      </c>
      <c r="B46" s="5" t="inlineStr">
        <is>
          <t>Terminal Liquid Assets (2056)</t>
        </is>
      </c>
      <c r="C46" s="3" t="n"/>
      <c r="D46" s="4" t="n"/>
      <c r="E46" s="5" t="inlineStr">
        <is>
          <t>vs Median</t>
        </is>
      </c>
      <c r="F46" s="4" t="n"/>
      <c r="G46" s="5" t="inlineStr">
        <is>
          <t>Interpretation</t>
        </is>
      </c>
      <c r="H46" s="3" t="n"/>
      <c r="I46" s="3" t="n"/>
      <c r="J46" s="4" t="n"/>
    </row>
    <row r="47" ht="15" customHeight="1">
      <c r="A47" s="41" t="inlineStr">
        <is>
          <t>P1</t>
        </is>
      </c>
      <c r="B47" s="78" t="n">
        <v>0</v>
      </c>
      <c r="C47" s="3" t="n"/>
      <c r="D47" s="4" t="n"/>
      <c r="E47" s="27" t="n">
        <v>-3272027.001496765</v>
      </c>
      <c r="F47" s="4" t="n"/>
      <c r="G47" s="12" t="inlineStr">
        <is>
          <t>Catastrophic — total portfolio loss</t>
        </is>
      </c>
      <c r="H47" s="3" t="n"/>
      <c r="I47" s="3" t="n"/>
      <c r="J47" s="4" t="n"/>
    </row>
    <row r="48" ht="15" customHeight="1">
      <c r="A48" s="41" t="inlineStr">
        <is>
          <t>P5</t>
        </is>
      </c>
      <c r="B48" s="78" t="n">
        <v>0</v>
      </c>
      <c r="C48" s="3" t="n"/>
      <c r="D48" s="4" t="n"/>
      <c r="E48" s="27" t="n">
        <v>-3272027.001496765</v>
      </c>
      <c r="F48" s="4" t="n"/>
      <c r="G48" s="12" t="inlineStr">
        <is>
          <t>Very bad luck — significant shortfall</t>
        </is>
      </c>
      <c r="H48" s="3" t="n"/>
      <c r="I48" s="3" t="n"/>
      <c r="J48" s="4" t="n"/>
    </row>
    <row r="49" ht="15" customHeight="1">
      <c r="A49" s="41" t="inlineStr">
        <is>
          <t>P10</t>
        </is>
      </c>
      <c r="B49" s="78" t="n">
        <v>0</v>
      </c>
      <c r="C49" s="3" t="n"/>
      <c r="D49" s="4" t="n"/>
      <c r="E49" s="27" t="n">
        <v>-3272027.001496765</v>
      </c>
      <c r="F49" s="4" t="n"/>
      <c r="G49" s="12" t="inlineStr">
        <is>
          <t>Poor sequence — stress-test floor</t>
        </is>
      </c>
      <c r="H49" s="3" t="n"/>
      <c r="I49" s="3" t="n"/>
      <c r="J49" s="4" t="n"/>
    </row>
    <row r="50" ht="30" customHeight="1">
      <c r="A50" s="130" t="inlineStr">
        <is>
          <t>P25</t>
        </is>
      </c>
      <c r="B50" s="131" t="n">
        <v>0</v>
      </c>
      <c r="C50" s="3" t="n"/>
      <c r="D50" s="4" t="n"/>
      <c r="E50" s="131" t="n">
        <v>-3272027.001496765</v>
      </c>
      <c r="F50" s="4" t="n"/>
      <c r="G50" s="97" t="inlineStr">
        <is>
          <t>1-in-4 downside scenario</t>
        </is>
      </c>
      <c r="H50" s="3" t="n"/>
      <c r="I50" s="3" t="n"/>
      <c r="J50" s="4" t="n"/>
    </row>
    <row r="51" ht="15" customHeight="1">
      <c r="A51" s="132" t="inlineStr">
        <is>
          <t>P50</t>
        </is>
      </c>
      <c r="B51" s="133" t="n">
        <v>3272027.001496765</v>
      </c>
      <c r="C51" s="3" t="n"/>
      <c r="D51" s="4" t="n"/>
      <c r="E51" s="134" t="n">
        <v>0</v>
      </c>
      <c r="F51" s="4" t="n"/>
      <c r="G51" s="19" t="inlineStr">
        <is>
          <t>Base case — median outcome</t>
        </is>
      </c>
      <c r="H51" s="3" t="n"/>
      <c r="I51" s="3" t="n"/>
      <c r="J51" s="4" t="n"/>
    </row>
    <row r="52" ht="15" customHeight="1">
      <c r="A52" s="130" t="inlineStr">
        <is>
          <t>P75</t>
        </is>
      </c>
      <c r="B52" s="131" t="n">
        <v>7878474.233089874</v>
      </c>
      <c r="C52" s="3" t="n"/>
      <c r="D52" s="4" t="n"/>
      <c r="E52" s="131" t="n">
        <v>4606447.231593108</v>
      </c>
      <c r="F52" s="4" t="n"/>
      <c r="G52" s="97" t="inlineStr">
        <is>
          <t>3-in-4 scenarios end above this</t>
        </is>
      </c>
      <c r="H52" s="3" t="n"/>
      <c r="I52" s="3" t="n"/>
      <c r="J52" s="4" t="n"/>
    </row>
    <row r="53" ht="15" customHeight="1">
      <c r="A53" s="41" t="inlineStr">
        <is>
          <t>P90</t>
        </is>
      </c>
      <c r="B53" s="78" t="n">
        <v>15310239.16876961</v>
      </c>
      <c r="C53" s="3" t="n"/>
      <c r="D53" s="4" t="n"/>
      <c r="E53" s="27" t="n">
        <v>12038212.16727284</v>
      </c>
      <c r="F53" s="4" t="n"/>
      <c r="G53" s="12" t="inlineStr">
        <is>
          <t>Good sequence — upside scenario</t>
        </is>
      </c>
      <c r="H53" s="3" t="n"/>
      <c r="I53" s="3" t="n"/>
      <c r="J53" s="4" t="n"/>
    </row>
    <row r="54" ht="15" customHeight="1">
      <c r="A54" s="41" t="inlineStr">
        <is>
          <t>P95</t>
        </is>
      </c>
      <c r="B54" s="78" t="n">
        <v>19077420.55568729</v>
      </c>
      <c r="C54" s="3" t="n"/>
      <c r="D54" s="4" t="n"/>
      <c r="E54" s="27" t="n">
        <v>15805393.55419052</v>
      </c>
      <c r="F54" s="4" t="n"/>
      <c r="G54" s="12" t="inlineStr">
        <is>
          <t>Very good luck</t>
        </is>
      </c>
      <c r="H54" s="3" t="n"/>
      <c r="I54" s="3" t="n"/>
      <c r="J54" s="4" t="n"/>
    </row>
    <row r="55" ht="15" customHeight="1">
      <c r="A55" s="41" t="inlineStr">
        <is>
          <t>P99</t>
        </is>
      </c>
      <c r="B55" s="78" t="n">
        <v>23696791.99729632</v>
      </c>
      <c r="C55" s="3" t="n"/>
      <c r="D55" s="4" t="n"/>
      <c r="E55" s="27" t="n">
        <v>20424764.99579956</v>
      </c>
      <c r="F55" s="4" t="n"/>
      <c r="G55" s="12" t="inlineStr">
        <is>
          <t>Exceptional returns</t>
        </is>
      </c>
      <c r="H55" s="3" t="n"/>
      <c r="I55" s="3" t="n"/>
      <c r="J55" s="4" t="n"/>
    </row>
    <row r="56"/>
    <row r="57" ht="15" customHeight="1">
      <c r="A57" s="1" t="inlineStr">
        <is>
          <t>D.  Year-by-Year Liquid Asset Percentile Bands</t>
        </is>
      </c>
    </row>
    <row r="58" ht="30" customHeight="1">
      <c r="A58" s="5" t="inlineStr">
        <is>
          <t>Year</t>
        </is>
      </c>
      <c r="B58" s="5" t="inlineStr">
        <is>
          <t>Age H</t>
        </is>
      </c>
      <c r="C58" s="5" t="inlineStr">
        <is>
          <t>Age W</t>
        </is>
      </c>
      <c r="D58" s="5" t="inlineStr">
        <is>
          <t>P10</t>
        </is>
      </c>
      <c r="E58" s="5" t="inlineStr">
        <is>
          <t>P25</t>
        </is>
      </c>
      <c r="F58" s="5" t="inlineStr">
        <is>
          <t>P50 Median</t>
        </is>
      </c>
      <c r="G58" s="5" t="inlineStr">
        <is>
          <t>P75</t>
        </is>
      </c>
      <c r="H58" s="5" t="inlineStr">
        <is>
          <t>P90</t>
        </is>
      </c>
      <c r="I58" s="5" t="inlineStr">
        <is>
          <t>Mean</t>
        </is>
      </c>
      <c r="J58" s="5" t="inlineStr">
        <is>
          <t>Success %</t>
        </is>
      </c>
    </row>
    <row r="59" ht="15" customHeight="1">
      <c r="A59" s="135" t="n">
        <v>2026</v>
      </c>
      <c r="B59" s="135" t="n">
        <v>64</v>
      </c>
      <c r="C59" s="135" t="n">
        <v>65</v>
      </c>
      <c r="D59" s="108" t="n">
        <v>2824261.566411526</v>
      </c>
      <c r="E59" s="108" t="n">
        <v>2889849.379050591</v>
      </c>
      <c r="F59" s="136" t="n">
        <v>3044841.555748565</v>
      </c>
      <c r="G59" s="103" t="n">
        <v>3173412.258475909</v>
      </c>
      <c r="H59" s="108" t="n">
        <v>3267364.998620885</v>
      </c>
      <c r="I59" s="108" t="n">
        <v>3006014.160652555</v>
      </c>
      <c r="J59" s="137" t="n">
        <v>1</v>
      </c>
    </row>
    <row r="60" ht="15" customHeight="1">
      <c r="A60" s="135" t="n">
        <v>2027</v>
      </c>
      <c r="B60" s="135" t="n">
        <v>65</v>
      </c>
      <c r="C60" s="135" t="n">
        <v>66</v>
      </c>
      <c r="D60" s="108" t="n">
        <v>2243140.312810984</v>
      </c>
      <c r="E60" s="108" t="n">
        <v>2637819.879625608</v>
      </c>
      <c r="F60" s="136" t="n">
        <v>2931528.644678044</v>
      </c>
      <c r="G60" s="103" t="n">
        <v>3159820.522346992</v>
      </c>
      <c r="H60" s="108" t="n">
        <v>3452736.307136411</v>
      </c>
      <c r="I60" s="108" t="n">
        <v>2864502.834580659</v>
      </c>
      <c r="J60" s="137" t="n">
        <v>1</v>
      </c>
    </row>
    <row r="61" ht="15" customHeight="1">
      <c r="A61" s="135" t="n">
        <v>2028</v>
      </c>
      <c r="B61" s="135" t="n">
        <v>66</v>
      </c>
      <c r="C61" s="135" t="n">
        <v>67</v>
      </c>
      <c r="D61" s="108" t="n">
        <v>2010305.245418641</v>
      </c>
      <c r="E61" s="108" t="n">
        <v>2352940.510928991</v>
      </c>
      <c r="F61" s="136" t="n">
        <v>2813780.148361898</v>
      </c>
      <c r="G61" s="103" t="n">
        <v>3097830.714922323</v>
      </c>
      <c r="H61" s="108" t="n">
        <v>3638863.414489707</v>
      </c>
      <c r="I61" s="108" t="n">
        <v>2791378.607080603</v>
      </c>
      <c r="J61" s="137" t="n">
        <v>1</v>
      </c>
    </row>
    <row r="62" ht="15" customHeight="1">
      <c r="A62" s="135" t="n">
        <v>2029</v>
      </c>
      <c r="B62" s="135" t="n">
        <v>67</v>
      </c>
      <c r="C62" s="135" t="n">
        <v>68</v>
      </c>
      <c r="D62" s="108" t="n">
        <v>1744189.09899719</v>
      </c>
      <c r="E62" s="108" t="n">
        <v>2319360.23391634</v>
      </c>
      <c r="F62" s="136" t="n">
        <v>3063943.7363775</v>
      </c>
      <c r="G62" s="103" t="n">
        <v>3424749.8688649</v>
      </c>
      <c r="H62" s="108" t="n">
        <v>3937989.957944708</v>
      </c>
      <c r="I62" s="108" t="n">
        <v>2898323.136862048</v>
      </c>
      <c r="J62" s="137" t="n">
        <v>1</v>
      </c>
    </row>
    <row r="63" ht="15" customHeight="1">
      <c r="A63" s="135" t="n">
        <v>2030</v>
      </c>
      <c r="B63" s="135" t="n">
        <v>68</v>
      </c>
      <c r="C63" s="135" t="n">
        <v>69</v>
      </c>
      <c r="D63" s="108" t="n">
        <v>1600411.425467227</v>
      </c>
      <c r="E63" s="108" t="n">
        <v>2237869.891815258</v>
      </c>
      <c r="F63" s="136" t="n">
        <v>3154938.773541074</v>
      </c>
      <c r="G63" s="103" t="n">
        <v>3703060.336195821</v>
      </c>
      <c r="H63" s="108" t="n">
        <v>4429515.204563828</v>
      </c>
      <c r="I63" s="108" t="n">
        <v>2986980.94570849</v>
      </c>
      <c r="J63" s="137" t="n">
        <v>1</v>
      </c>
    </row>
    <row r="64" ht="15" customHeight="1">
      <c r="A64" s="135" t="n">
        <v>2031</v>
      </c>
      <c r="B64" s="135" t="n">
        <v>69</v>
      </c>
      <c r="C64" s="135" t="n">
        <v>70</v>
      </c>
      <c r="D64" s="108" t="n">
        <v>1496924.986285706</v>
      </c>
      <c r="E64" s="108" t="n">
        <v>2368404.979024867</v>
      </c>
      <c r="F64" s="136" t="n">
        <v>3289416.470493417</v>
      </c>
      <c r="G64" s="103" t="n">
        <v>4119489.018792202</v>
      </c>
      <c r="H64" s="108" t="n">
        <v>4500975.336286321</v>
      </c>
      <c r="I64" s="108" t="n">
        <v>3175777.64189163</v>
      </c>
      <c r="J64" s="137" t="n">
        <v>1</v>
      </c>
    </row>
    <row r="65" ht="15" customHeight="1">
      <c r="A65" s="135" t="n">
        <v>2032</v>
      </c>
      <c r="B65" s="135" t="n">
        <v>70</v>
      </c>
      <c r="C65" s="135" t="n">
        <v>71</v>
      </c>
      <c r="D65" s="108" t="n">
        <v>1193278.67984597</v>
      </c>
      <c r="E65" s="108" t="n">
        <v>2095102.597058628</v>
      </c>
      <c r="F65" s="136" t="n">
        <v>3264918.791405939</v>
      </c>
      <c r="G65" s="103" t="n">
        <v>4124567.715239788</v>
      </c>
      <c r="H65" s="108" t="n">
        <v>4992155.07813679</v>
      </c>
      <c r="I65" s="108" t="n">
        <v>3170632.979964192</v>
      </c>
      <c r="J65" s="137" t="n">
        <v>1</v>
      </c>
    </row>
    <row r="66" ht="15" customHeight="1">
      <c r="A66" s="135" t="n">
        <v>2033</v>
      </c>
      <c r="B66" s="135" t="n">
        <v>71</v>
      </c>
      <c r="C66" s="135" t="n">
        <v>72</v>
      </c>
      <c r="D66" s="108" t="n">
        <v>1353393.077394247</v>
      </c>
      <c r="E66" s="108" t="n">
        <v>2067798.516537107</v>
      </c>
      <c r="F66" s="136" t="n">
        <v>3387933.973098974</v>
      </c>
      <c r="G66" s="103" t="n">
        <v>4319228.179838097</v>
      </c>
      <c r="H66" s="108" t="n">
        <v>5722125.489501482</v>
      </c>
      <c r="I66" s="108" t="n">
        <v>3384925.96758859</v>
      </c>
      <c r="J66" s="137" t="n">
        <v>1</v>
      </c>
    </row>
    <row r="67" ht="15" customHeight="1">
      <c r="A67" s="135" t="n">
        <v>2034</v>
      </c>
      <c r="B67" s="135" t="n">
        <v>72</v>
      </c>
      <c r="C67" s="135" t="n">
        <v>73</v>
      </c>
      <c r="D67" s="108" t="n">
        <v>1152433.519293454</v>
      </c>
      <c r="E67" s="108" t="n">
        <v>2133475.299471481</v>
      </c>
      <c r="F67" s="136" t="n">
        <v>3265573.096526993</v>
      </c>
      <c r="G67" s="103" t="n">
        <v>4117080.950494376</v>
      </c>
      <c r="H67" s="108" t="n">
        <v>5602493.499770108</v>
      </c>
      <c r="I67" s="108" t="n">
        <v>3408130.459207001</v>
      </c>
      <c r="J67" s="137" t="n">
        <v>1</v>
      </c>
    </row>
    <row r="68" ht="15" customHeight="1">
      <c r="A68" s="135" t="n">
        <v>2035</v>
      </c>
      <c r="B68" s="135" t="n">
        <v>73</v>
      </c>
      <c r="C68" s="135" t="n">
        <v>74</v>
      </c>
      <c r="D68" s="108" t="n">
        <v>922169.2201015339</v>
      </c>
      <c r="E68" s="108" t="n">
        <v>1942984.901309302</v>
      </c>
      <c r="F68" s="136" t="n">
        <v>3435030.579498493</v>
      </c>
      <c r="G68" s="103" t="n">
        <v>3920771.579876078</v>
      </c>
      <c r="H68" s="108" t="n">
        <v>5608193.911472705</v>
      </c>
      <c r="I68" s="108" t="n">
        <v>3247107.738399141</v>
      </c>
      <c r="J68" s="137" t="n">
        <v>1</v>
      </c>
    </row>
    <row r="69" ht="15" customHeight="1">
      <c r="A69" s="135" t="n">
        <v>2036</v>
      </c>
      <c r="B69" s="135" t="n">
        <v>74</v>
      </c>
      <c r="C69" s="135" t="n">
        <v>75</v>
      </c>
      <c r="D69" s="108" t="n">
        <v>784614.6141047151</v>
      </c>
      <c r="E69" s="108" t="n">
        <v>1593755.913642094</v>
      </c>
      <c r="F69" s="136" t="n">
        <v>3493394.108934862</v>
      </c>
      <c r="G69" s="103" t="n">
        <v>4191239.307267031</v>
      </c>
      <c r="H69" s="108" t="n">
        <v>6721160.004000554</v>
      </c>
      <c r="I69" s="108" t="n">
        <v>3323181.96878001</v>
      </c>
      <c r="J69" s="137" t="n">
        <v>0.9375</v>
      </c>
    </row>
    <row r="70" ht="15" customHeight="1">
      <c r="A70" s="135" t="n">
        <v>2037</v>
      </c>
      <c r="B70" s="135" t="n">
        <v>75</v>
      </c>
      <c r="C70" s="135" t="n">
        <v>76</v>
      </c>
      <c r="D70" s="108" t="n">
        <v>557775.2697001931</v>
      </c>
      <c r="E70" s="108" t="n">
        <v>1140326.272680038</v>
      </c>
      <c r="F70" s="136" t="n">
        <v>3251296.019734479</v>
      </c>
      <c r="G70" s="103" t="n">
        <v>4261039.373043694</v>
      </c>
      <c r="H70" s="108" t="n">
        <v>6515359.294157845</v>
      </c>
      <c r="I70" s="108" t="n">
        <v>3273173.371232327</v>
      </c>
      <c r="J70" s="137" t="n">
        <v>0.9375</v>
      </c>
    </row>
    <row r="71" ht="15" customHeight="1">
      <c r="A71" s="135" t="n">
        <v>2038</v>
      </c>
      <c r="B71" s="135" t="n">
        <v>76</v>
      </c>
      <c r="C71" s="135" t="n">
        <v>77</v>
      </c>
      <c r="D71" s="108" t="n">
        <v>371421.5876764691</v>
      </c>
      <c r="E71" s="108" t="n">
        <v>1035958.218652464</v>
      </c>
      <c r="F71" s="136" t="n">
        <v>3034961.193554878</v>
      </c>
      <c r="G71" s="103" t="n">
        <v>4594683.063977463</v>
      </c>
      <c r="H71" s="108" t="n">
        <v>6640080.102252762</v>
      </c>
      <c r="I71" s="108" t="n">
        <v>3230008.744198435</v>
      </c>
      <c r="J71" s="137" t="n">
        <v>0.9375</v>
      </c>
    </row>
    <row r="72" ht="15" customHeight="1">
      <c r="A72" s="135" t="n">
        <v>2039</v>
      </c>
      <c r="B72" s="135" t="n">
        <v>77</v>
      </c>
      <c r="C72" s="135" t="n">
        <v>78</v>
      </c>
      <c r="D72" s="108" t="n">
        <v>168488.1145837554</v>
      </c>
      <c r="E72" s="108" t="n">
        <v>841877.4923576592</v>
      </c>
      <c r="F72" s="136" t="n">
        <v>2710694.431664309</v>
      </c>
      <c r="G72" s="103" t="n">
        <v>4694474.032430279</v>
      </c>
      <c r="H72" s="108" t="n">
        <v>7059766.94288869</v>
      </c>
      <c r="I72" s="108" t="n">
        <v>3296621.493200977</v>
      </c>
      <c r="J72" s="137" t="n">
        <v>0.9375</v>
      </c>
    </row>
    <row r="73" ht="30" customHeight="1">
      <c r="A73" s="138" t="n">
        <v>2040</v>
      </c>
      <c r="B73" s="138" t="n">
        <v>78</v>
      </c>
      <c r="C73" s="138" t="n">
        <v>79</v>
      </c>
      <c r="D73" s="139" t="n">
        <v>0</v>
      </c>
      <c r="E73" s="139" t="n">
        <v>576952.4248125495</v>
      </c>
      <c r="F73" s="76" t="n">
        <v>2549412.403637907</v>
      </c>
      <c r="G73" s="139" t="n">
        <v>4974447.154681655</v>
      </c>
      <c r="H73" s="139" t="n">
        <v>6975894.252119094</v>
      </c>
      <c r="I73" s="139" t="n">
        <v>3132964.954019032</v>
      </c>
      <c r="J73" s="140" t="n">
        <v>0.8125</v>
      </c>
    </row>
    <row r="74" ht="30" customHeight="1">
      <c r="A74" s="138" t="n">
        <v>2041</v>
      </c>
      <c r="B74" s="138" t="n">
        <v>79</v>
      </c>
      <c r="C74" s="138" t="n">
        <v>80</v>
      </c>
      <c r="D74" s="139" t="n">
        <v>0</v>
      </c>
      <c r="E74" s="139" t="n">
        <v>367352.0096301722</v>
      </c>
      <c r="F74" s="76" t="n">
        <v>2303096.558727042</v>
      </c>
      <c r="G74" s="139" t="n">
        <v>5388250.086794911</v>
      </c>
      <c r="H74" s="139" t="n">
        <v>7828622.815536231</v>
      </c>
      <c r="I74" s="139" t="n">
        <v>3273140.069369142</v>
      </c>
      <c r="J74" s="140" t="n">
        <v>0.8125</v>
      </c>
    </row>
    <row r="75" ht="30" customHeight="1">
      <c r="A75" s="138" t="n">
        <v>2042</v>
      </c>
      <c r="B75" s="138" t="n">
        <v>80</v>
      </c>
      <c r="C75" s="138" t="n">
        <v>81</v>
      </c>
      <c r="D75" s="139" t="n">
        <v>0</v>
      </c>
      <c r="E75" s="139" t="n">
        <v>177736.4233092159</v>
      </c>
      <c r="F75" s="76" t="n">
        <v>2534660.585890707</v>
      </c>
      <c r="G75" s="139" t="n">
        <v>4985550.818137765</v>
      </c>
      <c r="H75" s="139" t="n">
        <v>7770546.933868395</v>
      </c>
      <c r="I75" s="139" t="n">
        <v>3198596.335379015</v>
      </c>
      <c r="J75" s="140" t="n">
        <v>0.8125</v>
      </c>
    </row>
    <row r="76" ht="30" customHeight="1">
      <c r="A76" s="141" t="n">
        <v>2043</v>
      </c>
      <c r="B76" s="141" t="n">
        <v>81</v>
      </c>
      <c r="C76" s="141" t="n">
        <v>82</v>
      </c>
      <c r="D76" s="142" t="n">
        <v>0</v>
      </c>
      <c r="E76" s="142" t="n">
        <v>0</v>
      </c>
      <c r="F76" s="116" t="n">
        <v>2512084.641622907</v>
      </c>
      <c r="G76" s="142" t="n">
        <v>5480313.891512269</v>
      </c>
      <c r="H76" s="142" t="n">
        <v>6912363.132699157</v>
      </c>
      <c r="I76" s="142" t="n">
        <v>3107610.320797175</v>
      </c>
      <c r="J76" s="143" t="n">
        <v>0.6875</v>
      </c>
    </row>
    <row r="77" ht="30" customHeight="1">
      <c r="A77" s="141" t="n">
        <v>2044</v>
      </c>
      <c r="B77" s="141" t="n">
        <v>82</v>
      </c>
      <c r="C77" s="141" t="n">
        <v>83</v>
      </c>
      <c r="D77" s="142" t="n">
        <v>0</v>
      </c>
      <c r="E77" s="142" t="n">
        <v>0</v>
      </c>
      <c r="F77" s="116" t="n">
        <v>2587141.365008412</v>
      </c>
      <c r="G77" s="142" t="n">
        <v>4608719.956459679</v>
      </c>
      <c r="H77" s="142" t="n">
        <v>6908271.788240081</v>
      </c>
      <c r="I77" s="142" t="n">
        <v>3054363.46006428</v>
      </c>
      <c r="J77" s="143" t="n">
        <v>0.6875</v>
      </c>
    </row>
    <row r="78" ht="30" customHeight="1">
      <c r="A78" s="141" t="n">
        <v>2045</v>
      </c>
      <c r="B78" s="141" t="n">
        <v>83</v>
      </c>
      <c r="C78" s="141" t="n">
        <v>84</v>
      </c>
      <c r="D78" s="142" t="n">
        <v>0</v>
      </c>
      <c r="E78" s="142" t="n">
        <v>0</v>
      </c>
      <c r="F78" s="116" t="n">
        <v>2440135.190231686</v>
      </c>
      <c r="G78" s="142" t="n">
        <v>4863321.102460937</v>
      </c>
      <c r="H78" s="142" t="n">
        <v>6653694.07221306</v>
      </c>
      <c r="I78" s="142" t="n">
        <v>3033413.381124601</v>
      </c>
      <c r="J78" s="143" t="n">
        <v>0.6875</v>
      </c>
    </row>
    <row r="79" ht="30" customHeight="1">
      <c r="A79" s="141" t="n">
        <v>2046</v>
      </c>
      <c r="B79" s="141" t="n">
        <v>84</v>
      </c>
      <c r="C79" s="141" t="n">
        <v>85</v>
      </c>
      <c r="D79" s="142" t="n">
        <v>0</v>
      </c>
      <c r="E79" s="142" t="n">
        <v>0</v>
      </c>
      <c r="F79" s="116" t="n">
        <v>2619067.67842729</v>
      </c>
      <c r="G79" s="142" t="n">
        <v>5088762.893708987</v>
      </c>
      <c r="H79" s="142" t="n">
        <v>7237004.286403574</v>
      </c>
      <c r="I79" s="142" t="n">
        <v>3314656.983430602</v>
      </c>
      <c r="J79" s="143" t="n">
        <v>0.6875</v>
      </c>
    </row>
    <row r="80" ht="30" customHeight="1">
      <c r="A80" s="141" t="n">
        <v>2047</v>
      </c>
      <c r="B80" s="141" t="n">
        <v>85</v>
      </c>
      <c r="C80" s="141" t="n">
        <v>86</v>
      </c>
      <c r="D80" s="142" t="n">
        <v>0</v>
      </c>
      <c r="E80" s="142" t="n">
        <v>0</v>
      </c>
      <c r="F80" s="116" t="n">
        <v>2692579.451814895</v>
      </c>
      <c r="G80" s="142" t="n">
        <v>5760791.641802633</v>
      </c>
      <c r="H80" s="142" t="n">
        <v>7900735.528158562</v>
      </c>
      <c r="I80" s="142" t="n">
        <v>3551828.545994688</v>
      </c>
      <c r="J80" s="143" t="n">
        <v>0.6875</v>
      </c>
    </row>
    <row r="81" ht="30" customHeight="1">
      <c r="A81" s="141" t="n">
        <v>2048</v>
      </c>
      <c r="B81" s="141" t="n">
        <v>86</v>
      </c>
      <c r="C81" s="141" t="n">
        <v>87</v>
      </c>
      <c r="D81" s="142" t="n">
        <v>0</v>
      </c>
      <c r="E81" s="142" t="n">
        <v>0</v>
      </c>
      <c r="F81" s="116" t="n">
        <v>2887548.940916491</v>
      </c>
      <c r="G81" s="142" t="n">
        <v>6514767.385872465</v>
      </c>
      <c r="H81" s="142" t="n">
        <v>8118485.438011363</v>
      </c>
      <c r="I81" s="142" t="n">
        <v>3672273.128474721</v>
      </c>
      <c r="J81" s="143" t="n">
        <v>0.6875</v>
      </c>
    </row>
    <row r="82" ht="30" customHeight="1">
      <c r="A82" s="141" t="n">
        <v>2049</v>
      </c>
      <c r="B82" s="141" t="n">
        <v>87</v>
      </c>
      <c r="C82" s="141" t="n">
        <v>88</v>
      </c>
      <c r="D82" s="142" t="n">
        <v>0</v>
      </c>
      <c r="E82" s="142" t="n">
        <v>0</v>
      </c>
      <c r="F82" s="116" t="n">
        <v>3075893.00896615</v>
      </c>
      <c r="G82" s="142" t="n">
        <v>6825735.990156386</v>
      </c>
      <c r="H82" s="142" t="n">
        <v>9100700.727790873</v>
      </c>
      <c r="I82" s="142" t="n">
        <v>3785083.182138503</v>
      </c>
      <c r="J82" s="143" t="n">
        <v>0.6875</v>
      </c>
    </row>
    <row r="83" ht="30" customHeight="1">
      <c r="A83" s="141" t="n">
        <v>2050</v>
      </c>
      <c r="B83" s="141" t="n">
        <v>88</v>
      </c>
      <c r="C83" s="141" t="n">
        <v>89</v>
      </c>
      <c r="D83" s="142" t="n">
        <v>0</v>
      </c>
      <c r="E83" s="142" t="n">
        <v>0</v>
      </c>
      <c r="F83" s="116" t="n">
        <v>3391419.551036645</v>
      </c>
      <c r="G83" s="142" t="n">
        <v>6997396.743895217</v>
      </c>
      <c r="H83" s="142" t="n">
        <v>8462276.623839982</v>
      </c>
      <c r="I83" s="142" t="n">
        <v>3995644.353954382</v>
      </c>
      <c r="J83" s="143" t="n">
        <v>0.6875</v>
      </c>
    </row>
    <row r="84" ht="30" customHeight="1">
      <c r="A84" s="141" t="n">
        <v>2051</v>
      </c>
      <c r="B84" s="141" t="n">
        <v>89</v>
      </c>
      <c r="C84" s="141" t="n">
        <v>90</v>
      </c>
      <c r="D84" s="142" t="n">
        <v>0</v>
      </c>
      <c r="E84" s="142" t="n">
        <v>0</v>
      </c>
      <c r="F84" s="116" t="n">
        <v>3215871.445975281</v>
      </c>
      <c r="G84" s="142" t="n">
        <v>7673739.25642849</v>
      </c>
      <c r="H84" s="142" t="n">
        <v>8405584.911973143</v>
      </c>
      <c r="I84" s="142" t="n">
        <v>4182915.44472071</v>
      </c>
      <c r="J84" s="143" t="n">
        <v>0.6875</v>
      </c>
    </row>
    <row r="85" ht="30" customHeight="1">
      <c r="A85" s="141" t="n">
        <v>2052</v>
      </c>
      <c r="B85" s="141" t="n">
        <v>90</v>
      </c>
      <c r="C85" s="141" t="n">
        <v>91</v>
      </c>
      <c r="D85" s="142" t="n">
        <v>0</v>
      </c>
      <c r="E85" s="142" t="n">
        <v>0</v>
      </c>
      <c r="F85" s="116" t="n">
        <v>3345326.161589826</v>
      </c>
      <c r="G85" s="142" t="n">
        <v>7104212.246323701</v>
      </c>
      <c r="H85" s="142" t="n">
        <v>8338295.063910253</v>
      </c>
      <c r="I85" s="142" t="n">
        <v>4164256.541013775</v>
      </c>
      <c r="J85" s="143" t="n">
        <v>0.6875</v>
      </c>
    </row>
    <row r="86" ht="30" customHeight="1">
      <c r="A86" s="141" t="n">
        <v>2053</v>
      </c>
      <c r="B86" s="141" t="n">
        <v>91</v>
      </c>
      <c r="C86" s="141" t="n">
        <v>92</v>
      </c>
      <c r="D86" s="142" t="n">
        <v>0</v>
      </c>
      <c r="E86" s="142" t="n">
        <v>0</v>
      </c>
      <c r="F86" s="116" t="n">
        <v>3288642.448171305</v>
      </c>
      <c r="G86" s="142" t="n">
        <v>8607005.647817474</v>
      </c>
      <c r="H86" s="142" t="n">
        <v>9246680.592856959</v>
      </c>
      <c r="I86" s="142" t="n">
        <v>4555479.632837018</v>
      </c>
      <c r="J86" s="143" t="n">
        <v>0.6875</v>
      </c>
    </row>
    <row r="87" ht="30" customHeight="1">
      <c r="A87" s="141" t="n">
        <v>2054</v>
      </c>
      <c r="B87" s="141" t="n">
        <v>92</v>
      </c>
      <c r="C87" s="141" t="n">
        <v>93</v>
      </c>
      <c r="D87" s="142" t="n">
        <v>0</v>
      </c>
      <c r="E87" s="142" t="n">
        <v>0</v>
      </c>
      <c r="F87" s="116" t="n">
        <v>3350752.964319529</v>
      </c>
      <c r="G87" s="142" t="n">
        <v>8851563.306160716</v>
      </c>
      <c r="H87" s="142" t="n">
        <v>11032956.38429387</v>
      </c>
      <c r="I87" s="142" t="n">
        <v>4917472.376113663</v>
      </c>
      <c r="J87" s="143" t="n">
        <v>0.6875</v>
      </c>
    </row>
    <row r="88" ht="30" customHeight="1">
      <c r="A88" s="141" t="n">
        <v>2055</v>
      </c>
      <c r="B88" s="141" t="n">
        <v>93</v>
      </c>
      <c r="C88" s="141" t="n">
        <v>94</v>
      </c>
      <c r="D88" s="142" t="n">
        <v>0</v>
      </c>
      <c r="E88" s="142" t="n">
        <v>0</v>
      </c>
      <c r="F88" s="116" t="n">
        <v>3155439.953678697</v>
      </c>
      <c r="G88" s="142" t="n">
        <v>8226590.396520365</v>
      </c>
      <c r="H88" s="142" t="n">
        <v>12343787.86772451</v>
      </c>
      <c r="I88" s="142" t="n">
        <v>5242034.822846957</v>
      </c>
      <c r="J88" s="143" t="n">
        <v>0.6875</v>
      </c>
    </row>
    <row r="89" ht="30" customHeight="1">
      <c r="A89" s="141" t="n">
        <v>2056</v>
      </c>
      <c r="B89" s="141" t="n">
        <v>94</v>
      </c>
      <c r="C89" s="141" t="n">
        <v>95</v>
      </c>
      <c r="D89" s="142" t="n">
        <v>0</v>
      </c>
      <c r="E89" s="142" t="n">
        <v>0</v>
      </c>
      <c r="F89" s="116" t="n">
        <v>3272027.001496765</v>
      </c>
      <c r="G89" s="142" t="n">
        <v>7878474.233089874</v>
      </c>
      <c r="H89" s="142" t="n">
        <v>15310239.16876961</v>
      </c>
      <c r="I89" s="142" t="n">
        <v>5780596.030432496</v>
      </c>
      <c r="J89" s="143" t="n">
        <v>0.6875</v>
      </c>
    </row>
    <row r="90"/>
    <row r="91" ht="15" customHeight="1">
      <c r="A91" s="1" t="inlineStr">
        <is>
          <t>E.  Sequence-of-Returns Risk — Quintiles by First-5-Year Avg Return</t>
        </is>
      </c>
    </row>
    <row r="92" ht="45" customHeight="1">
      <c r="A92" s="5" t="inlineStr">
        <is>
          <t>Quintile</t>
        </is>
      </c>
      <c r="B92" s="5" t="inlineStr">
        <is>
          <t>Avg First-5-Yr Return</t>
        </is>
      </c>
      <c r="C92" s="5" t="inlineStr">
        <is>
          <t>P10 End Liquid</t>
        </is>
      </c>
      <c r="D92" s="5" t="inlineStr">
        <is>
          <t>Median End Liquid</t>
        </is>
      </c>
      <c r="E92" s="5" t="inlineStr">
        <is>
          <t>P90 End Liquid</t>
        </is>
      </c>
      <c r="F92" s="5" t="inlineStr">
        <is>
          <t>Avg End Liquid</t>
        </is>
      </c>
      <c r="G92" s="5" t="inlineStr">
        <is>
          <t>Funding Success</t>
        </is>
      </c>
      <c r="H92" s="5" t="inlineStr">
        <is>
          <t>Key Insight</t>
        </is>
      </c>
    </row>
    <row r="93" ht="45" customHeight="1">
      <c r="A93" s="95" t="inlineStr">
        <is>
          <t>Q1 — Worst 20%</t>
        </is>
      </c>
      <c r="B93" s="90" t="n">
        <v>-0.03472069946840308</v>
      </c>
      <c r="C93" s="144" t="n">
        <v>0</v>
      </c>
      <c r="D93" s="145" t="n">
        <v>0</v>
      </c>
      <c r="E93" s="144" t="n">
        <v>0</v>
      </c>
      <c r="F93" s="144" t="n">
        <v>0</v>
      </c>
      <c r="G93" s="146" t="n">
        <v>0</v>
      </c>
      <c r="H93" s="74" t="inlineStr">
        <is>
          <t>Retire into a bear market: portfolio may not recover</t>
        </is>
      </c>
      <c r="I93" s="3" t="n"/>
      <c r="J93" s="4" t="n"/>
    </row>
    <row r="94" ht="30" customHeight="1">
      <c r="A94" s="147" t="inlineStr">
        <is>
          <t>Q2</t>
        </is>
      </c>
      <c r="B94" s="148" t="n">
        <v>0.04447826989695589</v>
      </c>
      <c r="C94" s="149" t="n">
        <v>0</v>
      </c>
      <c r="D94" s="150" t="n">
        <v>0</v>
      </c>
      <c r="E94" s="149" t="n">
        <v>271960.2382682819</v>
      </c>
      <c r="F94" s="149" t="n">
        <v>113316.7659451175</v>
      </c>
      <c r="G94" s="151" t="n">
        <v>0.3333333333333333</v>
      </c>
      <c r="H94" s="82" t="inlineStr">
        <is>
          <t>Below-avg early returns: monitor spending levels</t>
        </is>
      </c>
      <c r="I94" s="3" t="n"/>
      <c r="J94" s="4" t="n"/>
    </row>
    <row r="95" ht="30" customHeight="1">
      <c r="A95" s="118" t="inlineStr">
        <is>
          <t>Q3 — Middle 20%</t>
        </is>
      </c>
      <c r="B95" s="152" t="n">
        <v>0.09500277248619693</v>
      </c>
      <c r="C95" s="153" t="n">
        <v>3350100.267405502</v>
      </c>
      <c r="D95" s="154" t="n">
        <v>5222065.229903216</v>
      </c>
      <c r="E95" s="153" t="n">
        <v>6239487.718969265</v>
      </c>
      <c r="F95" s="153" t="n">
        <v>4866005.865973356</v>
      </c>
      <c r="G95" s="155" t="n">
        <v>1</v>
      </c>
      <c r="H95" s="112" t="inlineStr">
        <is>
          <t>Middle outcome: plan as modeled</t>
        </is>
      </c>
      <c r="I95" s="3" t="n"/>
      <c r="J95" s="4" t="n"/>
    </row>
    <row r="96" ht="30" customHeight="1">
      <c r="A96" s="92" t="inlineStr">
        <is>
          <t>Q4</t>
        </is>
      </c>
      <c r="B96" s="81" t="n">
        <v>0.1232819867766737</v>
      </c>
      <c r="C96" s="80" t="n">
        <v>5208900.969155246</v>
      </c>
      <c r="D96" s="93" t="n">
        <v>12032366.90865217</v>
      </c>
      <c r="E96" s="80" t="n">
        <v>13180710.08774833</v>
      </c>
      <c r="F96" s="80" t="n">
        <v>9667732.425151849</v>
      </c>
      <c r="G96" s="156" t="n">
        <v>1</v>
      </c>
      <c r="H96" s="75" t="inlineStr">
        <is>
          <t>Above-avg early returns: strong buffer builds fast</t>
        </is>
      </c>
      <c r="I96" s="3" t="n"/>
      <c r="J96" s="4" t="n"/>
    </row>
    <row r="97" ht="30" customHeight="1">
      <c r="A97" s="119" t="inlineStr">
        <is>
          <t>Q5 — Best 20%</t>
        </is>
      </c>
      <c r="B97" s="157" t="n">
        <v>0.1603843853249111</v>
      </c>
      <c r="C97" s="158" t="n">
        <v>3215641.373563766</v>
      </c>
      <c r="D97" s="159" t="n">
        <v>3366003.048051764</v>
      </c>
      <c r="E97" s="158" t="n">
        <v>14395346.57362383</v>
      </c>
      <c r="F97" s="158" t="n">
        <v>7898912.152670127</v>
      </c>
      <c r="G97" s="160" t="n">
        <v>1</v>
      </c>
      <c r="H97" s="114" t="inlineStr">
        <is>
          <t>Bull market at retirement: large bequest potential</t>
        </is>
      </c>
      <c r="I97" s="3" t="n"/>
      <c r="J97" s="4" t="n"/>
    </row>
    <row r="98"/>
    <row r="99" ht="45" customHeight="1">
      <c r="A99" s="97" t="inlineStr">
        <is>
          <t>Sequence-of-Returns Risk is the dominant tail risk in this plan. The difference between Q1 and Q5 success rates illustrates why the Reserve requirement and Roth conversion strategy are critical: they allow riding out early bear markets without forced selling.</t>
        </is>
      </c>
      <c r="B99" s="3" t="n"/>
      <c r="C99" s="3" t="n"/>
      <c r="D99" s="3" t="n"/>
      <c r="E99" s="3" t="n"/>
      <c r="F99" s="3" t="n"/>
      <c r="G99" s="3" t="n"/>
      <c r="H99" s="3" t="n"/>
      <c r="I99" s="3" t="n"/>
      <c r="J99" s="4" t="n"/>
    </row>
    <row r="100"/>
    <row r="101" ht="15" customHeight="1">
      <c r="A101" s="1" t="inlineStr">
        <is>
          <t>F.  Sensitivity Analysis — 3 Sims per Cell  ·  Varying μ (Return) × σ (Volatility)</t>
        </is>
      </c>
    </row>
    <row r="102" ht="30" customHeight="1">
      <c r="A102" s="161" t="inlineStr">
        <is>
          <t>Return (mu) / Vol (sigma)</t>
        </is>
      </c>
      <c r="B102" s="5" t="inlineStr">
        <is>
          <t>σ=8%</t>
        </is>
      </c>
      <c r="C102" s="5" t="inlineStr">
        <is>
          <t>σ=10%</t>
        </is>
      </c>
      <c r="D102" s="5" t="inlineStr">
        <is>
          <t>σ=12%</t>
        </is>
      </c>
      <c r="E102" s="5" t="inlineStr">
        <is>
          <t>σ=14%</t>
        </is>
      </c>
      <c r="F102" s="5" t="inlineStr">
        <is>
          <t>σ=16%</t>
        </is>
      </c>
      <c r="G102" s="13" t="inlineStr">
        <is>
          <t>Best σ</t>
        </is>
      </c>
    </row>
    <row r="103" ht="30" customHeight="1">
      <c r="A103" s="130" t="inlineStr">
        <is>
          <t>μ=4%</t>
        </is>
      </c>
      <c r="B103" s="162" t="n">
        <v>0.3333333333333333</v>
      </c>
      <c r="C103" s="162" t="n">
        <v>0</v>
      </c>
      <c r="D103" s="162" t="n">
        <v>0</v>
      </c>
      <c r="E103" s="162" t="n">
        <v>0</v>
      </c>
      <c r="F103" s="162" t="n">
        <v>0.3333333333333333</v>
      </c>
      <c r="G103" s="156" t="n">
        <v>0.3333333333333333</v>
      </c>
    </row>
    <row r="104" ht="30" customHeight="1">
      <c r="A104" s="130" t="inlineStr">
        <is>
          <t>μ=5%</t>
        </is>
      </c>
      <c r="B104" s="162" t="n">
        <v>0.3333333333333333</v>
      </c>
      <c r="C104" s="157" t="n">
        <v>1</v>
      </c>
      <c r="D104" s="162" t="n">
        <v>0.6666666666666666</v>
      </c>
      <c r="E104" s="162" t="n">
        <v>0.3333333333333333</v>
      </c>
      <c r="F104" s="162" t="n">
        <v>0.6666666666666666</v>
      </c>
      <c r="G104" s="156" t="n">
        <v>1</v>
      </c>
    </row>
    <row r="105" ht="30" customHeight="1">
      <c r="A105" s="163" t="inlineStr">
        <is>
          <t>μ=6%</t>
        </is>
      </c>
      <c r="B105" s="162" t="n">
        <v>0.6666666666666666</v>
      </c>
      <c r="C105" s="162" t="n">
        <v>0.6666666666666666</v>
      </c>
      <c r="D105" s="164" t="n">
        <v>0</v>
      </c>
      <c r="E105" s="162" t="n">
        <v>0</v>
      </c>
      <c r="F105" s="162" t="n">
        <v>0.3333333333333333</v>
      </c>
      <c r="G105" s="156" t="n">
        <v>0.6666666666666666</v>
      </c>
    </row>
    <row r="106" ht="30" customHeight="1">
      <c r="A106" s="130" t="inlineStr">
        <is>
          <t>μ=7%</t>
        </is>
      </c>
      <c r="B106" s="162" t="n">
        <v>0</v>
      </c>
      <c r="C106" s="162" t="n">
        <v>0.3333333333333333</v>
      </c>
      <c r="D106" s="162" t="n">
        <v>0.3333333333333333</v>
      </c>
      <c r="E106" s="162" t="n">
        <v>0.3333333333333333</v>
      </c>
      <c r="F106" s="162" t="n">
        <v>0.6666666666666666</v>
      </c>
      <c r="G106" s="156" t="n">
        <v>0.6666666666666666</v>
      </c>
    </row>
    <row r="107" ht="30" customHeight="1">
      <c r="A107" s="130" t="inlineStr">
        <is>
          <t>μ=8%</t>
        </is>
      </c>
      <c r="B107" s="162" t="n">
        <v>0.6666666666666666</v>
      </c>
      <c r="C107" s="157" t="n">
        <v>1</v>
      </c>
      <c r="D107" s="162" t="n">
        <v>0.3333333333333333</v>
      </c>
      <c r="E107" s="162" t="n">
        <v>0.3333333333333333</v>
      </c>
      <c r="F107" s="162" t="n">
        <v>0.6666666666666666</v>
      </c>
      <c r="G107" s="156" t="n">
        <v>1</v>
      </c>
    </row>
    <row r="108"/>
    <row r="109" ht="15" customHeight="1">
      <c r="A109" s="165" t="inlineStr"/>
      <c r="B109" s="112" t="inlineStr">
        <is>
          <t>Base case (μ=6%, σ=12%)</t>
        </is>
      </c>
      <c r="C109" s="3" t="n"/>
      <c r="D109" s="3" t="n"/>
      <c r="E109" s="3" t="n"/>
      <c r="F109" s="4" t="n"/>
    </row>
    <row r="110" ht="15" customHeight="1">
      <c r="A110" s="166" t="inlineStr"/>
      <c r="B110" s="112" t="inlineStr">
        <is>
          <t>Success ≥ 90%  — plan highly resilient</t>
        </is>
      </c>
      <c r="C110" s="3" t="n"/>
      <c r="D110" s="3" t="n"/>
      <c r="E110" s="3" t="n"/>
      <c r="F110" s="4" t="n"/>
    </row>
    <row r="111" ht="15" customHeight="1">
      <c r="A111" s="167" t="inlineStr"/>
      <c r="B111" s="112" t="inlineStr">
        <is>
          <t>Success 70–89%  — monitor; consider adjustments</t>
        </is>
      </c>
      <c r="C111" s="3" t="n"/>
      <c r="D111" s="3" t="n"/>
      <c r="E111" s="3" t="n"/>
      <c r="F111" s="4" t="n"/>
    </row>
    <row r="112" ht="15" customHeight="1">
      <c r="A112" s="168" t="inlineStr"/>
      <c r="B112" s="112" t="inlineStr">
        <is>
          <t>Success &lt; 70%  — stress zone; action likely needed</t>
        </is>
      </c>
      <c r="C112" s="3" t="n"/>
      <c r="D112" s="3" t="n"/>
      <c r="E112" s="3" t="n"/>
      <c r="F112" s="4" t="n"/>
    </row>
    <row r="113"/>
    <row r="114" ht="15" customHeight="1">
      <c r="A114" s="1" t="inlineStr">
        <is>
          <t>G.  Interpretation, Implications &amp; Adjustments</t>
        </is>
      </c>
    </row>
    <row r="115" ht="15" customHeight="1">
      <c r="A115" s="5" t="inlineStr">
        <is>
          <t>Topic</t>
        </is>
      </c>
      <c r="B115" s="4" t="n"/>
      <c r="C115" s="5" t="inlineStr">
        <is>
          <t>Interpretation</t>
        </is>
      </c>
      <c r="D115" s="3" t="n"/>
      <c r="E115" s="3" t="n"/>
      <c r="F115" s="3" t="n"/>
      <c r="G115" s="3" t="n"/>
      <c r="H115" s="3" t="n"/>
      <c r="I115" s="3" t="n"/>
      <c r="J115" s="4" t="n"/>
    </row>
    <row r="116" ht="75" customHeight="1">
      <c r="A116" s="11" t="inlineStr">
        <is>
          <t>Overall Plan Assessment</t>
        </is>
      </c>
      <c r="B116" s="4" t="n"/>
      <c r="C116" s="12" t="inlineStr">
        <is>
          <t>At configured μ=6%/σ=12%, the plan has a 69% liquid-funding success rate — marginal by institutional planning standards. Median terminal liquid assets of $3,272,027 and median total net worth of $6,694,530 are shown separately so illiquid wealth does not mask spending shortfalls. The sampled arithmetic/geometric returns were 7.1%/6.3%; success requires maintaining the liquidity floor of $0.</t>
        </is>
      </c>
      <c r="D116" s="3" t="n"/>
      <c r="E116" s="3" t="n"/>
      <c r="F116" s="3" t="n"/>
      <c r="G116" s="3" t="n"/>
      <c r="H116" s="3" t="n"/>
      <c r="I116" s="3" t="n"/>
      <c r="J116" s="4" t="n"/>
    </row>
    <row r="117" ht="60" customHeight="1">
      <c r="A117" s="11" t="inlineStr">
        <is>
          <t>Primary Risk: Sequence-of-Returns</t>
        </is>
      </c>
      <c r="B117" s="4" t="n"/>
      <c r="C117" s="12" t="inlineStr">
        <is>
          <t>The first 5–10 years of retirement carry the highest risk. A sustained bear market early in the distribution phase, before Social Security and annuity income fully offset spending, can permanently impair the portfolio. The configured liquidity buffer (Trust accounts) is the primary mitigation.</t>
        </is>
      </c>
      <c r="D117" s="3" t="n"/>
      <c r="E117" s="3" t="n"/>
      <c r="F117" s="3" t="n"/>
      <c r="G117" s="3" t="n"/>
      <c r="H117" s="3" t="n"/>
      <c r="I117" s="3" t="n"/>
      <c r="J117" s="4" t="n"/>
    </row>
    <row r="118" ht="60" customHeight="1">
      <c r="A118" s="11" t="inlineStr">
        <is>
          <t>Annuity Income as a Floor</t>
        </is>
      </c>
      <c r="B118" s="4" t="n"/>
      <c r="C118" s="12" t="inlineStr">
        <is>
          <t>Wife pension + joint annuities provide deterministic income starting in the configured income year. This income floor reduces spending pressure, but it does not by itself guarantee liquid funding success. In Q1 (worst first-5-year return paths), funded-plan success is 0%, so early-market losses remain an important risk-control trigger.</t>
        </is>
      </c>
      <c r="D118" s="3" t="n"/>
      <c r="E118" s="3" t="n"/>
      <c r="F118" s="3" t="n"/>
      <c r="G118" s="3" t="n"/>
      <c r="H118" s="3" t="n"/>
      <c r="I118" s="3" t="n"/>
      <c r="J118" s="4" t="n"/>
    </row>
    <row r="119" ht="75" customHeight="1">
      <c r="A119" s="11" t="inlineStr">
        <is>
          <t>When to Take Action</t>
        </is>
      </c>
      <c r="B119" s="4" t="n"/>
      <c r="C119" s="12" t="inlineStr">
        <is>
          <t>Monitor the actual first-5-year portfolio return vs the Q1/Q2 threshold. If cumulative return through the configured checkpoint year is below +10% total, consider: (1) Reduce discretionary spending (vacations, home projects); (2) Accelerate Roth conversions to reduce future RMD tax drag; (3) Delay Social Security claim if not yet claimed; (4) Consider a partial annuity purchase to increase income floor.</t>
        </is>
      </c>
      <c r="D119" s="3" t="n"/>
      <c r="E119" s="3" t="n"/>
      <c r="F119" s="3" t="n"/>
      <c r="G119" s="3" t="n"/>
      <c r="H119" s="3" t="n"/>
      <c r="I119" s="3" t="n"/>
      <c r="J119" s="4" t="n"/>
    </row>
    <row r="120" ht="45" customHeight="1">
      <c r="A120" s="11" t="inlineStr">
        <is>
          <t>Return Assumption Stress</t>
        </is>
      </c>
      <c r="B120" s="4" t="n"/>
      <c r="C120" s="12" t="inlineStr">
        <is>
          <t>At μ=7%, success ranges from 0%–67% across the tested volatility levels. At μ=5%, success ranges from 33%–100%. These cells are full re-simulations, not a shortcut based on terminal net worth.</t>
        </is>
      </c>
      <c r="D120" s="3" t="n"/>
      <c r="E120" s="3" t="n"/>
      <c r="F120" s="3" t="n"/>
      <c r="G120" s="3" t="n"/>
      <c r="H120" s="3" t="n"/>
      <c r="I120" s="3" t="n"/>
      <c r="J120" s="4" t="n"/>
    </row>
    <row r="121" ht="45" customHeight="1">
      <c r="A121" s="11" t="inlineStr">
        <is>
          <t>Recommended Annual Review</t>
        </is>
      </c>
      <c r="B121" s="4" t="n"/>
      <c r="C121" s="12" t="inlineStr">
        <is>
          <t>Compare actual portfolio return to the base-case assumption each December. If 3-year trailing return is below 3% annualised, trigger a plan review and spending adjustment discussion. Re-run this Monte Carlo annually.</t>
        </is>
      </c>
      <c r="D121" s="3" t="n"/>
      <c r="E121" s="3" t="n"/>
      <c r="F121" s="3" t="n"/>
      <c r="G121" s="3" t="n"/>
      <c r="H121" s="3" t="n"/>
      <c r="I121" s="3" t="n"/>
      <c r="J121" s="4" t="n"/>
    </row>
  </sheetData>
  <mergeCells count="150">
    <mergeCell ref="D4:J4"/>
    <mergeCell ref="F29:G29"/>
    <mergeCell ref="G55:J55"/>
    <mergeCell ref="A91:J91"/>
    <mergeCell ref="G47:J47"/>
    <mergeCell ref="A21:C21"/>
    <mergeCell ref="D24:J24"/>
    <mergeCell ref="B53:D53"/>
    <mergeCell ref="G46:J46"/>
    <mergeCell ref="E51:F51"/>
    <mergeCell ref="A23:C23"/>
    <mergeCell ref="A41:B41"/>
    <mergeCell ref="C41:D41"/>
    <mergeCell ref="A37:E37"/>
    <mergeCell ref="D10:J10"/>
    <mergeCell ref="D19:J19"/>
    <mergeCell ref="C118:J118"/>
    <mergeCell ref="H95:J95"/>
    <mergeCell ref="C43:D43"/>
    <mergeCell ref="E49:F49"/>
    <mergeCell ref="H30:J30"/>
    <mergeCell ref="A42:B42"/>
    <mergeCell ref="H97:J97"/>
    <mergeCell ref="D11:J11"/>
    <mergeCell ref="H29:J29"/>
    <mergeCell ref="B54:D54"/>
    <mergeCell ref="G53:J53"/>
    <mergeCell ref="A3:J3"/>
    <mergeCell ref="A6:C6"/>
    <mergeCell ref="H31:J31"/>
    <mergeCell ref="A117:B117"/>
    <mergeCell ref="H40:J40"/>
    <mergeCell ref="E53:F53"/>
    <mergeCell ref="A34:E34"/>
    <mergeCell ref="E55:F55"/>
    <mergeCell ref="D9:J9"/>
    <mergeCell ref="F34:G34"/>
    <mergeCell ref="C116:J116"/>
    <mergeCell ref="A36:E36"/>
    <mergeCell ref="A12:C12"/>
    <mergeCell ref="D15:J15"/>
    <mergeCell ref="E48:F48"/>
    <mergeCell ref="D23:J23"/>
    <mergeCell ref="F30:G30"/>
    <mergeCell ref="A5:C5"/>
    <mergeCell ref="B111:F111"/>
    <mergeCell ref="A14:C14"/>
    <mergeCell ref="C121:J121"/>
    <mergeCell ref="H27:J27"/>
    <mergeCell ref="F33:G33"/>
    <mergeCell ref="C40:D40"/>
    <mergeCell ref="C117:J117"/>
    <mergeCell ref="A4:C4"/>
    <mergeCell ref="H33:J33"/>
    <mergeCell ref="A13:C13"/>
    <mergeCell ref="H42:J42"/>
    <mergeCell ref="G48:J48"/>
    <mergeCell ref="C115:J115"/>
    <mergeCell ref="F31:G31"/>
    <mergeCell ref="F28:G28"/>
    <mergeCell ref="A32:E32"/>
    <mergeCell ref="H35:J35"/>
    <mergeCell ref="A116:B116"/>
    <mergeCell ref="A15:C15"/>
    <mergeCell ref="A24:C24"/>
    <mergeCell ref="B47:D47"/>
    <mergeCell ref="A29:E29"/>
    <mergeCell ref="D17:J17"/>
    <mergeCell ref="B46:D46"/>
    <mergeCell ref="G49:J49"/>
    <mergeCell ref="A115:B115"/>
    <mergeCell ref="A31:E31"/>
    <mergeCell ref="A7:C7"/>
    <mergeCell ref="A16:C16"/>
    <mergeCell ref="B48:D48"/>
    <mergeCell ref="E50:F50"/>
    <mergeCell ref="B109:F109"/>
    <mergeCell ref="D12:J12"/>
    <mergeCell ref="A18:C18"/>
    <mergeCell ref="E52:F52"/>
    <mergeCell ref="A119:B119"/>
    <mergeCell ref="D5:J5"/>
    <mergeCell ref="D14:J14"/>
    <mergeCell ref="H32:J32"/>
    <mergeCell ref="B49:D49"/>
    <mergeCell ref="A22:C22"/>
    <mergeCell ref="A114:J114"/>
    <mergeCell ref="F36:G36"/>
    <mergeCell ref="A120:B120"/>
    <mergeCell ref="A20:C20"/>
    <mergeCell ref="B51:D51"/>
    <mergeCell ref="E46:F46"/>
    <mergeCell ref="D21:J21"/>
    <mergeCell ref="B50:D50"/>
    <mergeCell ref="C120:J120"/>
    <mergeCell ref="C119:J119"/>
    <mergeCell ref="A99:J99"/>
    <mergeCell ref="E54:F54"/>
    <mergeCell ref="A43:B43"/>
    <mergeCell ref="A28:E28"/>
    <mergeCell ref="D7:J7"/>
    <mergeCell ref="D16:J16"/>
    <mergeCell ref="H34:J34"/>
    <mergeCell ref="A101:J101"/>
    <mergeCell ref="A40:B40"/>
    <mergeCell ref="B110:F110"/>
    <mergeCell ref="A30:E30"/>
    <mergeCell ref="D18:J18"/>
    <mergeCell ref="H36:J36"/>
    <mergeCell ref="H94:J94"/>
    <mergeCell ref="G51:J51"/>
    <mergeCell ref="C42:D42"/>
    <mergeCell ref="D8:J8"/>
    <mergeCell ref="G54:J54"/>
    <mergeCell ref="G50:J50"/>
    <mergeCell ref="H28:J28"/>
    <mergeCell ref="A8:C8"/>
    <mergeCell ref="H37:J37"/>
    <mergeCell ref="A17:C17"/>
    <mergeCell ref="D20:J20"/>
    <mergeCell ref="A39:J39"/>
    <mergeCell ref="G52:J52"/>
    <mergeCell ref="F32:G32"/>
    <mergeCell ref="H96:J96"/>
    <mergeCell ref="A118:B118"/>
    <mergeCell ref="B55:D55"/>
    <mergeCell ref="A27:E27"/>
    <mergeCell ref="F35:G35"/>
    <mergeCell ref="A10:C10"/>
    <mergeCell ref="A1:J1"/>
    <mergeCell ref="A45:J45"/>
    <mergeCell ref="A19:C19"/>
    <mergeCell ref="D22:J22"/>
    <mergeCell ref="B112:F112"/>
    <mergeCell ref="A33:E33"/>
    <mergeCell ref="D6:J6"/>
    <mergeCell ref="A9:C9"/>
    <mergeCell ref="D13:J13"/>
    <mergeCell ref="F27:G27"/>
    <mergeCell ref="H43:J43"/>
    <mergeCell ref="F37:G37"/>
    <mergeCell ref="A35:E35"/>
    <mergeCell ref="A11:C11"/>
    <mergeCell ref="H41:J41"/>
    <mergeCell ref="A121:B121"/>
    <mergeCell ref="H93:J93"/>
    <mergeCell ref="B52:D52"/>
    <mergeCell ref="A26:J26"/>
    <mergeCell ref="A57:J57"/>
    <mergeCell ref="E47:F47"/>
  </mergeCells>
  <pageMargins left="0.75" right="0.75" top="1" bottom="1" header="0.5" footer="0.5"/>
</worksheet>
</file>

<file path=xl/worksheets/sheet21.xml><?xml version="1.0" encoding="utf-8"?>
<worksheet xmlns="http://schemas.openxmlformats.org/spreadsheetml/2006/main">
  <sheetPr>
    <tabColor rgb="00C00000"/>
    <outlinePr summaryBelow="1" summaryRight="1"/>
    <pageSetUpPr/>
  </sheetPr>
  <dimension ref="A1:I18"/>
  <sheetViews>
    <sheetView showGridLines="0" workbookViewId="0">
      <selection activeCell="A1" sqref="A1"/>
    </sheetView>
  </sheetViews>
  <sheetFormatPr baseColWidth="8" defaultRowHeight="15"/>
  <cols>
    <col width="23.5" customWidth="1" min="1" max="1"/>
    <col width="23.5" customWidth="1" min="2" max="2"/>
    <col width="4.9" customWidth="1" min="3" max="3"/>
    <col width="4.9" customWidth="1" min="4" max="4"/>
    <col width="9.4" customWidth="1" min="5" max="5"/>
    <col width="9.4" customWidth="1" min="6" max="6"/>
    <col width="9.4" customWidth="1" min="7" max="7"/>
    <col width="9.4" customWidth="1" min="8" max="8"/>
    <col width="23.5" customWidth="1" min="9" max="9"/>
  </cols>
  <sheetData>
    <row r="1" ht="18" customHeight="1">
      <c r="A1" s="9" t="inlineStr">
        <is>
          <t>SURVIVOR / EARLY-DEATH STRESS TEST</t>
        </is>
      </c>
    </row>
    <row r="2"/>
    <row r="3" ht="15" customHeight="1">
      <c r="A3" s="13" t="inlineStr">
        <is>
          <t>Early-Death Scenarios (full projection re-runs)</t>
        </is>
      </c>
      <c r="B3" s="3" t="n"/>
      <c r="C3" s="3" t="n"/>
      <c r="D3" s="3" t="n"/>
      <c r="E3" s="3" t="n"/>
      <c r="F3" s="3" t="n"/>
      <c r="G3" s="3" t="n"/>
      <c r="H3" s="3" t="n"/>
      <c r="I3" s="4" t="n"/>
    </row>
    <row r="4" ht="30" customHeight="1">
      <c r="A4" s="5" t="inlineStr">
        <is>
          <t>Scenario</t>
        </is>
      </c>
      <c r="B4" s="5" t="inlineStr">
        <is>
          <t>H Death</t>
        </is>
      </c>
      <c r="C4" s="5" t="inlineStr">
        <is>
          <t>W Death</t>
        </is>
      </c>
      <c r="D4" s="5" t="inlineStr">
        <is>
          <t>Plan End</t>
        </is>
      </c>
      <c r="E4" s="5" t="inlineStr">
        <is>
          <t>Terminal NW</t>
        </is>
      </c>
      <c r="F4" s="5" t="inlineStr">
        <is>
          <t>Δ vs Base</t>
        </is>
      </c>
      <c r="G4" s="5" t="inlineStr">
        <is>
          <t>Lifetime Tax</t>
        </is>
      </c>
      <c r="H4" s="5" t="inlineStr">
        <is>
          <t>Δ Tax</t>
        </is>
      </c>
      <c r="I4" s="5" t="inlineStr">
        <is>
          <t>Description</t>
        </is>
      </c>
    </row>
    <row r="5" ht="30" customHeight="1">
      <c r="A5" s="11" t="inlineStr">
        <is>
          <t>BASE PLAN</t>
        </is>
      </c>
      <c r="B5" s="138" t="n">
        <v>2054</v>
      </c>
      <c r="C5" s="138" t="n">
        <v>2056</v>
      </c>
      <c r="D5" s="138" t="n">
        <v>2056</v>
      </c>
      <c r="E5" s="76" t="n">
        <v>4805659.30177631</v>
      </c>
      <c r="F5" s="97" t="inlineStr">
        <is>
          <t>Baseline</t>
        </is>
      </c>
      <c r="G5" s="139" t="n">
        <v>768150.4215334217</v>
      </c>
      <c r="H5" s="97" t="inlineStr">
        <is>
          <t>Baseline</t>
        </is>
      </c>
      <c r="I5" s="97" t="inlineStr">
        <is>
          <t>H dies 2054 (age 92), W dies 2056 (age 95)</t>
        </is>
      </c>
    </row>
    <row r="6" ht="90" customHeight="1">
      <c r="A6" s="2" t="inlineStr">
        <is>
          <t>H dies at 65 (before SS &amp; annuities)</t>
        </is>
      </c>
      <c r="B6" s="135" t="n">
        <v>2027</v>
      </c>
      <c r="C6" s="169" t="n">
        <v>2056</v>
      </c>
      <c r="D6" s="169" t="n">
        <v>2056</v>
      </c>
      <c r="E6" s="170" t="n">
        <v>7420691.919771338</v>
      </c>
      <c r="F6" s="109" t="n">
        <v>2615032.617995027</v>
      </c>
      <c r="G6" s="108" t="n">
        <v>646854.3325320316</v>
      </c>
      <c r="H6" s="108" t="n">
        <v>-121296.0890013902</v>
      </c>
      <c r="I6" s="12" t="inlineStr">
        <is>
          <t>Husband dies 2027. No SS claimed yet. Joint annuity income continues to wife at 100%. H single annuity stops. Wife files Single.</t>
        </is>
      </c>
    </row>
    <row r="7" ht="90" customHeight="1">
      <c r="A7" s="2" t="inlineStr">
        <is>
          <t>H dies at 72 (early retirement)</t>
        </is>
      </c>
      <c r="B7" s="135" t="n">
        <v>2034</v>
      </c>
      <c r="C7" s="169" t="n">
        <v>2056</v>
      </c>
      <c r="D7" s="169" t="n">
        <v>2056</v>
      </c>
      <c r="E7" s="171" t="n">
        <v>3776012.540813134</v>
      </c>
      <c r="F7" s="172" t="n">
        <v>-1029646.760963176</v>
      </c>
      <c r="G7" s="108" t="n">
        <v>756682.5737619612</v>
      </c>
      <c r="H7" s="108" t="n">
        <v>-11467.84777146054</v>
      </c>
      <c r="I7" s="12" t="inlineStr">
        <is>
          <t>Husband dies 2034. SS claimed but only 8 years of benefits. Joint annuities continue. Wife survives 22 more years as Single filer.</t>
        </is>
      </c>
    </row>
    <row r="8" ht="90" customHeight="1">
      <c r="A8" s="2" t="inlineStr">
        <is>
          <t>W dies at 65 (pension &amp; annuities lost early)</t>
        </is>
      </c>
      <c r="B8" s="135" t="n">
        <v>2054</v>
      </c>
      <c r="C8" s="169" t="n">
        <v>2026</v>
      </c>
      <c r="D8" s="169" t="n">
        <v>2054</v>
      </c>
      <c r="E8" s="170" t="n">
        <v>6155918.467668513</v>
      </c>
      <c r="F8" s="109" t="n">
        <v>1350259.165892202</v>
      </c>
      <c r="G8" s="108" t="n">
        <v>621857.5154957772</v>
      </c>
      <c r="H8" s="108" t="n">
        <v>-146292.9060376445</v>
      </c>
      <c r="I8" s="12" t="inlineStr">
        <is>
          <t>Member death scenario: pension/single-life income stops immediately. Joint annuities continue to husband. H files Single.</t>
        </is>
      </c>
    </row>
    <row r="9" ht="90" customHeight="1">
      <c r="A9" s="2" t="inlineStr">
        <is>
          <t>W dies at 72 (early retirement)</t>
        </is>
      </c>
      <c r="B9" s="135" t="n">
        <v>2054</v>
      </c>
      <c r="C9" s="169" t="n">
        <v>2033</v>
      </c>
      <c r="D9" s="169" t="n">
        <v>2054</v>
      </c>
      <c r="E9" s="171" t="n">
        <v>3978168.346909446</v>
      </c>
      <c r="F9" s="172" t="n">
        <v>-827490.9548668647</v>
      </c>
      <c r="G9" s="108" t="n">
        <v>742867.2444140899</v>
      </c>
      <c r="H9" s="108" t="n">
        <v>-25283.17711933178</v>
      </c>
      <c r="I9" s="12" t="inlineStr">
        <is>
          <t>Wife dies 2033. Pension stops. W single annuity stops after ~4 years. Joint annuities continue. Husband survives as Single filer.</t>
        </is>
      </c>
    </row>
    <row r="10" ht="75" customHeight="1">
      <c r="A10" s="2" t="inlineStr">
        <is>
          <t>Both die at 75 (shortened plan)</t>
        </is>
      </c>
      <c r="B10" s="135" t="n">
        <v>2037</v>
      </c>
      <c r="C10" s="169" t="n">
        <v>2036</v>
      </c>
      <c r="D10" s="169" t="n">
        <v>2037</v>
      </c>
      <c r="E10" s="170" t="n">
        <v>4971695.312561282</v>
      </c>
      <c r="F10" s="109" t="n">
        <v>166036.0107849715</v>
      </c>
      <c r="G10" s="108" t="n">
        <v>421976.7966825276</v>
      </c>
      <c r="H10" s="108" t="n">
        <v>-346173.6248508941</v>
      </c>
      <c r="I10" s="12" t="inlineStr">
        <is>
          <t>Both die by 2037. Plan horizon collapses to 11 years. Minimal RMDs, no late-retirement spending. Tests estate value.</t>
        </is>
      </c>
    </row>
    <row r="11"/>
    <row r="12"/>
    <row r="13" ht="15" customHeight="1">
      <c r="A13" s="10" t="inlineStr">
        <is>
          <t>Survivor's Income Sources</t>
        </is>
      </c>
      <c r="B13" s="3" t="n"/>
      <c r="C13" s="3" t="n"/>
      <c r="D13" s="3" t="n"/>
      <c r="E13" s="3" t="n"/>
      <c r="F13" s="4" t="n"/>
    </row>
    <row r="14" ht="15" customHeight="1">
      <c r="A14" s="11" t="inlineStr">
        <is>
          <t>SS Income (Survivor)</t>
        </is>
      </c>
      <c r="B14" s="12" t="inlineStr">
        <is>
          <t>100% of higher benefit = $60,960/yr (at age 70 claim)</t>
        </is>
      </c>
      <c r="C14" s="3" t="n"/>
      <c r="D14" s="3" t="n"/>
      <c r="E14" s="3" t="n"/>
      <c r="F14" s="3" t="n"/>
      <c r="G14" s="3" t="n"/>
      <c r="H14" s="3" t="n"/>
      <c r="I14" s="4" t="n"/>
    </row>
    <row r="15" ht="15" customHeight="1">
      <c r="A15" s="11" t="inlineStr">
        <is>
          <t>Pension (Wife)</t>
        </is>
      </c>
      <c r="B15" s="12" t="inlineStr">
        <is>
          <t>$4,512/yr — STOPS at Wife's death</t>
        </is>
      </c>
      <c r="C15" s="3" t="n"/>
      <c r="D15" s="3" t="n"/>
      <c r="E15" s="3" t="n"/>
      <c r="F15" s="3" t="n"/>
      <c r="G15" s="3" t="n"/>
      <c r="H15" s="3" t="n"/>
      <c r="I15" s="4" t="n"/>
    </row>
    <row r="16" ht="15" customHeight="1">
      <c r="A16" s="11" t="inlineStr">
        <is>
          <t>Joint Annuities</t>
        </is>
      </c>
      <c r="B16" s="12" t="inlineStr">
        <is>
          <t>Continue at 100% J&amp;S to survivor per configured; single-life annuities stop at annuitant death</t>
        </is>
      </c>
      <c r="C16" s="3" t="n"/>
      <c r="D16" s="3" t="n"/>
      <c r="E16" s="3" t="n"/>
      <c r="F16" s="3" t="n"/>
      <c r="G16" s="3" t="n"/>
      <c r="H16" s="3" t="n"/>
      <c r="I16" s="4" t="n"/>
    </row>
    <row r="17" ht="15" customHeight="1">
      <c r="A17" s="11" t="inlineStr">
        <is>
          <t>Tax Filing</t>
        </is>
      </c>
      <c r="B17" s="12" t="inlineStr">
        <is>
          <t>Single filer after first death — compressed brackets, lower IRMAA thresholds</t>
        </is>
      </c>
      <c r="C17" s="3" t="n"/>
      <c r="D17" s="3" t="n"/>
      <c r="E17" s="3" t="n"/>
      <c r="F17" s="3" t="n"/>
      <c r="G17" s="3" t="n"/>
      <c r="H17" s="3" t="n"/>
      <c r="I17" s="4" t="n"/>
    </row>
    <row r="18" ht="15" customHeight="1">
      <c r="A18" s="11" t="inlineStr">
        <is>
          <t>Key Action</t>
        </is>
      </c>
      <c r="B18" s="12" t="inlineStr">
        <is>
          <t>Review beneficiary designations; survivor retains Trust + Roth accounts</t>
        </is>
      </c>
      <c r="C18" s="3" t="n"/>
      <c r="D18" s="3" t="n"/>
      <c r="E18" s="3" t="n"/>
      <c r="F18" s="3" t="n"/>
      <c r="G18" s="3" t="n"/>
      <c r="H18" s="3" t="n"/>
      <c r="I18" s="4" t="n"/>
    </row>
  </sheetData>
  <mergeCells count="8">
    <mergeCell ref="B18:I18"/>
    <mergeCell ref="B15:I15"/>
    <mergeCell ref="A13:F13"/>
    <mergeCell ref="B16:I16"/>
    <mergeCell ref="A1:I1"/>
    <mergeCell ref="B14:I14"/>
    <mergeCell ref="A3:I3"/>
    <mergeCell ref="B17:I17"/>
  </mergeCells>
  <pageMargins left="0.75" right="0.75" top="1" bottom="1" header="0.5" footer="0.5"/>
</worksheet>
</file>

<file path=xl/worksheets/sheet22.xml><?xml version="1.0" encoding="utf-8"?>
<worksheet xmlns="http://schemas.openxmlformats.org/spreadsheetml/2006/main">
  <sheetPr>
    <tabColor rgb="00C00000"/>
    <outlinePr summaryBelow="1" summaryRight="1"/>
    <pageSetUpPr/>
  </sheetPr>
  <dimension ref="A1:H59"/>
  <sheetViews>
    <sheetView showGridLines="0" workbookViewId="0">
      <selection activeCell="A1" sqref="A1"/>
    </sheetView>
  </sheetViews>
  <sheetFormatPr baseColWidth="8" defaultRowHeight="15"/>
  <cols>
    <col width="19" customWidth="1" min="1" max="1"/>
    <col width="12" customWidth="1" min="2" max="2"/>
    <col width="12" customWidth="1" min="3" max="3"/>
    <col width="12" customWidth="1" min="4" max="4"/>
    <col width="14" customWidth="1" min="5" max="5"/>
    <col width="13" customWidth="1" min="6" max="6"/>
    <col width="14" customWidth="1" min="7" max="7"/>
    <col width="14" customWidth="1" min="8" max="8"/>
  </cols>
  <sheetData>
    <row r="1" ht="18" customHeight="1">
      <c r="A1" s="9" t="inlineStr">
        <is>
          <t>COMBINED LTC + LIFE INSURANCE ANALYSIS</t>
        </is>
      </c>
    </row>
    <row r="2"/>
    <row r="3" ht="15" customHeight="1">
      <c r="A3" s="13" t="inlineStr">
        <is>
          <t>Section A — Existing Coverage (Annuity Death Benefits)</t>
        </is>
      </c>
      <c r="B3" s="3" t="n"/>
      <c r="C3" s="3" t="n"/>
      <c r="D3" s="3" t="n"/>
      <c r="E3" s="3" t="n"/>
      <c r="F3" s="4" t="n"/>
    </row>
    <row r="4" ht="15" customHeight="1">
      <c r="A4" s="5" t="inlineStr">
        <is>
          <t>Year</t>
        </is>
      </c>
      <c r="B4" s="5" t="inlineStr">
        <is>
          <t>W_Single DB</t>
        </is>
      </c>
      <c r="C4" s="5" t="inlineStr">
        <is>
          <t>W_Joint DB</t>
        </is>
      </c>
      <c r="D4" s="5" t="inlineStr">
        <is>
          <t>H_Single DB</t>
        </is>
      </c>
      <c r="E4" s="5" t="inlineStr">
        <is>
          <t>H_Joint DB</t>
        </is>
      </c>
      <c r="F4" s="5" t="inlineStr">
        <is>
          <t>Total DB</t>
        </is>
      </c>
    </row>
    <row r="5" ht="15" customHeight="1">
      <c r="A5" s="135" t="n">
        <v>2026</v>
      </c>
      <c r="B5" s="103" t="n">
        <v>54811</v>
      </c>
      <c r="C5" s="103" t="n">
        <v>355000</v>
      </c>
      <c r="D5" s="103" t="n">
        <v>93041</v>
      </c>
      <c r="E5" s="103" t="n">
        <v>860000</v>
      </c>
      <c r="F5" s="103" t="n">
        <v>1362852</v>
      </c>
    </row>
    <row r="6" ht="15" customHeight="1">
      <c r="A6" s="135" t="n">
        <v>2027</v>
      </c>
      <c r="B6" s="103" t="n">
        <v>57527</v>
      </c>
      <c r="C6" s="103" t="n">
        <v>355000</v>
      </c>
      <c r="D6" s="103" t="n">
        <v>98029</v>
      </c>
      <c r="E6" s="103" t="n">
        <v>860000</v>
      </c>
      <c r="F6" s="103" t="n">
        <v>1370556</v>
      </c>
    </row>
    <row r="7" ht="15" customHeight="1">
      <c r="A7" s="135" t="n">
        <v>2028</v>
      </c>
      <c r="B7" s="103" t="n">
        <v>60381</v>
      </c>
      <c r="C7" s="103" t="n">
        <v>353868</v>
      </c>
      <c r="D7" s="103" t="n">
        <v>103285</v>
      </c>
      <c r="E7" s="103" t="n">
        <v>887765</v>
      </c>
      <c r="F7" s="103" t="n">
        <v>1405299</v>
      </c>
    </row>
    <row r="8" ht="15" customHeight="1">
      <c r="A8" s="135" t="n">
        <v>2029</v>
      </c>
      <c r="B8" s="103" t="n">
        <v>67377</v>
      </c>
      <c r="C8" s="103" t="n">
        <v>324660</v>
      </c>
      <c r="D8" s="103" t="n">
        <v>108826</v>
      </c>
      <c r="E8" s="103" t="n">
        <v>936024</v>
      </c>
      <c r="F8" s="103" t="n">
        <v>1436887</v>
      </c>
    </row>
    <row r="9" ht="15" customHeight="1">
      <c r="A9" s="135" t="n">
        <v>2030</v>
      </c>
      <c r="B9" s="103" t="n">
        <v>0</v>
      </c>
      <c r="C9" s="103" t="n">
        <v>295406</v>
      </c>
      <c r="D9" s="103" t="n">
        <v>0</v>
      </c>
      <c r="E9" s="103" t="n">
        <v>869290</v>
      </c>
      <c r="F9" s="103" t="n">
        <v>1164696</v>
      </c>
    </row>
    <row r="10" ht="15" customHeight="1">
      <c r="A10" s="135" t="n">
        <v>2031</v>
      </c>
      <c r="B10" s="103" t="n">
        <v>0</v>
      </c>
      <c r="C10" s="103" t="n">
        <v>267026</v>
      </c>
      <c r="D10" s="103" t="n">
        <v>0</v>
      </c>
      <c r="E10" s="103" t="n">
        <v>793070</v>
      </c>
      <c r="F10" s="103" t="n">
        <v>1060096</v>
      </c>
    </row>
    <row r="11" ht="15" customHeight="1">
      <c r="A11" s="135" t="n">
        <v>2032</v>
      </c>
      <c r="B11" s="103" t="n">
        <v>0</v>
      </c>
      <c r="C11" s="103" t="n">
        <v>239467</v>
      </c>
      <c r="D11" s="103" t="n">
        <v>0</v>
      </c>
      <c r="E11" s="103" t="n">
        <v>717885</v>
      </c>
      <c r="F11" s="103" t="n">
        <v>957352</v>
      </c>
    </row>
    <row r="12" ht="15" customHeight="1">
      <c r="A12" s="135" t="n">
        <v>2033</v>
      </c>
      <c r="B12" s="103" t="n">
        <v>0</v>
      </c>
      <c r="C12" s="103" t="n">
        <v>212555</v>
      </c>
      <c r="D12" s="103" t="n">
        <v>0</v>
      </c>
      <c r="E12" s="103" t="n">
        <v>644998</v>
      </c>
      <c r="F12" s="103" t="n">
        <v>857553</v>
      </c>
    </row>
    <row r="13" ht="15" customHeight="1">
      <c r="A13" s="135" t="n">
        <v>2034</v>
      </c>
      <c r="B13" s="103" t="n">
        <v>0</v>
      </c>
      <c r="C13" s="103" t="n">
        <v>186153</v>
      </c>
      <c r="D13" s="103" t="n">
        <v>0</v>
      </c>
      <c r="E13" s="103" t="n">
        <v>574089</v>
      </c>
      <c r="F13" s="103" t="n">
        <v>760242</v>
      </c>
    </row>
    <row r="14" ht="15" customHeight="1">
      <c r="A14" s="135" t="n">
        <v>2035</v>
      </c>
      <c r="B14" s="103" t="n">
        <v>0</v>
      </c>
      <c r="C14" s="103" t="n">
        <v>160180</v>
      </c>
      <c r="D14" s="103" t="n">
        <v>0</v>
      </c>
      <c r="E14" s="103" t="n">
        <v>504776</v>
      </c>
      <c r="F14" s="103" t="n">
        <v>664956</v>
      </c>
    </row>
    <row r="15" ht="15" customHeight="1">
      <c r="A15" s="135" t="n">
        <v>2036</v>
      </c>
      <c r="B15" s="103" t="n">
        <v>0</v>
      </c>
      <c r="C15" s="103" t="n">
        <v>134626</v>
      </c>
      <c r="D15" s="103" t="n">
        <v>0</v>
      </c>
      <c r="E15" s="103" t="n">
        <v>436878</v>
      </c>
      <c r="F15" s="103" t="n">
        <v>571504</v>
      </c>
    </row>
    <row r="16" ht="15" customHeight="1">
      <c r="A16" s="135" t="n">
        <v>2037</v>
      </c>
      <c r="B16" s="103" t="n">
        <v>0</v>
      </c>
      <c r="C16" s="103" t="n">
        <v>109395</v>
      </c>
      <c r="D16" s="103" t="n">
        <v>0</v>
      </c>
      <c r="E16" s="103" t="n">
        <v>370076</v>
      </c>
      <c r="F16" s="103" t="n">
        <v>479471</v>
      </c>
    </row>
    <row r="17" ht="15" customHeight="1">
      <c r="A17" s="135" t="n">
        <v>2038</v>
      </c>
      <c r="B17" s="103" t="n">
        <v>0</v>
      </c>
      <c r="C17" s="103" t="n">
        <v>84451</v>
      </c>
      <c r="D17" s="103" t="n">
        <v>0</v>
      </c>
      <c r="E17" s="103" t="n">
        <v>304216</v>
      </c>
      <c r="F17" s="103" t="n">
        <v>388667</v>
      </c>
    </row>
    <row r="18" ht="15" customHeight="1">
      <c r="A18" s="135" t="n">
        <v>2039</v>
      </c>
      <c r="B18" s="103" t="n">
        <v>0</v>
      </c>
      <c r="C18" s="103" t="n">
        <v>59771</v>
      </c>
      <c r="D18" s="103" t="n">
        <v>0</v>
      </c>
      <c r="E18" s="103" t="n">
        <v>239205</v>
      </c>
      <c r="F18" s="103" t="n">
        <v>298976</v>
      </c>
    </row>
    <row r="19" ht="15" customHeight="1">
      <c r="A19" s="135" t="n">
        <v>2040</v>
      </c>
      <c r="B19" s="103" t="n">
        <v>0</v>
      </c>
      <c r="C19" s="103" t="n">
        <v>35209</v>
      </c>
      <c r="D19" s="103" t="n">
        <v>0</v>
      </c>
      <c r="E19" s="103" t="n">
        <v>173663</v>
      </c>
      <c r="F19" s="103" t="n">
        <v>208872</v>
      </c>
    </row>
    <row r="20" ht="15" customHeight="1">
      <c r="A20" s="135" t="n">
        <v>2041</v>
      </c>
      <c r="B20" s="103" t="n">
        <v>0</v>
      </c>
      <c r="C20" s="103" t="n">
        <v>10736</v>
      </c>
      <c r="D20" s="103" t="n">
        <v>0</v>
      </c>
      <c r="E20" s="103" t="n">
        <v>173663</v>
      </c>
      <c r="F20" s="103" t="n">
        <v>184399</v>
      </c>
    </row>
    <row r="21" ht="15" customHeight="1">
      <c r="A21" s="135" t="n">
        <v>2042</v>
      </c>
      <c r="B21" s="103" t="n">
        <v>0</v>
      </c>
      <c r="C21" s="103" t="n">
        <v>0</v>
      </c>
      <c r="D21" s="103" t="n">
        <v>0</v>
      </c>
      <c r="E21" s="103" t="n">
        <v>43892</v>
      </c>
      <c r="F21" s="103" t="n">
        <v>43892</v>
      </c>
    </row>
    <row r="22"/>
    <row r="23"/>
    <row r="24" ht="15" customHeight="1">
      <c r="A24" s="17" t="inlineStr">
        <is>
          <t>Section B — Need / Gap Analysis</t>
        </is>
      </c>
      <c r="B24" s="3" t="n"/>
      <c r="C24" s="3" t="n"/>
      <c r="D24" s="3" t="n"/>
      <c r="E24" s="3" t="n"/>
      <c r="F24" s="4" t="n"/>
    </row>
    <row r="25" ht="30" customHeight="1">
      <c r="A25" s="5" t="inlineStr">
        <is>
          <t>Purpose</t>
        </is>
      </c>
      <c r="B25" s="5" t="inlineStr">
        <is>
          <t>Need</t>
        </is>
      </c>
      <c r="C25" s="5" t="inlineStr">
        <is>
          <t>Existing DB (Y0)</t>
        </is>
      </c>
      <c r="D25" s="5" t="inlineStr">
        <is>
          <t>Liquid NW</t>
        </is>
      </c>
      <c r="E25" s="5" t="inlineStr">
        <is>
          <t>Gap = max(0,Need-DB-NW)</t>
        </is>
      </c>
      <c r="F25" s="5" t="inlineStr">
        <is>
          <t>Verdict</t>
        </is>
      </c>
    </row>
    <row r="26" ht="30" customHeight="1">
      <c r="A26" s="12" t="inlineStr">
        <is>
          <t>Income Replacement (10x)</t>
        </is>
      </c>
      <c r="B26" s="103" t="n">
        <v>2900000</v>
      </c>
      <c r="C26" s="103" t="n">
        <v>1362852</v>
      </c>
      <c r="D26" s="103" t="n">
        <v>2721607.96676</v>
      </c>
      <c r="E26" s="103" t="n">
        <v>0</v>
      </c>
      <c r="F26" s="75" t="inlineStr">
        <is>
          <t>Gap Covered</t>
        </is>
      </c>
    </row>
    <row r="27" ht="30" customHeight="1">
      <c r="A27" s="12" t="inlineStr">
        <is>
          <t>Mortgage Payoff</t>
        </is>
      </c>
      <c r="B27" s="103" t="n">
        <v>290769.34</v>
      </c>
      <c r="C27" s="103" t="n">
        <v>0</v>
      </c>
      <c r="D27" s="103" t="n">
        <v>2721607.96676</v>
      </c>
      <c r="E27" s="103" t="n">
        <v>0</v>
      </c>
      <c r="F27" s="75" t="inlineStr">
        <is>
          <t>Gap Covered</t>
        </is>
      </c>
    </row>
    <row r="28" ht="30" customHeight="1">
      <c r="A28" s="12" t="inlineStr">
        <is>
          <t>Estate Liquidity</t>
        </is>
      </c>
      <c r="B28" s="103" t="n">
        <v>500000</v>
      </c>
      <c r="C28" s="103" t="n">
        <v>1362852</v>
      </c>
      <c r="D28" s="103" t="n">
        <v>2721607.96676</v>
      </c>
      <c r="E28" s="103" t="n">
        <v>0</v>
      </c>
      <c r="F28" s="75" t="inlineStr">
        <is>
          <t>Gap Covered</t>
        </is>
      </c>
    </row>
    <row r="29"/>
    <row r="30"/>
    <row r="31" ht="15" customHeight="1">
      <c r="A31" s="13" t="inlineStr">
        <is>
          <t>Section C — Hybrid Life/LTC Policy Optimization</t>
        </is>
      </c>
      <c r="B31" s="3" t="n"/>
      <c r="C31" s="3" t="n"/>
      <c r="D31" s="3" t="n"/>
      <c r="E31" s="3" t="n"/>
      <c r="F31" s="4" t="n"/>
    </row>
    <row r="32" ht="30" customHeight="1">
      <c r="A32" s="5" t="inlineStr">
        <is>
          <t>Face Value</t>
        </is>
      </c>
      <c r="B32" s="5" t="inlineStr">
        <is>
          <t>Annual Premium</t>
        </is>
      </c>
      <c r="C32" s="5" t="inlineStr">
        <is>
          <t>LTC Daily Benefit</t>
        </is>
      </c>
      <c r="D32" s="5" t="inlineStr">
        <is>
          <t>Benefit Period</t>
        </is>
      </c>
      <c r="E32" s="5" t="inlineStr">
        <is>
          <t>Break-even vs Self-Fund</t>
        </is>
      </c>
      <c r="F32" s="5" t="inlineStr">
        <is>
          <t>Recommendation</t>
        </is>
      </c>
    </row>
    <row r="33" ht="90" customHeight="1">
      <c r="A33" s="97" t="inlineStr">
        <is>
          <t>$250,000</t>
        </is>
      </c>
      <c r="B33" s="97" t="inlineStr">
        <is>
          <t>~$9,500/yr</t>
        </is>
      </c>
      <c r="C33" s="97" t="inlineStr">
        <is>
          <t>$137/day</t>
        </is>
      </c>
      <c r="D33" s="97" t="inlineStr">
        <is>
          <t>3 years</t>
        </is>
      </c>
      <c r="E33" s="97" t="inlineStr">
        <is>
          <t>~0.5 yrs into claim</t>
        </is>
      </c>
      <c r="F33" s="97" t="inlineStr">
        <is>
          <t>Light coverage — 3yr facility = $411K at today cost; covers moderate scenario</t>
        </is>
      </c>
    </row>
    <row r="34" ht="75" customHeight="1">
      <c r="A34" s="97" t="inlineStr">
        <is>
          <t>$350,000</t>
        </is>
      </c>
      <c r="B34" s="97" t="inlineStr">
        <is>
          <t>~$13,000/yr</t>
        </is>
      </c>
      <c r="C34" s="97" t="inlineStr">
        <is>
          <t>$192/day</t>
        </is>
      </c>
      <c r="D34" s="97" t="inlineStr">
        <is>
          <t>4 years</t>
        </is>
      </c>
      <c r="E34" s="97" t="inlineStr">
        <is>
          <t>~0.7 yrs into claim</t>
        </is>
      </c>
      <c r="F34" s="97" t="inlineStr">
        <is>
          <t>Moderate — 4yr = $412K home care / $549K facility coverage</t>
        </is>
      </c>
    </row>
    <row r="35" ht="90" customHeight="1">
      <c r="A35" s="119" t="inlineStr">
        <is>
          <t>$500,000</t>
        </is>
      </c>
      <c r="B35" s="119" t="inlineStr">
        <is>
          <t>~$18,500/yr</t>
        </is>
      </c>
      <c r="C35" s="114" t="inlineStr">
        <is>
          <t>$274/day</t>
        </is>
      </c>
      <c r="D35" s="114" t="inlineStr">
        <is>
          <t>5 years</t>
        </is>
      </c>
      <c r="E35" s="114" t="inlineStr">
        <is>
          <t>~1.1 yrs into claim</t>
        </is>
      </c>
      <c r="F35" s="119" t="inlineStr">
        <is>
          <t>★ OPTIMAL — 5yr facility covers worst-case; premium affordable vs estate risk</t>
        </is>
      </c>
    </row>
    <row r="36" ht="75" customHeight="1">
      <c r="A36" s="97" t="inlineStr">
        <is>
          <t>$750,000</t>
        </is>
      </c>
      <c r="B36" s="97" t="inlineStr">
        <is>
          <t>~$27,000/yr</t>
        </is>
      </c>
      <c r="C36" s="97" t="inlineStr">
        <is>
          <t>$411/day</t>
        </is>
      </c>
      <c r="D36" s="97" t="inlineStr">
        <is>
          <t>6 years</t>
        </is>
      </c>
      <c r="E36" s="97" t="inlineStr">
        <is>
          <t>~1.8 yrs into claim</t>
        </is>
      </c>
      <c r="F36" s="97" t="inlineStr">
        <is>
          <t>Premium — extensive coverage; premium ~1.8% of estate annually</t>
        </is>
      </c>
    </row>
    <row r="37"/>
    <row r="38" ht="45" customHeight="1">
      <c r="A38" s="112" t="inlineStr">
        <is>
          <t>Configured settings: enabled=False, face=$500,000, premium=$18,500/yr, start=2027, insured=Member 1. Update the DAF/Hybrid LTC sections of Plan Data import/export to activate.</t>
        </is>
      </c>
      <c r="B38" s="3" t="n"/>
      <c r="C38" s="3" t="n"/>
      <c r="D38" s="3" t="n"/>
      <c r="E38" s="3" t="n"/>
      <c r="F38" s="4" t="n"/>
    </row>
    <row r="39"/>
    <row r="40" ht="15" customHeight="1">
      <c r="A40" s="13" t="inlineStr">
        <is>
          <t>Section D — All Coverage Options</t>
        </is>
      </c>
      <c r="B40" s="3" t="n"/>
      <c r="C40" s="3" t="n"/>
      <c r="D40" s="3" t="n"/>
      <c r="E40" s="3" t="n"/>
      <c r="F40" s="4" t="n"/>
    </row>
    <row r="41" ht="30" customHeight="1">
      <c r="A41" s="5" t="inlineStr">
        <is>
          <t>Product</t>
        </is>
      </c>
      <c r="B41" s="5" t="inlineStr">
        <is>
          <t>Insured</t>
        </is>
      </c>
      <c r="C41" s="5" t="inlineStr">
        <is>
          <t>Death Benefit</t>
        </is>
      </c>
      <c r="D41" s="5" t="inlineStr">
        <is>
          <t>LTC Accel</t>
        </is>
      </c>
      <c r="E41" s="5" t="inlineStr">
        <is>
          <t>Cash Value</t>
        </is>
      </c>
      <c r="F41" s="5" t="inlineStr">
        <is>
          <t>Verdict</t>
        </is>
      </c>
    </row>
    <row r="42" ht="75" customHeight="1">
      <c r="A42" s="12" t="inlineStr">
        <is>
          <t>20-Year Term</t>
        </is>
      </c>
      <c r="B42" s="12" t="inlineStr">
        <is>
          <t>Husband or Wife</t>
        </is>
      </c>
      <c r="C42" s="12" t="inlineStr">
        <is>
          <t>$500K-$1M</t>
        </is>
      </c>
      <c r="D42" s="12" t="inlineStr">
        <is>
          <t>N/A</t>
        </is>
      </c>
      <c r="E42" s="12" t="inlineStr">
        <is>
          <t>None</t>
        </is>
      </c>
      <c r="F42" s="12" t="inlineStr">
        <is>
          <t>Low cost; expires before mortality age — limited utility</t>
        </is>
      </c>
    </row>
    <row r="43" ht="60" customHeight="1">
      <c r="A43" s="12" t="inlineStr">
        <is>
          <t>Hybrid Life/LTC</t>
        </is>
      </c>
      <c r="B43" s="12" t="inlineStr">
        <is>
          <t>Member 1</t>
        </is>
      </c>
      <c r="C43" s="12" t="inlineStr">
        <is>
          <t>$500,000</t>
        </is>
      </c>
      <c r="D43" s="12" t="inlineStr">
        <is>
          <t>Yes, accelerated DB</t>
        </is>
      </c>
      <c r="E43" s="12" t="inlineStr">
        <is>
          <t>Grows modestly</t>
        </is>
      </c>
      <c r="F43" s="75" t="inlineStr">
        <is>
          <t>★ RECOMMENDED — $500K face, start 2027, ~$18,500/yr</t>
        </is>
      </c>
    </row>
    <row r="44" ht="60" customHeight="1">
      <c r="A44" s="12" t="inlineStr">
        <is>
          <t>Second-to-Die GUL</t>
        </is>
      </c>
      <c r="B44" s="12" t="inlineStr">
        <is>
          <t>Joint</t>
        </is>
      </c>
      <c r="C44" s="12" t="inlineStr">
        <is>
          <t>$1M+</t>
        </is>
      </c>
      <c r="D44" s="12" t="inlineStr">
        <is>
          <t>At second death</t>
        </is>
      </c>
      <c r="E44" s="12" t="inlineStr">
        <is>
          <t>None/minimal</t>
        </is>
      </c>
      <c r="F44" s="12" t="inlineStr">
        <is>
          <t>Consider if IL estate tax &gt; $320K materializes</t>
        </is>
      </c>
    </row>
    <row r="45"/>
    <row r="46" ht="60" customHeight="1">
      <c r="A46" s="12" t="inlineStr">
        <is>
          <t>Recommendation: $500K Hybrid Life/LTC (e.g. Lincoln MoneyGuard) starting 2027. Prioritize the lower-cost insured first; consider a second policy in a later review year. Annuity death benefits may be material early but decline over time — the hybrid policy fills the gap as annuity DB expires.</t>
        </is>
      </c>
      <c r="B46" s="3" t="n"/>
      <c r="C46" s="3" t="n"/>
      <c r="D46" s="3" t="n"/>
      <c r="E46" s="3" t="n"/>
      <c r="F46" s="4" t="n"/>
    </row>
    <row r="47"/>
    <row r="48"/>
    <row r="49" ht="15" customHeight="1">
      <c r="A49" s="9" t="inlineStr">
        <is>
          <t>LONG-TERM-CARE STRESS TEST</t>
        </is>
      </c>
    </row>
    <row r="50"/>
    <row r="51" ht="15" customHeight="1">
      <c r="A51" s="13" t="inlineStr">
        <is>
          <t>LTC Scenarios</t>
        </is>
      </c>
      <c r="B51" s="3" t="n"/>
      <c r="C51" s="3" t="n"/>
      <c r="D51" s="3" t="n"/>
      <c r="E51" s="3" t="n"/>
      <c r="F51" s="4" t="n"/>
    </row>
    <row r="52" ht="30" customHeight="1">
      <c r="A52" s="5" t="inlineStr">
        <is>
          <t>Scenario</t>
        </is>
      </c>
      <c r="B52" s="5" t="inlineStr">
        <is>
          <t>Annual Cost Today</t>
        </is>
      </c>
      <c r="C52" s="5" t="inlineStr">
        <is>
          <t>Duration (yrs)</t>
        </is>
      </c>
      <c r="D52" s="5" t="inlineStr">
        <is>
          <t>Total Cost (inflated)</t>
        </is>
      </c>
      <c r="E52" s="5" t="inlineStr">
        <is>
          <t>Funding Source</t>
        </is>
      </c>
      <c r="F52" s="5" t="inlineStr">
        <is>
          <t>Plan Survives?</t>
        </is>
      </c>
    </row>
    <row r="53" ht="30" customHeight="1">
      <c r="A53" s="12" t="inlineStr">
        <is>
          <t>Moderate Home Care</t>
        </is>
      </c>
      <c r="B53" s="103" t="n">
        <v>35000</v>
      </c>
      <c r="C53" s="12" t="n">
        <v>3</v>
      </c>
      <c r="D53" s="103" t="n">
        <v>110880.8749999999</v>
      </c>
      <c r="E53" s="12" t="inlineStr">
        <is>
          <t>Trust / Roth</t>
        </is>
      </c>
      <c r="F53" s="75" t="inlineStr">
        <is>
          <t>YES</t>
        </is>
      </c>
    </row>
    <row r="54" ht="30" customHeight="1">
      <c r="A54" s="12" t="inlineStr">
        <is>
          <t>Severe Home Care</t>
        </is>
      </c>
      <c r="B54" s="103" t="n">
        <v>75000</v>
      </c>
      <c r="C54" s="12" t="n">
        <v>5</v>
      </c>
      <c r="D54" s="103" t="n">
        <v>418581.8269218746</v>
      </c>
      <c r="E54" s="12" t="inlineStr">
        <is>
          <t>Trust / IRA drawdown</t>
        </is>
      </c>
      <c r="F54" s="75" t="inlineStr">
        <is>
          <t>YES</t>
        </is>
      </c>
    </row>
    <row r="55" ht="30" customHeight="1">
      <c r="A55" s="12" t="inlineStr">
        <is>
          <t>Facility (Memory Care)</t>
        </is>
      </c>
      <c r="B55" s="103" t="n">
        <v>120000</v>
      </c>
      <c r="C55" s="12" t="n">
        <v>5</v>
      </c>
      <c r="D55" s="103" t="n">
        <v>669730.9230749994</v>
      </c>
      <c r="E55" s="12" t="inlineStr">
        <is>
          <t>IRA + Trust</t>
        </is>
      </c>
      <c r="F55" s="74" t="inlineStr">
        <is>
          <t>NO</t>
        </is>
      </c>
    </row>
    <row r="56" ht="30" customHeight="1">
      <c r="A56" s="12" t="inlineStr">
        <is>
          <t>Catastrophic (Both)</t>
        </is>
      </c>
      <c r="B56" s="103" t="n">
        <v>200000</v>
      </c>
      <c r="C56" s="12" t="n">
        <v>7</v>
      </c>
      <c r="D56" s="103" t="n">
        <v>1653378.76775925</v>
      </c>
      <c r="E56" s="12" t="inlineStr">
        <is>
          <t>Full portfolio drawdown</t>
        </is>
      </c>
      <c r="F56" s="74" t="inlineStr">
        <is>
          <t>NO</t>
        </is>
      </c>
    </row>
    <row r="57"/>
    <row r="58"/>
    <row r="59" ht="45" customHeight="1">
      <c r="A59" s="2" t="inlineStr">
        <is>
          <t>⚠ Recommendation: Facility-care and catastrophic scenarios stress the plan. Consider a Hybrid Life/LTC policy to cap open-ended risk.  No LTC policy is currently in force (see 3C. LTC + Life Insurance — Life Insurance).</t>
        </is>
      </c>
      <c r="B59" s="3" t="n"/>
      <c r="C59" s="3" t="n"/>
      <c r="D59" s="3" t="n"/>
      <c r="E59" s="3" t="n"/>
      <c r="F59" s="4" t="n"/>
    </row>
  </sheetData>
  <mergeCells count="10">
    <mergeCell ref="A38:F38"/>
    <mergeCell ref="A24:F24"/>
    <mergeCell ref="A51:F51"/>
    <mergeCell ref="A46:F46"/>
    <mergeCell ref="A31:F31"/>
    <mergeCell ref="A40:F40"/>
    <mergeCell ref="A49:H49"/>
    <mergeCell ref="A1:H1"/>
    <mergeCell ref="A3:F3"/>
    <mergeCell ref="A59:F59"/>
  </mergeCells>
  <pageMargins left="0.75" right="0.75" top="1" bottom="1" header="0.5" footer="0.5"/>
</worksheet>
</file>

<file path=xl/worksheets/sheet23.xml><?xml version="1.0" encoding="utf-8"?>
<worksheet xmlns="http://schemas.openxmlformats.org/spreadsheetml/2006/main">
  <sheetPr>
    <tabColor rgb="00B45F06"/>
    <outlinePr summaryBelow="1" summaryRight="1"/>
    <pageSetUpPr/>
  </sheetPr>
  <dimension ref="A1:H14"/>
  <sheetViews>
    <sheetView showGridLines="0" workbookViewId="0">
      <selection activeCell="A1" sqref="A1"/>
    </sheetView>
  </sheetViews>
  <sheetFormatPr baseColWidth="8" defaultRowHeight="15"/>
  <cols>
    <col width="11" customWidth="1" min="1" max="1"/>
    <col width="14" customWidth="1" min="2" max="2"/>
    <col width="17" customWidth="1" min="3" max="3"/>
    <col width="14" customWidth="1" min="4" max="4"/>
    <col width="14" customWidth="1" min="5" max="5"/>
    <col width="14" customWidth="1" min="6" max="6"/>
    <col width="14" customWidth="1" min="7" max="7"/>
    <col width="14" customWidth="1" min="8" max="8"/>
  </cols>
  <sheetData>
    <row r="1" ht="18" customHeight="1">
      <c r="A1" s="173" t="inlineStr">
        <is>
          <t>4. SYSTEM</t>
        </is>
      </c>
    </row>
    <row r="2" ht="20" customHeight="1"/>
    <row r="3" ht="15" customHeight="1">
      <c r="A3" s="2" t="inlineStr">
        <is>
          <t>Plan data snapshot, assumptions, reconciliation, quality control, RMD audit, methodology, and glossary.</t>
        </is>
      </c>
      <c r="B3" s="3" t="n"/>
      <c r="C3" s="3" t="n"/>
      <c r="D3" s="3" t="n"/>
      <c r="E3" s="3" t="n"/>
      <c r="F3" s="3" t="n"/>
      <c r="G3" s="3" t="n"/>
      <c r="H3" s="4" t="n"/>
    </row>
    <row r="4" ht="20" customHeight="1"/>
    <row r="5" ht="15" customHeight="1">
      <c r="A5" s="5" t="inlineStr">
        <is>
          <t>Workbook area</t>
        </is>
      </c>
      <c r="B5" s="4" t="n"/>
      <c r="C5" s="5" t="inlineStr">
        <is>
          <t>Included sheets</t>
        </is>
      </c>
      <c r="D5" s="3" t="n"/>
      <c r="E5" s="3" t="n"/>
      <c r="F5" s="3" t="n"/>
      <c r="G5" s="4" t="n"/>
    </row>
    <row r="6" ht="15" customHeight="1">
      <c r="A6" s="6" t="inlineStr">
        <is>
          <t>4. System</t>
        </is>
      </c>
      <c r="B6" s="4" t="n"/>
      <c r="C6" s="7" t="inlineStr">
        <is>
          <t>4A. Plan Data</t>
        </is>
      </c>
      <c r="D6" s="3" t="n"/>
      <c r="E6" s="3" t="n"/>
      <c r="F6" s="3" t="n"/>
      <c r="G6" s="4" t="n"/>
    </row>
    <row r="7" ht="15" customHeight="1">
      <c r="C7" s="7" t="inlineStr">
        <is>
          <t>4B. Assumptions</t>
        </is>
      </c>
      <c r="D7" s="3" t="n"/>
      <c r="E7" s="3" t="n"/>
      <c r="F7" s="3" t="n"/>
      <c r="G7" s="4" t="n"/>
    </row>
    <row r="8" ht="15" customHeight="1">
      <c r="C8" s="7" t="inlineStr">
        <is>
          <t>4C. Account Reconciliation</t>
        </is>
      </c>
      <c r="D8" s="3" t="n"/>
      <c r="E8" s="3" t="n"/>
      <c r="F8" s="3" t="n"/>
      <c r="G8" s="4" t="n"/>
    </row>
    <row r="9" ht="15" customHeight="1">
      <c r="C9" s="7" t="inlineStr">
        <is>
          <t>4D. Quality Control</t>
        </is>
      </c>
      <c r="D9" s="3" t="n"/>
      <c r="E9" s="3" t="n"/>
      <c r="F9" s="3" t="n"/>
      <c r="G9" s="4" t="n"/>
    </row>
    <row r="10" ht="15" customHeight="1">
      <c r="C10" s="7" t="inlineStr">
        <is>
          <t>4E. RMD Audit</t>
        </is>
      </c>
      <c r="D10" s="3" t="n"/>
      <c r="E10" s="3" t="n"/>
      <c r="F10" s="3" t="n"/>
      <c r="G10" s="4" t="n"/>
    </row>
    <row r="11" ht="15" customHeight="1">
      <c r="C11" s="7" t="inlineStr">
        <is>
          <t>4F. Methodology</t>
        </is>
      </c>
      <c r="D11" s="3" t="n"/>
      <c r="E11" s="3" t="n"/>
      <c r="F11" s="3" t="n"/>
      <c r="G11" s="4" t="n"/>
    </row>
    <row r="12" ht="15" customHeight="1">
      <c r="C12" s="7" t="inlineStr">
        <is>
          <t>4G. Glossary</t>
        </is>
      </c>
      <c r="D12" s="3" t="n"/>
      <c r="E12" s="3" t="n"/>
      <c r="F12" s="3" t="n"/>
      <c r="G12" s="4" t="n"/>
    </row>
    <row r="13" ht="20" customHeight="1"/>
    <row r="14" ht="30" customHeight="1">
      <c r="A14" s="8" t="inlineStr">
        <is>
          <t>This workbook is an output/reporting surface. Edit plan data in the app database; use CSV only for import/export utilities.</t>
        </is>
      </c>
      <c r="B14" s="3" t="n"/>
      <c r="C14" s="3" t="n"/>
      <c r="D14" s="3" t="n"/>
      <c r="E14" s="3" t="n"/>
      <c r="F14" s="3" t="n"/>
      <c r="G14" s="3" t="n"/>
      <c r="H14" s="4" t="n"/>
    </row>
    <row r="15" ht="20" customHeight="1"/>
  </sheetData>
  <mergeCells count="13">
    <mergeCell ref="A3:H3"/>
    <mergeCell ref="C7:G7"/>
    <mergeCell ref="C12:G12"/>
    <mergeCell ref="C6:G6"/>
    <mergeCell ref="C10:G10"/>
    <mergeCell ref="A5:B5"/>
    <mergeCell ref="C11:G11"/>
    <mergeCell ref="C5:G5"/>
    <mergeCell ref="A14:H14"/>
    <mergeCell ref="A1:H1"/>
    <mergeCell ref="C8:G8"/>
    <mergeCell ref="C9:G9"/>
    <mergeCell ref="A6:B6"/>
  </mergeCell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s>
  <pageMargins left="0.75" right="0.75" top="1" bottom="1" header="0.5" footer="0.5"/>
</worksheet>
</file>

<file path=xl/worksheets/sheet24.xml><?xml version="1.0" encoding="utf-8"?>
<worksheet xmlns="http://schemas.openxmlformats.org/spreadsheetml/2006/main">
  <sheetPr>
    <tabColor rgb="00B45F06"/>
    <outlinePr summaryBelow="1" summaryRight="1"/>
    <pageSetUpPr/>
  </sheetPr>
  <dimension ref="A1:F39"/>
  <sheetViews>
    <sheetView showGridLines="0" workbookViewId="0">
      <selection activeCell="A1" sqref="A1"/>
    </sheetView>
  </sheetViews>
  <sheetFormatPr baseColWidth="8" defaultRowHeight="15"/>
  <cols>
    <col width="17" customWidth="1" min="1" max="1"/>
    <col width="26" customWidth="1" min="2" max="2"/>
    <col width="27.9" customWidth="1" min="3" max="3"/>
    <col width="14" customWidth="1" min="4" max="4"/>
    <col width="14" customWidth="1" min="5" max="5"/>
    <col width="14" customWidth="1" min="6" max="6"/>
  </cols>
  <sheetData>
    <row r="1" ht="18" customHeight="1">
      <c r="A1" s="173" t="inlineStr">
        <is>
          <t>4A. Plan Data — PLAN DATA SNAPSHOT</t>
        </is>
      </c>
    </row>
    <row r="2"/>
    <row r="3" ht="30" customHeight="1">
      <c r="A3" s="120" t="inlineStr">
        <is>
          <t>The workbook is a generated output. Edit plan data in the database-backed app; CSV remains an import/export utility for large tables only.</t>
        </is>
      </c>
      <c r="B3" s="3" t="n"/>
      <c r="C3" s="3" t="n"/>
      <c r="D3" s="3" t="n"/>
      <c r="E3" s="3" t="n"/>
      <c r="F3" s="4" t="n"/>
    </row>
    <row r="4"/>
    <row r="5" ht="15" customHeight="1">
      <c r="A5" s="5" t="inlineStr">
        <is>
          <t>Plan data item</t>
        </is>
      </c>
      <c r="B5" s="5" t="inlineStr">
        <is>
          <t>Value</t>
        </is>
      </c>
      <c r="C5" s="5" t="inlineStr">
        <is>
          <t>Notes</t>
        </is>
      </c>
      <c r="D5" s="3" t="n"/>
      <c r="E5" s="3" t="n"/>
      <c r="F5" s="4" t="n"/>
    </row>
    <row r="6" ht="15" customHeight="1">
      <c r="A6" s="12" t="inlineStr">
        <is>
          <t>Plan Prepared</t>
        </is>
      </c>
      <c r="B6" s="12" t="inlineStr">
        <is>
          <t>2026-07-01</t>
        </is>
      </c>
      <c r="C6" s="12" t="inlineStr">
        <is>
          <t>Source: saved plan snapshot used for this workbook build</t>
        </is>
      </c>
      <c r="D6" s="3" t="n"/>
      <c r="E6" s="3" t="n"/>
      <c r="F6" s="4" t="n"/>
    </row>
    <row r="7" ht="30" customHeight="1">
      <c r="A7" s="12" t="inlineStr">
        <is>
          <t>Clients</t>
        </is>
      </c>
      <c r="B7" s="12" t="inlineStr">
        <is>
          <t>Matthew (DOB: 1962) &amp; Patricia (DOB: 1961)</t>
        </is>
      </c>
      <c r="C7" s="12" t="inlineStr">
        <is>
          <t>Source: saved plan snapshot used for this workbook build</t>
        </is>
      </c>
      <c r="D7" s="3" t="n"/>
      <c r="E7" s="3" t="n"/>
      <c r="F7" s="4" t="n"/>
    </row>
    <row r="8" ht="15" customHeight="1">
      <c r="A8" s="12" t="inlineStr">
        <is>
          <t>Residence State</t>
        </is>
      </c>
      <c r="B8" s="12" t="inlineStr">
        <is>
          <t>Illinois</t>
        </is>
      </c>
      <c r="C8" s="12" t="inlineStr">
        <is>
          <t>Source: saved plan snapshot used for this workbook build</t>
        </is>
      </c>
      <c r="D8" s="3" t="n"/>
      <c r="E8" s="3" t="n"/>
      <c r="F8" s="4" t="n"/>
    </row>
    <row r="9" ht="15" customHeight="1">
      <c r="A9" s="12" t="inlineStr">
        <is>
          <t>Plan Horizon</t>
        </is>
      </c>
      <c r="B9" s="12" t="inlineStr">
        <is>
          <t>2026 – 2056</t>
        </is>
      </c>
      <c r="C9" s="12" t="inlineStr">
        <is>
          <t>Source: saved plan snapshot used for this workbook build</t>
        </is>
      </c>
      <c r="D9" s="3" t="n"/>
      <c r="E9" s="3" t="n"/>
      <c r="F9" s="4" t="n"/>
    </row>
    <row r="10" ht="45" customHeight="1">
      <c r="A10" s="12" t="inlineStr">
        <is>
          <t>Statutory Version</t>
        </is>
      </c>
      <c r="B10" s="12" t="inlineStr">
        <is>
          <t>OBBBA (One Big Beautiful Bill Act), signed July 4 2025</t>
        </is>
      </c>
      <c r="C10" s="12" t="inlineStr">
        <is>
          <t>Source: saved plan snapshot used for this workbook build</t>
        </is>
      </c>
      <c r="D10" s="3" t="n"/>
      <c r="E10" s="3" t="n"/>
      <c r="F10" s="4" t="n"/>
    </row>
    <row r="11" ht="30" customHeight="1">
      <c r="A11" s="12" t="inlineStr">
        <is>
          <t>Workbook Pricing Source</t>
        </is>
      </c>
      <c r="B11" s="12" t="inlineStr">
        <is>
          <t>CACHE — as of 06/29/2026 09:35 AM</t>
        </is>
      </c>
      <c r="C11" s="12" t="inlineStr">
        <is>
          <t>Source: saved plan snapshot used for this workbook build</t>
        </is>
      </c>
      <c r="D11" s="3" t="n"/>
      <c r="E11" s="3" t="n"/>
      <c r="F11" s="4" t="n"/>
    </row>
    <row r="12"/>
    <row r="13" ht="15" customHeight="1">
      <c r="A13" s="5" t="inlineStr">
        <is>
          <t>Section</t>
        </is>
      </c>
      <c r="B13" s="5" t="inlineStr">
        <is>
          <t>Sheet</t>
        </is>
      </c>
      <c r="C13" s="5" t="inlineStr">
        <is>
          <t>Purpose</t>
        </is>
      </c>
      <c r="D13" s="3" t="n"/>
      <c r="E13" s="3" t="n"/>
      <c r="F13" s="4" t="n"/>
    </row>
    <row r="14" ht="15" customHeight="1">
      <c r="A14" s="12" t="inlineStr">
        <is>
          <t>1. Reports</t>
        </is>
      </c>
      <c r="B14" s="12" t="inlineStr">
        <is>
          <t>1A. Executive Summary</t>
        </is>
      </c>
      <c r="C14" s="12" t="inlineStr">
        <is>
          <t>plan-level findings, recommendations, and strategy narrative</t>
        </is>
      </c>
      <c r="D14" s="3" t="n"/>
      <c r="E14" s="3" t="n"/>
      <c r="F14" s="4" t="n"/>
    </row>
    <row r="15" ht="15" customHeight="1">
      <c r="A15" s="12" t="inlineStr">
        <is>
          <t>1. Reports</t>
        </is>
      </c>
      <c r="B15" s="12" t="inlineStr">
        <is>
          <t>1B. Net Worth</t>
        </is>
      </c>
      <c r="C15" s="12" t="inlineStr">
        <is>
          <t>net-worth projection report</t>
        </is>
      </c>
      <c r="D15" s="3" t="n"/>
      <c r="E15" s="3" t="n"/>
      <c r="F15" s="4" t="n"/>
    </row>
    <row r="16" ht="15" customHeight="1">
      <c r="A16" s="12" t="inlineStr">
        <is>
          <t>1. Reports</t>
        </is>
      </c>
      <c r="B16" s="12" t="inlineStr">
        <is>
          <t>1C. Cash Flow</t>
        </is>
      </c>
      <c r="C16" s="12" t="inlineStr">
        <is>
          <t>annual cash-flow report</t>
        </is>
      </c>
      <c r="D16" s="3" t="n"/>
      <c r="E16" s="3" t="n"/>
      <c r="F16" s="4" t="n"/>
    </row>
    <row r="17" ht="15" customHeight="1">
      <c r="A17" s="12" t="inlineStr">
        <is>
          <t>1. Reports</t>
        </is>
      </c>
      <c r="B17" s="12" t="inlineStr">
        <is>
          <t>1D. Balance Sheet</t>
        </is>
      </c>
      <c r="C17" s="12" t="inlineStr">
        <is>
          <t>current household balance sheet</t>
        </is>
      </c>
      <c r="D17" s="3" t="n"/>
      <c r="E17" s="3" t="n"/>
      <c r="F17" s="4" t="n"/>
    </row>
    <row r="18" ht="15" customHeight="1">
      <c r="A18" s="12" t="inlineStr">
        <is>
          <t>1. Reports</t>
        </is>
      </c>
      <c r="B18" s="12" t="inlineStr">
        <is>
          <t>1E. Charts</t>
        </is>
      </c>
      <c r="C18" s="12" t="inlineStr">
        <is>
          <t>visual report dashboard</t>
        </is>
      </c>
      <c r="D18" s="3" t="n"/>
      <c r="E18" s="3" t="n"/>
      <c r="F18" s="4" t="n"/>
    </row>
    <row r="19" ht="15" customHeight="1">
      <c r="A19" s="12" t="inlineStr">
        <is>
          <t>1. Reports</t>
        </is>
      </c>
      <c r="B19" s="12" t="inlineStr">
        <is>
          <t>1F. Lifetime Taxes</t>
        </is>
      </c>
      <c r="C19" s="12" t="inlineStr">
        <is>
          <t>tax projection report</t>
        </is>
      </c>
      <c r="D19" s="3" t="n"/>
      <c r="E19" s="3" t="n"/>
      <c r="F19" s="4" t="n"/>
    </row>
    <row r="20" ht="15" customHeight="1">
      <c r="A20" s="12" t="inlineStr">
        <is>
          <t>1. Reports</t>
        </is>
      </c>
      <c r="B20" s="12" t="inlineStr">
        <is>
          <t>1G. Core Spending</t>
        </is>
      </c>
      <c r="C20" s="33" t="inlineStr"/>
      <c r="D20" s="3" t="n"/>
      <c r="E20" s="3" t="n"/>
      <c r="F20" s="4" t="n"/>
    </row>
    <row r="21" ht="15" customHeight="1">
      <c r="A21" s="12" t="inlineStr">
        <is>
          <t>1. Reports</t>
        </is>
      </c>
      <c r="B21" s="12" t="inlineStr">
        <is>
          <t>1H. Spending Summary</t>
        </is>
      </c>
      <c r="C21" s="33" t="inlineStr"/>
      <c r="D21" s="3" t="n"/>
      <c r="E21" s="3" t="n"/>
      <c r="F21" s="4" t="n"/>
    </row>
    <row r="22" ht="15" customHeight="1">
      <c r="A22" s="12" t="inlineStr">
        <is>
          <t>2. Optimizers</t>
        </is>
      </c>
      <c r="B22" s="12" t="inlineStr">
        <is>
          <t>2A. Roth Conversion</t>
        </is>
      </c>
      <c r="C22" s="12" t="inlineStr">
        <is>
          <t>Roth conversion optimizer</t>
        </is>
      </c>
      <c r="D22" s="3" t="n"/>
      <c r="E22" s="3" t="n"/>
      <c r="F22" s="4" t="n"/>
    </row>
    <row r="23" ht="15" customHeight="1">
      <c r="A23" s="12" t="inlineStr">
        <is>
          <t>2. Optimizers</t>
        </is>
      </c>
      <c r="B23" s="12" t="inlineStr">
        <is>
          <t>2B. Asset Allocation</t>
        </is>
      </c>
      <c r="C23" s="12" t="inlineStr">
        <is>
          <t>asset allocation and rebalancing optimizer</t>
        </is>
      </c>
      <c r="D23" s="3" t="n"/>
      <c r="E23" s="3" t="n"/>
      <c r="F23" s="4" t="n"/>
    </row>
    <row r="24" ht="15" customHeight="1">
      <c r="A24" s="12" t="inlineStr">
        <is>
          <t>2. Optimizers</t>
        </is>
      </c>
      <c r="B24" s="12" t="inlineStr">
        <is>
          <t>2C. State Residency</t>
        </is>
      </c>
      <c r="C24" s="12" t="inlineStr">
        <is>
          <t>state residency optimizer</t>
        </is>
      </c>
      <c r="D24" s="3" t="n"/>
      <c r="E24" s="3" t="n"/>
      <c r="F24" s="4" t="n"/>
    </row>
    <row r="25" ht="15" customHeight="1">
      <c r="A25" s="12" t="inlineStr">
        <is>
          <t>2. Optimizers</t>
        </is>
      </c>
      <c r="B25" s="12" t="inlineStr">
        <is>
          <t>2D. Social Security</t>
        </is>
      </c>
      <c r="C25" s="12" t="inlineStr">
        <is>
          <t>Social Security claiming optimizer</t>
        </is>
      </c>
      <c r="D25" s="3" t="n"/>
      <c r="E25" s="3" t="n"/>
      <c r="F25" s="4" t="n"/>
    </row>
    <row r="26" ht="15" customHeight="1">
      <c r="A26" s="12" t="inlineStr">
        <is>
          <t>2. Optimizers</t>
        </is>
      </c>
      <c r="B26" s="12" t="inlineStr">
        <is>
          <t>2E. S-Corp vs LLC</t>
        </is>
      </c>
      <c r="C26" s="12" t="inlineStr">
        <is>
          <t>entity strategy optimizer</t>
        </is>
      </c>
      <c r="D26" s="3" t="n"/>
      <c r="E26" s="3" t="n"/>
      <c r="F26" s="4" t="n"/>
    </row>
    <row r="27" ht="15" customHeight="1">
      <c r="A27" s="12" t="inlineStr">
        <is>
          <t>2. Optimizers</t>
        </is>
      </c>
      <c r="B27" s="12" t="inlineStr">
        <is>
          <t>2F. Charitable Giving</t>
        </is>
      </c>
      <c r="C27" s="12" t="inlineStr">
        <is>
          <t>charitable giving optimizer</t>
        </is>
      </c>
      <c r="D27" s="3" t="n"/>
      <c r="E27" s="3" t="n"/>
      <c r="F27" s="4" t="n"/>
    </row>
    <row r="28" ht="30" customHeight="1">
      <c r="A28" s="12" t="inlineStr">
        <is>
          <t>2. Optimizers</t>
        </is>
      </c>
      <c r="B28" s="12" t="inlineStr">
        <is>
          <t>2G. Estate &amp; Legacy Planning</t>
        </is>
      </c>
      <c r="C28" s="12" t="inlineStr">
        <is>
          <t>estate and legacy optimizer</t>
        </is>
      </c>
      <c r="D28" s="3" t="n"/>
      <c r="E28" s="3" t="n"/>
      <c r="F28" s="4" t="n"/>
    </row>
    <row r="29" ht="30" customHeight="1">
      <c r="A29" s="12" t="inlineStr">
        <is>
          <t>2. Optimizers</t>
        </is>
      </c>
      <c r="B29" s="12" t="inlineStr">
        <is>
          <t>2H. Planning Levers</t>
        </is>
      </c>
      <c r="C29" s="12" t="inlineStr">
        <is>
          <t>interactive sensitivity dashboard for TNW and probability-of-success levers</t>
        </is>
      </c>
      <c r="D29" s="3" t="n"/>
      <c r="E29" s="3" t="n"/>
      <c r="F29" s="4" t="n"/>
    </row>
    <row r="30" ht="30" customHeight="1">
      <c r="A30" s="12" t="inlineStr">
        <is>
          <t>3. Risk &amp; Stress Tests</t>
        </is>
      </c>
      <c r="B30" s="12" t="inlineStr">
        <is>
          <t>3A. Monte Carlo</t>
        </is>
      </c>
      <c r="C30" s="12" t="inlineStr">
        <is>
          <t>probability-of-success and market stress testing</t>
        </is>
      </c>
      <c r="D30" s="3" t="n"/>
      <c r="E30" s="3" t="n"/>
      <c r="F30" s="4" t="n"/>
    </row>
    <row r="31" ht="30" customHeight="1">
      <c r="A31" s="12" t="inlineStr">
        <is>
          <t>3. Risk &amp; Stress Tests</t>
        </is>
      </c>
      <c r="B31" s="12" t="inlineStr">
        <is>
          <t>3B. Survivor</t>
        </is>
      </c>
      <c r="C31" s="12" t="inlineStr">
        <is>
          <t>survivor stress test</t>
        </is>
      </c>
      <c r="D31" s="3" t="n"/>
      <c r="E31" s="3" t="n"/>
      <c r="F31" s="4" t="n"/>
    </row>
    <row r="32" ht="30" customHeight="1">
      <c r="A32" s="12" t="inlineStr">
        <is>
          <t>3. Risk &amp; Stress Tests</t>
        </is>
      </c>
      <c r="B32" s="12" t="inlineStr">
        <is>
          <t>3C. LTC + Life Insurance</t>
        </is>
      </c>
      <c r="C32" s="12" t="inlineStr">
        <is>
          <t>combined protection stress test</t>
        </is>
      </c>
      <c r="D32" s="3" t="n"/>
      <c r="E32" s="3" t="n"/>
      <c r="F32" s="4" t="n"/>
    </row>
    <row r="33" ht="15" customHeight="1">
      <c r="A33" s="12" t="inlineStr">
        <is>
          <t>4. System</t>
        </is>
      </c>
      <c r="B33" s="12" t="inlineStr">
        <is>
          <t>4A. Plan Data</t>
        </is>
      </c>
      <c r="C33" s="12" t="inlineStr">
        <is>
          <t>database-backed plan snapshot and workbook scope</t>
        </is>
      </c>
      <c r="D33" s="3" t="n"/>
      <c r="E33" s="3" t="n"/>
      <c r="F33" s="4" t="n"/>
    </row>
    <row r="34" ht="15" customHeight="1">
      <c r="A34" s="12" t="inlineStr">
        <is>
          <t>4. System</t>
        </is>
      </c>
      <c r="B34" s="12" t="inlineStr">
        <is>
          <t>4B. Assumptions</t>
        </is>
      </c>
      <c r="C34" s="12" t="inlineStr">
        <is>
          <t>model assumptions and tax-law inputs</t>
        </is>
      </c>
      <c r="D34" s="3" t="n"/>
      <c r="E34" s="3" t="n"/>
      <c r="F34" s="4" t="n"/>
    </row>
    <row r="35" ht="15" customHeight="1">
      <c r="A35" s="12" t="inlineStr">
        <is>
          <t>4. System</t>
        </is>
      </c>
      <c r="B35" s="12" t="inlineStr">
        <is>
          <t>4C. Account Reconciliation</t>
        </is>
      </c>
      <c r="C35" s="12" t="inlineStr">
        <is>
          <t>account-level reconciliation and data checks</t>
        </is>
      </c>
      <c r="D35" s="3" t="n"/>
      <c r="E35" s="3" t="n"/>
      <c r="F35" s="4" t="n"/>
    </row>
    <row r="36" ht="15" customHeight="1">
      <c r="A36" s="12" t="inlineStr">
        <is>
          <t>4. System</t>
        </is>
      </c>
      <c r="B36" s="12" t="inlineStr">
        <is>
          <t>4D. Quality Control</t>
        </is>
      </c>
      <c r="C36" s="12" t="inlineStr">
        <is>
          <t>validation checks and workbook warnings</t>
        </is>
      </c>
      <c r="D36" s="3" t="n"/>
      <c r="E36" s="3" t="n"/>
      <c r="F36" s="4" t="n"/>
    </row>
    <row r="37" ht="15" customHeight="1">
      <c r="A37" s="12" t="inlineStr">
        <is>
          <t>4. System</t>
        </is>
      </c>
      <c r="B37" s="12" t="inlineStr">
        <is>
          <t>4E. RMD Audit</t>
        </is>
      </c>
      <c r="C37" s="12" t="inlineStr">
        <is>
          <t>required minimum distribution audit</t>
        </is>
      </c>
      <c r="D37" s="3" t="n"/>
      <c r="E37" s="3" t="n"/>
      <c r="F37" s="4" t="n"/>
    </row>
    <row r="38" ht="15" customHeight="1">
      <c r="A38" s="12" t="inlineStr">
        <is>
          <t>4. System</t>
        </is>
      </c>
      <c r="B38" s="12" t="inlineStr">
        <is>
          <t>4F. Methodology</t>
        </is>
      </c>
      <c r="C38" s="12" t="inlineStr">
        <is>
          <t>model methodology and rerun notes</t>
        </is>
      </c>
      <c r="D38" s="3" t="n"/>
      <c r="E38" s="3" t="n"/>
      <c r="F38" s="4" t="n"/>
    </row>
    <row r="39" ht="15" customHeight="1">
      <c r="A39" s="12" t="inlineStr">
        <is>
          <t>4. System</t>
        </is>
      </c>
      <c r="B39" s="12" t="inlineStr">
        <is>
          <t>4G. Glossary</t>
        </is>
      </c>
      <c r="C39" s="12" t="inlineStr">
        <is>
          <t>terms and definitions</t>
        </is>
      </c>
      <c r="D39" s="3" t="n"/>
      <c r="E39" s="3" t="n"/>
      <c r="F39" s="4" t="n"/>
    </row>
  </sheetData>
  <mergeCells count="36">
    <mergeCell ref="C17:F17"/>
    <mergeCell ref="C23:F23"/>
    <mergeCell ref="C39:F39"/>
    <mergeCell ref="C8:F8"/>
    <mergeCell ref="C7:F7"/>
    <mergeCell ref="C38:F38"/>
    <mergeCell ref="C32:F32"/>
    <mergeCell ref="A3:F3"/>
    <mergeCell ref="C19:F19"/>
    <mergeCell ref="C37:F37"/>
    <mergeCell ref="C28:F28"/>
    <mergeCell ref="C13:F13"/>
    <mergeCell ref="C18:F18"/>
    <mergeCell ref="C34:F34"/>
    <mergeCell ref="C6:F6"/>
    <mergeCell ref="C30:F30"/>
    <mergeCell ref="C15:F15"/>
    <mergeCell ref="C33:F33"/>
    <mergeCell ref="C24:F24"/>
    <mergeCell ref="C5:F5"/>
    <mergeCell ref="C14:F14"/>
    <mergeCell ref="C35:F35"/>
    <mergeCell ref="C20:F20"/>
    <mergeCell ref="C26:F26"/>
    <mergeCell ref="C29:F29"/>
    <mergeCell ref="C16:F16"/>
    <mergeCell ref="C25:F25"/>
    <mergeCell ref="C10:F10"/>
    <mergeCell ref="C22:F22"/>
    <mergeCell ref="C9:F9"/>
    <mergeCell ref="C31:F31"/>
    <mergeCell ref="A1:F1"/>
    <mergeCell ref="C21:F21"/>
    <mergeCell ref="C11:F11"/>
    <mergeCell ref="C27:F27"/>
    <mergeCell ref="C36:F36"/>
  </mergeCells>
  <pageMargins left="0.75" right="0.75" top="1" bottom="1" header="0.5" footer="0.5"/>
</worksheet>
</file>

<file path=xl/worksheets/sheet25.xml><?xml version="1.0" encoding="utf-8"?>
<worksheet xmlns="http://schemas.openxmlformats.org/spreadsheetml/2006/main">
  <sheetPr>
    <tabColor rgb="00B45F06"/>
    <outlinePr summaryBelow="1" summaryRight="1"/>
    <pageSetUpPr/>
  </sheetPr>
  <dimension ref="A1:H168"/>
  <sheetViews>
    <sheetView showGridLines="0" workbookViewId="0">
      <selection activeCell="A1" sqref="A1"/>
    </sheetView>
  </sheetViews>
  <sheetFormatPr baseColWidth="8" defaultRowHeight="15"/>
  <cols>
    <col width="10" customWidth="1" min="1" max="1"/>
    <col width="12" customWidth="1" min="2" max="2"/>
    <col width="14" customWidth="1" min="3" max="3"/>
    <col width="14" customWidth="1" min="4" max="4"/>
    <col width="14" customWidth="1" min="5" max="5"/>
    <col width="14" customWidth="1" min="6" max="6"/>
    <col width="14" customWidth="1" min="7" max="7"/>
    <col width="14" customWidth="1" min="8" max="8"/>
  </cols>
  <sheetData>
    <row r="1" ht="18" customHeight="1">
      <c r="A1" s="9" t="inlineStr">
        <is>
          <t>ASSUMPTIONS &amp; TAX LAW — Editable Input Tables</t>
        </is>
      </c>
    </row>
    <row r="2" ht="18" customHeight="1">
      <c r="A2" s="10" t="inlineStr">
        <is>
          <t>What the Model Used — Plain-English Impact Checks</t>
        </is>
      </c>
      <c r="B2" s="3" t="n"/>
      <c r="C2" s="3" t="n"/>
      <c r="D2" s="4" t="n"/>
    </row>
    <row r="3" ht="15" customHeight="1">
      <c r="A3" s="5" t="inlineStr">
        <is>
          <t>Parameter</t>
        </is>
      </c>
      <c r="B3" s="5" t="inlineStr">
        <is>
          <t>Value</t>
        </is>
      </c>
      <c r="C3" s="5" t="inlineStr">
        <is>
          <t>Units</t>
        </is>
      </c>
      <c r="D3" s="5" t="inlineStr">
        <is>
          <t>Note</t>
        </is>
      </c>
    </row>
    <row r="4" ht="90" customHeight="1">
      <c r="A4" s="97" t="inlineStr">
        <is>
          <t>Time horizon</t>
        </is>
      </c>
      <c r="B4" s="174" t="inlineStr">
        <is>
          <t>2026–2056</t>
        </is>
      </c>
      <c r="C4" s="12" t="inlineStr">
        <is>
          <t>text</t>
        </is>
      </c>
      <c r="D4" s="12" t="inlineStr">
        <is>
          <t>Sets the years included in every income, tax, spending, and terminal-net-worth calculation.</t>
        </is>
      </c>
    </row>
    <row r="5" ht="90" customHeight="1">
      <c r="A5" s="97" t="inlineStr">
        <is>
          <t>Social Security income</t>
        </is>
      </c>
      <c r="B5" s="174" t="inlineStr">
        <is>
          <t>Claim ages H/W: 70/70; funding haircut 22.00% starting 2032</t>
        </is>
      </c>
      <c r="C5" s="12" t="inlineStr">
        <is>
          <t>text</t>
        </is>
      </c>
      <c r="D5" s="12" t="inlineStr">
        <is>
          <t>Action: set the funding haircut to 0% for one scenario if you want to isolate this drag on terminal net worth.</t>
        </is>
      </c>
    </row>
    <row r="6" ht="90" customHeight="1">
      <c r="A6" s="97" t="inlineStr">
        <is>
          <t>Wellness cash flow</t>
        </is>
      </c>
      <c r="B6" s="174" t="inlineStr">
        <is>
          <t>Bridge monthly $1,000; Medicare B/D/G monthly $980; OOP $10,000; ACA PTC On</t>
        </is>
      </c>
      <c r="C6" s="12" t="inlineStr">
        <is>
          <t>text</t>
        </is>
      </c>
      <c r="D6" s="12" t="inlineStr">
        <is>
          <t>Action: if terminal net worth fell, temporarily zero bridge/Medicare/OOP costs to quantify wellness impact, then restore realistic values.</t>
        </is>
      </c>
    </row>
    <row r="7" ht="90" customHeight="1">
      <c r="A7" s="97" t="inlineStr">
        <is>
          <t>Taxable portfolio income</t>
        </is>
      </c>
      <c r="B7" s="174" t="inlineStr">
        <is>
          <t>asset-class/symbol yield assumptions</t>
        </is>
      </c>
      <c r="C7" s="12" t="inlineStr">
        <is>
          <t>text</t>
        </is>
      </c>
      <c r="D7" s="12" t="inlineStr">
        <is>
          <t>Annual dividends/interest can raise AGI, Social Security taxation, IRMAA, NIIT, and reduce Roth-conversion room. Action: review asset location and distribution yields.</t>
        </is>
      </c>
    </row>
    <row r="8" ht="90" customHeight="1">
      <c r="A8" s="97" t="inlineStr">
        <is>
          <t>Roth / IRMAA guardrails</t>
        </is>
      </c>
      <c r="B8" s="174" t="inlineStr">
        <is>
          <t>Policy fill_to_bracket; IRMAA mode WARN_ONLY; target TIER_2; headroom 100.00%</t>
        </is>
      </c>
      <c r="C8" s="12" t="inlineStr">
        <is>
          <t>text</t>
        </is>
      </c>
      <c r="D8" s="12" t="inlineStr">
        <is>
          <t>Action: if conversions look unexpectedly low, check the IRMAA guardrail and ACA PTC-loss weight before overriding the Roth policy.</t>
        </is>
      </c>
    </row>
    <row r="9" ht="90" customHeight="1">
      <c r="A9" s="97" t="inlineStr">
        <is>
          <t>Estate and survivor treatment</t>
        </is>
      </c>
      <c r="B9" s="174" t="inlineStr">
        <is>
          <t>Basis step-up On; CST On; CST funded/excluded $20,000; portability On</t>
        </is>
      </c>
      <c r="C9" s="12" t="inlineStr">
        <is>
          <t>text</t>
        </is>
      </c>
      <c r="D9" s="12" t="inlineStr">
        <is>
          <t>Action: compare one rebuild with CST or estate objective off if you need to isolate estate-policy impact.</t>
        </is>
      </c>
    </row>
    <row r="10" ht="90" customHeight="1">
      <c r="A10" s="97" t="inlineStr">
        <is>
          <t>Monte Carlo risk mode</t>
        </is>
      </c>
      <c r="B10" s="174" t="inlineStr">
        <is>
          <t>vectorized with None main paths and None sensitivity paths</t>
        </is>
      </c>
      <c r="C10" s="12" t="inlineStr">
        <is>
          <t>text</t>
        </is>
      </c>
      <c r="D10" s="12" t="inlineStr">
        <is>
          <t>Action: raise path counts for final advisor review; raise max_build_seconds if exact scalar MC runs too long.</t>
        </is>
      </c>
    </row>
    <row r="11" ht="90" customHeight="1">
      <c r="A11" s="97" t="inlineStr">
        <is>
          <t>Allocation and real-dollar reporting</t>
        </is>
      </c>
      <c r="B11" s="174" t="inlineStr">
        <is>
          <t>Allocation mode user_target; real-dollar rows On using base year 2026</t>
        </is>
      </c>
      <c r="C11" s="12" t="inlineStr">
        <is>
          <t>text</t>
        </is>
      </c>
      <c r="D11" s="12" t="inlineStr">
        <is>
          <t>Action: use real-dollar outputs for purchasing-power comparisons and nominal outputs only for like-for-like workbook runs.</t>
        </is>
      </c>
    </row>
    <row r="12"/>
    <row r="13" ht="15" customHeight="1">
      <c r="A13" s="10" t="inlineStr">
        <is>
          <t>Economic Assumptions</t>
        </is>
      </c>
      <c r="B13" s="3" t="n"/>
      <c r="C13" s="3" t="n"/>
      <c r="D13" s="4" t="n"/>
    </row>
    <row r="14" ht="15" customHeight="1">
      <c r="A14" s="5" t="inlineStr">
        <is>
          <t>Parameter</t>
        </is>
      </c>
      <c r="B14" s="5" t="inlineStr">
        <is>
          <t>Value</t>
        </is>
      </c>
      <c r="C14" s="5" t="inlineStr">
        <is>
          <t>Units</t>
        </is>
      </c>
      <c r="D14" s="5" t="inlineStr">
        <is>
          <t>Note</t>
        </is>
      </c>
    </row>
    <row r="15" ht="30" customHeight="1">
      <c r="A15" s="97" t="inlineStr">
        <is>
          <t>Inflation (General)</t>
        </is>
      </c>
      <c r="B15" s="175" t="n">
        <v>0.025</v>
      </c>
      <c r="C15" s="12" t="inlineStr">
        <is>
          <t>decimal</t>
        </is>
      </c>
      <c r="D15" s="12" t="inlineStr">
        <is>
          <t>2.50% annual</t>
        </is>
      </c>
    </row>
    <row r="16" ht="15" customHeight="1">
      <c r="A16" s="97" t="inlineStr">
        <is>
          <t>SS COLA</t>
        </is>
      </c>
      <c r="B16" s="175" t="n">
        <v>0.02</v>
      </c>
      <c r="C16" s="12" t="inlineStr">
        <is>
          <t>decimal</t>
        </is>
      </c>
      <c r="D16" s="12" t="inlineStr">
        <is>
          <t>2.00% annual</t>
        </is>
      </c>
    </row>
    <row r="17" ht="30" customHeight="1">
      <c r="A17" s="97" t="inlineStr">
        <is>
          <t>Medicare Inflation</t>
        </is>
      </c>
      <c r="B17" s="175" t="n">
        <v>0.055</v>
      </c>
      <c r="C17" s="12" t="inlineStr">
        <is>
          <t>decimal</t>
        </is>
      </c>
      <c r="D17" s="12" t="inlineStr">
        <is>
          <t>5.50% annual</t>
        </is>
      </c>
    </row>
    <row r="18" ht="90" customHeight="1">
      <c r="A18" s="97" t="inlineStr">
        <is>
          <t>Portfolio Nominal Return</t>
        </is>
      </c>
      <c r="B18" s="175" t="n">
        <v>0.06</v>
      </c>
      <c r="C18" s="12" t="inlineStr">
        <is>
          <t>decimal</t>
        </is>
      </c>
      <c r="D18" s="12" t="inlineStr">
        <is>
          <t>No-volatility deterministic reference return; MC may use asset-class covariance and sampled geometric returns</t>
        </is>
      </c>
    </row>
    <row r="19" ht="30" customHeight="1">
      <c r="A19" s="97" t="inlineStr">
        <is>
          <t>Fed Bracket Inflator</t>
        </is>
      </c>
      <c r="B19" s="175" t="n">
        <v>0.02</v>
      </c>
      <c r="C19" s="12" t="inlineStr">
        <is>
          <t>decimal</t>
        </is>
      </c>
      <c r="D19" s="12" t="inlineStr">
        <is>
          <t>2.00%/yr</t>
        </is>
      </c>
    </row>
    <row r="20" ht="30" customHeight="1">
      <c r="A20" s="97" t="inlineStr">
        <is>
          <t>SS Taxable Fraction</t>
        </is>
      </c>
      <c r="B20" s="175" t="n">
        <v>0.85</v>
      </c>
      <c r="C20" s="12" t="inlineStr">
        <is>
          <t>decimal</t>
        </is>
      </c>
      <c r="D20" s="12" t="inlineStr">
        <is>
          <t>85%</t>
        </is>
      </c>
    </row>
    <row r="21" ht="90" customHeight="1">
      <c r="A21" s="97" t="inlineStr">
        <is>
          <t>Roth Conversion Target Bracket</t>
        </is>
      </c>
      <c r="B21" s="175" t="n">
        <v>0.22</v>
      </c>
      <c r="C21" s="12" t="inlineStr">
        <is>
          <t>decimal</t>
        </is>
      </c>
      <c r="D21" s="12" t="inlineStr">
        <is>
          <t>Configured target bracket used when the selected strategy fills bracket headroom.</t>
        </is>
      </c>
    </row>
    <row r="22" ht="90" customHeight="1">
      <c r="A22" s="97" t="inlineStr">
        <is>
          <t>Roth Legacy Objective Mode</t>
        </is>
      </c>
      <c r="B22" s="174" t="inlineStr">
        <is>
          <t>BALANCED</t>
        </is>
      </c>
      <c r="C22" s="12" t="inlineStr">
        <is>
          <t>text</t>
        </is>
      </c>
      <c r="D22" s="12" t="inlineStr">
        <is>
          <t>OFF, LOW, BALANCED, or STRONG; weights future tax-rate risk and inheritance tax burden in Roth conversion selection.</t>
        </is>
      </c>
    </row>
    <row r="23" ht="90" customHeight="1">
      <c r="A23" s="97" t="inlineStr">
        <is>
          <t>Roth Future Tax Stress</t>
        </is>
      </c>
      <c r="B23" s="175" t="n">
        <v>0.1</v>
      </c>
      <c r="C23" s="12" t="inlineStr">
        <is>
          <t>decimal</t>
        </is>
      </c>
      <c r="D23" s="12" t="inlineStr">
        <is>
          <t>Additional ordinary-tax-rate stress used only in the Roth conversion objective.</t>
        </is>
      </c>
    </row>
    <row r="24" ht="75" customHeight="1">
      <c r="A24" s="97" t="inlineStr">
        <is>
          <t>Heir Ordinary Tax Assumption</t>
        </is>
      </c>
      <c r="B24" s="175" t="n">
        <v>0.24</v>
      </c>
      <c r="C24" s="12" t="inlineStr">
        <is>
          <t>decimal</t>
        </is>
      </c>
      <c r="D24" s="12" t="inlineStr">
        <is>
          <t>Estimated heir ordinary rate used to score inherited pre-tax balances.</t>
        </is>
      </c>
    </row>
    <row r="25"/>
    <row r="26" ht="15" customHeight="1">
      <c r="A26" s="10" t="inlineStr">
        <is>
          <t>Asset Allocation Selection and Recommendations</t>
        </is>
      </c>
      <c r="B26" s="3" t="n"/>
      <c r="C26" s="3" t="n"/>
      <c r="D26" s="4" t="n"/>
    </row>
    <row r="27" ht="15" customHeight="1">
      <c r="A27" s="5" t="inlineStr">
        <is>
          <t>Parameter</t>
        </is>
      </c>
      <c r="B27" s="5" t="inlineStr">
        <is>
          <t>Value</t>
        </is>
      </c>
      <c r="C27" s="5" t="inlineStr">
        <is>
          <t>Units</t>
        </is>
      </c>
      <c r="D27" s="5" t="inlineStr">
        <is>
          <t>Note</t>
        </is>
      </c>
    </row>
    <row r="28" ht="90" customHeight="1">
      <c r="A28" s="97" t="inlineStr">
        <is>
          <t>Capital Market Assumption Mode</t>
        </is>
      </c>
      <c r="B28" s="174" t="inlineStr">
        <is>
          <t>PRESET</t>
        </is>
      </c>
      <c r="C28" s="12" t="inlineStr">
        <is>
          <t>text</t>
        </is>
      </c>
      <c r="D28" s="12" t="inlineStr">
        <is>
          <t>PRESET uses built-in selectable horizon/preset assumptions; CUSTOM_FILE reads expert import assumptions.</t>
        </is>
      </c>
    </row>
    <row r="29" ht="90" customHeight="1">
      <c r="A29" s="97" t="inlineStr">
        <is>
          <t>Capital Market Horizon</t>
        </is>
      </c>
      <c r="B29" s="176" t="n">
        <v>30</v>
      </c>
      <c r="C29" s="12" t="inlineStr">
        <is>
          <t>years</t>
        </is>
      </c>
      <c r="D29" s="12" t="inlineStr">
        <is>
          <t>Supported horizons: 1, 3, 5, 10, 20, 25, 30 years. 30 is the long-term baseline.</t>
        </is>
      </c>
    </row>
    <row r="30" ht="90" customHeight="1">
      <c r="A30" s="97" t="inlineStr">
        <is>
          <t>Capital Market Preset</t>
        </is>
      </c>
      <c r="B30" s="174" t="inlineStr">
        <is>
          <t>BASELINE</t>
        </is>
      </c>
      <c r="C30" s="12" t="inlineStr">
        <is>
          <t>text</t>
        </is>
      </c>
      <c r="D30" s="12" t="inlineStr">
        <is>
          <t>CONSERVATIVE, BASELINE, or AGGRESSIVE. These are planning assumptions, not live forecasts.</t>
        </is>
      </c>
    </row>
    <row r="31" ht="90" customHeight="1">
      <c r="A31" s="97" t="inlineStr">
        <is>
          <t>Correlation Mode</t>
        </is>
      </c>
      <c r="B31" s="174" t="inlineStr">
        <is>
          <t>PRESET</t>
        </is>
      </c>
      <c r="C31" s="12" t="inlineStr">
        <is>
          <t>text</t>
        </is>
      </c>
      <c r="D31" s="12" t="inlineStr">
        <is>
          <t>PRESET, ADVANCED, or CUSTOM_FILE. Pairwise correlations affect diversification benefit.</t>
        </is>
      </c>
    </row>
    <row r="32" ht="75" customHeight="1">
      <c r="A32" s="97" t="inlineStr">
        <is>
          <t>Correlation Preset</t>
        </is>
      </c>
      <c r="B32" s="174" t="inlineStr">
        <is>
          <t>MODERATE</t>
        </is>
      </c>
      <c r="C32" s="12" t="inlineStr">
        <is>
          <t>text</t>
        </is>
      </c>
      <c r="D32" s="12" t="inlineStr">
        <is>
          <t>LOW, MODERATE, HIGH, or STRESS. Stress assumes weaker diversification.</t>
        </is>
      </c>
    </row>
    <row r="33" ht="90" customHeight="1">
      <c r="A33" s="97" t="inlineStr">
        <is>
          <t>Workbook Pricing Source</t>
        </is>
      </c>
      <c r="B33" s="174" t="inlineStr">
        <is>
          <t>CACHE — as of 06/29/2026 09:35 AM</t>
        </is>
      </c>
      <c r="C33" s="12" t="inlineStr">
        <is>
          <t>text</t>
        </is>
      </c>
      <c r="D33" s="12" t="inlineStr">
        <is>
          <t>Cached quotes were used as of 06/29/2026 09:35 AM; cache TTL is 24.0 hours. CACHE mode checks the cache before calling live providers; this cache passed its 24.0-hour TTL (expired 06/30/2026 09:35 AM) but was used anyway. Ticker-level source counts: cash: 1, stale_cache_from_fixture_cache: 7.</t>
        </is>
      </c>
    </row>
    <row r="34" ht="90" customHeight="1">
      <c r="A34" s="97" t="inlineStr">
        <is>
          <t>Asset Allocation Recommendation Source</t>
        </is>
      </c>
      <c r="B34" s="174" t="inlineStr">
        <is>
          <t>User-defined allocation</t>
        </is>
      </c>
      <c r="C34" s="12" t="inlineStr">
        <is>
          <t>text</t>
        </is>
      </c>
      <c r="D34" s="12" t="inlineStr">
        <is>
          <t>Selected in the UI and stored in database-backed Plan Data as allocation_selection_mode=user_target; this drives the workbook asset allocation recommendations.</t>
        </is>
      </c>
    </row>
    <row r="35" ht="90" customHeight="1">
      <c r="A35" s="97" t="inlineStr">
        <is>
          <t>Allocation Selection Mode</t>
        </is>
      </c>
      <c r="B35" s="174" t="inlineStr">
        <is>
          <t>Use user-specified allocation</t>
        </is>
      </c>
      <c r="C35" s="12" t="inlineStr">
        <is>
          <t>text</t>
        </is>
      </c>
      <c r="D35" s="12" t="inlineStr">
        <is>
          <t>UI toggle: use the optimizer recommendation or use the user-specified target_pct allocation.</t>
        </is>
      </c>
    </row>
    <row r="36" ht="90" customHeight="1">
      <c r="A36" s="97" t="inlineStr">
        <is>
          <t>Optimizer Recommendation Basis</t>
        </is>
      </c>
      <c r="B36" s="174" t="inlineStr">
        <is>
          <t>Visible as recommendation</t>
        </is>
      </c>
      <c r="C36" s="12" t="inlineStr">
        <is>
          <t>text</t>
        </is>
      </c>
      <c r="D36" s="12" t="inlineStr">
        <is>
          <t>Optimizer recommendation is based on risk tolerance or auto risk score, age, withdrawal rate, years to retirement, human-capital stability, guaranteed-income alternate-crediting mappings, home-equity/REIT coverage switches, concentration flags, enabled asset classes, capital-market assumptions, pairwise correlations, glide path, and inflation-sensitive spending. Consider it as a second-opinion allocation because it can account for household-specific risk capacity and diversification relationships that a static target mix cannot see.</t>
        </is>
      </c>
    </row>
    <row r="37" ht="90" customHeight="1">
      <c r="A37" s="97" t="inlineStr">
        <is>
          <t>User-Specified Allocation Total</t>
        </is>
      </c>
      <c r="B37" s="175" t="n">
        <v>1</v>
      </c>
      <c r="C37" s="12" t="inlineStr">
        <is>
          <t>decimal</t>
        </is>
      </c>
      <c r="D37" s="12" t="inlineStr">
        <is>
          <t>Must equal 100%. If selected as the allocation mode, these target_pct rows drive allocation recommendations.</t>
        </is>
      </c>
    </row>
    <row r="38" ht="90" customHeight="1">
      <c r="A38" s="97" t="inlineStr">
        <is>
          <t>Optimizer Override Total</t>
        </is>
      </c>
      <c r="B38" s="175" t="n">
        <v>0</v>
      </c>
      <c r="C38" s="12" t="inlineStr">
        <is>
          <t>decimal</t>
        </is>
      </c>
      <c r="D38" s="12" t="inlineStr">
        <is>
          <t>0% or blank means the computed optimizer target is used. If any optimizer override is entered, override percentages must total 100%.</t>
        </is>
      </c>
    </row>
    <row r="39" ht="90" customHeight="1">
      <c r="A39" s="97" t="inlineStr">
        <is>
          <t>Optimizer Override — US Large Cap</t>
        </is>
      </c>
      <c r="B39" s="175" t="n">
        <v>0</v>
      </c>
      <c r="C39" s="12" t="inlineStr">
        <is>
          <t>decimal</t>
        </is>
      </c>
      <c r="D39" s="12" t="inlineStr">
        <is>
          <t>Optional optimizer-mode override. If any override row is nonzero, the optimizer override replaces the computed optimizer target and must total 100%.</t>
        </is>
      </c>
    </row>
    <row r="40" ht="90" customHeight="1">
      <c r="A40" s="97" t="inlineStr">
        <is>
          <t>Optimizer Override — US Mid Cap</t>
        </is>
      </c>
      <c r="B40" s="175" t="n">
        <v>0</v>
      </c>
      <c r="C40" s="12" t="inlineStr">
        <is>
          <t>decimal</t>
        </is>
      </c>
      <c r="D40" s="12" t="inlineStr">
        <is>
          <t>Optional optimizer-mode override. If any override row is nonzero, the optimizer override replaces the computed optimizer target and must total 100%.</t>
        </is>
      </c>
    </row>
    <row r="41" ht="90" customHeight="1">
      <c r="A41" s="97" t="inlineStr">
        <is>
          <t>Optimizer Override — US Small Cap</t>
        </is>
      </c>
      <c r="B41" s="175" t="n">
        <v>0</v>
      </c>
      <c r="C41" s="12" t="inlineStr">
        <is>
          <t>decimal</t>
        </is>
      </c>
      <c r="D41" s="12" t="inlineStr">
        <is>
          <t>Optional optimizer-mode override. If any override row is nonzero, the optimizer override replaces the computed optimizer target and must total 100%.</t>
        </is>
      </c>
    </row>
    <row r="42" ht="90" customHeight="1">
      <c r="A42" s="97" t="inlineStr">
        <is>
          <t>Optimizer Override — International</t>
        </is>
      </c>
      <c r="B42" s="175" t="n">
        <v>0</v>
      </c>
      <c r="C42" s="12" t="inlineStr">
        <is>
          <t>decimal</t>
        </is>
      </c>
      <c r="D42" s="12" t="inlineStr">
        <is>
          <t>Optional optimizer-mode override. If any override row is nonzero, the optimizer override replaces the computed optimizer target and must total 100%.</t>
        </is>
      </c>
    </row>
    <row r="43" ht="90" customHeight="1">
      <c r="A43" s="97" t="inlineStr">
        <is>
          <t>Optimizer Override — Emerging Markets</t>
        </is>
      </c>
      <c r="B43" s="175" t="n">
        <v>0</v>
      </c>
      <c r="C43" s="12" t="inlineStr">
        <is>
          <t>decimal</t>
        </is>
      </c>
      <c r="D43" s="12" t="inlineStr">
        <is>
          <t>Optional optimizer-mode override. If any override row is nonzero, the optimizer override replaces the computed optimizer target and must total 100%.</t>
        </is>
      </c>
    </row>
    <row r="44" ht="90" customHeight="1">
      <c r="A44" s="97" t="inlineStr">
        <is>
          <t>Optimizer Override — Commodities</t>
        </is>
      </c>
      <c r="B44" s="175" t="n">
        <v>0</v>
      </c>
      <c r="C44" s="12" t="inlineStr">
        <is>
          <t>decimal</t>
        </is>
      </c>
      <c r="D44" s="12" t="inlineStr">
        <is>
          <t>Optional optimizer-mode override. If any override row is nonzero, the optimizer override replaces the computed optimizer target and must total 100%.</t>
        </is>
      </c>
    </row>
    <row r="45" ht="90" customHeight="1">
      <c r="A45" s="97" t="inlineStr">
        <is>
          <t>Optimizer Override — Bonds</t>
        </is>
      </c>
      <c r="B45" s="175" t="n">
        <v>0</v>
      </c>
      <c r="C45" s="12" t="inlineStr">
        <is>
          <t>decimal</t>
        </is>
      </c>
      <c r="D45" s="12" t="inlineStr">
        <is>
          <t>Optional optimizer-mode override. If any override row is nonzero, the optimizer override replaces the computed optimizer target and must total 100%.</t>
        </is>
      </c>
    </row>
    <row r="46" ht="90" customHeight="1">
      <c r="A46" s="97" t="inlineStr">
        <is>
          <t>Optimizer Override — Short-Term Bonds</t>
        </is>
      </c>
      <c r="B46" s="175" t="n">
        <v>0</v>
      </c>
      <c r="C46" s="12" t="inlineStr">
        <is>
          <t>decimal</t>
        </is>
      </c>
      <c r="D46" s="12" t="inlineStr">
        <is>
          <t>Optional optimizer-mode override. If any override row is nonzero, the optimizer override replaces the computed optimizer target and must total 100%.</t>
        </is>
      </c>
    </row>
    <row r="47" ht="90" customHeight="1">
      <c r="A47" s="97" t="inlineStr">
        <is>
          <t>Optimizer Override — TIPS</t>
        </is>
      </c>
      <c r="B47" s="175" t="n">
        <v>0</v>
      </c>
      <c r="C47" s="12" t="inlineStr">
        <is>
          <t>decimal</t>
        </is>
      </c>
      <c r="D47" s="12" t="inlineStr">
        <is>
          <t>Optional optimizer-mode override. If any override row is nonzero, the optimizer override replaces the computed optimizer target and must total 100%.</t>
        </is>
      </c>
    </row>
    <row r="48" ht="90" customHeight="1">
      <c r="A48" s="97" t="inlineStr">
        <is>
          <t>Optimizer Override — Municipal Bonds</t>
        </is>
      </c>
      <c r="B48" s="175" t="n">
        <v>0</v>
      </c>
      <c r="C48" s="12" t="inlineStr">
        <is>
          <t>decimal</t>
        </is>
      </c>
      <c r="D48" s="12" t="inlineStr">
        <is>
          <t>Optional optimizer-mode override. If any override row is nonzero, the optimizer override replaces the computed optimizer target and must total 100%.</t>
        </is>
      </c>
    </row>
    <row r="49" ht="90" customHeight="1">
      <c r="A49" s="97" t="inlineStr">
        <is>
          <t>Optimizer Override — Managed Futures</t>
        </is>
      </c>
      <c r="B49" s="175" t="n">
        <v>0</v>
      </c>
      <c r="C49" s="12" t="inlineStr">
        <is>
          <t>decimal</t>
        </is>
      </c>
      <c r="D49" s="12" t="inlineStr">
        <is>
          <t>Optional optimizer-mode override. If any override row is nonzero, the optimizer override replaces the computed optimizer target and must total 100%.</t>
        </is>
      </c>
    </row>
    <row r="50" ht="90" customHeight="1">
      <c r="A50" s="97" t="inlineStr">
        <is>
          <t>Optimizer Override — Private Credit</t>
        </is>
      </c>
      <c r="B50" s="175" t="n">
        <v>0</v>
      </c>
      <c r="C50" s="12" t="inlineStr">
        <is>
          <t>decimal</t>
        </is>
      </c>
      <c r="D50" s="12" t="inlineStr">
        <is>
          <t>Optional optimizer-mode override. If any override row is nonzero, the optimizer override replaces the computed optimizer target and must total 100%.</t>
        </is>
      </c>
    </row>
    <row r="51" ht="90" customHeight="1">
      <c r="A51" s="97" t="inlineStr">
        <is>
          <t>Optimizer Override — REITs</t>
        </is>
      </c>
      <c r="B51" s="175" t="n">
        <v>0</v>
      </c>
      <c r="C51" s="12" t="inlineStr">
        <is>
          <t>decimal</t>
        </is>
      </c>
      <c r="D51" s="12" t="inlineStr">
        <is>
          <t>Optional optimizer-mode override. If any override row is nonzero, the optimizer override replaces the computed optimizer target and must total 100%.</t>
        </is>
      </c>
    </row>
    <row r="52" ht="90" customHeight="1">
      <c r="A52" s="97" t="inlineStr">
        <is>
          <t>Optimizer Override — Cash</t>
        </is>
      </c>
      <c r="B52" s="175" t="n">
        <v>0</v>
      </c>
      <c r="C52" s="12" t="inlineStr">
        <is>
          <t>decimal</t>
        </is>
      </c>
      <c r="D52" s="12" t="inlineStr">
        <is>
          <t>Optional optimizer-mode override. If any override row is nonzero, the optimizer override replaces the computed optimizer target and must total 100%.</t>
        </is>
      </c>
    </row>
    <row r="53" ht="90" customHeight="1">
      <c r="A53" s="97" t="inlineStr">
        <is>
          <t>User Target — US Large Cap</t>
        </is>
      </c>
      <c r="B53" s="175" t="n">
        <v>0.35</v>
      </c>
      <c r="C53" s="12" t="inlineStr">
        <is>
          <t>decimal</t>
        </is>
      </c>
      <c r="D53" s="12" t="inlineStr">
        <is>
          <t>Default 40%; broad U.S. large-cap stock exposure. Examples: VOO, IVV, SCHX. User may override this percentage; all target_pct rows must total 100%. Core broad U.S. large-cap stock-index exposure.</t>
        </is>
      </c>
    </row>
    <row r="54" ht="90" customHeight="1">
      <c r="A54" s="97" t="inlineStr">
        <is>
          <t>US Large Cap Example Vehicles</t>
        </is>
      </c>
      <c r="B54" s="174" t="inlineStr">
        <is>
          <t>VOO, IVV, SCHX</t>
        </is>
      </c>
      <c r="C54" s="12" t="inlineStr">
        <is>
          <t>text</t>
        </is>
      </c>
      <c r="D54" s="12" t="inlineStr">
        <is>
          <t>Three examples used when the class is recommended but not currently represented. These are examples, not personalized trade instructions.</t>
        </is>
      </c>
    </row>
    <row r="55" ht="90" customHeight="1">
      <c r="A55" s="97" t="inlineStr">
        <is>
          <t>User Target — US Mid Cap</t>
        </is>
      </c>
      <c r="B55" s="175" t="n">
        <v>0.05</v>
      </c>
      <c r="C55" s="12" t="inlineStr">
        <is>
          <t>decimal</t>
        </is>
      </c>
      <c r="D55" s="12" t="inlineStr">
        <is>
          <t>Default 5%; U.S. mid-cap equity exposure. Examples: VO, IJH, SCHM. User may override this percentage; all target_pct rows must total 100%. U.S. mid-cap equity exposure between large- and small-cap risk/return.</t>
        </is>
      </c>
    </row>
    <row r="56" ht="90" customHeight="1">
      <c r="A56" s="97" t="inlineStr">
        <is>
          <t>US Mid Cap Example Vehicles</t>
        </is>
      </c>
      <c r="B56" s="174" t="inlineStr">
        <is>
          <t>VO, IJH, SCHM</t>
        </is>
      </c>
      <c r="C56" s="12" t="inlineStr">
        <is>
          <t>text</t>
        </is>
      </c>
      <c r="D56" s="12" t="inlineStr">
        <is>
          <t>Three examples used when the class is recommended but not currently represented. These are examples, not personalized trade instructions.</t>
        </is>
      </c>
    </row>
    <row r="57" ht="90" customHeight="1">
      <c r="A57" s="97" t="inlineStr">
        <is>
          <t>User Target — US Small Cap</t>
        </is>
      </c>
      <c r="B57" s="175" t="n">
        <v>0.05</v>
      </c>
      <c r="C57" s="12" t="inlineStr">
        <is>
          <t>decimal</t>
        </is>
      </c>
      <c r="D57" s="12" t="inlineStr">
        <is>
          <t>Default 5%; U.S. small-cap equity exposure. Examples: VB, IJR, SCHA. User may override this percentage; all target_pct rows must total 100%. Higher expected-return U.S. small-company exposure; usually higher volatility.</t>
        </is>
      </c>
    </row>
    <row r="58" ht="90" customHeight="1">
      <c r="A58" s="97" t="inlineStr">
        <is>
          <t>US Small Cap Example Vehicles</t>
        </is>
      </c>
      <c r="B58" s="174" t="inlineStr">
        <is>
          <t>VB, IJR, SCHA</t>
        </is>
      </c>
      <c r="C58" s="12" t="inlineStr">
        <is>
          <t>text</t>
        </is>
      </c>
      <c r="D58" s="12" t="inlineStr">
        <is>
          <t>Three examples used when the class is recommended but not currently represented. These are examples, not personalized trade instructions.</t>
        </is>
      </c>
    </row>
    <row r="59" ht="90" customHeight="1">
      <c r="A59" s="97" t="inlineStr">
        <is>
          <t>User Target — International</t>
        </is>
      </c>
      <c r="B59" s="175" t="n">
        <v>0.2</v>
      </c>
      <c r="C59" s="12" t="inlineStr">
        <is>
          <t>decimal</t>
        </is>
      </c>
      <c r="D59" s="12" t="inlineStr">
        <is>
          <t>Default 20%; developed non-U.S. stock exposure. Examples: VEA, IEFA, SCHF. User may override this percentage; all target_pct rows must total 100%. Developed non-U.S. equity diversification.</t>
        </is>
      </c>
    </row>
    <row r="60" ht="90" customHeight="1">
      <c r="A60" s="97" t="inlineStr">
        <is>
          <t>International Example Vehicles</t>
        </is>
      </c>
      <c r="B60" s="174" t="inlineStr">
        <is>
          <t>VEA, IEFA, SCHF</t>
        </is>
      </c>
      <c r="C60" s="12" t="inlineStr">
        <is>
          <t>text</t>
        </is>
      </c>
      <c r="D60" s="12" t="inlineStr">
        <is>
          <t>Three examples used when the class is recommended but not currently represented. These are examples, not personalized trade instructions.</t>
        </is>
      </c>
    </row>
    <row r="61" ht="90" customHeight="1">
      <c r="A61" s="97" t="inlineStr">
        <is>
          <t>User Target — Emerging Markets</t>
        </is>
      </c>
      <c r="B61" s="175" t="n">
        <v>0.05</v>
      </c>
      <c r="C61" s="12" t="inlineStr">
        <is>
          <t>decimal</t>
        </is>
      </c>
      <c r="D61" s="12" t="inlineStr">
        <is>
          <t>Default 5%; emerging-market stock exposure. Examples: VWO, IEMG, EEM. User may override this percentage; all target_pct rows must total 100%. Higher-growth non-U.S. equity exposure with higher political/currency risk.</t>
        </is>
      </c>
    </row>
    <row r="62" ht="90" customHeight="1">
      <c r="A62" s="97" t="inlineStr">
        <is>
          <t>Emerging Markets Example Vehicles</t>
        </is>
      </c>
      <c r="B62" s="174" t="inlineStr">
        <is>
          <t>VWO, IEMG, EEM</t>
        </is>
      </c>
      <c r="C62" s="12" t="inlineStr">
        <is>
          <t>text</t>
        </is>
      </c>
      <c r="D62" s="12" t="inlineStr">
        <is>
          <t>Three examples used when the class is recommended but not currently represented. These are examples, not personalized trade instructions.</t>
        </is>
      </c>
    </row>
    <row r="63" ht="90" customHeight="1">
      <c r="A63" s="97" t="inlineStr">
        <is>
          <t>User Target — Commodities</t>
        </is>
      </c>
      <c r="B63" s="175" t="n">
        <v>0.05</v>
      </c>
      <c r="C63" s="12" t="inlineStr">
        <is>
          <t>decimal</t>
        </is>
      </c>
      <c r="D63" s="12" t="inlineStr">
        <is>
          <t>Default 0%; optional real-asset/inflation-shock sleeve. Examples: PDBC, DJP, GSG. User may override this percentage; all target_pct rows must total 100%. Broad energy, metals, and agriculture basket; can help inflation shocks.</t>
        </is>
      </c>
    </row>
    <row r="64" ht="90" customHeight="1">
      <c r="A64" s="97" t="inlineStr">
        <is>
          <t>Commodities Example Vehicles</t>
        </is>
      </c>
      <c r="B64" s="174" t="inlineStr">
        <is>
          <t>PDBC, DJP, GSG</t>
        </is>
      </c>
      <c r="C64" s="12" t="inlineStr">
        <is>
          <t>text</t>
        </is>
      </c>
      <c r="D64" s="12" t="inlineStr">
        <is>
          <t>Three examples used when the class is recommended but not currently represented. These are examples, not personalized trade instructions.</t>
        </is>
      </c>
    </row>
    <row r="65" ht="90" customHeight="1">
      <c r="A65" s="97" t="inlineStr">
        <is>
          <t>User Target — Bonds</t>
        </is>
      </c>
      <c r="B65" s="175" t="n">
        <v>0.15</v>
      </c>
      <c r="C65" s="12" t="inlineStr">
        <is>
          <t>decimal</t>
        </is>
      </c>
      <c r="D65" s="12" t="inlineStr">
        <is>
          <t>Default 15%; core investment-grade bond exposure. Examples: BND, AGG, SCHZ. User may override this percentage; all target_pct rows must total 100%. Core duration and credit exposure for ballast and income.</t>
        </is>
      </c>
    </row>
    <row r="66" ht="90" customHeight="1">
      <c r="A66" s="97" t="inlineStr">
        <is>
          <t>Bonds Example Vehicles</t>
        </is>
      </c>
      <c r="B66" s="174" t="inlineStr">
        <is>
          <t>BND, AGG, SCHZ</t>
        </is>
      </c>
      <c r="C66" s="12" t="inlineStr">
        <is>
          <t>text</t>
        </is>
      </c>
      <c r="D66" s="12" t="inlineStr">
        <is>
          <t>Three examples used when the class is recommended but not currently represented. These are examples, not personalized trade instructions.</t>
        </is>
      </c>
    </row>
    <row r="67" ht="90" customHeight="1">
      <c r="A67" s="97" t="inlineStr">
        <is>
          <t>User Target — Short-Term Bonds</t>
        </is>
      </c>
      <c r="B67" s="175" t="n">
        <v>0.05</v>
      </c>
      <c r="C67" s="12" t="inlineStr">
        <is>
          <t>decimal</t>
        </is>
      </c>
      <c r="D67" s="12" t="inlineStr">
        <is>
          <t>Default 5%; short-duration reserve/bond sleeve. Examples: SGOV, SHY, USFR. User may override this percentage; all target_pct rows must total 100%. Low-duration bond reserve; lower rate sensitivity than broad bonds.</t>
        </is>
      </c>
    </row>
    <row r="68" ht="90" customHeight="1">
      <c r="A68" s="97" t="inlineStr">
        <is>
          <t>Short-Term Bonds Example Vehicles</t>
        </is>
      </c>
      <c r="B68" s="174" t="inlineStr">
        <is>
          <t>SGOV, SHY, USFR</t>
        </is>
      </c>
      <c r="C68" s="12" t="inlineStr">
        <is>
          <t>text</t>
        </is>
      </c>
      <c r="D68" s="12" t="inlineStr">
        <is>
          <t>Three examples used when the class is recommended but not currently represented. These are examples, not personalized trade instructions.</t>
        </is>
      </c>
    </row>
    <row r="69" ht="90" customHeight="1">
      <c r="A69" s="97" t="inlineStr">
        <is>
          <t>User Target — TIPS</t>
        </is>
      </c>
      <c r="B69" s="175" t="n">
        <v>0</v>
      </c>
      <c r="C69" s="12" t="inlineStr">
        <is>
          <t>decimal</t>
        </is>
      </c>
      <c r="D69" s="12" t="inlineStr">
        <is>
          <t>Default 0%; optional inflation-linked bonds. Examples: TIP, SCHP, VTIP. User may override this percentage; all target_pct rows must total 100%. Inflation-linked U.S. Treasury bonds; helps hedge real spending risk.</t>
        </is>
      </c>
    </row>
    <row r="70" ht="90" customHeight="1">
      <c r="A70" s="97" t="inlineStr">
        <is>
          <t>TIPS Example Vehicles</t>
        </is>
      </c>
      <c r="B70" s="174" t="inlineStr">
        <is>
          <t>TIP, SCHP, VTIP</t>
        </is>
      </c>
      <c r="C70" s="12" t="inlineStr">
        <is>
          <t>text</t>
        </is>
      </c>
      <c r="D70" s="12" t="inlineStr">
        <is>
          <t>Three examples used when the class is recommended but not currently represented. These are examples, not personalized trade instructions.</t>
        </is>
      </c>
    </row>
    <row r="71" ht="90" customHeight="1">
      <c r="A71" s="97" t="inlineStr">
        <is>
          <t>User Target — Municipal Bonds</t>
        </is>
      </c>
      <c r="B71" s="175" t="n">
        <v>0</v>
      </c>
      <c r="C71" s="12" t="inlineStr">
        <is>
          <t>decimal</t>
        </is>
      </c>
      <c r="D71" s="12" t="inlineStr">
        <is>
          <t>Default 0%; optional tax-exempt bond sleeve. Examples: MUB, VTEB, TFI. User may override this percentage; all target_pct rows must total 100%. Tax-exempt municipal bond sleeve; after-tax benefit depends on tax bracket and state.</t>
        </is>
      </c>
    </row>
    <row r="72" ht="90" customHeight="1">
      <c r="A72" s="97" t="inlineStr">
        <is>
          <t>Municipal Bonds Example Vehicles</t>
        </is>
      </c>
      <c r="B72" s="174" t="inlineStr">
        <is>
          <t>MUB, VTEB, TFI</t>
        </is>
      </c>
      <c r="C72" s="12" t="inlineStr">
        <is>
          <t>text</t>
        </is>
      </c>
      <c r="D72" s="12" t="inlineStr">
        <is>
          <t>Three examples used when the class is recommended but not currently represented. These are examples, not personalized trade instructions.</t>
        </is>
      </c>
    </row>
    <row r="73" ht="90" customHeight="1">
      <c r="A73" s="97" t="inlineStr">
        <is>
          <t>User Target — Managed Futures</t>
        </is>
      </c>
      <c r="B73" s="175" t="n">
        <v>0</v>
      </c>
      <c r="C73" s="12" t="inlineStr">
        <is>
          <t>decimal</t>
        </is>
      </c>
      <c r="D73" s="12" t="inlineStr">
        <is>
          <t>Default 0%; optional trend-following diversifier. Examples: DBMF, KMLM, CTA. User may override this percentage; all target_pct rows must total 100%. Systematic long/short futures trend following; often diversifies equity bear markets.</t>
        </is>
      </c>
    </row>
    <row r="74" ht="90" customHeight="1">
      <c r="A74" s="97" t="inlineStr">
        <is>
          <t>Managed Futures Example Vehicles</t>
        </is>
      </c>
      <c r="B74" s="174" t="inlineStr">
        <is>
          <t>DBMF, KMLM, CTA</t>
        </is>
      </c>
      <c r="C74" s="12" t="inlineStr">
        <is>
          <t>text</t>
        </is>
      </c>
      <c r="D74" s="12" t="inlineStr">
        <is>
          <t>Three examples used when the class is recommended but not currently represented. These are examples, not personalized trade instructions.</t>
        </is>
      </c>
    </row>
    <row r="75" ht="90" customHeight="1">
      <c r="A75" s="97" t="inlineStr">
        <is>
          <t>User Target — Private Credit</t>
        </is>
      </c>
      <c r="B75" s="175" t="n">
        <v>0</v>
      </c>
      <c r="C75" s="12" t="inlineStr">
        <is>
          <t>decimal</t>
        </is>
      </c>
      <c r="D75" s="12" t="inlineStr">
        <is>
          <t>Default 0%; optional senior-loan/CLO-style credit sleeve. Examples: BKLN, SRLN, JAAA. User may override this percentage; all target_pct rows must total 100%. Credit income sleeve with illiquidity and credit-cycle risk; cap conservatively.</t>
        </is>
      </c>
    </row>
    <row r="76" ht="90" customHeight="1">
      <c r="A76" s="97" t="inlineStr">
        <is>
          <t>Private Credit Example Vehicles</t>
        </is>
      </c>
      <c r="B76" s="174" t="inlineStr">
        <is>
          <t>BKLN, SRLN, JAAA</t>
        </is>
      </c>
      <c r="C76" s="12" t="inlineStr">
        <is>
          <t>text</t>
        </is>
      </c>
      <c r="D76" s="12" t="inlineStr">
        <is>
          <t>Three examples used when the class is recommended but not currently represented. These are examples, not personalized trade instructions.</t>
        </is>
      </c>
    </row>
    <row r="77" ht="90" customHeight="1">
      <c r="A77" s="97" t="inlineStr">
        <is>
          <t>User Target — REITs</t>
        </is>
      </c>
      <c r="B77" s="175" t="n">
        <v>0</v>
      </c>
      <c r="C77" s="12" t="inlineStr">
        <is>
          <t>decimal</t>
        </is>
      </c>
      <c r="D77" s="12" t="inlineStr">
        <is>
          <t>Default 0%; optional liquid real-estate exposure. Examples: VNQ, SCHH, IYR. User may override this percentage; all target_pct rows must total 100%. Liquid real estate securities; equity-like drawdowns with income/inflation sensitivity.</t>
        </is>
      </c>
    </row>
    <row r="78" ht="90" customHeight="1">
      <c r="A78" s="97" t="inlineStr">
        <is>
          <t>REITs Example Vehicles</t>
        </is>
      </c>
      <c r="B78" s="174" t="inlineStr">
        <is>
          <t>VNQ, SCHH, IYR</t>
        </is>
      </c>
      <c r="C78" s="12" t="inlineStr">
        <is>
          <t>text</t>
        </is>
      </c>
      <c r="D78" s="12" t="inlineStr">
        <is>
          <t>Three examples used when the class is recommended but not currently represented. These are examples, not personalized trade instructions.</t>
        </is>
      </c>
    </row>
    <row r="79" ht="90" customHeight="1">
      <c r="A79" s="97" t="inlineStr">
        <is>
          <t>User Target — Cash</t>
        </is>
      </c>
      <c r="B79" s="175" t="n">
        <v>0.05</v>
      </c>
      <c r="C79" s="12" t="inlineStr">
        <is>
          <t>decimal</t>
        </is>
      </c>
      <c r="D79" s="12" t="inlineStr">
        <is>
          <t>Default 5%; liquidity and money-market reserve. Examples: CASH, SGOV, BIL. User may override this percentage; all target_pct rows must total 100%. Liquidity reserve and spending buffer.</t>
        </is>
      </c>
    </row>
    <row r="80" ht="90" customHeight="1">
      <c r="A80" s="97" t="inlineStr">
        <is>
          <t>Cash Example Vehicles</t>
        </is>
      </c>
      <c r="B80" s="174" t="inlineStr">
        <is>
          <t>CASH, SGOV, BIL</t>
        </is>
      </c>
      <c r="C80" s="12" t="inlineStr">
        <is>
          <t>text</t>
        </is>
      </c>
      <c r="D80" s="12" t="inlineStr">
        <is>
          <t>Three examples used when the class is recommended but not currently represented. These are examples, not personalized trade instructions.</t>
        </is>
      </c>
    </row>
    <row r="81" ht="90" customHeight="1">
      <c r="A81" s="97" t="inlineStr">
        <is>
          <t>Optimizer Target — US Large Cap</t>
        </is>
      </c>
      <c r="B81" s="175" t="n">
        <v>0.6127254017331175</v>
      </c>
      <c r="C81" s="12" t="inlineStr">
        <is>
          <t>decimal</t>
        </is>
      </c>
      <c r="D81" s="12" t="inlineStr">
        <is>
          <t>Computed recommendation using risk tolerance, withdrawal rate, guaranteed-income/home-equity coverage, capital-market assumptions, correlations, glide path, and inflation-sensitive spending.</t>
        </is>
      </c>
    </row>
    <row r="82" ht="90" customHeight="1">
      <c r="A82" s="97" t="inlineStr">
        <is>
          <t>Optimizer Target — International</t>
        </is>
      </c>
      <c r="B82" s="175" t="n">
        <v>0.2168105267671031</v>
      </c>
      <c r="C82" s="12" t="inlineStr">
        <is>
          <t>decimal</t>
        </is>
      </c>
      <c r="D82" s="12" t="inlineStr">
        <is>
          <t>Computed recommendation using risk tolerance, withdrawal rate, guaranteed-income/home-equity coverage, capital-market assumptions, correlations, glide path, and inflation-sensitive spending.</t>
        </is>
      </c>
    </row>
    <row r="83" ht="90" customHeight="1">
      <c r="A83" s="97" t="inlineStr">
        <is>
          <t>Optimizer Target — Commodities</t>
        </is>
      </c>
      <c r="B83" s="175" t="n">
        <v>0.1131185357045755</v>
      </c>
      <c r="C83" s="12" t="inlineStr">
        <is>
          <t>decimal</t>
        </is>
      </c>
      <c r="D83" s="12" t="inlineStr">
        <is>
          <t>Computed recommendation using risk tolerance, withdrawal rate, guaranteed-income/home-equity coverage, capital-market assumptions, correlations, glide path, and inflation-sensitive spending.</t>
        </is>
      </c>
    </row>
    <row r="84" ht="90" customHeight="1">
      <c r="A84" s="97" t="inlineStr">
        <is>
          <t>Optimizer Target — Cash</t>
        </is>
      </c>
      <c r="B84" s="175" t="n">
        <v>0.05734553579520389</v>
      </c>
      <c r="C84" s="12" t="inlineStr">
        <is>
          <t>decimal</t>
        </is>
      </c>
      <c r="D84" s="12" t="inlineStr">
        <is>
          <t>Computed recommendation using risk tolerance, withdrawal rate, guaranteed-income/home-equity coverage, capital-market assumptions, correlations, glide path, and inflation-sensitive spending.</t>
        </is>
      </c>
    </row>
    <row r="85"/>
    <row r="86" ht="15" customHeight="1">
      <c r="A86" s="10" t="inlineStr">
        <is>
          <t>Global Tax-Location Rebalancing Controls</t>
        </is>
      </c>
      <c r="B86" s="3" t="n"/>
      <c r="C86" s="3" t="n"/>
      <c r="D86" s="4" t="n"/>
    </row>
    <row r="87" ht="15" customHeight="1">
      <c r="A87" s="5" t="inlineStr">
        <is>
          <t>Parameter</t>
        </is>
      </c>
      <c r="B87" s="5" t="inlineStr">
        <is>
          <t>Value</t>
        </is>
      </c>
      <c r="C87" s="5" t="inlineStr">
        <is>
          <t>Units</t>
        </is>
      </c>
      <c r="D87" s="5" t="inlineStr">
        <is>
          <t>Note</t>
        </is>
      </c>
    </row>
    <row r="88" ht="90" customHeight="1">
      <c r="A88" s="97" t="inlineStr">
        <is>
          <t>Trade Optimizer Mode</t>
        </is>
      </c>
      <c r="B88" s="174" t="inlineStr">
        <is>
          <t>GLOBAL_TAX_AWARE</t>
        </is>
      </c>
      <c r="C88" s="12" t="inlineStr">
        <is>
          <t>text</t>
        </is>
      </c>
      <c r="D88" s="12" t="inlineStr">
        <is>
          <t>GLOBAL_TAX_AWARE solves household-level drift/tax/location tradeoffs; HEURISTIC uses the prior account-by-account engine.</t>
        </is>
      </c>
    </row>
    <row r="89" ht="90" customHeight="1">
      <c r="A89" s="97" t="inlineStr">
        <is>
          <t>Objective</t>
        </is>
      </c>
      <c r="B89" s="174" t="inlineStr">
        <is>
          <t>Minimize drift + tax cost + turnover + location inefficiency</t>
        </is>
      </c>
      <c r="C89" s="12" t="inlineStr">
        <is>
          <t>text</t>
        </is>
      </c>
      <c r="D89" s="12" t="inlineStr">
        <is>
          <t>A conservative linear objective balances diversification against taxes, turnover, and account-location fit.</t>
        </is>
      </c>
    </row>
    <row r="90" ht="90" customHeight="1">
      <c r="A90" s="97" t="inlineStr">
        <is>
          <t>Maximum Turnover</t>
        </is>
      </c>
      <c r="B90" s="175" t="n">
        <v>0.2</v>
      </c>
      <c r="C90" s="12" t="inlineStr">
        <is>
          <t>decimal</t>
        </is>
      </c>
      <c r="D90" s="12" t="inlineStr">
        <is>
          <t>Addresses unintended consequence: excessive turnover and noisy small improvements.</t>
        </is>
      </c>
    </row>
    <row r="91" ht="60" customHeight="1">
      <c r="A91" s="97" t="inlineStr">
        <is>
          <t>Minimum Trade Amount</t>
        </is>
      </c>
      <c r="B91" s="177" t="n">
        <v>500</v>
      </c>
      <c r="C91" s="12" t="inlineStr">
        <is>
          <t>USD</t>
        </is>
      </c>
      <c r="D91" s="12" t="inlineStr">
        <is>
          <t>Addresses false precision and operational burden.</t>
        </is>
      </c>
    </row>
    <row r="92" ht="90" customHeight="1">
      <c r="A92" s="97" t="inlineStr">
        <is>
          <t>Taxable Gain Policy</t>
        </is>
      </c>
      <c r="B92" s="174" t="inlineStr">
        <is>
          <t>DRIFT_THRESHOLD</t>
        </is>
      </c>
      <c r="C92" s="12" t="inlineStr">
        <is>
          <t>text</t>
        </is>
      </c>
      <c r="D92" s="12" t="inlineStr">
        <is>
          <t>NEVER, DRIFT_THRESHOLD, WITHIN_BUDGET, or ALWAYS; controls tax tail wagging the dog and income-timing effects.</t>
        </is>
      </c>
    </row>
    <row r="93" ht="90" customHeight="1">
      <c r="A93" s="97" t="inlineStr">
        <is>
          <t>Taxable Gain Budget</t>
        </is>
      </c>
      <c r="B93" s="177" t="n">
        <v>2500</v>
      </c>
      <c r="C93" s="12" t="inlineStr">
        <is>
          <t>USD</t>
        </is>
      </c>
      <c r="D93" s="12" t="inlineStr">
        <is>
          <t>Limits estimated tax cost from taxable gain sales in one workbook cycle.</t>
        </is>
      </c>
    </row>
    <row r="94" ht="75" customHeight="1">
      <c r="A94" s="97" t="inlineStr">
        <is>
          <t>Max Tax Cost</t>
        </is>
      </c>
      <c r="B94" s="174" t="n">
        <v>25</v>
      </c>
      <c r="C94" s="12" t="inlineStr">
        <is>
          <t>bps</t>
        </is>
      </c>
      <c r="D94" s="12" t="inlineStr">
        <is>
          <t>Basis-point tax-drag limit for taxable sales before deferral.</t>
        </is>
      </c>
    </row>
    <row r="95" ht="90" customHeight="1">
      <c r="A95" s="97" t="inlineStr">
        <is>
          <t>Asset Location Strength</t>
        </is>
      </c>
      <c r="B95" s="174" t="inlineStr">
        <is>
          <t>BALANCED</t>
        </is>
      </c>
      <c r="C95" s="12" t="inlineStr">
        <is>
          <t>text</t>
        </is>
      </c>
      <c r="D95" s="12" t="inlineStr">
        <is>
          <t>LIGHT/BALANCED/STRONG controls how hard the optimizer pushes Roth growth, pre-tax income assets, and taxable tax-efficient equity.</t>
        </is>
      </c>
    </row>
    <row r="96" ht="45" customHeight="1">
      <c r="A96" s="97" t="inlineStr">
        <is>
          <t>Max Account Single Asset</t>
        </is>
      </c>
      <c r="B96" s="175" t="n">
        <v>0.45</v>
      </c>
      <c r="C96" s="12" t="inlineStr">
        <is>
          <t>decimal</t>
        </is>
      </c>
      <c r="D96" s="12" t="inlineStr">
        <is>
          <t>Reduces account-level concentration risk.</t>
        </is>
      </c>
    </row>
    <row r="97" ht="75" customHeight="1">
      <c r="A97" s="97" t="inlineStr">
        <is>
          <t>Max Roth High-Growth Tilt</t>
        </is>
      </c>
      <c r="B97" s="175" t="n">
        <v>0.85</v>
      </c>
      <c r="C97" s="12" t="inlineStr">
        <is>
          <t>decimal</t>
        </is>
      </c>
      <c r="D97" s="12" t="inlineStr">
        <is>
          <t>Limits unintended high-volatility concentration in Roth accounts.</t>
        </is>
      </c>
    </row>
    <row r="98" ht="90" customHeight="1">
      <c r="A98" s="97" t="inlineStr">
        <is>
          <t>Annuity calibration dependency</t>
        </is>
      </c>
      <c r="B98" s="174" t="inlineStr">
        <is>
          <t>Carrier-illustration dependent</t>
        </is>
      </c>
      <c r="C98" s="12" t="inlineStr">
        <is>
          <t>text</t>
        </is>
      </c>
      <c r="D98" s="12" t="inlineStr">
        <is>
          <t>PV/reserve and death-benefit figures use editable calibration assumptions; refresh against current carrier illustrations before annuity sale, replacement, or valuation decisions.</t>
        </is>
      </c>
    </row>
    <row r="99" ht="90" customHeight="1">
      <c r="A99" s="97" t="inlineStr">
        <is>
          <t>Max Pre-Tax Fixed Income Tilt</t>
        </is>
      </c>
      <c r="B99" s="175" t="n">
        <v>0.85</v>
      </c>
      <c r="C99" s="12" t="inlineStr">
        <is>
          <t>decimal</t>
        </is>
      </c>
      <c r="D99" s="12" t="inlineStr">
        <is>
          <t>Limits unintended bond-heavy pre-tax allocation and future RMD concentration risk.</t>
        </is>
      </c>
    </row>
    <row r="100" ht="90" customHeight="1">
      <c r="A100" s="97" t="inlineStr">
        <is>
          <t>Wash-Sale Policy</t>
        </is>
      </c>
      <c r="B100" s="174" t="inlineStr">
        <is>
          <t>FLAG_ONLY</t>
        </is>
      </c>
      <c r="C100" s="12" t="inlineStr">
        <is>
          <t>text</t>
        </is>
      </c>
      <c r="D100" s="12" t="inlineStr">
        <is>
          <t>Workbook flags review items; it does not certify wash-sale compliance or see outside/spousal trades.</t>
        </is>
      </c>
    </row>
    <row r="101" ht="90" customHeight="1">
      <c r="A101" s="97" t="inlineStr">
        <is>
          <t>Solver Fallback Policy</t>
        </is>
      </c>
      <c r="B101" s="174" t="inlineStr">
        <is>
          <t>HEURISTIC</t>
        </is>
      </c>
      <c r="C101" s="12" t="inlineStr">
        <is>
          <t>text</t>
        </is>
      </c>
      <c r="D101" s="12" t="inlineStr">
        <is>
          <t>HEURISTIC keeps workbook usable if the global optimization problem is infeasible.</t>
        </is>
      </c>
    </row>
    <row r="102"/>
    <row r="103" ht="15" customHeight="1">
      <c r="A103" s="10" t="inlineStr">
        <is>
          <t>Federal Tax Brackets — Tax Reference Year</t>
        </is>
      </c>
      <c r="B103" s="3" t="n"/>
      <c r="C103" s="3" t="n"/>
      <c r="D103" s="4" t="n"/>
    </row>
    <row r="104" ht="15" customHeight="1">
      <c r="A104" s="5" t="inlineStr">
        <is>
          <t>Parameter</t>
        </is>
      </c>
      <c r="B104" s="5" t="inlineStr">
        <is>
          <t>Value</t>
        </is>
      </c>
      <c r="C104" s="5" t="inlineStr">
        <is>
          <t>Units</t>
        </is>
      </c>
      <c r="D104" s="5" t="inlineStr">
        <is>
          <t>Note</t>
        </is>
      </c>
    </row>
    <row r="105" ht="30" customHeight="1">
      <c r="A105" s="97" t="inlineStr">
        <is>
          <t>10% bracket top</t>
        </is>
      </c>
      <c r="B105" s="177" t="n">
        <v>23200</v>
      </c>
      <c r="C105" s="12" t="inlineStr">
        <is>
          <t>USD</t>
        </is>
      </c>
      <c r="D105" s="12" t="inlineStr">
        <is>
          <t>inflates at bracket inflator</t>
        </is>
      </c>
    </row>
    <row r="106" ht="30" customHeight="1">
      <c r="A106" s="97" t="inlineStr">
        <is>
          <t>12% bracket top</t>
        </is>
      </c>
      <c r="B106" s="177" t="n">
        <v>94300</v>
      </c>
      <c r="C106" s="12" t="inlineStr">
        <is>
          <t>USD</t>
        </is>
      </c>
      <c r="D106" s="33" t="inlineStr"/>
    </row>
    <row r="107" ht="30" customHeight="1">
      <c r="A107" s="97" t="inlineStr">
        <is>
          <t>22% bracket top</t>
        </is>
      </c>
      <c r="B107" s="177" t="n">
        <v>201050</v>
      </c>
      <c r="C107" s="12" t="inlineStr">
        <is>
          <t>USD</t>
        </is>
      </c>
      <c r="D107" s="33" t="inlineStr"/>
    </row>
    <row r="108" ht="30" customHeight="1">
      <c r="A108" s="97" t="inlineStr">
        <is>
          <t>24% bracket top</t>
        </is>
      </c>
      <c r="B108" s="177" t="n">
        <v>383900</v>
      </c>
      <c r="C108" s="12" t="inlineStr">
        <is>
          <t>USD</t>
        </is>
      </c>
      <c r="D108" s="33" t="inlineStr"/>
    </row>
    <row r="109" ht="30" customHeight="1">
      <c r="A109" s="97" t="inlineStr">
        <is>
          <t>32% bracket top</t>
        </is>
      </c>
      <c r="B109" s="177" t="n">
        <v>487450</v>
      </c>
      <c r="C109" s="12" t="inlineStr">
        <is>
          <t>USD</t>
        </is>
      </c>
      <c r="D109" s="33" t="inlineStr"/>
    </row>
    <row r="110" ht="30" customHeight="1">
      <c r="A110" s="97" t="inlineStr">
        <is>
          <t>35% bracket top</t>
        </is>
      </c>
      <c r="B110" s="177" t="n">
        <v>731200</v>
      </c>
      <c r="C110" s="12" t="inlineStr">
        <is>
          <t>USD</t>
        </is>
      </c>
      <c r="D110" s="33" t="inlineStr"/>
    </row>
    <row r="111" ht="15" customHeight="1">
      <c r="A111" s="97" t="inlineStr">
        <is>
          <t>37%+</t>
        </is>
      </c>
      <c r="B111" s="174" t="n">
        <v/>
      </c>
      <c r="C111" s="12" t="inlineStr">
        <is>
          <t>USD</t>
        </is>
      </c>
      <c r="D111" s="33" t="inlineStr"/>
    </row>
    <row r="112"/>
    <row r="113" ht="15" customHeight="1">
      <c r="A113" s="10" t="inlineStr">
        <is>
          <t>SALT Cap Schedule</t>
        </is>
      </c>
      <c r="B113" s="3" t="n"/>
      <c r="C113" s="3" t="n"/>
      <c r="D113" s="4" t="n"/>
    </row>
    <row r="114" ht="15" customHeight="1">
      <c r="A114" s="5" t="inlineStr">
        <is>
          <t>Parameter</t>
        </is>
      </c>
      <c r="B114" s="5" t="inlineStr">
        <is>
          <t>Value</t>
        </is>
      </c>
      <c r="C114" s="5" t="inlineStr">
        <is>
          <t>Units</t>
        </is>
      </c>
      <c r="D114" s="5" t="inlineStr">
        <is>
          <t>Note</t>
        </is>
      </c>
    </row>
    <row r="115" ht="60" customHeight="1">
      <c r="A115" s="97" t="inlineStr">
        <is>
          <t>2025 SALT Cap</t>
        </is>
      </c>
      <c r="B115" s="177" t="n">
        <v>40000</v>
      </c>
      <c r="C115" s="12" t="inlineStr">
        <is>
          <t>USD</t>
        </is>
      </c>
      <c r="D115" s="12" t="inlineStr">
        <is>
          <t>Phase-down: max(cap - 0.30×max(MAGI-500K,0), 10000)</t>
        </is>
      </c>
    </row>
    <row r="116" ht="45" customHeight="1">
      <c r="A116" s="97" t="inlineStr">
        <is>
          <t>Reference-Year SALT Cap</t>
        </is>
      </c>
      <c r="B116" s="177" t="n">
        <v>40400</v>
      </c>
      <c r="C116" s="12" t="inlineStr">
        <is>
          <t>USD</t>
        </is>
      </c>
      <c r="D116" s="33" t="inlineStr"/>
    </row>
    <row r="117" ht="30" customHeight="1">
      <c r="A117" s="97" t="inlineStr">
        <is>
          <t>2027 SALT Cap</t>
        </is>
      </c>
      <c r="B117" s="177" t="n">
        <v>40804</v>
      </c>
      <c r="C117" s="12" t="inlineStr">
        <is>
          <t>USD</t>
        </is>
      </c>
      <c r="D117" s="33" t="inlineStr"/>
    </row>
    <row r="118" ht="45" customHeight="1">
      <c r="A118" s="97" t="inlineStr">
        <is>
          <t>Reference-Year + 2 SALT Cap</t>
        </is>
      </c>
      <c r="B118" s="177" t="n">
        <v>41212</v>
      </c>
      <c r="C118" s="12" t="inlineStr">
        <is>
          <t>USD</t>
        </is>
      </c>
      <c r="D118" s="33" t="inlineStr"/>
    </row>
    <row r="119" ht="45" customHeight="1">
      <c r="A119" s="97" t="inlineStr">
        <is>
          <t>Reference-Year + 3 SALT Cap</t>
        </is>
      </c>
      <c r="B119" s="177" t="n">
        <v>41624</v>
      </c>
      <c r="C119" s="12" t="inlineStr">
        <is>
          <t>USD</t>
        </is>
      </c>
      <c r="D119" s="33" t="inlineStr"/>
    </row>
    <row r="120" ht="45" customHeight="1">
      <c r="A120" s="97" t="inlineStr">
        <is>
          <t>Post-Schedule SALT Cap</t>
        </is>
      </c>
      <c r="B120" s="177" t="n">
        <v>10000</v>
      </c>
      <c r="C120" s="12" t="inlineStr">
        <is>
          <t>USD</t>
        </is>
      </c>
      <c r="D120" s="12" t="inlineStr">
        <is>
          <t>REVERTS to $10K — model must honor this</t>
        </is>
      </c>
    </row>
    <row r="121"/>
    <row r="122" ht="15" customHeight="1">
      <c r="A122" s="10" t="inlineStr">
        <is>
          <t>Other Statutory Parameters</t>
        </is>
      </c>
      <c r="B122" s="3" t="n"/>
      <c r="C122" s="3" t="n"/>
      <c r="D122" s="4" t="n"/>
    </row>
    <row r="123" ht="15" customHeight="1">
      <c r="A123" s="5" t="inlineStr">
        <is>
          <t>Parameter</t>
        </is>
      </c>
      <c r="B123" s="5" t="inlineStr">
        <is>
          <t>Value</t>
        </is>
      </c>
      <c r="C123" s="5" t="inlineStr">
        <is>
          <t>Units</t>
        </is>
      </c>
      <c r="D123" s="5" t="inlineStr">
        <is>
          <t>Note</t>
        </is>
      </c>
    </row>
    <row r="124" ht="30" customHeight="1">
      <c r="A124" s="97" t="inlineStr">
        <is>
          <t>§121 Exclusion (MFJ)</t>
        </is>
      </c>
      <c r="B124" s="177" t="n">
        <v>500000</v>
      </c>
      <c r="C124" s="12" t="inlineStr">
        <is>
          <t>USD</t>
        </is>
      </c>
      <c r="D124" s="12" t="inlineStr">
        <is>
          <t>Home sale gain exclusion</t>
        </is>
      </c>
    </row>
    <row r="125" ht="45" customHeight="1">
      <c r="A125" s="97" t="inlineStr">
        <is>
          <t>QCD Annual Limit (per person)</t>
        </is>
      </c>
      <c r="B125" s="177" t="n">
        <v>108000</v>
      </c>
      <c r="C125" s="12" t="inlineStr">
        <is>
          <t>USD</t>
        </is>
      </c>
      <c r="D125" s="12" t="inlineStr">
        <is>
          <t>2025, indexed</t>
        </is>
      </c>
    </row>
    <row r="126" ht="45" customHeight="1">
      <c r="A126" s="97" t="inlineStr">
        <is>
          <t>Federal Estate Exemption (MFJ)</t>
        </is>
      </c>
      <c r="B126" s="177" t="n">
        <v>30000000</v>
      </c>
      <c r="C126" s="12" t="inlineStr">
        <is>
          <t>USD</t>
        </is>
      </c>
      <c r="D126" s="12" t="inlineStr">
        <is>
          <t>Indexed from the tax reference year</t>
        </is>
      </c>
    </row>
    <row r="127" ht="45" customHeight="1">
      <c r="A127" s="97" t="inlineStr">
        <is>
          <t>IL State Estate Exemption</t>
        </is>
      </c>
      <c r="B127" s="177" t="n">
        <v>4000000</v>
      </c>
      <c r="C127" s="12" t="inlineStr">
        <is>
          <t>USD</t>
        </is>
      </c>
      <c r="D127" s="12" t="inlineStr">
        <is>
          <t>With CST doubling, cliff structure</t>
        </is>
      </c>
    </row>
    <row r="128" ht="45" customHeight="1">
      <c r="A128" s="97" t="inlineStr">
        <is>
          <t>Annual Gift-Tax Exclusion</t>
        </is>
      </c>
      <c r="B128" s="177" t="n">
        <v>19000</v>
      </c>
      <c r="C128" s="12" t="inlineStr">
        <is>
          <t>USD</t>
        </is>
      </c>
      <c r="D128" s="12" t="inlineStr">
        <is>
          <t>tax reference year, per donee</t>
        </is>
      </c>
    </row>
    <row r="129" ht="30" customHeight="1">
      <c r="A129" s="97" t="inlineStr">
        <is>
          <t>RMD Start Age</t>
        </is>
      </c>
      <c r="B129" s="176" t="n">
        <v>75</v>
      </c>
      <c r="C129" s="12" t="inlineStr">
        <is>
          <t>years</t>
        </is>
      </c>
      <c r="D129" s="12" t="inlineStr">
        <is>
          <t>SECURE 2.0 §107 — born 1960+</t>
        </is>
      </c>
    </row>
    <row r="130" ht="45" customHeight="1">
      <c r="A130" s="97" t="inlineStr">
        <is>
          <t>NIIT Rate</t>
        </is>
      </c>
      <c r="B130" s="175" t="n">
        <v>0.038</v>
      </c>
      <c r="C130" s="12" t="inlineStr">
        <is>
          <t>decimal</t>
        </is>
      </c>
      <c r="D130" s="12" t="inlineStr">
        <is>
          <t>3.8% on NII above MAGI threshold</t>
        </is>
      </c>
    </row>
    <row r="131" ht="45" customHeight="1">
      <c r="A131" s="97" t="inlineStr">
        <is>
          <t>NIIT MAGI Threshold (MFJ)</t>
        </is>
      </c>
      <c r="B131" s="177" t="n">
        <v>250000</v>
      </c>
      <c r="C131" s="12" t="inlineStr">
        <is>
          <t>USD</t>
        </is>
      </c>
      <c r="D131" s="12" t="inlineStr">
        <is>
          <t>NOT indexed</t>
        </is>
      </c>
    </row>
    <row r="132" ht="60" customHeight="1">
      <c r="A132" s="97" t="inlineStr">
        <is>
          <t>Standard Deduction MFJ — Reference Year</t>
        </is>
      </c>
      <c r="B132" s="177" t="n">
        <v>31500</v>
      </c>
      <c r="C132" s="12" t="inlineStr">
        <is>
          <t>USD</t>
        </is>
      </c>
      <c r="D132" s="12" t="inlineStr">
        <is>
          <t>+ $1,650/spouse age 65+</t>
        </is>
      </c>
    </row>
    <row r="133" ht="60" customHeight="1">
      <c r="A133" s="97" t="inlineStr">
        <is>
          <t>IRMAA Tier 2 Threshold (MFJ)</t>
        </is>
      </c>
      <c r="B133" s="177" t="n">
        <v>268000</v>
      </c>
      <c r="C133" s="12" t="inlineStr">
        <is>
          <t>USD</t>
        </is>
      </c>
      <c r="D133" s="12" t="inlineStr">
        <is>
          <t>reference-year threshold, inflated annually</t>
        </is>
      </c>
    </row>
    <row r="134"/>
    <row r="135"/>
    <row r="136" ht="15" customHeight="1">
      <c r="A136" s="13" t="inlineStr">
        <is>
          <t>Projected Target-Bracket Reference — MFJ</t>
        </is>
      </c>
      <c r="B136" s="3" t="n"/>
      <c r="C136" s="3" t="n"/>
      <c r="D136" s="3" t="n"/>
      <c r="E136" s="3" t="n"/>
      <c r="F136" s="4" t="n"/>
    </row>
    <row r="137" ht="30" customHeight="1">
      <c r="A137" s="5" t="inlineStr">
        <is>
          <t>Year</t>
        </is>
      </c>
      <c r="B137" s="5" t="inlineStr">
        <is>
          <t>Reference Bracket Top</t>
        </is>
      </c>
    </row>
    <row r="138" ht="15" customHeight="1">
      <c r="A138" s="25" t="n">
        <v>2026</v>
      </c>
      <c r="B138" s="103" t="n">
        <v>201050</v>
      </c>
    </row>
    <row r="139" ht="15" customHeight="1">
      <c r="A139" s="25" t="n">
        <v>2027</v>
      </c>
      <c r="B139" s="103" t="n">
        <v>205071</v>
      </c>
    </row>
    <row r="140" ht="15" customHeight="1">
      <c r="A140" s="25" t="n">
        <v>2028</v>
      </c>
      <c r="B140" s="103" t="n">
        <v>209172.42</v>
      </c>
    </row>
    <row r="141" ht="30" customHeight="1">
      <c r="A141" s="25" t="n">
        <v>2029</v>
      </c>
      <c r="B141" s="103" t="n">
        <v>213355.8684</v>
      </c>
    </row>
    <row r="142" ht="30" customHeight="1">
      <c r="A142" s="25" t="n">
        <v>2030</v>
      </c>
      <c r="B142" s="103" t="n">
        <v>217622.985768</v>
      </c>
    </row>
    <row r="143" ht="30" customHeight="1">
      <c r="A143" s="25" t="n">
        <v>2031</v>
      </c>
      <c r="B143" s="103" t="n">
        <v>221975.44548336</v>
      </c>
    </row>
    <row r="144" ht="30" customHeight="1">
      <c r="A144" s="25" t="n">
        <v>2032</v>
      </c>
      <c r="B144" s="103" t="n">
        <v>226414.9543930272</v>
      </c>
    </row>
    <row r="145" ht="30" customHeight="1">
      <c r="A145" s="25" t="n">
        <v>2033</v>
      </c>
      <c r="B145" s="103" t="n">
        <v>230943.2534808877</v>
      </c>
    </row>
    <row r="146" ht="30" customHeight="1">
      <c r="A146" s="25" t="n">
        <v>2034</v>
      </c>
      <c r="B146" s="103" t="n">
        <v>235562.1185505055</v>
      </c>
    </row>
    <row r="147" ht="30" customHeight="1">
      <c r="A147" s="25" t="n">
        <v>2035</v>
      </c>
      <c r="B147" s="103" t="n">
        <v>240273.3609215156</v>
      </c>
    </row>
    <row r="148" ht="30" customHeight="1">
      <c r="A148" s="25" t="n">
        <v>2036</v>
      </c>
      <c r="B148" s="103" t="n">
        <v>245078.828139946</v>
      </c>
    </row>
    <row r="149" ht="30" customHeight="1">
      <c r="A149" s="25" t="n">
        <v>2037</v>
      </c>
      <c r="B149" s="103" t="n">
        <v>249980.4047027449</v>
      </c>
    </row>
    <row r="150" ht="30" customHeight="1">
      <c r="A150" s="25" t="n">
        <v>2038</v>
      </c>
      <c r="B150" s="103" t="n">
        <v>254980.0127967998</v>
      </c>
    </row>
    <row r="151" ht="30" customHeight="1">
      <c r="A151" s="25" t="n">
        <v>2039</v>
      </c>
      <c r="B151" s="103" t="n">
        <v>260079.6130527358</v>
      </c>
    </row>
    <row r="152" ht="30" customHeight="1">
      <c r="A152" s="25" t="n">
        <v>2040</v>
      </c>
      <c r="B152" s="103" t="n">
        <v>265281.2053137905</v>
      </c>
    </row>
    <row r="153" ht="30" customHeight="1">
      <c r="A153" s="25" t="n">
        <v>2041</v>
      </c>
      <c r="B153" s="103" t="n">
        <v>270586.8294200663</v>
      </c>
    </row>
    <row r="154" ht="30" customHeight="1">
      <c r="A154" s="25" t="n">
        <v>2042</v>
      </c>
      <c r="B154" s="103" t="n">
        <v>275998.5660084676</v>
      </c>
    </row>
    <row r="155" ht="30" customHeight="1">
      <c r="A155" s="25" t="n">
        <v>2043</v>
      </c>
      <c r="B155" s="103" t="n">
        <v>281518.537328637</v>
      </c>
    </row>
    <row r="156" ht="30" customHeight="1">
      <c r="A156" s="25" t="n">
        <v>2044</v>
      </c>
      <c r="B156" s="103" t="n">
        <v>287148.9080752098</v>
      </c>
    </row>
    <row r="157" ht="30" customHeight="1">
      <c r="A157" s="25" t="n">
        <v>2045</v>
      </c>
      <c r="B157" s="103" t="n">
        <v>292891.886236714</v>
      </c>
    </row>
    <row r="158" ht="30" customHeight="1">
      <c r="A158" s="25" t="n">
        <v>2046</v>
      </c>
      <c r="B158" s="103" t="n">
        <v>298749.7239614482</v>
      </c>
    </row>
    <row r="159" ht="30" customHeight="1">
      <c r="A159" s="25" t="n">
        <v>2047</v>
      </c>
      <c r="B159" s="103" t="n">
        <v>304724.7184406772</v>
      </c>
    </row>
    <row r="160" ht="30" customHeight="1">
      <c r="A160" s="25" t="n">
        <v>2048</v>
      </c>
      <c r="B160" s="103" t="n">
        <v>310819.2128094907</v>
      </c>
    </row>
    <row r="161" ht="30" customHeight="1">
      <c r="A161" s="25" t="n">
        <v>2049</v>
      </c>
      <c r="B161" s="103" t="n">
        <v>317035.5970656806</v>
      </c>
    </row>
    <row r="162" ht="30" customHeight="1">
      <c r="A162" s="25" t="n">
        <v>2050</v>
      </c>
      <c r="B162" s="103" t="n">
        <v>323376.3090069942</v>
      </c>
    </row>
    <row r="163" ht="30" customHeight="1">
      <c r="A163" s="25" t="n">
        <v>2051</v>
      </c>
      <c r="B163" s="103" t="n">
        <v>329843.8351871341</v>
      </c>
    </row>
    <row r="164" ht="30" customHeight="1">
      <c r="A164" s="25" t="n">
        <v>2052</v>
      </c>
      <c r="B164" s="103" t="n">
        <v>336440.7118908768</v>
      </c>
    </row>
    <row r="165" ht="30" customHeight="1">
      <c r="A165" s="25" t="n">
        <v>2053</v>
      </c>
      <c r="B165" s="103" t="n">
        <v>343169.5261286943</v>
      </c>
    </row>
    <row r="166" ht="30" customHeight="1">
      <c r="A166" s="25" t="n">
        <v>2054</v>
      </c>
      <c r="B166" s="103" t="n">
        <v>350032.9166512683</v>
      </c>
    </row>
    <row r="167" ht="30" customHeight="1">
      <c r="A167" s="25" t="n">
        <v>2055</v>
      </c>
      <c r="B167" s="103" t="n">
        <v>357033.5749842936</v>
      </c>
    </row>
    <row r="168" ht="30" customHeight="1">
      <c r="A168" s="25" t="n">
        <v>2056</v>
      </c>
      <c r="B168" s="103" t="n">
        <v>364174.2464839795</v>
      </c>
    </row>
  </sheetData>
  <mergeCells count="9">
    <mergeCell ref="A103:D103"/>
    <mergeCell ref="A122:D122"/>
    <mergeCell ref="A26:D26"/>
    <mergeCell ref="A86:D86"/>
    <mergeCell ref="A136:F136"/>
    <mergeCell ref="A113:D113"/>
    <mergeCell ref="A2:D2"/>
    <mergeCell ref="A1:H1"/>
    <mergeCell ref="A13:D13"/>
  </mergeCells>
  <pageMargins left="0.75" right="0.75" top="1" bottom="1" header="0.5" footer="0.5"/>
</worksheet>
</file>

<file path=xl/worksheets/sheet26.xml><?xml version="1.0" encoding="utf-8"?>
<worksheet xmlns="http://schemas.openxmlformats.org/spreadsheetml/2006/main">
  <sheetPr>
    <tabColor rgb="00B45F06"/>
    <outlinePr summaryBelow="1" summaryRight="1"/>
    <pageSetUpPr/>
  </sheetPr>
  <dimension ref="A1:Q314"/>
  <sheetViews>
    <sheetView showGridLines="0" workbookViewId="0">
      <pane ySplit="4" topLeftCell="A5" activePane="bottomLeft" state="frozen"/>
      <selection pane="bottomLeft" activeCell="A1" sqref="A1"/>
    </sheetView>
  </sheetViews>
  <sheetFormatPr baseColWidth="8" defaultRowHeight="15"/>
  <cols>
    <col width="9.4" customWidth="1" min="1" max="1"/>
    <col width="8" customWidth="1" min="2" max="2"/>
    <col width="8" customWidth="1" min="3" max="3"/>
    <col width="8" customWidth="1" min="4" max="4"/>
    <col width="8" customWidth="1" min="5" max="5"/>
    <col width="9.4" customWidth="1" min="6" max="6"/>
    <col width="9.4" customWidth="1" min="7" max="7"/>
    <col width="9.4" customWidth="1" min="8" max="8"/>
    <col width="9.4" customWidth="1" min="9" max="9"/>
    <col width="9.4" customWidth="1" min="10" max="10"/>
    <col width="9.4" customWidth="1" min="11" max="11"/>
    <col width="9.4" customWidth="1" min="12" max="12"/>
    <col width="9.4" customWidth="1" min="13" max="13"/>
    <col width="9.4" customWidth="1" min="14" max="14"/>
    <col width="9.4" customWidth="1" min="15" max="15"/>
    <col width="9.4" customWidth="1" min="16" max="16"/>
    <col width="8" customWidth="1" min="17" max="17"/>
  </cols>
  <sheetData>
    <row r="1" ht="18" customHeight="1">
      <c r="A1" s="9" t="inlineStr">
        <is>
          <t>ACCOUNT RECONCILIATION — Account-Level Roll Forward</t>
        </is>
      </c>
    </row>
    <row r="2" ht="36" customHeight="1">
      <c r="A2" s="97" t="inlineStr">
        <is>
          <t>Formula: Opening + Deposits + Transfers In - Transfers Out + Roth Conversion In - Roth Conversion Out - Withdrawals + Growth = Ending. This sheet explains movements that do not appear as cash-flow withdrawals, such as Roth conversions and death-year rollovers.</t>
        </is>
      </c>
      <c r="B2" s="3" t="n"/>
      <c r="C2" s="3" t="n"/>
      <c r="D2" s="3" t="n"/>
      <c r="E2" s="3" t="n"/>
      <c r="F2" s="3" t="n"/>
      <c r="G2" s="3" t="n"/>
      <c r="H2" s="3" t="n"/>
      <c r="I2" s="3" t="n"/>
      <c r="J2" s="3" t="n"/>
      <c r="K2" s="3" t="n"/>
      <c r="L2" s="3" t="n"/>
      <c r="M2" s="3" t="n"/>
      <c r="N2" s="3" t="n"/>
      <c r="O2" s="3" t="n"/>
      <c r="P2" s="4" t="n"/>
    </row>
    <row r="3"/>
    <row r="4" ht="30" customHeight="1">
      <c r="A4" s="39" t="inlineStr">
        <is>
          <t>Year</t>
        </is>
      </c>
      <c r="B4" s="39" t="inlineStr">
        <is>
          <t>Account</t>
        </is>
      </c>
      <c r="C4" s="39" t="inlineStr">
        <is>
          <t>Owner</t>
        </is>
      </c>
      <c r="D4" s="39" t="inlineStr">
        <is>
          <t>Tax</t>
        </is>
      </c>
      <c r="E4" s="39" t="inlineStr">
        <is>
          <t>Type</t>
        </is>
      </c>
      <c r="F4" s="178" t="inlineStr">
        <is>
          <t>Opening</t>
        </is>
      </c>
      <c r="G4" s="23" t="inlineStr">
        <is>
          <t>Deposits</t>
        </is>
      </c>
      <c r="H4" s="23" t="inlineStr">
        <is>
          <t>Transfers In</t>
        </is>
      </c>
      <c r="I4" s="23" t="inlineStr">
        <is>
          <t>Transfers Out</t>
        </is>
      </c>
      <c r="J4" s="23" t="inlineStr">
        <is>
          <t>Roth Conv In</t>
        </is>
      </c>
      <c r="K4" s="23" t="inlineStr">
        <is>
          <t>Roth Conv Out</t>
        </is>
      </c>
      <c r="L4" s="23" t="inlineStr">
        <is>
          <t>Withdrawals</t>
        </is>
      </c>
      <c r="M4" s="23" t="inlineStr">
        <is>
          <t>Growth</t>
        </is>
      </c>
      <c r="N4" s="178" t="inlineStr">
        <is>
          <t>Calculated Ending</t>
        </is>
      </c>
      <c r="O4" s="178" t="inlineStr">
        <is>
          <t>Reported Ending</t>
        </is>
      </c>
      <c r="P4" s="178" t="inlineStr">
        <is>
          <t>Foot Delta</t>
        </is>
      </c>
      <c r="Q4" s="23" t="inlineStr">
        <is>
          <t>Notes</t>
        </is>
      </c>
    </row>
    <row r="5" ht="45" customHeight="1">
      <c r="A5" s="26" t="n">
        <v>2026</v>
      </c>
      <c r="B5" s="12" t="inlineStr">
        <is>
          <t>Business_Checking</t>
        </is>
      </c>
      <c r="C5" s="12" t="inlineStr">
        <is>
          <t>Matthew</t>
        </is>
      </c>
      <c r="D5" s="41" t="inlineStr">
        <is>
          <t>cash</t>
        </is>
      </c>
      <c r="E5" s="12" t="inlineStr">
        <is>
          <t>checking</t>
        </is>
      </c>
      <c r="F5" s="27" t="n">
        <v>5000</v>
      </c>
      <c r="G5" s="27" t="n">
        <v>0</v>
      </c>
      <c r="H5" s="27" t="n">
        <v>0</v>
      </c>
      <c r="I5" s="27" t="n">
        <v>0</v>
      </c>
      <c r="J5" s="27" t="n">
        <v>0</v>
      </c>
      <c r="K5" s="27" t="n">
        <v>0</v>
      </c>
      <c r="L5" s="27" t="n">
        <v>0</v>
      </c>
      <c r="M5" s="27" t="n">
        <v>0</v>
      </c>
      <c r="N5" s="27" t="n">
        <v>5000</v>
      </c>
      <c r="O5" s="27" t="n">
        <v>5000</v>
      </c>
      <c r="P5" s="27" t="n">
        <v>0</v>
      </c>
      <c r="Q5" s="33" t="inlineStr"/>
    </row>
    <row r="6" ht="30" customHeight="1">
      <c r="A6" s="26" t="n">
        <v>2026</v>
      </c>
      <c r="B6" s="12" t="inlineStr">
        <is>
          <t>Family_Checking</t>
        </is>
      </c>
      <c r="C6" s="12" t="inlineStr">
        <is>
          <t>Matthew</t>
        </is>
      </c>
      <c r="D6" s="41" t="inlineStr">
        <is>
          <t>cash</t>
        </is>
      </c>
      <c r="E6" s="12" t="inlineStr">
        <is>
          <t>checking</t>
        </is>
      </c>
      <c r="F6" s="27" t="n">
        <v>15000</v>
      </c>
      <c r="G6" s="27" t="n">
        <v>0</v>
      </c>
      <c r="H6" s="27" t="n">
        <v>0</v>
      </c>
      <c r="I6" s="27" t="n">
        <v>0</v>
      </c>
      <c r="J6" s="27" t="n">
        <v>0</v>
      </c>
      <c r="K6" s="27" t="n">
        <v>0</v>
      </c>
      <c r="L6" s="27" t="n">
        <v>0</v>
      </c>
      <c r="M6" s="27" t="n">
        <v>0</v>
      </c>
      <c r="N6" s="27" t="n">
        <v>15000</v>
      </c>
      <c r="O6" s="27" t="n">
        <v>15000</v>
      </c>
      <c r="P6" s="27" t="n">
        <v>0</v>
      </c>
      <c r="Q6" s="33" t="inlineStr"/>
    </row>
    <row r="7" ht="30" customHeight="1">
      <c r="A7" s="26" t="n">
        <v>2026</v>
      </c>
      <c r="B7" s="12" t="inlineStr">
        <is>
          <t>Husband_HSA</t>
        </is>
      </c>
      <c r="C7" s="12" t="inlineStr">
        <is>
          <t>Matthew</t>
        </is>
      </c>
      <c r="D7" s="41" t="inlineStr">
        <is>
          <t>hsa</t>
        </is>
      </c>
      <c r="E7" s="12" t="inlineStr">
        <is>
          <t>hsa</t>
        </is>
      </c>
      <c r="F7" s="27" t="n">
        <v>70601.79327000001</v>
      </c>
      <c r="G7" s="27" t="n">
        <v>7575</v>
      </c>
      <c r="H7" s="27" t="n">
        <v>0</v>
      </c>
      <c r="I7" s="27" t="n">
        <v>0</v>
      </c>
      <c r="J7" s="27" t="n">
        <v>0</v>
      </c>
      <c r="K7" s="27" t="n">
        <v>0</v>
      </c>
      <c r="L7" s="27" t="n">
        <v>0</v>
      </c>
      <c r="M7" s="27" t="n">
        <v>4690.6075962</v>
      </c>
      <c r="N7" s="27" t="n">
        <v>82867.40086620001</v>
      </c>
      <c r="O7" s="27" t="n">
        <v>82867.40086620001</v>
      </c>
      <c r="P7" s="27" t="n">
        <v>0</v>
      </c>
      <c r="Q7" s="12" t="inlineStr">
        <is>
          <t>deposit</t>
        </is>
      </c>
    </row>
    <row r="8" ht="30" customHeight="1">
      <c r="A8" s="26" t="n">
        <v>2026</v>
      </c>
      <c r="B8" s="12" t="inlineStr">
        <is>
          <t>Husband_401k</t>
        </is>
      </c>
      <c r="C8" s="12" t="inlineStr">
        <is>
          <t>Matthew</t>
        </is>
      </c>
      <c r="D8" s="41" t="inlineStr">
        <is>
          <t>pre_tax</t>
        </is>
      </c>
      <c r="E8" s="12" t="inlineStr">
        <is>
          <t>401k</t>
        </is>
      </c>
      <c r="F8" s="27" t="n">
        <v>13021.25</v>
      </c>
      <c r="G8" s="27" t="n">
        <v>24000</v>
      </c>
      <c r="H8" s="27" t="n">
        <v>0</v>
      </c>
      <c r="I8" s="27" t="n">
        <v>0</v>
      </c>
      <c r="J8" s="27" t="n">
        <v>0</v>
      </c>
      <c r="K8" s="27" t="n">
        <v>0</v>
      </c>
      <c r="L8" s="27" t="n">
        <v>0</v>
      </c>
      <c r="M8" s="27" t="n">
        <v>2221.275</v>
      </c>
      <c r="N8" s="27" t="n">
        <v>39242.525</v>
      </c>
      <c r="O8" s="27" t="n">
        <v>39242.525</v>
      </c>
      <c r="P8" s="27" t="n">
        <v>0</v>
      </c>
      <c r="Q8" s="12" t="inlineStr">
        <is>
          <t>deposit</t>
        </is>
      </c>
    </row>
    <row r="9" ht="30" customHeight="1">
      <c r="A9" s="26" t="n">
        <v>2026</v>
      </c>
      <c r="B9" s="12" t="inlineStr">
        <is>
          <t>Husband_IRA</t>
        </is>
      </c>
      <c r="C9" s="12" t="inlineStr">
        <is>
          <t>Matthew</t>
        </is>
      </c>
      <c r="D9" s="41" t="inlineStr">
        <is>
          <t>pre_tax</t>
        </is>
      </c>
      <c r="E9" s="12" t="inlineStr">
        <is>
          <t>traditional_ira</t>
        </is>
      </c>
      <c r="F9" s="27" t="n">
        <v>1311283.78664</v>
      </c>
      <c r="G9" s="27" t="n">
        <v>0</v>
      </c>
      <c r="H9" s="27" t="n">
        <v>0</v>
      </c>
      <c r="I9" s="27" t="n">
        <v>0</v>
      </c>
      <c r="J9" s="27" t="n">
        <v>0</v>
      </c>
      <c r="K9" s="27" t="n">
        <v>0</v>
      </c>
      <c r="L9" s="27" t="n">
        <v>0</v>
      </c>
      <c r="M9" s="27" t="n">
        <v>78677.0271984</v>
      </c>
      <c r="N9" s="27" t="n">
        <v>1389960.8138384</v>
      </c>
      <c r="O9" s="27" t="n">
        <v>1389960.8138384</v>
      </c>
      <c r="P9" s="27" t="n">
        <v>0</v>
      </c>
      <c r="Q9" s="33" t="inlineStr"/>
    </row>
    <row r="10" ht="30" customHeight="1">
      <c r="A10" s="26" t="n">
        <v>2026</v>
      </c>
      <c r="B10" s="12" t="inlineStr">
        <is>
          <t>Husband_Roth</t>
        </is>
      </c>
      <c r="C10" s="12" t="inlineStr">
        <is>
          <t>Matthew</t>
        </is>
      </c>
      <c r="D10" s="41" t="inlineStr">
        <is>
          <t>roth</t>
        </is>
      </c>
      <c r="E10" s="12" t="inlineStr">
        <is>
          <t>roth_ira</t>
        </is>
      </c>
      <c r="F10" s="27" t="n">
        <v>137412.09985</v>
      </c>
      <c r="G10" s="27" t="n">
        <v>0</v>
      </c>
      <c r="H10" s="27" t="n">
        <v>0</v>
      </c>
      <c r="I10" s="27" t="n">
        <v>0</v>
      </c>
      <c r="J10" s="27" t="n">
        <v>0</v>
      </c>
      <c r="K10" s="27" t="n">
        <v>0</v>
      </c>
      <c r="L10" s="27" t="n">
        <v>0</v>
      </c>
      <c r="M10" s="27" t="n">
        <v>8244.725991000001</v>
      </c>
      <c r="N10" s="27" t="n">
        <v>145656.825841</v>
      </c>
      <c r="O10" s="27" t="n">
        <v>145656.825841</v>
      </c>
      <c r="P10" s="27" t="n">
        <v>0</v>
      </c>
      <c r="Q10" s="33" t="inlineStr"/>
    </row>
    <row r="11" ht="30" customHeight="1">
      <c r="A11" s="26" t="n">
        <v>2026</v>
      </c>
      <c r="B11" s="12" t="inlineStr">
        <is>
          <t>Husband_Trust</t>
        </is>
      </c>
      <c r="C11" s="12" t="inlineStr">
        <is>
          <t>Matthew</t>
        </is>
      </c>
      <c r="D11" s="41" t="inlineStr">
        <is>
          <t>taxable</t>
        </is>
      </c>
      <c r="E11" s="12" t="inlineStr">
        <is>
          <t>trust</t>
        </is>
      </c>
      <c r="F11" s="27" t="n">
        <v>204048.53501</v>
      </c>
      <c r="G11" s="27" t="n">
        <v>48983.94720098929</v>
      </c>
      <c r="H11" s="27" t="n">
        <v>0</v>
      </c>
      <c r="I11" s="27" t="n">
        <v>0</v>
      </c>
      <c r="J11" s="27" t="n">
        <v>0</v>
      </c>
      <c r="K11" s="27" t="n">
        <v>0</v>
      </c>
      <c r="L11" s="27" t="n">
        <v>0</v>
      </c>
      <c r="M11" s="27" t="n">
        <v>9780.676593539512</v>
      </c>
      <c r="N11" s="27" t="n">
        <v>262813.1588045288</v>
      </c>
      <c r="O11" s="27" t="n">
        <v>262813.1588045288</v>
      </c>
      <c r="P11" s="27" t="n">
        <v>0</v>
      </c>
      <c r="Q11" s="12" t="inlineStr">
        <is>
          <t>deposit</t>
        </is>
      </c>
    </row>
    <row r="12" ht="30" customHeight="1">
      <c r="A12" s="26" t="n">
        <v>2026</v>
      </c>
      <c r="B12" s="12" t="inlineStr">
        <is>
          <t>Wife_IRA</t>
        </is>
      </c>
      <c r="C12" s="12" t="inlineStr">
        <is>
          <t>Patricia</t>
        </is>
      </c>
      <c r="D12" s="41" t="inlineStr">
        <is>
          <t>pre_tax</t>
        </is>
      </c>
      <c r="E12" s="12" t="inlineStr">
        <is>
          <t>traditional_ira</t>
        </is>
      </c>
      <c r="F12" s="27" t="n">
        <v>454861.506731</v>
      </c>
      <c r="G12" s="27" t="n">
        <v>0</v>
      </c>
      <c r="H12" s="27" t="n">
        <v>0</v>
      </c>
      <c r="I12" s="27" t="n">
        <v>0</v>
      </c>
      <c r="J12" s="27" t="n">
        <v>0</v>
      </c>
      <c r="K12" s="27" t="n">
        <v>0</v>
      </c>
      <c r="L12" s="27" t="n">
        <v>0</v>
      </c>
      <c r="M12" s="27" t="n">
        <v>27291.69040386</v>
      </c>
      <c r="N12" s="27" t="n">
        <v>482153.19713486</v>
      </c>
      <c r="O12" s="27" t="n">
        <v>482153.19713486</v>
      </c>
      <c r="P12" s="27" t="n">
        <v>0</v>
      </c>
      <c r="Q12" s="33" t="inlineStr"/>
    </row>
    <row r="13" ht="30" customHeight="1">
      <c r="A13" s="26" t="n">
        <v>2026</v>
      </c>
      <c r="B13" s="12" t="inlineStr">
        <is>
          <t>Wife_Roth</t>
        </is>
      </c>
      <c r="C13" s="12" t="inlineStr">
        <is>
          <t>Patricia</t>
        </is>
      </c>
      <c r="D13" s="41" t="inlineStr">
        <is>
          <t>roth</t>
        </is>
      </c>
      <c r="E13" s="12" t="inlineStr">
        <is>
          <t>roth_ira</t>
        </is>
      </c>
      <c r="F13" s="27" t="n">
        <v>203932.259643</v>
      </c>
      <c r="G13" s="27" t="n">
        <v>0</v>
      </c>
      <c r="H13" s="27" t="n">
        <v>0</v>
      </c>
      <c r="I13" s="27" t="n">
        <v>0</v>
      </c>
      <c r="J13" s="27" t="n">
        <v>0</v>
      </c>
      <c r="K13" s="27" t="n">
        <v>0</v>
      </c>
      <c r="L13" s="27" t="n">
        <v>0</v>
      </c>
      <c r="M13" s="27" t="n">
        <v>12235.93557858</v>
      </c>
      <c r="N13" s="27" t="n">
        <v>216168.19522158</v>
      </c>
      <c r="O13" s="27" t="n">
        <v>216168.19522158</v>
      </c>
      <c r="P13" s="27" t="n">
        <v>0</v>
      </c>
      <c r="Q13" s="33" t="inlineStr"/>
    </row>
    <row r="14" ht="30" customHeight="1">
      <c r="A14" s="26" t="n">
        <v>2026</v>
      </c>
      <c r="B14" s="12" t="inlineStr">
        <is>
          <t>Wife_Trust</t>
        </is>
      </c>
      <c r="C14" s="12" t="inlineStr">
        <is>
          <t>Patricia</t>
        </is>
      </c>
      <c r="D14" s="41" t="inlineStr">
        <is>
          <t>taxable</t>
        </is>
      </c>
      <c r="E14" s="12" t="inlineStr">
        <is>
          <t>trust</t>
        </is>
      </c>
      <c r="F14" s="27" t="n">
        <v>326446.735616</v>
      </c>
      <c r="G14" s="27" t="n">
        <v>0</v>
      </c>
      <c r="H14" s="27" t="n">
        <v>0</v>
      </c>
      <c r="I14" s="27" t="n">
        <v>0</v>
      </c>
      <c r="J14" s="27" t="n">
        <v>0</v>
      </c>
      <c r="K14" s="27" t="n">
        <v>0</v>
      </c>
      <c r="L14" s="27" t="n">
        <v>0</v>
      </c>
      <c r="M14" s="27" t="n">
        <v>13756.63138976</v>
      </c>
      <c r="N14" s="27" t="n">
        <v>340203.36700576</v>
      </c>
      <c r="O14" s="27" t="n">
        <v>340203.36700576</v>
      </c>
      <c r="P14" s="27" t="n">
        <v>0</v>
      </c>
      <c r="Q14" s="33" t="inlineStr"/>
    </row>
    <row r="15" ht="45" customHeight="1">
      <c r="A15" s="26" t="n">
        <v>2027</v>
      </c>
      <c r="B15" s="12" t="inlineStr">
        <is>
          <t>Business_Checking</t>
        </is>
      </c>
      <c r="C15" s="12" t="inlineStr">
        <is>
          <t>Matthew</t>
        </is>
      </c>
      <c r="D15" s="41" t="inlineStr">
        <is>
          <t>cash</t>
        </is>
      </c>
      <c r="E15" s="12" t="inlineStr">
        <is>
          <t>checking</t>
        </is>
      </c>
      <c r="F15" s="27" t="n">
        <v>5000</v>
      </c>
      <c r="G15" s="27" t="n">
        <v>0</v>
      </c>
      <c r="H15" s="27" t="n">
        <v>0</v>
      </c>
      <c r="I15" s="27" t="n">
        <v>0</v>
      </c>
      <c r="J15" s="27" t="n">
        <v>0</v>
      </c>
      <c r="K15" s="27" t="n">
        <v>0</v>
      </c>
      <c r="L15" s="27" t="n">
        <v>0</v>
      </c>
      <c r="M15" s="27" t="n">
        <v>0</v>
      </c>
      <c r="N15" s="27" t="n">
        <v>5000</v>
      </c>
      <c r="O15" s="27" t="n">
        <v>5000</v>
      </c>
      <c r="P15" s="27" t="n">
        <v>0</v>
      </c>
      <c r="Q15" s="33" t="inlineStr"/>
    </row>
    <row r="16" ht="30" customHeight="1">
      <c r="A16" s="26" t="n">
        <v>2027</v>
      </c>
      <c r="B16" s="12" t="inlineStr">
        <is>
          <t>Family_Checking</t>
        </is>
      </c>
      <c r="C16" s="12" t="inlineStr">
        <is>
          <t>Matthew</t>
        </is>
      </c>
      <c r="D16" s="41" t="inlineStr">
        <is>
          <t>cash</t>
        </is>
      </c>
      <c r="E16" s="12" t="inlineStr">
        <is>
          <t>checking</t>
        </is>
      </c>
      <c r="F16" s="27" t="n">
        <v>15000</v>
      </c>
      <c r="G16" s="27" t="n">
        <v>0</v>
      </c>
      <c r="H16" s="27" t="n">
        <v>0</v>
      </c>
      <c r="I16" s="27" t="n">
        <v>0</v>
      </c>
      <c r="J16" s="27" t="n">
        <v>0</v>
      </c>
      <c r="K16" s="27" t="n">
        <v>0</v>
      </c>
      <c r="L16" s="27" t="n">
        <v>0</v>
      </c>
      <c r="M16" s="27" t="n">
        <v>0</v>
      </c>
      <c r="N16" s="27" t="n">
        <v>15000</v>
      </c>
      <c r="O16" s="27" t="n">
        <v>15000</v>
      </c>
      <c r="P16" s="27" t="n">
        <v>0</v>
      </c>
      <c r="Q16" s="33" t="inlineStr"/>
    </row>
    <row r="17" ht="30" customHeight="1">
      <c r="A17" s="26" t="n">
        <v>2027</v>
      </c>
      <c r="B17" s="12" t="inlineStr">
        <is>
          <t>Husband_HSA</t>
        </is>
      </c>
      <c r="C17" s="12" t="inlineStr">
        <is>
          <t>Matthew</t>
        </is>
      </c>
      <c r="D17" s="41" t="inlineStr">
        <is>
          <t>hsa</t>
        </is>
      </c>
      <c r="E17" s="12" t="inlineStr">
        <is>
          <t>hsa</t>
        </is>
      </c>
      <c r="F17" s="27" t="n">
        <v>82867.40086620001</v>
      </c>
      <c r="G17" s="27" t="n">
        <v>0</v>
      </c>
      <c r="H17" s="27" t="n">
        <v>0</v>
      </c>
      <c r="I17" s="27" t="n">
        <v>0</v>
      </c>
      <c r="J17" s="27" t="n">
        <v>0</v>
      </c>
      <c r="K17" s="27" t="n">
        <v>0</v>
      </c>
      <c r="L17" s="27" t="n">
        <v>0</v>
      </c>
      <c r="M17" s="27" t="n">
        <v>4972.044051972</v>
      </c>
      <c r="N17" s="27" t="n">
        <v>87839.44491817201</v>
      </c>
      <c r="O17" s="27" t="n">
        <v>87839.44491817201</v>
      </c>
      <c r="P17" s="27" t="n">
        <v>0</v>
      </c>
      <c r="Q17" s="33" t="inlineStr"/>
    </row>
    <row r="18" ht="30" customHeight="1">
      <c r="A18" s="26" t="n">
        <v>2027</v>
      </c>
      <c r="B18" s="12" t="inlineStr">
        <is>
          <t>Husband_401k</t>
        </is>
      </c>
      <c r="C18" s="12" t="inlineStr">
        <is>
          <t>Matthew</t>
        </is>
      </c>
      <c r="D18" s="41" t="inlineStr">
        <is>
          <t>pre_tax</t>
        </is>
      </c>
      <c r="E18" s="12" t="inlineStr">
        <is>
          <t>401k</t>
        </is>
      </c>
      <c r="F18" s="27" t="n">
        <v>39242.525</v>
      </c>
      <c r="G18" s="27" t="n">
        <v>0</v>
      </c>
      <c r="H18" s="27" t="n">
        <v>0</v>
      </c>
      <c r="I18" s="27" t="n">
        <v>0</v>
      </c>
      <c r="J18" s="27" t="n">
        <v>0</v>
      </c>
      <c r="K18" s="27" t="n">
        <v>0</v>
      </c>
      <c r="L18" s="27" t="n">
        <v>1311.541998449909</v>
      </c>
      <c r="M18" s="27" t="n">
        <v>2275.858980093005</v>
      </c>
      <c r="N18" s="27" t="n">
        <v>40206.8419816431</v>
      </c>
      <c r="O18" s="27" t="n">
        <v>40206.8419816431</v>
      </c>
      <c r="P18" s="27" t="n">
        <v>0</v>
      </c>
      <c r="Q18" s="12" t="inlineStr">
        <is>
          <t>withdrawal</t>
        </is>
      </c>
    </row>
    <row r="19" ht="30" customHeight="1">
      <c r="A19" s="26" t="n">
        <v>2027</v>
      </c>
      <c r="B19" s="12" t="inlineStr">
        <is>
          <t>Husband_IRA</t>
        </is>
      </c>
      <c r="C19" s="12" t="inlineStr">
        <is>
          <t>Matthew</t>
        </is>
      </c>
      <c r="D19" s="41" t="inlineStr">
        <is>
          <t>pre_tax</t>
        </is>
      </c>
      <c r="E19" s="12" t="inlineStr">
        <is>
          <t>traditional_ira</t>
        </is>
      </c>
      <c r="F19" s="27" t="n">
        <v>1389960.8138384</v>
      </c>
      <c r="G19" s="27" t="n">
        <v>0</v>
      </c>
      <c r="H19" s="27" t="n">
        <v>0</v>
      </c>
      <c r="I19" s="27" t="n">
        <v>0</v>
      </c>
      <c r="J19" s="27" t="n">
        <v>0</v>
      </c>
      <c r="K19" s="27" t="n">
        <v>0</v>
      </c>
      <c r="L19" s="27" t="n">
        <v>46454.50269952497</v>
      </c>
      <c r="M19" s="27" t="n">
        <v>80610.3786683325</v>
      </c>
      <c r="N19" s="27" t="n">
        <v>1424116.689807208</v>
      </c>
      <c r="O19" s="27" t="n">
        <v>1424116.689807208</v>
      </c>
      <c r="P19" s="27" t="n">
        <v>0</v>
      </c>
      <c r="Q19" s="12" t="inlineStr">
        <is>
          <t>withdrawal</t>
        </is>
      </c>
    </row>
    <row r="20" ht="30" customHeight="1">
      <c r="A20" s="26" t="n">
        <v>2027</v>
      </c>
      <c r="B20" s="12" t="inlineStr">
        <is>
          <t>Husband_Roth</t>
        </is>
      </c>
      <c r="C20" s="12" t="inlineStr">
        <is>
          <t>Matthew</t>
        </is>
      </c>
      <c r="D20" s="41" t="inlineStr">
        <is>
          <t>roth</t>
        </is>
      </c>
      <c r="E20" s="12" t="inlineStr">
        <is>
          <t>roth_ira</t>
        </is>
      </c>
      <c r="F20" s="27" t="n">
        <v>145656.825841</v>
      </c>
      <c r="G20" s="27" t="n">
        <v>0</v>
      </c>
      <c r="H20" s="27" t="n">
        <v>0</v>
      </c>
      <c r="I20" s="27" t="n">
        <v>0</v>
      </c>
      <c r="J20" s="27" t="n">
        <v>0</v>
      </c>
      <c r="K20" s="27" t="n">
        <v>0</v>
      </c>
      <c r="L20" s="27" t="n">
        <v>0</v>
      </c>
      <c r="M20" s="27" t="n">
        <v>8739.409550460003</v>
      </c>
      <c r="N20" s="27" t="n">
        <v>154396.23539146</v>
      </c>
      <c r="O20" s="27" t="n">
        <v>154396.23539146</v>
      </c>
      <c r="P20" s="27" t="n">
        <v>0</v>
      </c>
      <c r="Q20" s="33" t="inlineStr"/>
    </row>
    <row r="21" ht="30" customHeight="1">
      <c r="A21" s="26" t="n">
        <v>2027</v>
      </c>
      <c r="B21" s="12" t="inlineStr">
        <is>
          <t>Husband_Trust</t>
        </is>
      </c>
      <c r="C21" s="12" t="inlineStr">
        <is>
          <t>Matthew</t>
        </is>
      </c>
      <c r="D21" s="41" t="inlineStr">
        <is>
          <t>taxable</t>
        </is>
      </c>
      <c r="E21" s="12" t="inlineStr">
        <is>
          <t>trust</t>
        </is>
      </c>
      <c r="F21" s="27" t="n">
        <v>262813.1588045288</v>
      </c>
      <c r="G21" s="27" t="n">
        <v>0</v>
      </c>
      <c r="H21" s="27" t="n">
        <v>0</v>
      </c>
      <c r="I21" s="27" t="n">
        <v>0</v>
      </c>
      <c r="J21" s="27" t="n">
        <v>0</v>
      </c>
      <c r="K21" s="27" t="n">
        <v>0</v>
      </c>
      <c r="L21" s="27" t="n">
        <v>123299.1684706848</v>
      </c>
      <c r="M21" s="27" t="n">
        <v>5392.751190701725</v>
      </c>
      <c r="N21" s="27" t="n">
        <v>144906.7415245457</v>
      </c>
      <c r="O21" s="27" t="n">
        <v>144906.7415245457</v>
      </c>
      <c r="P21" s="27" t="n">
        <v>-2.91038304567337e-11</v>
      </c>
      <c r="Q21" s="12" t="inlineStr">
        <is>
          <t>withdrawal</t>
        </is>
      </c>
    </row>
    <row r="22" ht="60" customHeight="1">
      <c r="A22" s="26" t="n">
        <v>2027</v>
      </c>
      <c r="B22" s="12" t="inlineStr">
        <is>
          <t>Wife_IRA</t>
        </is>
      </c>
      <c r="C22" s="12" t="inlineStr">
        <is>
          <t>Patricia</t>
        </is>
      </c>
      <c r="D22" s="41" t="inlineStr">
        <is>
          <t>pre_tax</t>
        </is>
      </c>
      <c r="E22" s="12" t="inlineStr">
        <is>
          <t>traditional_ira</t>
        </is>
      </c>
      <c r="F22" s="27" t="n">
        <v>482153.19713486</v>
      </c>
      <c r="G22" s="27" t="n">
        <v>0</v>
      </c>
      <c r="H22" s="27" t="n">
        <v>0</v>
      </c>
      <c r="I22" s="27" t="n">
        <v>0</v>
      </c>
      <c r="J22" s="27" t="n">
        <v>0</v>
      </c>
      <c r="K22" s="27" t="n">
        <v>166688.7685639524</v>
      </c>
      <c r="L22" s="27" t="n">
        <v>10543.27791312477</v>
      </c>
      <c r="M22" s="27" t="n">
        <v>18295.26903946697</v>
      </c>
      <c r="N22" s="27" t="n">
        <v>323216.4196972499</v>
      </c>
      <c r="O22" s="27" t="n">
        <v>323216.4196972499</v>
      </c>
      <c r="P22" s="27" t="n">
        <v>0</v>
      </c>
      <c r="Q22" s="12" t="inlineStr">
        <is>
          <t>Roth conversion; withdrawal</t>
        </is>
      </c>
    </row>
    <row r="23" ht="30" customHeight="1">
      <c r="A23" s="26" t="n">
        <v>2027</v>
      </c>
      <c r="B23" s="12" t="inlineStr">
        <is>
          <t>Wife_Roth</t>
        </is>
      </c>
      <c r="C23" s="12" t="inlineStr">
        <is>
          <t>Patricia</t>
        </is>
      </c>
      <c r="D23" s="41" t="inlineStr">
        <is>
          <t>roth</t>
        </is>
      </c>
      <c r="E23" s="12" t="inlineStr">
        <is>
          <t>roth_ira</t>
        </is>
      </c>
      <c r="F23" s="27" t="n">
        <v>216168.19522158</v>
      </c>
      <c r="G23" s="27" t="n">
        <v>0</v>
      </c>
      <c r="H23" s="27" t="n">
        <v>0</v>
      </c>
      <c r="I23" s="27" t="n">
        <v>0</v>
      </c>
      <c r="J23" s="27" t="n">
        <v>166688.7685639524</v>
      </c>
      <c r="K23" s="27" t="n">
        <v>0</v>
      </c>
      <c r="L23" s="27" t="n">
        <v>0</v>
      </c>
      <c r="M23" s="27" t="n">
        <v>22971.41782713194</v>
      </c>
      <c r="N23" s="27" t="n">
        <v>405828.3816126643</v>
      </c>
      <c r="O23" s="27" t="n">
        <v>405828.3816126643</v>
      </c>
      <c r="P23" s="27" t="n">
        <v>0</v>
      </c>
      <c r="Q23" s="12" t="inlineStr">
        <is>
          <t>Roth conversion</t>
        </is>
      </c>
    </row>
    <row r="24" ht="30" customHeight="1">
      <c r="A24" s="26" t="n">
        <v>2027</v>
      </c>
      <c r="B24" s="12" t="inlineStr">
        <is>
          <t>Wife_Trust</t>
        </is>
      </c>
      <c r="C24" s="12" t="inlineStr">
        <is>
          <t>Patricia</t>
        </is>
      </c>
      <c r="D24" s="41" t="inlineStr">
        <is>
          <t>taxable</t>
        </is>
      </c>
      <c r="E24" s="12" t="inlineStr">
        <is>
          <t>trust</t>
        </is>
      </c>
      <c r="F24" s="27" t="n">
        <v>340203.36700576</v>
      </c>
      <c r="G24" s="27" t="n">
        <v>0</v>
      </c>
      <c r="H24" s="27" t="n">
        <v>0</v>
      </c>
      <c r="I24" s="27" t="n">
        <v>0</v>
      </c>
      <c r="J24" s="27" t="n">
        <v>0</v>
      </c>
      <c r="K24" s="27" t="n">
        <v>0</v>
      </c>
      <c r="L24" s="27" t="n">
        <v>159606.8950791614</v>
      </c>
      <c r="M24" s="27" t="n">
        <v>7610.42713414589</v>
      </c>
      <c r="N24" s="27" t="n">
        <v>188206.8990607444</v>
      </c>
      <c r="O24" s="27" t="n">
        <v>188206.8990607444</v>
      </c>
      <c r="P24" s="27" t="n">
        <v>0</v>
      </c>
      <c r="Q24" s="12" t="inlineStr">
        <is>
          <t>withdrawal</t>
        </is>
      </c>
    </row>
    <row r="25" ht="45" customHeight="1">
      <c r="A25" s="26" t="n">
        <v>2028</v>
      </c>
      <c r="B25" s="12" t="inlineStr">
        <is>
          <t>Business_Checking</t>
        </is>
      </c>
      <c r="C25" s="12" t="inlineStr">
        <is>
          <t>Matthew</t>
        </is>
      </c>
      <c r="D25" s="41" t="inlineStr">
        <is>
          <t>cash</t>
        </is>
      </c>
      <c r="E25" s="12" t="inlineStr">
        <is>
          <t>checking</t>
        </is>
      </c>
      <c r="F25" s="27" t="n">
        <v>5000</v>
      </c>
      <c r="G25" s="27" t="n">
        <v>0</v>
      </c>
      <c r="H25" s="27" t="n">
        <v>0</v>
      </c>
      <c r="I25" s="27" t="n">
        <v>0</v>
      </c>
      <c r="J25" s="27" t="n">
        <v>0</v>
      </c>
      <c r="K25" s="27" t="n">
        <v>0</v>
      </c>
      <c r="L25" s="27" t="n">
        <v>0</v>
      </c>
      <c r="M25" s="27" t="n">
        <v>0</v>
      </c>
      <c r="N25" s="27" t="n">
        <v>5000</v>
      </c>
      <c r="O25" s="27" t="n">
        <v>5000</v>
      </c>
      <c r="P25" s="27" t="n">
        <v>0</v>
      </c>
      <c r="Q25" s="33" t="inlineStr"/>
    </row>
    <row r="26" ht="30" customHeight="1">
      <c r="A26" s="26" t="n">
        <v>2028</v>
      </c>
      <c r="B26" s="12" t="inlineStr">
        <is>
          <t>Family_Checking</t>
        </is>
      </c>
      <c r="C26" s="12" t="inlineStr">
        <is>
          <t>Matthew</t>
        </is>
      </c>
      <c r="D26" s="41" t="inlineStr">
        <is>
          <t>cash</t>
        </is>
      </c>
      <c r="E26" s="12" t="inlineStr">
        <is>
          <t>checking</t>
        </is>
      </c>
      <c r="F26" s="27" t="n">
        <v>15000</v>
      </c>
      <c r="G26" s="27" t="n">
        <v>0</v>
      </c>
      <c r="H26" s="27" t="n">
        <v>0</v>
      </c>
      <c r="I26" s="27" t="n">
        <v>0</v>
      </c>
      <c r="J26" s="27" t="n">
        <v>0</v>
      </c>
      <c r="K26" s="27" t="n">
        <v>0</v>
      </c>
      <c r="L26" s="27" t="n">
        <v>0</v>
      </c>
      <c r="M26" s="27" t="n">
        <v>0</v>
      </c>
      <c r="N26" s="27" t="n">
        <v>15000</v>
      </c>
      <c r="O26" s="27" t="n">
        <v>15000</v>
      </c>
      <c r="P26" s="27" t="n">
        <v>0</v>
      </c>
      <c r="Q26" s="33" t="inlineStr"/>
    </row>
    <row r="27" ht="30" customHeight="1">
      <c r="A27" s="26" t="n">
        <v>2028</v>
      </c>
      <c r="B27" s="12" t="inlineStr">
        <is>
          <t>Husband_HSA</t>
        </is>
      </c>
      <c r="C27" s="12" t="inlineStr">
        <is>
          <t>Matthew</t>
        </is>
      </c>
      <c r="D27" s="41" t="inlineStr">
        <is>
          <t>hsa</t>
        </is>
      </c>
      <c r="E27" s="12" t="inlineStr">
        <is>
          <t>hsa</t>
        </is>
      </c>
      <c r="F27" s="27" t="n">
        <v>87839.44491817201</v>
      </c>
      <c r="G27" s="27" t="n">
        <v>0</v>
      </c>
      <c r="H27" s="27" t="n">
        <v>0</v>
      </c>
      <c r="I27" s="27" t="n">
        <v>0</v>
      </c>
      <c r="J27" s="27" t="n">
        <v>0</v>
      </c>
      <c r="K27" s="27" t="n">
        <v>0</v>
      </c>
      <c r="L27" s="27" t="n">
        <v>0</v>
      </c>
      <c r="M27" s="27" t="n">
        <v>5270.366695090321</v>
      </c>
      <c r="N27" s="27" t="n">
        <v>93109.81161326234</v>
      </c>
      <c r="O27" s="27" t="n">
        <v>93109.81161326234</v>
      </c>
      <c r="P27" s="27" t="n">
        <v>0</v>
      </c>
      <c r="Q27" s="33" t="inlineStr"/>
    </row>
    <row r="28" ht="30" customHeight="1">
      <c r="A28" s="26" t="n">
        <v>2028</v>
      </c>
      <c r="B28" s="12" t="inlineStr">
        <is>
          <t>Husband_401k</t>
        </is>
      </c>
      <c r="C28" s="12" t="inlineStr">
        <is>
          <t>Matthew</t>
        </is>
      </c>
      <c r="D28" s="41" t="inlineStr">
        <is>
          <t>pre_tax</t>
        </is>
      </c>
      <c r="E28" s="12" t="inlineStr">
        <is>
          <t>401k</t>
        </is>
      </c>
      <c r="F28" s="27" t="n">
        <v>40206.8419816431</v>
      </c>
      <c r="G28" s="27" t="n">
        <v>0</v>
      </c>
      <c r="H28" s="27" t="n">
        <v>0</v>
      </c>
      <c r="I28" s="27" t="n">
        <v>0</v>
      </c>
      <c r="J28" s="27" t="n">
        <v>0</v>
      </c>
      <c r="K28" s="27" t="n">
        <v>0</v>
      </c>
      <c r="L28" s="27" t="n">
        <v>1463.283983680852</v>
      </c>
      <c r="M28" s="27" t="n">
        <v>2324.613479877735</v>
      </c>
      <c r="N28" s="27" t="n">
        <v>41068.17147783998</v>
      </c>
      <c r="O28" s="27" t="n">
        <v>41068.17147783998</v>
      </c>
      <c r="P28" s="27" t="n">
        <v>0</v>
      </c>
      <c r="Q28" s="12" t="inlineStr">
        <is>
          <t>withdrawal</t>
        </is>
      </c>
    </row>
    <row r="29" ht="30" customHeight="1">
      <c r="A29" s="26" t="n">
        <v>2028</v>
      </c>
      <c r="B29" s="12" t="inlineStr">
        <is>
          <t>Husband_IRA</t>
        </is>
      </c>
      <c r="C29" s="12" t="inlineStr">
        <is>
          <t>Matthew</t>
        </is>
      </c>
      <c r="D29" s="41" t="inlineStr">
        <is>
          <t>pre_tax</t>
        </is>
      </c>
      <c r="E29" s="12" t="inlineStr">
        <is>
          <t>traditional_ira</t>
        </is>
      </c>
      <c r="F29" s="27" t="n">
        <v>1424116.689807208</v>
      </c>
      <c r="G29" s="27" t="n">
        <v>0</v>
      </c>
      <c r="H29" s="27" t="n">
        <v>0</v>
      </c>
      <c r="I29" s="27" t="n">
        <v>0</v>
      </c>
      <c r="J29" s="27" t="n">
        <v>0</v>
      </c>
      <c r="K29" s="27" t="n">
        <v>0</v>
      </c>
      <c r="L29" s="27" t="n">
        <v>51829.16738496653</v>
      </c>
      <c r="M29" s="27" t="n">
        <v>82337.25134533446</v>
      </c>
      <c r="N29" s="27" t="n">
        <v>1454624.773767576</v>
      </c>
      <c r="O29" s="27" t="n">
        <v>1454624.773767576</v>
      </c>
      <c r="P29" s="27" t="n">
        <v>0</v>
      </c>
      <c r="Q29" s="12" t="inlineStr">
        <is>
          <t>withdrawal</t>
        </is>
      </c>
    </row>
    <row r="30" ht="30" customHeight="1">
      <c r="A30" s="26" t="n">
        <v>2028</v>
      </c>
      <c r="B30" s="12" t="inlineStr">
        <is>
          <t>Husband_Roth</t>
        </is>
      </c>
      <c r="C30" s="12" t="inlineStr">
        <is>
          <t>Matthew</t>
        </is>
      </c>
      <c r="D30" s="41" t="inlineStr">
        <is>
          <t>roth</t>
        </is>
      </c>
      <c r="E30" s="12" t="inlineStr">
        <is>
          <t>roth_ira</t>
        </is>
      </c>
      <c r="F30" s="27" t="n">
        <v>154396.23539146</v>
      </c>
      <c r="G30" s="27" t="n">
        <v>0</v>
      </c>
      <c r="H30" s="27" t="n">
        <v>0</v>
      </c>
      <c r="I30" s="27" t="n">
        <v>0</v>
      </c>
      <c r="J30" s="27" t="n">
        <v>0</v>
      </c>
      <c r="K30" s="27" t="n">
        <v>0</v>
      </c>
      <c r="L30" s="27" t="n">
        <v>0</v>
      </c>
      <c r="M30" s="27" t="n">
        <v>9263.774123487601</v>
      </c>
      <c r="N30" s="27" t="n">
        <v>163660.0095149477</v>
      </c>
      <c r="O30" s="27" t="n">
        <v>163660.0095149477</v>
      </c>
      <c r="P30" s="27" t="n">
        <v>0</v>
      </c>
      <c r="Q30" s="33" t="inlineStr"/>
    </row>
    <row r="31" ht="30" customHeight="1">
      <c r="A31" s="26" t="n">
        <v>2028</v>
      </c>
      <c r="B31" s="12" t="inlineStr">
        <is>
          <t>Husband_Trust</t>
        </is>
      </c>
      <c r="C31" s="12" t="inlineStr">
        <is>
          <t>Matthew</t>
        </is>
      </c>
      <c r="D31" s="41" t="inlineStr">
        <is>
          <t>taxable</t>
        </is>
      </c>
      <c r="E31" s="12" t="inlineStr">
        <is>
          <t>trust</t>
        </is>
      </c>
      <c r="F31" s="27" t="n">
        <v>144906.7415245457</v>
      </c>
      <c r="G31" s="27" t="n">
        <v>0</v>
      </c>
      <c r="H31" s="27" t="n">
        <v>0</v>
      </c>
      <c r="I31" s="27" t="n">
        <v>0</v>
      </c>
      <c r="J31" s="27" t="n">
        <v>0</v>
      </c>
      <c r="K31" s="27" t="n">
        <v>0</v>
      </c>
      <c r="L31" s="27" t="n">
        <v>98832.65316630552</v>
      </c>
      <c r="M31" s="27" t="n">
        <v>1780.940350568714</v>
      </c>
      <c r="N31" s="27" t="n">
        <v>47855.0287088089</v>
      </c>
      <c r="O31" s="27" t="n">
        <v>47855.0287088089</v>
      </c>
      <c r="P31" s="27" t="n">
        <v>0</v>
      </c>
      <c r="Q31" s="12" t="inlineStr">
        <is>
          <t>withdrawal</t>
        </is>
      </c>
    </row>
    <row r="32" ht="60" customHeight="1">
      <c r="A32" s="26" t="n">
        <v>2028</v>
      </c>
      <c r="B32" s="12" t="inlineStr">
        <is>
          <t>Wife_IRA</t>
        </is>
      </c>
      <c r="C32" s="12" t="inlineStr">
        <is>
          <t>Patricia</t>
        </is>
      </c>
      <c r="D32" s="41" t="inlineStr">
        <is>
          <t>pre_tax</t>
        </is>
      </c>
      <c r="E32" s="12" t="inlineStr">
        <is>
          <t>traditional_ira</t>
        </is>
      </c>
      <c r="F32" s="27" t="n">
        <v>323216.4196972499</v>
      </c>
      <c r="G32" s="27" t="n">
        <v>0</v>
      </c>
      <c r="H32" s="27" t="n">
        <v>0</v>
      </c>
      <c r="I32" s="27" t="n">
        <v>0</v>
      </c>
      <c r="J32" s="27" t="n">
        <v>0</v>
      </c>
      <c r="K32" s="27" t="n">
        <v>153323.764051365</v>
      </c>
      <c r="L32" s="27" t="n">
        <v>6183.057153932444</v>
      </c>
      <c r="M32" s="27" t="n">
        <v>9822.575909517145</v>
      </c>
      <c r="N32" s="27" t="n">
        <v>173532.1744014696</v>
      </c>
      <c r="O32" s="27" t="n">
        <v>173532.1744014696</v>
      </c>
      <c r="P32" s="27" t="n">
        <v>0</v>
      </c>
      <c r="Q32" s="12" t="inlineStr">
        <is>
          <t>Roth conversion; withdrawal</t>
        </is>
      </c>
    </row>
    <row r="33" ht="30" customHeight="1">
      <c r="A33" s="26" t="n">
        <v>2028</v>
      </c>
      <c r="B33" s="12" t="inlineStr">
        <is>
          <t>Wife_Roth</t>
        </is>
      </c>
      <c r="C33" s="12" t="inlineStr">
        <is>
          <t>Patricia</t>
        </is>
      </c>
      <c r="D33" s="41" t="inlineStr">
        <is>
          <t>roth</t>
        </is>
      </c>
      <c r="E33" s="12" t="inlineStr">
        <is>
          <t>roth_ira</t>
        </is>
      </c>
      <c r="F33" s="27" t="n">
        <v>405828.3816126643</v>
      </c>
      <c r="G33" s="27" t="n">
        <v>0</v>
      </c>
      <c r="H33" s="27" t="n">
        <v>0</v>
      </c>
      <c r="I33" s="27" t="n">
        <v>0</v>
      </c>
      <c r="J33" s="27" t="n">
        <v>153323.764051365</v>
      </c>
      <c r="K33" s="27" t="n">
        <v>0</v>
      </c>
      <c r="L33" s="27" t="n">
        <v>0</v>
      </c>
      <c r="M33" s="27" t="n">
        <v>33549.12873984176</v>
      </c>
      <c r="N33" s="27" t="n">
        <v>592701.274403871</v>
      </c>
      <c r="O33" s="27" t="n">
        <v>592701.274403871</v>
      </c>
      <c r="P33" s="27" t="n">
        <v>0</v>
      </c>
      <c r="Q33" s="12" t="inlineStr">
        <is>
          <t>Roth conversion</t>
        </is>
      </c>
    </row>
    <row r="34" ht="30" customHeight="1">
      <c r="A34" s="26" t="n">
        <v>2028</v>
      </c>
      <c r="B34" s="12" t="inlineStr">
        <is>
          <t>Wife_Trust</t>
        </is>
      </c>
      <c r="C34" s="12" t="inlineStr">
        <is>
          <t>Patricia</t>
        </is>
      </c>
      <c r="D34" s="41" t="inlineStr">
        <is>
          <t>taxable</t>
        </is>
      </c>
      <c r="E34" s="12" t="inlineStr">
        <is>
          <t>trust</t>
        </is>
      </c>
      <c r="F34" s="27" t="n">
        <v>188206.8990607444</v>
      </c>
      <c r="G34" s="27" t="n">
        <v>0</v>
      </c>
      <c r="H34" s="27" t="n">
        <v>0</v>
      </c>
      <c r="I34" s="27" t="n">
        <v>0</v>
      </c>
      <c r="J34" s="27" t="n">
        <v>0</v>
      </c>
      <c r="K34" s="27" t="n">
        <v>0</v>
      </c>
      <c r="L34" s="27" t="n">
        <v>128365.2298207645</v>
      </c>
      <c r="M34" s="27" t="n">
        <v>2521.758362597622</v>
      </c>
      <c r="N34" s="27" t="n">
        <v>62363.42760257755</v>
      </c>
      <c r="O34" s="27" t="n">
        <v>62363.42760257755</v>
      </c>
      <c r="P34" s="27" t="n">
        <v>0</v>
      </c>
      <c r="Q34" s="12" t="inlineStr">
        <is>
          <t>withdrawal</t>
        </is>
      </c>
    </row>
    <row r="35" ht="45" customHeight="1">
      <c r="A35" s="26" t="n">
        <v>2029</v>
      </c>
      <c r="B35" s="12" t="inlineStr">
        <is>
          <t>Business_Checking</t>
        </is>
      </c>
      <c r="C35" s="12" t="inlineStr">
        <is>
          <t>Matthew</t>
        </is>
      </c>
      <c r="D35" s="41" t="inlineStr">
        <is>
          <t>cash</t>
        </is>
      </c>
      <c r="E35" s="12" t="inlineStr">
        <is>
          <t>checking</t>
        </is>
      </c>
      <c r="F35" s="27" t="n">
        <v>5000</v>
      </c>
      <c r="G35" s="27" t="n">
        <v>0</v>
      </c>
      <c r="H35" s="27" t="n">
        <v>0</v>
      </c>
      <c r="I35" s="27" t="n">
        <v>0</v>
      </c>
      <c r="J35" s="27" t="n">
        <v>0</v>
      </c>
      <c r="K35" s="27" t="n">
        <v>0</v>
      </c>
      <c r="L35" s="27" t="n">
        <v>0</v>
      </c>
      <c r="M35" s="27" t="n">
        <v>0</v>
      </c>
      <c r="N35" s="27" t="n">
        <v>5000</v>
      </c>
      <c r="O35" s="27" t="n">
        <v>5000</v>
      </c>
      <c r="P35" s="27" t="n">
        <v>0</v>
      </c>
      <c r="Q35" s="33" t="inlineStr"/>
    </row>
    <row r="36" ht="30" customHeight="1">
      <c r="A36" s="26" t="n">
        <v>2029</v>
      </c>
      <c r="B36" s="12" t="inlineStr">
        <is>
          <t>Family_Checking</t>
        </is>
      </c>
      <c r="C36" s="12" t="inlineStr">
        <is>
          <t>Matthew</t>
        </is>
      </c>
      <c r="D36" s="41" t="inlineStr">
        <is>
          <t>cash</t>
        </is>
      </c>
      <c r="E36" s="12" t="inlineStr">
        <is>
          <t>checking</t>
        </is>
      </c>
      <c r="F36" s="27" t="n">
        <v>15000</v>
      </c>
      <c r="G36" s="27" t="n">
        <v>0</v>
      </c>
      <c r="H36" s="27" t="n">
        <v>0</v>
      </c>
      <c r="I36" s="27" t="n">
        <v>0</v>
      </c>
      <c r="J36" s="27" t="n">
        <v>0</v>
      </c>
      <c r="K36" s="27" t="n">
        <v>0</v>
      </c>
      <c r="L36" s="27" t="n">
        <v>0</v>
      </c>
      <c r="M36" s="27" t="n">
        <v>0</v>
      </c>
      <c r="N36" s="27" t="n">
        <v>15000</v>
      </c>
      <c r="O36" s="27" t="n">
        <v>15000</v>
      </c>
      <c r="P36" s="27" t="n">
        <v>0</v>
      </c>
      <c r="Q36" s="33" t="inlineStr"/>
    </row>
    <row r="37" ht="30" customHeight="1">
      <c r="A37" s="26" t="n">
        <v>2029</v>
      </c>
      <c r="B37" s="12" t="inlineStr">
        <is>
          <t>Husband_HSA</t>
        </is>
      </c>
      <c r="C37" s="12" t="inlineStr">
        <is>
          <t>Matthew</t>
        </is>
      </c>
      <c r="D37" s="41" t="inlineStr">
        <is>
          <t>hsa</t>
        </is>
      </c>
      <c r="E37" s="12" t="inlineStr">
        <is>
          <t>hsa</t>
        </is>
      </c>
      <c r="F37" s="27" t="n">
        <v>93109.81161326234</v>
      </c>
      <c r="G37" s="27" t="n">
        <v>0</v>
      </c>
      <c r="H37" s="27" t="n">
        <v>0</v>
      </c>
      <c r="I37" s="27" t="n">
        <v>0</v>
      </c>
      <c r="J37" s="27" t="n">
        <v>0</v>
      </c>
      <c r="K37" s="27" t="n">
        <v>0</v>
      </c>
      <c r="L37" s="27" t="n">
        <v>0</v>
      </c>
      <c r="M37" s="27" t="n">
        <v>5586.58869679574</v>
      </c>
      <c r="N37" s="27" t="n">
        <v>98696.40031005807</v>
      </c>
      <c r="O37" s="27" t="n">
        <v>98696.40031005807</v>
      </c>
      <c r="P37" s="27" t="n">
        <v>0</v>
      </c>
      <c r="Q37" s="33" t="inlineStr"/>
    </row>
    <row r="38" ht="30" customHeight="1">
      <c r="A38" s="26" t="n">
        <v>2029</v>
      </c>
      <c r="B38" s="12" t="inlineStr">
        <is>
          <t>Husband_401k</t>
        </is>
      </c>
      <c r="C38" s="12" t="inlineStr">
        <is>
          <t>Matthew</t>
        </is>
      </c>
      <c r="D38" s="41" t="inlineStr">
        <is>
          <t>pre_tax</t>
        </is>
      </c>
      <c r="E38" s="12" t="inlineStr">
        <is>
          <t>401k</t>
        </is>
      </c>
      <c r="F38" s="27" t="n">
        <v>41068.17147783998</v>
      </c>
      <c r="G38" s="27" t="n">
        <v>0</v>
      </c>
      <c r="H38" s="27" t="n">
        <v>0</v>
      </c>
      <c r="I38" s="27" t="n">
        <v>0</v>
      </c>
      <c r="J38" s="27" t="n">
        <v>0</v>
      </c>
      <c r="K38" s="27" t="n">
        <v>0</v>
      </c>
      <c r="L38" s="27" t="n">
        <v>1646.077334422803</v>
      </c>
      <c r="M38" s="27" t="n">
        <v>2365.325648605031</v>
      </c>
      <c r="N38" s="27" t="n">
        <v>41787.41979202221</v>
      </c>
      <c r="O38" s="27" t="n">
        <v>41787.41979202221</v>
      </c>
      <c r="P38" s="27" t="n">
        <v>0</v>
      </c>
      <c r="Q38" s="12" t="inlineStr">
        <is>
          <t>withdrawal</t>
        </is>
      </c>
    </row>
    <row r="39" ht="30" customHeight="1">
      <c r="A39" s="26" t="n">
        <v>2029</v>
      </c>
      <c r="B39" s="12" t="inlineStr">
        <is>
          <t>Husband_IRA</t>
        </is>
      </c>
      <c r="C39" s="12" t="inlineStr">
        <is>
          <t>Matthew</t>
        </is>
      </c>
      <c r="D39" s="41" t="inlineStr">
        <is>
          <t>pre_tax</t>
        </is>
      </c>
      <c r="E39" s="12" t="inlineStr">
        <is>
          <t>traditional_ira</t>
        </is>
      </c>
      <c r="F39" s="27" t="n">
        <v>1454624.773767576</v>
      </c>
      <c r="G39" s="27" t="n">
        <v>0</v>
      </c>
      <c r="H39" s="27" t="n">
        <v>0</v>
      </c>
      <c r="I39" s="27" t="n">
        <v>0</v>
      </c>
      <c r="J39" s="27" t="n">
        <v>0</v>
      </c>
      <c r="K39" s="27" t="n">
        <v>0</v>
      </c>
      <c r="L39" s="27" t="n">
        <v>58303.66398174591</v>
      </c>
      <c r="M39" s="27" t="n">
        <v>83779.26658714977</v>
      </c>
      <c r="N39" s="27" t="n">
        <v>1480100.376372979</v>
      </c>
      <c r="O39" s="27" t="n">
        <v>1480100.376372979</v>
      </c>
      <c r="P39" s="27" t="n">
        <v>0</v>
      </c>
      <c r="Q39" s="12" t="inlineStr">
        <is>
          <t>withdrawal</t>
        </is>
      </c>
    </row>
    <row r="40" ht="30" customHeight="1">
      <c r="A40" s="26" t="n">
        <v>2029</v>
      </c>
      <c r="B40" s="12" t="inlineStr">
        <is>
          <t>Husband_Roth</t>
        </is>
      </c>
      <c r="C40" s="12" t="inlineStr">
        <is>
          <t>Matthew</t>
        </is>
      </c>
      <c r="D40" s="41" t="inlineStr">
        <is>
          <t>roth</t>
        </is>
      </c>
      <c r="E40" s="12" t="inlineStr">
        <is>
          <t>roth_ira</t>
        </is>
      </c>
      <c r="F40" s="27" t="n">
        <v>163660.0095149477</v>
      </c>
      <c r="G40" s="27" t="n">
        <v>0</v>
      </c>
      <c r="H40" s="27" t="n">
        <v>0</v>
      </c>
      <c r="I40" s="27" t="n">
        <v>0</v>
      </c>
      <c r="J40" s="27" t="n">
        <v>0</v>
      </c>
      <c r="K40" s="27" t="n">
        <v>0</v>
      </c>
      <c r="L40" s="27" t="n">
        <v>0</v>
      </c>
      <c r="M40" s="27" t="n">
        <v>9819.600570896859</v>
      </c>
      <c r="N40" s="27" t="n">
        <v>173479.6100858445</v>
      </c>
      <c r="O40" s="27" t="n">
        <v>173479.6100858445</v>
      </c>
      <c r="P40" s="27" t="n">
        <v>0</v>
      </c>
      <c r="Q40" s="33" t="inlineStr"/>
    </row>
    <row r="41" ht="30" customHeight="1">
      <c r="A41" s="26" t="n">
        <v>2029</v>
      </c>
      <c r="B41" s="12" t="inlineStr">
        <is>
          <t>Husband_Trust</t>
        </is>
      </c>
      <c r="C41" s="12" t="inlineStr">
        <is>
          <t>Matthew</t>
        </is>
      </c>
      <c r="D41" s="41" t="inlineStr">
        <is>
          <t>taxable</t>
        </is>
      </c>
      <c r="E41" s="12" t="inlineStr">
        <is>
          <t>trust</t>
        </is>
      </c>
      <c r="F41" s="27" t="n">
        <v>47855.0287088089</v>
      </c>
      <c r="G41" s="27" t="n">
        <v>0</v>
      </c>
      <c r="H41" s="27" t="n">
        <v>0</v>
      </c>
      <c r="I41" s="27" t="n">
        <v>0</v>
      </c>
      <c r="J41" s="27" t="n">
        <v>0</v>
      </c>
      <c r="K41" s="27" t="n">
        <v>0</v>
      </c>
      <c r="L41" s="27" t="n">
        <v>43890.0372008765</v>
      </c>
      <c r="M41" s="27" t="n">
        <v>153.2621396919337</v>
      </c>
      <c r="N41" s="27" t="n">
        <v>4118.253647624332</v>
      </c>
      <c r="O41" s="27" t="n">
        <v>4118.253647624335</v>
      </c>
      <c r="P41" s="27" t="n">
        <v>2.728484105318785e-12</v>
      </c>
      <c r="Q41" s="12" t="inlineStr">
        <is>
          <t>withdrawal</t>
        </is>
      </c>
    </row>
    <row r="42" ht="60" customHeight="1">
      <c r="A42" s="26" t="n">
        <v>2029</v>
      </c>
      <c r="B42" s="12" t="inlineStr">
        <is>
          <t>Wife_IRA</t>
        </is>
      </c>
      <c r="C42" s="12" t="inlineStr">
        <is>
          <t>Patricia</t>
        </is>
      </c>
      <c r="D42" s="41" t="inlineStr">
        <is>
          <t>pre_tax</t>
        </is>
      </c>
      <c r="E42" s="12" t="inlineStr">
        <is>
          <t>traditional_ira</t>
        </is>
      </c>
      <c r="F42" s="27" t="n">
        <v>173532.1744014696</v>
      </c>
      <c r="G42" s="27" t="n">
        <v>0</v>
      </c>
      <c r="H42" s="27" t="n">
        <v>0</v>
      </c>
      <c r="I42" s="27" t="n">
        <v>0</v>
      </c>
      <c r="J42" s="27" t="n">
        <v>0</v>
      </c>
      <c r="K42" s="27" t="n">
        <v>82860.35816278958</v>
      </c>
      <c r="L42" s="27" t="n">
        <v>3634.269951901221</v>
      </c>
      <c r="M42" s="27" t="n">
        <v>5222.252777206727</v>
      </c>
      <c r="N42" s="27" t="n">
        <v>92259.79906398551</v>
      </c>
      <c r="O42" s="27" t="n">
        <v>92259.79906398551</v>
      </c>
      <c r="P42" s="27" t="n">
        <v>0</v>
      </c>
      <c r="Q42" s="12" t="inlineStr">
        <is>
          <t>Roth conversion; withdrawal</t>
        </is>
      </c>
    </row>
    <row r="43" ht="30" customHeight="1">
      <c r="A43" s="26" t="n">
        <v>2029</v>
      </c>
      <c r="B43" s="12" t="inlineStr">
        <is>
          <t>Wife_Roth</t>
        </is>
      </c>
      <c r="C43" s="12" t="inlineStr">
        <is>
          <t>Patricia</t>
        </is>
      </c>
      <c r="D43" s="41" t="inlineStr">
        <is>
          <t>roth</t>
        </is>
      </c>
      <c r="E43" s="12" t="inlineStr">
        <is>
          <t>roth_ira</t>
        </is>
      </c>
      <c r="F43" s="27" t="n">
        <v>592701.274403871</v>
      </c>
      <c r="G43" s="27" t="n">
        <v>0</v>
      </c>
      <c r="H43" s="27" t="n">
        <v>0</v>
      </c>
      <c r="I43" s="27" t="n">
        <v>0</v>
      </c>
      <c r="J43" s="27" t="n">
        <v>82860.35816278958</v>
      </c>
      <c r="K43" s="27" t="n">
        <v>0</v>
      </c>
      <c r="L43" s="27" t="n">
        <v>0</v>
      </c>
      <c r="M43" s="27" t="n">
        <v>40533.69795399964</v>
      </c>
      <c r="N43" s="27" t="n">
        <v>716095.3305206603</v>
      </c>
      <c r="O43" s="27" t="n">
        <v>716095.3305206603</v>
      </c>
      <c r="P43" s="27" t="n">
        <v>0</v>
      </c>
      <c r="Q43" s="12" t="inlineStr">
        <is>
          <t>Roth conversion</t>
        </is>
      </c>
    </row>
    <row r="44" ht="30" customHeight="1">
      <c r="A44" s="26" t="n">
        <v>2029</v>
      </c>
      <c r="B44" s="12" t="inlineStr">
        <is>
          <t>Wife_Trust</t>
        </is>
      </c>
      <c r="C44" s="12" t="inlineStr">
        <is>
          <t>Patricia</t>
        </is>
      </c>
      <c r="D44" s="41" t="inlineStr">
        <is>
          <t>taxable</t>
        </is>
      </c>
      <c r="E44" s="12" t="inlineStr">
        <is>
          <t>trust</t>
        </is>
      </c>
      <c r="F44" s="27" t="n">
        <v>62363.42760257755</v>
      </c>
      <c r="G44" s="27" t="n">
        <v>0</v>
      </c>
      <c r="H44" s="27" t="n">
        <v>0</v>
      </c>
      <c r="I44" s="27" t="n">
        <v>0</v>
      </c>
      <c r="J44" s="27" t="n">
        <v>0</v>
      </c>
      <c r="K44" s="27" t="n">
        <v>0</v>
      </c>
      <c r="L44" s="27" t="n">
        <v>57196.35389012859</v>
      </c>
      <c r="M44" s="27" t="n">
        <v>217.7431129514877</v>
      </c>
      <c r="N44" s="27" t="n">
        <v>5384.816825400449</v>
      </c>
      <c r="O44" s="27" t="n">
        <v>5384.816825400451</v>
      </c>
      <c r="P44" s="27" t="n">
        <v>2.728484105318785e-12</v>
      </c>
      <c r="Q44" s="12" t="inlineStr">
        <is>
          <t>withdrawal</t>
        </is>
      </c>
    </row>
    <row r="45" ht="45" customHeight="1">
      <c r="A45" s="26" t="n">
        <v>2030</v>
      </c>
      <c r="B45" s="12" t="inlineStr">
        <is>
          <t>Business_Checking</t>
        </is>
      </c>
      <c r="C45" s="12" t="inlineStr">
        <is>
          <t>Matthew</t>
        </is>
      </c>
      <c r="D45" s="41" t="inlineStr">
        <is>
          <t>cash</t>
        </is>
      </c>
      <c r="E45" s="12" t="inlineStr">
        <is>
          <t>checking</t>
        </is>
      </c>
      <c r="F45" s="27" t="n">
        <v>5000</v>
      </c>
      <c r="G45" s="27" t="n">
        <v>0</v>
      </c>
      <c r="H45" s="27" t="n">
        <v>0</v>
      </c>
      <c r="I45" s="27" t="n">
        <v>0</v>
      </c>
      <c r="J45" s="27" t="n">
        <v>0</v>
      </c>
      <c r="K45" s="27" t="n">
        <v>0</v>
      </c>
      <c r="L45" s="27" t="n">
        <v>0</v>
      </c>
      <c r="M45" s="27" t="n">
        <v>0</v>
      </c>
      <c r="N45" s="27" t="n">
        <v>5000</v>
      </c>
      <c r="O45" s="27" t="n">
        <v>5000</v>
      </c>
      <c r="P45" s="27" t="n">
        <v>0</v>
      </c>
      <c r="Q45" s="33" t="inlineStr"/>
    </row>
    <row r="46" ht="30" customHeight="1">
      <c r="A46" s="26" t="n">
        <v>2030</v>
      </c>
      <c r="B46" s="12" t="inlineStr">
        <is>
          <t>Family_Checking</t>
        </is>
      </c>
      <c r="C46" s="12" t="inlineStr">
        <is>
          <t>Matthew</t>
        </is>
      </c>
      <c r="D46" s="41" t="inlineStr">
        <is>
          <t>cash</t>
        </is>
      </c>
      <c r="E46" s="12" t="inlineStr">
        <is>
          <t>checking</t>
        </is>
      </c>
      <c r="F46" s="27" t="n">
        <v>15000</v>
      </c>
      <c r="G46" s="27" t="n">
        <v>0</v>
      </c>
      <c r="H46" s="27" t="n">
        <v>0</v>
      </c>
      <c r="I46" s="27" t="n">
        <v>0</v>
      </c>
      <c r="J46" s="27" t="n">
        <v>0</v>
      </c>
      <c r="K46" s="27" t="n">
        <v>0</v>
      </c>
      <c r="L46" s="27" t="n">
        <v>0</v>
      </c>
      <c r="M46" s="27" t="n">
        <v>0</v>
      </c>
      <c r="N46" s="27" t="n">
        <v>15000</v>
      </c>
      <c r="O46" s="27" t="n">
        <v>15000</v>
      </c>
      <c r="P46" s="27" t="n">
        <v>0</v>
      </c>
      <c r="Q46" s="33" t="inlineStr"/>
    </row>
    <row r="47" ht="30" customHeight="1">
      <c r="A47" s="26" t="n">
        <v>2030</v>
      </c>
      <c r="B47" s="12" t="inlineStr">
        <is>
          <t>Husband_HSA</t>
        </is>
      </c>
      <c r="C47" s="12" t="inlineStr">
        <is>
          <t>Matthew</t>
        </is>
      </c>
      <c r="D47" s="41" t="inlineStr">
        <is>
          <t>hsa</t>
        </is>
      </c>
      <c r="E47" s="12" t="inlineStr">
        <is>
          <t>hsa</t>
        </is>
      </c>
      <c r="F47" s="27" t="n">
        <v>98696.40031005807</v>
      </c>
      <c r="G47" s="27" t="n">
        <v>0</v>
      </c>
      <c r="H47" s="27" t="n">
        <v>0</v>
      </c>
      <c r="I47" s="27" t="n">
        <v>0</v>
      </c>
      <c r="J47" s="27" t="n">
        <v>0</v>
      </c>
      <c r="K47" s="27" t="n">
        <v>0</v>
      </c>
      <c r="L47" s="27" t="n">
        <v>0</v>
      </c>
      <c r="M47" s="27" t="n">
        <v>5921.784018603485</v>
      </c>
      <c r="N47" s="27" t="n">
        <v>104618.1843286616</v>
      </c>
      <c r="O47" s="27" t="n">
        <v>104618.1843286616</v>
      </c>
      <c r="P47" s="27" t="n">
        <v>0</v>
      </c>
      <c r="Q47" s="33" t="inlineStr"/>
    </row>
    <row r="48" ht="45" customHeight="1">
      <c r="A48" s="26" t="n">
        <v>2030</v>
      </c>
      <c r="B48" s="12" t="inlineStr">
        <is>
          <t>Husband_401k</t>
        </is>
      </c>
      <c r="C48" s="12" t="inlineStr">
        <is>
          <t>Matthew</t>
        </is>
      </c>
      <c r="D48" s="41" t="inlineStr">
        <is>
          <t>pre_tax</t>
        </is>
      </c>
      <c r="E48" s="12" t="inlineStr">
        <is>
          <t>401k</t>
        </is>
      </c>
      <c r="F48" s="27" t="n">
        <v>41787.41979202221</v>
      </c>
      <c r="G48" s="27" t="n">
        <v>0</v>
      </c>
      <c r="H48" s="27" t="n">
        <v>0</v>
      </c>
      <c r="I48" s="27" t="n">
        <v>41787.41979202221</v>
      </c>
      <c r="J48" s="27" t="n">
        <v>0</v>
      </c>
      <c r="K48" s="27" t="n">
        <v>0</v>
      </c>
      <c r="L48" s="27" t="n">
        <v>0</v>
      </c>
      <c r="M48" s="27" t="n">
        <v>0</v>
      </c>
      <c r="N48" s="27" t="n">
        <v>0</v>
      </c>
      <c r="O48" s="27" t="n">
        <v>0</v>
      </c>
      <c r="P48" s="27" t="n">
        <v>0</v>
      </c>
      <c r="Q48" s="12" t="inlineStr">
        <is>
          <t>transfer/rollover</t>
        </is>
      </c>
    </row>
    <row r="49" ht="90" customHeight="1">
      <c r="A49" s="26" t="n">
        <v>2030</v>
      </c>
      <c r="B49" s="12" t="inlineStr">
        <is>
          <t>Husband_IRA</t>
        </is>
      </c>
      <c r="C49" s="12" t="inlineStr">
        <is>
          <t>Matthew</t>
        </is>
      </c>
      <c r="D49" s="41" t="inlineStr">
        <is>
          <t>pre_tax</t>
        </is>
      </c>
      <c r="E49" s="12" t="inlineStr">
        <is>
          <t>traditional_ira</t>
        </is>
      </c>
      <c r="F49" s="27" t="n">
        <v>1480100.376372979</v>
      </c>
      <c r="G49" s="27" t="n">
        <v>0</v>
      </c>
      <c r="H49" s="27" t="n">
        <v>41787.41979202221</v>
      </c>
      <c r="I49" s="27" t="n">
        <v>0</v>
      </c>
      <c r="J49" s="27" t="n">
        <v>0</v>
      </c>
      <c r="K49" s="27" t="n">
        <v>974.5953161246871</v>
      </c>
      <c r="L49" s="27" t="n">
        <v>114119.0451801116</v>
      </c>
      <c r="M49" s="27" t="n">
        <v>84407.64934012595</v>
      </c>
      <c r="N49" s="27" t="n">
        <v>1491201.805008892</v>
      </c>
      <c r="O49" s="27" t="n">
        <v>1491201.805008892</v>
      </c>
      <c r="P49" s="27" t="n">
        <v>2.328306436538696e-10</v>
      </c>
      <c r="Q49" s="12" t="inlineStr">
        <is>
          <t>transfer/rollover; Roth conversion; withdrawal</t>
        </is>
      </c>
    </row>
    <row r="50" ht="30" customHeight="1">
      <c r="A50" s="26" t="n">
        <v>2030</v>
      </c>
      <c r="B50" s="12" t="inlineStr">
        <is>
          <t>Husband_Roth</t>
        </is>
      </c>
      <c r="C50" s="12" t="inlineStr">
        <is>
          <t>Matthew</t>
        </is>
      </c>
      <c r="D50" s="41" t="inlineStr">
        <is>
          <t>roth</t>
        </is>
      </c>
      <c r="E50" s="12" t="inlineStr">
        <is>
          <t>roth_ira</t>
        </is>
      </c>
      <c r="F50" s="27" t="n">
        <v>173479.6100858445</v>
      </c>
      <c r="G50" s="27" t="n">
        <v>0</v>
      </c>
      <c r="H50" s="27" t="n">
        <v>0</v>
      </c>
      <c r="I50" s="27" t="n">
        <v>0</v>
      </c>
      <c r="J50" s="27" t="n">
        <v>974.5953161246871</v>
      </c>
      <c r="K50" s="27" t="n">
        <v>0</v>
      </c>
      <c r="L50" s="27" t="n">
        <v>0</v>
      </c>
      <c r="M50" s="27" t="n">
        <v>10467.25232411815</v>
      </c>
      <c r="N50" s="27" t="n">
        <v>184921.4577260874</v>
      </c>
      <c r="O50" s="27" t="n">
        <v>184921.4577260874</v>
      </c>
      <c r="P50" s="27" t="n">
        <v>0</v>
      </c>
      <c r="Q50" s="12" t="inlineStr">
        <is>
          <t>Roth conversion</t>
        </is>
      </c>
    </row>
    <row r="51" ht="45" customHeight="1">
      <c r="A51" s="26" t="n">
        <v>2030</v>
      </c>
      <c r="B51" s="12" t="inlineStr">
        <is>
          <t>Husband_Trust</t>
        </is>
      </c>
      <c r="C51" s="12" t="inlineStr">
        <is>
          <t>Matthew</t>
        </is>
      </c>
      <c r="D51" s="41" t="inlineStr">
        <is>
          <t>taxable</t>
        </is>
      </c>
      <c r="E51" s="12" t="inlineStr">
        <is>
          <t>trust</t>
        </is>
      </c>
      <c r="F51" s="27" t="n">
        <v>4118.253647624335</v>
      </c>
      <c r="G51" s="27" t="n">
        <v>66000</v>
      </c>
      <c r="H51" s="27" t="n">
        <v>0</v>
      </c>
      <c r="I51" s="27" t="n">
        <v>0</v>
      </c>
      <c r="J51" s="27" t="n">
        <v>0</v>
      </c>
      <c r="K51" s="27" t="n">
        <v>0</v>
      </c>
      <c r="L51" s="27" t="n">
        <v>70118.25364762434</v>
      </c>
      <c r="M51" s="27" t="n">
        <v>0</v>
      </c>
      <c r="N51" s="27" t="n">
        <v>0</v>
      </c>
      <c r="O51" s="27" t="n">
        <v>0</v>
      </c>
      <c r="P51" s="27" t="n">
        <v>0</v>
      </c>
      <c r="Q51" s="12" t="inlineStr">
        <is>
          <t>withdrawal; deposit</t>
        </is>
      </c>
    </row>
    <row r="52" ht="30" customHeight="1">
      <c r="A52" s="26" t="n">
        <v>2030</v>
      </c>
      <c r="B52" s="12" t="inlineStr">
        <is>
          <t>Wife_IRA</t>
        </is>
      </c>
      <c r="C52" s="12" t="inlineStr">
        <is>
          <t>Patricia</t>
        </is>
      </c>
      <c r="D52" s="41" t="inlineStr">
        <is>
          <t>pre_tax</t>
        </is>
      </c>
      <c r="E52" s="12" t="inlineStr">
        <is>
          <t>traditional_ira</t>
        </is>
      </c>
      <c r="F52" s="27" t="n">
        <v>92259.79906398551</v>
      </c>
      <c r="G52" s="27" t="n">
        <v>0</v>
      </c>
      <c r="H52" s="27" t="n">
        <v>0</v>
      </c>
      <c r="I52" s="27" t="n">
        <v>0</v>
      </c>
      <c r="J52" s="27" t="n">
        <v>0</v>
      </c>
      <c r="K52" s="27" t="n">
        <v>92259.79906398551</v>
      </c>
      <c r="L52" s="27" t="n">
        <v>0</v>
      </c>
      <c r="M52" s="27" t="n">
        <v>0</v>
      </c>
      <c r="N52" s="27" t="n">
        <v>0</v>
      </c>
      <c r="O52" s="27" t="n">
        <v>0</v>
      </c>
      <c r="P52" s="27" t="n">
        <v>0</v>
      </c>
      <c r="Q52" s="12" t="inlineStr">
        <is>
          <t>Roth conversion</t>
        </is>
      </c>
    </row>
    <row r="53" ht="30" customHeight="1">
      <c r="A53" s="26" t="n">
        <v>2030</v>
      </c>
      <c r="B53" s="12" t="inlineStr">
        <is>
          <t>Wife_Roth</t>
        </is>
      </c>
      <c r="C53" s="12" t="inlineStr">
        <is>
          <t>Patricia</t>
        </is>
      </c>
      <c r="D53" s="41" t="inlineStr">
        <is>
          <t>roth</t>
        </is>
      </c>
      <c r="E53" s="12" t="inlineStr">
        <is>
          <t>roth_ira</t>
        </is>
      </c>
      <c r="F53" s="27" t="n">
        <v>716095.3305206603</v>
      </c>
      <c r="G53" s="27" t="n">
        <v>0</v>
      </c>
      <c r="H53" s="27" t="n">
        <v>0</v>
      </c>
      <c r="I53" s="27" t="n">
        <v>0</v>
      </c>
      <c r="J53" s="27" t="n">
        <v>92259.79906398551</v>
      </c>
      <c r="K53" s="27" t="n">
        <v>0</v>
      </c>
      <c r="L53" s="27" t="n">
        <v>0</v>
      </c>
      <c r="M53" s="27" t="n">
        <v>48501.30777507874</v>
      </c>
      <c r="N53" s="27" t="n">
        <v>856856.4373597244</v>
      </c>
      <c r="O53" s="27" t="n">
        <v>856856.4373597244</v>
      </c>
      <c r="P53" s="27" t="n">
        <v>0</v>
      </c>
      <c r="Q53" s="12" t="inlineStr">
        <is>
          <t>Roth conversion</t>
        </is>
      </c>
    </row>
    <row r="54" ht="30" customHeight="1">
      <c r="A54" s="26" t="n">
        <v>2030</v>
      </c>
      <c r="B54" s="12" t="inlineStr">
        <is>
          <t>Wife_Trust</t>
        </is>
      </c>
      <c r="C54" s="12" t="inlineStr">
        <is>
          <t>Patricia</t>
        </is>
      </c>
      <c r="D54" s="41" t="inlineStr">
        <is>
          <t>taxable</t>
        </is>
      </c>
      <c r="E54" s="12" t="inlineStr">
        <is>
          <t>trust</t>
        </is>
      </c>
      <c r="F54" s="27" t="n">
        <v>5384.816825400451</v>
      </c>
      <c r="G54" s="27" t="n">
        <v>0</v>
      </c>
      <c r="H54" s="27" t="n">
        <v>0</v>
      </c>
      <c r="I54" s="27" t="n">
        <v>0</v>
      </c>
      <c r="J54" s="27" t="n">
        <v>0</v>
      </c>
      <c r="K54" s="27" t="n">
        <v>0</v>
      </c>
      <c r="L54" s="27" t="n">
        <v>5384.816825400451</v>
      </c>
      <c r="M54" s="27" t="n">
        <v>0</v>
      </c>
      <c r="N54" s="27" t="n">
        <v>0</v>
      </c>
      <c r="O54" s="27" t="n">
        <v>0</v>
      </c>
      <c r="P54" s="27" t="n">
        <v>0</v>
      </c>
      <c r="Q54" s="12" t="inlineStr">
        <is>
          <t>withdrawal</t>
        </is>
      </c>
    </row>
    <row r="55" ht="45" customHeight="1">
      <c r="A55" s="26" t="n">
        <v>2031</v>
      </c>
      <c r="B55" s="12" t="inlineStr">
        <is>
          <t>Business_Checking</t>
        </is>
      </c>
      <c r="C55" s="12" t="inlineStr">
        <is>
          <t>Matthew</t>
        </is>
      </c>
      <c r="D55" s="41" t="inlineStr">
        <is>
          <t>cash</t>
        </is>
      </c>
      <c r="E55" s="12" t="inlineStr">
        <is>
          <t>checking</t>
        </is>
      </c>
      <c r="F55" s="27" t="n">
        <v>5000</v>
      </c>
      <c r="G55" s="27" t="n">
        <v>0</v>
      </c>
      <c r="H55" s="27" t="n">
        <v>0</v>
      </c>
      <c r="I55" s="27" t="n">
        <v>0</v>
      </c>
      <c r="J55" s="27" t="n">
        <v>0</v>
      </c>
      <c r="K55" s="27" t="n">
        <v>0</v>
      </c>
      <c r="L55" s="27" t="n">
        <v>0</v>
      </c>
      <c r="M55" s="27" t="n">
        <v>0</v>
      </c>
      <c r="N55" s="27" t="n">
        <v>5000</v>
      </c>
      <c r="O55" s="27" t="n">
        <v>5000</v>
      </c>
      <c r="P55" s="27" t="n">
        <v>0</v>
      </c>
      <c r="Q55" s="33" t="inlineStr"/>
    </row>
    <row r="56" ht="30" customHeight="1">
      <c r="A56" s="26" t="n">
        <v>2031</v>
      </c>
      <c r="B56" s="12" t="inlineStr">
        <is>
          <t>Family_Checking</t>
        </is>
      </c>
      <c r="C56" s="12" t="inlineStr">
        <is>
          <t>Matthew</t>
        </is>
      </c>
      <c r="D56" s="41" t="inlineStr">
        <is>
          <t>cash</t>
        </is>
      </c>
      <c r="E56" s="12" t="inlineStr">
        <is>
          <t>checking</t>
        </is>
      </c>
      <c r="F56" s="27" t="n">
        <v>15000</v>
      </c>
      <c r="G56" s="27" t="n">
        <v>0</v>
      </c>
      <c r="H56" s="27" t="n">
        <v>0</v>
      </c>
      <c r="I56" s="27" t="n">
        <v>0</v>
      </c>
      <c r="J56" s="27" t="n">
        <v>0</v>
      </c>
      <c r="K56" s="27" t="n">
        <v>0</v>
      </c>
      <c r="L56" s="27" t="n">
        <v>0</v>
      </c>
      <c r="M56" s="27" t="n">
        <v>0</v>
      </c>
      <c r="N56" s="27" t="n">
        <v>15000</v>
      </c>
      <c r="O56" s="27" t="n">
        <v>15000</v>
      </c>
      <c r="P56" s="27" t="n">
        <v>0</v>
      </c>
      <c r="Q56" s="33" t="inlineStr"/>
    </row>
    <row r="57" ht="30" customHeight="1">
      <c r="A57" s="26" t="n">
        <v>2031</v>
      </c>
      <c r="B57" s="12" t="inlineStr">
        <is>
          <t>Husband_HSA</t>
        </is>
      </c>
      <c r="C57" s="12" t="inlineStr">
        <is>
          <t>Matthew</t>
        </is>
      </c>
      <c r="D57" s="41" t="inlineStr">
        <is>
          <t>hsa</t>
        </is>
      </c>
      <c r="E57" s="12" t="inlineStr">
        <is>
          <t>hsa</t>
        </is>
      </c>
      <c r="F57" s="27" t="n">
        <v>104618.1843286616</v>
      </c>
      <c r="G57" s="27" t="n">
        <v>0</v>
      </c>
      <c r="H57" s="27" t="n">
        <v>0</v>
      </c>
      <c r="I57" s="27" t="n">
        <v>0</v>
      </c>
      <c r="J57" s="27" t="n">
        <v>0</v>
      </c>
      <c r="K57" s="27" t="n">
        <v>0</v>
      </c>
      <c r="L57" s="27" t="n">
        <v>10461.81843286616</v>
      </c>
      <c r="M57" s="27" t="n">
        <v>5649.381953747724</v>
      </c>
      <c r="N57" s="27" t="n">
        <v>99805.74784954313</v>
      </c>
      <c r="O57" s="27" t="n">
        <v>99805.74784954313</v>
      </c>
      <c r="P57" s="27" t="n">
        <v>0</v>
      </c>
      <c r="Q57" s="12" t="inlineStr">
        <is>
          <t>withdrawal</t>
        </is>
      </c>
    </row>
    <row r="58" ht="30" customHeight="1">
      <c r="A58" s="26" t="n">
        <v>2031</v>
      </c>
      <c r="B58" s="12" t="inlineStr">
        <is>
          <t>Husband_401k</t>
        </is>
      </c>
      <c r="C58" s="12" t="inlineStr">
        <is>
          <t>Matthew</t>
        </is>
      </c>
      <c r="D58" s="41" t="inlineStr">
        <is>
          <t>pre_tax</t>
        </is>
      </c>
      <c r="E58" s="12" t="inlineStr">
        <is>
          <t>401k</t>
        </is>
      </c>
      <c r="F58" s="27" t="n">
        <v>0</v>
      </c>
      <c r="G58" s="27" t="n">
        <v>0</v>
      </c>
      <c r="H58" s="27" t="n">
        <v>0</v>
      </c>
      <c r="I58" s="27" t="n">
        <v>0</v>
      </c>
      <c r="J58" s="27" t="n">
        <v>0</v>
      </c>
      <c r="K58" s="27" t="n">
        <v>0</v>
      </c>
      <c r="L58" s="27" t="n">
        <v>0</v>
      </c>
      <c r="M58" s="27" t="n">
        <v>0</v>
      </c>
      <c r="N58" s="27" t="n">
        <v>0</v>
      </c>
      <c r="O58" s="27" t="n">
        <v>0</v>
      </c>
      <c r="P58" s="27" t="n">
        <v>0</v>
      </c>
      <c r="Q58" s="33" t="inlineStr"/>
    </row>
    <row r="59" ht="60" customHeight="1">
      <c r="A59" s="26" t="n">
        <v>2031</v>
      </c>
      <c r="B59" s="12" t="inlineStr">
        <is>
          <t>Husband_IRA</t>
        </is>
      </c>
      <c r="C59" s="12" t="inlineStr">
        <is>
          <t>Matthew</t>
        </is>
      </c>
      <c r="D59" s="41" t="inlineStr">
        <is>
          <t>pre_tax</t>
        </is>
      </c>
      <c r="E59" s="12" t="inlineStr">
        <is>
          <t>traditional_ira</t>
        </is>
      </c>
      <c r="F59" s="27" t="n">
        <v>1491201.805008892</v>
      </c>
      <c r="G59" s="27" t="n">
        <v>0</v>
      </c>
      <c r="H59" s="27" t="n">
        <v>0</v>
      </c>
      <c r="I59" s="27" t="n">
        <v>0</v>
      </c>
      <c r="J59" s="27" t="n">
        <v>0</v>
      </c>
      <c r="K59" s="27" t="n">
        <v>62151.3244411526</v>
      </c>
      <c r="L59" s="27" t="n">
        <v>116956.6250900172</v>
      </c>
      <c r="M59" s="27" t="n">
        <v>78725.63132866331</v>
      </c>
      <c r="N59" s="27" t="n">
        <v>1390819.486806385</v>
      </c>
      <c r="O59" s="27" t="n">
        <v>1390819.486806385</v>
      </c>
      <c r="P59" s="27" t="n">
        <v>0</v>
      </c>
      <c r="Q59" s="12" t="inlineStr">
        <is>
          <t>Roth conversion; withdrawal</t>
        </is>
      </c>
    </row>
    <row r="60" ht="30" customHeight="1">
      <c r="A60" s="26" t="n">
        <v>2031</v>
      </c>
      <c r="B60" s="12" t="inlineStr">
        <is>
          <t>Husband_Roth</t>
        </is>
      </c>
      <c r="C60" s="12" t="inlineStr">
        <is>
          <t>Matthew</t>
        </is>
      </c>
      <c r="D60" s="41" t="inlineStr">
        <is>
          <t>roth</t>
        </is>
      </c>
      <c r="E60" s="12" t="inlineStr">
        <is>
          <t>roth_ira</t>
        </is>
      </c>
      <c r="F60" s="27" t="n">
        <v>184921.4577260874</v>
      </c>
      <c r="G60" s="27" t="n">
        <v>0</v>
      </c>
      <c r="H60" s="27" t="n">
        <v>0</v>
      </c>
      <c r="I60" s="27" t="n">
        <v>0</v>
      </c>
      <c r="J60" s="27" t="n">
        <v>62151.3244411526</v>
      </c>
      <c r="K60" s="27" t="n">
        <v>0</v>
      </c>
      <c r="L60" s="27" t="n">
        <v>0</v>
      </c>
      <c r="M60" s="27" t="n">
        <v>14824.3669300344</v>
      </c>
      <c r="N60" s="27" t="n">
        <v>261897.1490972743</v>
      </c>
      <c r="O60" s="27" t="n">
        <v>261897.1490972743</v>
      </c>
      <c r="P60" s="27" t="n">
        <v>0</v>
      </c>
      <c r="Q60" s="12" t="inlineStr">
        <is>
          <t>Roth conversion</t>
        </is>
      </c>
    </row>
    <row r="61" ht="30" customHeight="1">
      <c r="A61" s="26" t="n">
        <v>2031</v>
      </c>
      <c r="B61" s="12" t="inlineStr">
        <is>
          <t>Husband_Trust</t>
        </is>
      </c>
      <c r="C61" s="12" t="inlineStr">
        <is>
          <t>Matthew</t>
        </is>
      </c>
      <c r="D61" s="41" t="inlineStr">
        <is>
          <t>taxable</t>
        </is>
      </c>
      <c r="E61" s="12" t="inlineStr">
        <is>
          <t>trust</t>
        </is>
      </c>
      <c r="F61" s="27" t="n">
        <v>0</v>
      </c>
      <c r="G61" s="27" t="n">
        <v>0</v>
      </c>
      <c r="H61" s="27" t="n">
        <v>0</v>
      </c>
      <c r="I61" s="27" t="n">
        <v>0</v>
      </c>
      <c r="J61" s="27" t="n">
        <v>0</v>
      </c>
      <c r="K61" s="27" t="n">
        <v>0</v>
      </c>
      <c r="L61" s="27" t="n">
        <v>0</v>
      </c>
      <c r="M61" s="27" t="n">
        <v>0</v>
      </c>
      <c r="N61" s="27" t="n">
        <v>0</v>
      </c>
      <c r="O61" s="27" t="n">
        <v>0</v>
      </c>
      <c r="P61" s="27" t="n">
        <v>0</v>
      </c>
      <c r="Q61" s="33" t="inlineStr"/>
    </row>
    <row r="62" ht="30" customHeight="1">
      <c r="A62" s="26" t="n">
        <v>2031</v>
      </c>
      <c r="B62" s="12" t="inlineStr">
        <is>
          <t>Wife_IRA</t>
        </is>
      </c>
      <c r="C62" s="12" t="inlineStr">
        <is>
          <t>Patricia</t>
        </is>
      </c>
      <c r="D62" s="41" t="inlineStr">
        <is>
          <t>pre_tax</t>
        </is>
      </c>
      <c r="E62" s="12" t="inlineStr">
        <is>
          <t>traditional_ira</t>
        </is>
      </c>
      <c r="F62" s="27" t="n">
        <v>0</v>
      </c>
      <c r="G62" s="27" t="n">
        <v>0</v>
      </c>
      <c r="H62" s="27" t="n">
        <v>0</v>
      </c>
      <c r="I62" s="27" t="n">
        <v>0</v>
      </c>
      <c r="J62" s="27" t="n">
        <v>0</v>
      </c>
      <c r="K62" s="27" t="n">
        <v>0</v>
      </c>
      <c r="L62" s="27" t="n">
        <v>0</v>
      </c>
      <c r="M62" s="27" t="n">
        <v>0</v>
      </c>
      <c r="N62" s="27" t="n">
        <v>0</v>
      </c>
      <c r="O62" s="27" t="n">
        <v>0</v>
      </c>
      <c r="P62" s="27" t="n">
        <v>0</v>
      </c>
      <c r="Q62" s="33" t="inlineStr"/>
    </row>
    <row r="63" ht="30" customHeight="1">
      <c r="A63" s="26" t="n">
        <v>2031</v>
      </c>
      <c r="B63" s="12" t="inlineStr">
        <is>
          <t>Wife_Roth</t>
        </is>
      </c>
      <c r="C63" s="12" t="inlineStr">
        <is>
          <t>Patricia</t>
        </is>
      </c>
      <c r="D63" s="41" t="inlineStr">
        <is>
          <t>roth</t>
        </is>
      </c>
      <c r="E63" s="12" t="inlineStr">
        <is>
          <t>roth_ira</t>
        </is>
      </c>
      <c r="F63" s="27" t="n">
        <v>856856.4373597244</v>
      </c>
      <c r="G63" s="27" t="n">
        <v>0</v>
      </c>
      <c r="H63" s="27" t="n">
        <v>0</v>
      </c>
      <c r="I63" s="27" t="n">
        <v>0</v>
      </c>
      <c r="J63" s="27" t="n">
        <v>0</v>
      </c>
      <c r="K63" s="27" t="n">
        <v>0</v>
      </c>
      <c r="L63" s="27" t="n">
        <v>0</v>
      </c>
      <c r="M63" s="27" t="n">
        <v>51411.38624158347</v>
      </c>
      <c r="N63" s="27" t="n">
        <v>908267.8236013079</v>
      </c>
      <c r="O63" s="27" t="n">
        <v>908267.8236013079</v>
      </c>
      <c r="P63" s="27" t="n">
        <v>0</v>
      </c>
      <c r="Q63" s="33" t="inlineStr"/>
    </row>
    <row r="64" ht="30" customHeight="1">
      <c r="A64" s="26" t="n">
        <v>2031</v>
      </c>
      <c r="B64" s="12" t="inlineStr">
        <is>
          <t>Wife_Trust</t>
        </is>
      </c>
      <c r="C64" s="12" t="inlineStr">
        <is>
          <t>Patricia</t>
        </is>
      </c>
      <c r="D64" s="41" t="inlineStr">
        <is>
          <t>taxable</t>
        </is>
      </c>
      <c r="E64" s="12" t="inlineStr">
        <is>
          <t>trust</t>
        </is>
      </c>
      <c r="F64" s="27" t="n">
        <v>0</v>
      </c>
      <c r="G64" s="27" t="n">
        <v>0</v>
      </c>
      <c r="H64" s="27" t="n">
        <v>0</v>
      </c>
      <c r="I64" s="27" t="n">
        <v>0</v>
      </c>
      <c r="J64" s="27" t="n">
        <v>0</v>
      </c>
      <c r="K64" s="27" t="n">
        <v>0</v>
      </c>
      <c r="L64" s="27" t="n">
        <v>0</v>
      </c>
      <c r="M64" s="27" t="n">
        <v>0</v>
      </c>
      <c r="N64" s="27" t="n">
        <v>0</v>
      </c>
      <c r="O64" s="27" t="n">
        <v>0</v>
      </c>
      <c r="P64" s="27" t="n">
        <v>0</v>
      </c>
      <c r="Q64" s="33" t="inlineStr"/>
    </row>
    <row r="65" ht="45" customHeight="1">
      <c r="A65" s="26" t="n">
        <v>2032</v>
      </c>
      <c r="B65" s="12" t="inlineStr">
        <is>
          <t>Business_Checking</t>
        </is>
      </c>
      <c r="C65" s="12" t="inlineStr">
        <is>
          <t>Matthew</t>
        </is>
      </c>
      <c r="D65" s="41" t="inlineStr">
        <is>
          <t>cash</t>
        </is>
      </c>
      <c r="E65" s="12" t="inlineStr">
        <is>
          <t>checking</t>
        </is>
      </c>
      <c r="F65" s="27" t="n">
        <v>5000</v>
      </c>
      <c r="G65" s="27" t="n">
        <v>0</v>
      </c>
      <c r="H65" s="27" t="n">
        <v>0</v>
      </c>
      <c r="I65" s="27" t="n">
        <v>0</v>
      </c>
      <c r="J65" s="27" t="n">
        <v>0</v>
      </c>
      <c r="K65" s="27" t="n">
        <v>0</v>
      </c>
      <c r="L65" s="27" t="n">
        <v>0</v>
      </c>
      <c r="M65" s="27" t="n">
        <v>0</v>
      </c>
      <c r="N65" s="27" t="n">
        <v>5000</v>
      </c>
      <c r="O65" s="27" t="n">
        <v>5000</v>
      </c>
      <c r="P65" s="27" t="n">
        <v>0</v>
      </c>
      <c r="Q65" s="33" t="inlineStr"/>
    </row>
    <row r="66" ht="30" customHeight="1">
      <c r="A66" s="26" t="n">
        <v>2032</v>
      </c>
      <c r="B66" s="12" t="inlineStr">
        <is>
          <t>Family_Checking</t>
        </is>
      </c>
      <c r="C66" s="12" t="inlineStr">
        <is>
          <t>Matthew</t>
        </is>
      </c>
      <c r="D66" s="41" t="inlineStr">
        <is>
          <t>cash</t>
        </is>
      </c>
      <c r="E66" s="12" t="inlineStr">
        <is>
          <t>checking</t>
        </is>
      </c>
      <c r="F66" s="27" t="n">
        <v>15000</v>
      </c>
      <c r="G66" s="27" t="n">
        <v>0</v>
      </c>
      <c r="H66" s="27" t="n">
        <v>0</v>
      </c>
      <c r="I66" s="27" t="n">
        <v>0</v>
      </c>
      <c r="J66" s="27" t="n">
        <v>0</v>
      </c>
      <c r="K66" s="27" t="n">
        <v>0</v>
      </c>
      <c r="L66" s="27" t="n">
        <v>0</v>
      </c>
      <c r="M66" s="27" t="n">
        <v>0</v>
      </c>
      <c r="N66" s="27" t="n">
        <v>15000</v>
      </c>
      <c r="O66" s="27" t="n">
        <v>15000</v>
      </c>
      <c r="P66" s="27" t="n">
        <v>0</v>
      </c>
      <c r="Q66" s="33" t="inlineStr"/>
    </row>
    <row r="67" ht="30" customHeight="1">
      <c r="A67" s="26" t="n">
        <v>2032</v>
      </c>
      <c r="B67" s="12" t="inlineStr">
        <is>
          <t>Husband_HSA</t>
        </is>
      </c>
      <c r="C67" s="12" t="inlineStr">
        <is>
          <t>Matthew</t>
        </is>
      </c>
      <c r="D67" s="41" t="inlineStr">
        <is>
          <t>hsa</t>
        </is>
      </c>
      <c r="E67" s="12" t="inlineStr">
        <is>
          <t>hsa</t>
        </is>
      </c>
      <c r="F67" s="27" t="n">
        <v>99805.74784954313</v>
      </c>
      <c r="G67" s="27" t="n">
        <v>0</v>
      </c>
      <c r="H67" s="27" t="n">
        <v>0</v>
      </c>
      <c r="I67" s="27" t="n">
        <v>0</v>
      </c>
      <c r="J67" s="27" t="n">
        <v>0</v>
      </c>
      <c r="K67" s="27" t="n">
        <v>0</v>
      </c>
      <c r="L67" s="27" t="n">
        <v>11089.52753883813</v>
      </c>
      <c r="M67" s="27" t="n">
        <v>5322.9732186423</v>
      </c>
      <c r="N67" s="27" t="n">
        <v>94039.19352934731</v>
      </c>
      <c r="O67" s="27" t="n">
        <v>94039.19352934731</v>
      </c>
      <c r="P67" s="27" t="n">
        <v>0</v>
      </c>
      <c r="Q67" s="12" t="inlineStr">
        <is>
          <t>withdrawal</t>
        </is>
      </c>
    </row>
    <row r="68" ht="30" customHeight="1">
      <c r="A68" s="26" t="n">
        <v>2032</v>
      </c>
      <c r="B68" s="12" t="inlineStr">
        <is>
          <t>Husband_401k</t>
        </is>
      </c>
      <c r="C68" s="12" t="inlineStr">
        <is>
          <t>Matthew</t>
        </is>
      </c>
      <c r="D68" s="41" t="inlineStr">
        <is>
          <t>pre_tax</t>
        </is>
      </c>
      <c r="E68" s="12" t="inlineStr">
        <is>
          <t>401k</t>
        </is>
      </c>
      <c r="F68" s="27" t="n">
        <v>0</v>
      </c>
      <c r="G68" s="27" t="n">
        <v>0</v>
      </c>
      <c r="H68" s="27" t="n">
        <v>0</v>
      </c>
      <c r="I68" s="27" t="n">
        <v>0</v>
      </c>
      <c r="J68" s="27" t="n">
        <v>0</v>
      </c>
      <c r="K68" s="27" t="n">
        <v>0</v>
      </c>
      <c r="L68" s="27" t="n">
        <v>0</v>
      </c>
      <c r="M68" s="27" t="n">
        <v>0</v>
      </c>
      <c r="N68" s="27" t="n">
        <v>0</v>
      </c>
      <c r="O68" s="27" t="n">
        <v>0</v>
      </c>
      <c r="P68" s="27" t="n">
        <v>0</v>
      </c>
      <c r="Q68" s="33" t="inlineStr"/>
    </row>
    <row r="69" ht="60" customHeight="1">
      <c r="A69" s="26" t="n">
        <v>2032</v>
      </c>
      <c r="B69" s="12" t="inlineStr">
        <is>
          <t>Husband_IRA</t>
        </is>
      </c>
      <c r="C69" s="12" t="inlineStr">
        <is>
          <t>Matthew</t>
        </is>
      </c>
      <c r="D69" s="41" t="inlineStr">
        <is>
          <t>pre_tax</t>
        </is>
      </c>
      <c r="E69" s="12" t="inlineStr">
        <is>
          <t>traditional_ira</t>
        </is>
      </c>
      <c r="F69" s="27" t="n">
        <v>1390819.486806385</v>
      </c>
      <c r="G69" s="27" t="n">
        <v>0</v>
      </c>
      <c r="H69" s="27" t="n">
        <v>0</v>
      </c>
      <c r="I69" s="27" t="n">
        <v>0</v>
      </c>
      <c r="J69" s="27" t="n">
        <v>0</v>
      </c>
      <c r="K69" s="27" t="n">
        <v>44530.28919683411</v>
      </c>
      <c r="L69" s="27" t="n">
        <v>218960.3380735459</v>
      </c>
      <c r="M69" s="27" t="n">
        <v>67639.73157216031</v>
      </c>
      <c r="N69" s="27" t="n">
        <v>1194968.591108165</v>
      </c>
      <c r="O69" s="27" t="n">
        <v>1194968.591108165</v>
      </c>
      <c r="P69" s="27" t="n">
        <v>0</v>
      </c>
      <c r="Q69" s="12" t="inlineStr">
        <is>
          <t>Roth conversion; withdrawal</t>
        </is>
      </c>
    </row>
    <row r="70" ht="30" customHeight="1">
      <c r="A70" s="26" t="n">
        <v>2032</v>
      </c>
      <c r="B70" s="12" t="inlineStr">
        <is>
          <t>Husband_Roth</t>
        </is>
      </c>
      <c r="C70" s="12" t="inlineStr">
        <is>
          <t>Matthew</t>
        </is>
      </c>
      <c r="D70" s="41" t="inlineStr">
        <is>
          <t>roth</t>
        </is>
      </c>
      <c r="E70" s="12" t="inlineStr">
        <is>
          <t>roth_ira</t>
        </is>
      </c>
      <c r="F70" s="27" t="n">
        <v>261897.1490972743</v>
      </c>
      <c r="G70" s="27" t="n">
        <v>0</v>
      </c>
      <c r="H70" s="27" t="n">
        <v>0</v>
      </c>
      <c r="I70" s="27" t="n">
        <v>0</v>
      </c>
      <c r="J70" s="27" t="n">
        <v>44530.28919683411</v>
      </c>
      <c r="K70" s="27" t="n">
        <v>0</v>
      </c>
      <c r="L70" s="27" t="n">
        <v>0</v>
      </c>
      <c r="M70" s="27" t="n">
        <v>18385.64629764651</v>
      </c>
      <c r="N70" s="27" t="n">
        <v>324813.084591755</v>
      </c>
      <c r="O70" s="27" t="n">
        <v>324813.084591755</v>
      </c>
      <c r="P70" s="27" t="n">
        <v>0</v>
      </c>
      <c r="Q70" s="12" t="inlineStr">
        <is>
          <t>Roth conversion</t>
        </is>
      </c>
    </row>
    <row r="71" ht="30" customHeight="1">
      <c r="A71" s="26" t="n">
        <v>2032</v>
      </c>
      <c r="B71" s="12" t="inlineStr">
        <is>
          <t>Husband_Trust</t>
        </is>
      </c>
      <c r="C71" s="12" t="inlineStr">
        <is>
          <t>Matthew</t>
        </is>
      </c>
      <c r="D71" s="41" t="inlineStr">
        <is>
          <t>taxable</t>
        </is>
      </c>
      <c r="E71" s="12" t="inlineStr">
        <is>
          <t>trust</t>
        </is>
      </c>
      <c r="F71" s="27" t="n">
        <v>0</v>
      </c>
      <c r="G71" s="27" t="n">
        <v>0</v>
      </c>
      <c r="H71" s="27" t="n">
        <v>0</v>
      </c>
      <c r="I71" s="27" t="n">
        <v>0</v>
      </c>
      <c r="J71" s="27" t="n">
        <v>0</v>
      </c>
      <c r="K71" s="27" t="n">
        <v>0</v>
      </c>
      <c r="L71" s="27" t="n">
        <v>0</v>
      </c>
      <c r="M71" s="27" t="n">
        <v>0</v>
      </c>
      <c r="N71" s="27" t="n">
        <v>0</v>
      </c>
      <c r="O71" s="27" t="n">
        <v>0</v>
      </c>
      <c r="P71" s="27" t="n">
        <v>0</v>
      </c>
      <c r="Q71" s="33" t="inlineStr"/>
    </row>
    <row r="72" ht="30" customHeight="1">
      <c r="A72" s="26" t="n">
        <v>2032</v>
      </c>
      <c r="B72" s="12" t="inlineStr">
        <is>
          <t>Wife_IRA</t>
        </is>
      </c>
      <c r="C72" s="12" t="inlineStr">
        <is>
          <t>Patricia</t>
        </is>
      </c>
      <c r="D72" s="41" t="inlineStr">
        <is>
          <t>pre_tax</t>
        </is>
      </c>
      <c r="E72" s="12" t="inlineStr">
        <is>
          <t>traditional_ira</t>
        </is>
      </c>
      <c r="F72" s="27" t="n">
        <v>0</v>
      </c>
      <c r="G72" s="27" t="n">
        <v>0</v>
      </c>
      <c r="H72" s="27" t="n">
        <v>0</v>
      </c>
      <c r="I72" s="27" t="n">
        <v>0</v>
      </c>
      <c r="J72" s="27" t="n">
        <v>0</v>
      </c>
      <c r="K72" s="27" t="n">
        <v>0</v>
      </c>
      <c r="L72" s="27" t="n">
        <v>0</v>
      </c>
      <c r="M72" s="27" t="n">
        <v>0</v>
      </c>
      <c r="N72" s="27" t="n">
        <v>0</v>
      </c>
      <c r="O72" s="27" t="n">
        <v>0</v>
      </c>
      <c r="P72" s="27" t="n">
        <v>0</v>
      </c>
      <c r="Q72" s="33" t="inlineStr"/>
    </row>
    <row r="73" ht="30" customHeight="1">
      <c r="A73" s="26" t="n">
        <v>2032</v>
      </c>
      <c r="B73" s="12" t="inlineStr">
        <is>
          <t>Wife_Roth</t>
        </is>
      </c>
      <c r="C73" s="12" t="inlineStr">
        <is>
          <t>Patricia</t>
        </is>
      </c>
      <c r="D73" s="41" t="inlineStr">
        <is>
          <t>roth</t>
        </is>
      </c>
      <c r="E73" s="12" t="inlineStr">
        <is>
          <t>roth_ira</t>
        </is>
      </c>
      <c r="F73" s="27" t="n">
        <v>908267.8236013079</v>
      </c>
      <c r="G73" s="27" t="n">
        <v>0</v>
      </c>
      <c r="H73" s="27" t="n">
        <v>0</v>
      </c>
      <c r="I73" s="27" t="n">
        <v>0</v>
      </c>
      <c r="J73" s="27" t="n">
        <v>0</v>
      </c>
      <c r="K73" s="27" t="n">
        <v>0</v>
      </c>
      <c r="L73" s="27" t="n">
        <v>0</v>
      </c>
      <c r="M73" s="27" t="n">
        <v>54496.06941607848</v>
      </c>
      <c r="N73" s="27" t="n">
        <v>962763.8930173864</v>
      </c>
      <c r="O73" s="27" t="n">
        <v>962763.8930173864</v>
      </c>
      <c r="P73" s="27" t="n">
        <v>0</v>
      </c>
      <c r="Q73" s="33" t="inlineStr"/>
    </row>
    <row r="74" ht="30" customHeight="1">
      <c r="A74" s="26" t="n">
        <v>2032</v>
      </c>
      <c r="B74" s="12" t="inlineStr">
        <is>
          <t>Wife_Trust</t>
        </is>
      </c>
      <c r="C74" s="12" t="inlineStr">
        <is>
          <t>Patricia</t>
        </is>
      </c>
      <c r="D74" s="41" t="inlineStr">
        <is>
          <t>taxable</t>
        </is>
      </c>
      <c r="E74" s="12" t="inlineStr">
        <is>
          <t>trust</t>
        </is>
      </c>
      <c r="F74" s="27" t="n">
        <v>0</v>
      </c>
      <c r="G74" s="27" t="n">
        <v>0</v>
      </c>
      <c r="H74" s="27" t="n">
        <v>0</v>
      </c>
      <c r="I74" s="27" t="n">
        <v>0</v>
      </c>
      <c r="J74" s="27" t="n">
        <v>0</v>
      </c>
      <c r="K74" s="27" t="n">
        <v>0</v>
      </c>
      <c r="L74" s="27" t="n">
        <v>0</v>
      </c>
      <c r="M74" s="27" t="n">
        <v>0</v>
      </c>
      <c r="N74" s="27" t="n">
        <v>0</v>
      </c>
      <c r="O74" s="27" t="n">
        <v>0</v>
      </c>
      <c r="P74" s="27" t="n">
        <v>0</v>
      </c>
      <c r="Q74" s="33" t="inlineStr"/>
    </row>
    <row r="75" ht="45" customHeight="1">
      <c r="A75" s="26" t="n">
        <v>2033</v>
      </c>
      <c r="B75" s="12" t="inlineStr">
        <is>
          <t>Business_Checking</t>
        </is>
      </c>
      <c r="C75" s="12" t="inlineStr">
        <is>
          <t>Matthew</t>
        </is>
      </c>
      <c r="D75" s="41" t="inlineStr">
        <is>
          <t>cash</t>
        </is>
      </c>
      <c r="E75" s="12" t="inlineStr">
        <is>
          <t>checking</t>
        </is>
      </c>
      <c r="F75" s="27" t="n">
        <v>5000</v>
      </c>
      <c r="G75" s="27" t="n">
        <v>0</v>
      </c>
      <c r="H75" s="27" t="n">
        <v>0</v>
      </c>
      <c r="I75" s="27" t="n">
        <v>0</v>
      </c>
      <c r="J75" s="27" t="n">
        <v>0</v>
      </c>
      <c r="K75" s="27" t="n">
        <v>0</v>
      </c>
      <c r="L75" s="27" t="n">
        <v>0</v>
      </c>
      <c r="M75" s="27" t="n">
        <v>0</v>
      </c>
      <c r="N75" s="27" t="n">
        <v>5000</v>
      </c>
      <c r="O75" s="27" t="n">
        <v>5000</v>
      </c>
      <c r="P75" s="27" t="n">
        <v>0</v>
      </c>
      <c r="Q75" s="33" t="inlineStr"/>
    </row>
    <row r="76" ht="30" customHeight="1">
      <c r="A76" s="26" t="n">
        <v>2033</v>
      </c>
      <c r="B76" s="12" t="inlineStr">
        <is>
          <t>Family_Checking</t>
        </is>
      </c>
      <c r="C76" s="12" t="inlineStr">
        <is>
          <t>Matthew</t>
        </is>
      </c>
      <c r="D76" s="41" t="inlineStr">
        <is>
          <t>cash</t>
        </is>
      </c>
      <c r="E76" s="12" t="inlineStr">
        <is>
          <t>checking</t>
        </is>
      </c>
      <c r="F76" s="27" t="n">
        <v>15000</v>
      </c>
      <c r="G76" s="27" t="n">
        <v>0</v>
      </c>
      <c r="H76" s="27" t="n">
        <v>0</v>
      </c>
      <c r="I76" s="27" t="n">
        <v>0</v>
      </c>
      <c r="J76" s="27" t="n">
        <v>0</v>
      </c>
      <c r="K76" s="27" t="n">
        <v>0</v>
      </c>
      <c r="L76" s="27" t="n">
        <v>0</v>
      </c>
      <c r="M76" s="27" t="n">
        <v>0</v>
      </c>
      <c r="N76" s="27" t="n">
        <v>15000</v>
      </c>
      <c r="O76" s="27" t="n">
        <v>15000</v>
      </c>
      <c r="P76" s="27" t="n">
        <v>0</v>
      </c>
      <c r="Q76" s="33" t="inlineStr"/>
    </row>
    <row r="77" ht="30" customHeight="1">
      <c r="A77" s="26" t="n">
        <v>2033</v>
      </c>
      <c r="B77" s="12" t="inlineStr">
        <is>
          <t>Husband_HSA</t>
        </is>
      </c>
      <c r="C77" s="12" t="inlineStr">
        <is>
          <t>Matthew</t>
        </is>
      </c>
      <c r="D77" s="41" t="inlineStr">
        <is>
          <t>hsa</t>
        </is>
      </c>
      <c r="E77" s="12" t="inlineStr">
        <is>
          <t>hsa</t>
        </is>
      </c>
      <c r="F77" s="27" t="n">
        <v>94039.19352934731</v>
      </c>
      <c r="G77" s="27" t="n">
        <v>0</v>
      </c>
      <c r="H77" s="27" t="n">
        <v>0</v>
      </c>
      <c r="I77" s="27" t="n">
        <v>0</v>
      </c>
      <c r="J77" s="27" t="n">
        <v>0</v>
      </c>
      <c r="K77" s="27" t="n">
        <v>0</v>
      </c>
      <c r="L77" s="27" t="n">
        <v>11754.89919116841</v>
      </c>
      <c r="M77" s="27" t="n">
        <v>4937.057660290733</v>
      </c>
      <c r="N77" s="27" t="n">
        <v>87221.35199846963</v>
      </c>
      <c r="O77" s="27" t="n">
        <v>87221.35199846963</v>
      </c>
      <c r="P77" s="27" t="n">
        <v>0</v>
      </c>
      <c r="Q77" s="12" t="inlineStr">
        <is>
          <t>withdrawal</t>
        </is>
      </c>
    </row>
    <row r="78" ht="30" customHeight="1">
      <c r="A78" s="26" t="n">
        <v>2033</v>
      </c>
      <c r="B78" s="12" t="inlineStr">
        <is>
          <t>Husband_401k</t>
        </is>
      </c>
      <c r="C78" s="12" t="inlineStr">
        <is>
          <t>Matthew</t>
        </is>
      </c>
      <c r="D78" s="41" t="inlineStr">
        <is>
          <t>pre_tax</t>
        </is>
      </c>
      <c r="E78" s="12" t="inlineStr">
        <is>
          <t>401k</t>
        </is>
      </c>
      <c r="F78" s="27" t="n">
        <v>0</v>
      </c>
      <c r="G78" s="27" t="n">
        <v>0</v>
      </c>
      <c r="H78" s="27" t="n">
        <v>0</v>
      </c>
      <c r="I78" s="27" t="n">
        <v>0</v>
      </c>
      <c r="J78" s="27" t="n">
        <v>0</v>
      </c>
      <c r="K78" s="27" t="n">
        <v>0</v>
      </c>
      <c r="L78" s="27" t="n">
        <v>0</v>
      </c>
      <c r="M78" s="27" t="n">
        <v>0</v>
      </c>
      <c r="N78" s="27" t="n">
        <v>0</v>
      </c>
      <c r="O78" s="27" t="n">
        <v>0</v>
      </c>
      <c r="P78" s="27" t="n">
        <v>0</v>
      </c>
      <c r="Q78" s="33" t="inlineStr"/>
    </row>
    <row r="79" ht="60" customHeight="1">
      <c r="A79" s="26" t="n">
        <v>2033</v>
      </c>
      <c r="B79" s="12" t="inlineStr">
        <is>
          <t>Husband_IRA</t>
        </is>
      </c>
      <c r="C79" s="12" t="inlineStr">
        <is>
          <t>Matthew</t>
        </is>
      </c>
      <c r="D79" s="41" t="inlineStr">
        <is>
          <t>pre_tax</t>
        </is>
      </c>
      <c r="E79" s="12" t="inlineStr">
        <is>
          <t>traditional_ira</t>
        </is>
      </c>
      <c r="F79" s="27" t="n">
        <v>1194968.591108165</v>
      </c>
      <c r="G79" s="27" t="n">
        <v>0</v>
      </c>
      <c r="H79" s="27" t="n">
        <v>0</v>
      </c>
      <c r="I79" s="27" t="n">
        <v>0</v>
      </c>
      <c r="J79" s="27" t="n">
        <v>0</v>
      </c>
      <c r="K79" s="27" t="n">
        <v>50557.68148332619</v>
      </c>
      <c r="L79" s="27" t="n">
        <v>102254.4701944376</v>
      </c>
      <c r="M79" s="27" t="n">
        <v>62529.3863658241</v>
      </c>
      <c r="N79" s="27" t="n">
        <v>1104685.825796226</v>
      </c>
      <c r="O79" s="27" t="n">
        <v>1104685.825796226</v>
      </c>
      <c r="P79" s="27" t="n">
        <v>0</v>
      </c>
      <c r="Q79" s="12" t="inlineStr">
        <is>
          <t>Roth conversion; withdrawal</t>
        </is>
      </c>
    </row>
    <row r="80" ht="30" customHeight="1">
      <c r="A80" s="26" t="n">
        <v>2033</v>
      </c>
      <c r="B80" s="12" t="inlineStr">
        <is>
          <t>Husband_Roth</t>
        </is>
      </c>
      <c r="C80" s="12" t="inlineStr">
        <is>
          <t>Matthew</t>
        </is>
      </c>
      <c r="D80" s="41" t="inlineStr">
        <is>
          <t>roth</t>
        </is>
      </c>
      <c r="E80" s="12" t="inlineStr">
        <is>
          <t>roth_ira</t>
        </is>
      </c>
      <c r="F80" s="27" t="n">
        <v>324813.084591755</v>
      </c>
      <c r="G80" s="27" t="n">
        <v>0</v>
      </c>
      <c r="H80" s="27" t="n">
        <v>0</v>
      </c>
      <c r="I80" s="27" t="n">
        <v>0</v>
      </c>
      <c r="J80" s="27" t="n">
        <v>50557.68148332619</v>
      </c>
      <c r="K80" s="27" t="n">
        <v>0</v>
      </c>
      <c r="L80" s="27" t="n">
        <v>0</v>
      </c>
      <c r="M80" s="27" t="n">
        <v>22522.24596450487</v>
      </c>
      <c r="N80" s="27" t="n">
        <v>397893.0120395861</v>
      </c>
      <c r="O80" s="27" t="n">
        <v>397893.0120395861</v>
      </c>
      <c r="P80" s="27" t="n">
        <v>0</v>
      </c>
      <c r="Q80" s="12" t="inlineStr">
        <is>
          <t>Roth conversion</t>
        </is>
      </c>
    </row>
    <row r="81" ht="30" customHeight="1">
      <c r="A81" s="26" t="n">
        <v>2033</v>
      </c>
      <c r="B81" s="12" t="inlineStr">
        <is>
          <t>Husband_Trust</t>
        </is>
      </c>
      <c r="C81" s="12" t="inlineStr">
        <is>
          <t>Matthew</t>
        </is>
      </c>
      <c r="D81" s="41" t="inlineStr">
        <is>
          <t>taxable</t>
        </is>
      </c>
      <c r="E81" s="12" t="inlineStr">
        <is>
          <t>trust</t>
        </is>
      </c>
      <c r="F81" s="27" t="n">
        <v>0</v>
      </c>
      <c r="G81" s="27" t="n">
        <v>0</v>
      </c>
      <c r="H81" s="27" t="n">
        <v>0</v>
      </c>
      <c r="I81" s="27" t="n">
        <v>0</v>
      </c>
      <c r="J81" s="27" t="n">
        <v>0</v>
      </c>
      <c r="K81" s="27" t="n">
        <v>0</v>
      </c>
      <c r="L81" s="27" t="n">
        <v>0</v>
      </c>
      <c r="M81" s="27" t="n">
        <v>0</v>
      </c>
      <c r="N81" s="27" t="n">
        <v>0</v>
      </c>
      <c r="O81" s="27" t="n">
        <v>0</v>
      </c>
      <c r="P81" s="27" t="n">
        <v>0</v>
      </c>
      <c r="Q81" s="33" t="inlineStr"/>
    </row>
    <row r="82" ht="30" customHeight="1">
      <c r="A82" s="26" t="n">
        <v>2033</v>
      </c>
      <c r="B82" s="12" t="inlineStr">
        <is>
          <t>Wife_IRA</t>
        </is>
      </c>
      <c r="C82" s="12" t="inlineStr">
        <is>
          <t>Patricia</t>
        </is>
      </c>
      <c r="D82" s="41" t="inlineStr">
        <is>
          <t>pre_tax</t>
        </is>
      </c>
      <c r="E82" s="12" t="inlineStr">
        <is>
          <t>traditional_ira</t>
        </is>
      </c>
      <c r="F82" s="27" t="n">
        <v>0</v>
      </c>
      <c r="G82" s="27" t="n">
        <v>0</v>
      </c>
      <c r="H82" s="27" t="n">
        <v>0</v>
      </c>
      <c r="I82" s="27" t="n">
        <v>0</v>
      </c>
      <c r="J82" s="27" t="n">
        <v>0</v>
      </c>
      <c r="K82" s="27" t="n">
        <v>0</v>
      </c>
      <c r="L82" s="27" t="n">
        <v>0</v>
      </c>
      <c r="M82" s="27" t="n">
        <v>0</v>
      </c>
      <c r="N82" s="27" t="n">
        <v>0</v>
      </c>
      <c r="O82" s="27" t="n">
        <v>0</v>
      </c>
      <c r="P82" s="27" t="n">
        <v>0</v>
      </c>
      <c r="Q82" s="33" t="inlineStr"/>
    </row>
    <row r="83" ht="30" customHeight="1">
      <c r="A83" s="26" t="n">
        <v>2033</v>
      </c>
      <c r="B83" s="12" t="inlineStr">
        <is>
          <t>Wife_Roth</t>
        </is>
      </c>
      <c r="C83" s="12" t="inlineStr">
        <is>
          <t>Patricia</t>
        </is>
      </c>
      <c r="D83" s="41" t="inlineStr">
        <is>
          <t>roth</t>
        </is>
      </c>
      <c r="E83" s="12" t="inlineStr">
        <is>
          <t>roth_ira</t>
        </is>
      </c>
      <c r="F83" s="27" t="n">
        <v>962763.8930173864</v>
      </c>
      <c r="G83" s="27" t="n">
        <v>0</v>
      </c>
      <c r="H83" s="27" t="n">
        <v>0</v>
      </c>
      <c r="I83" s="27" t="n">
        <v>0</v>
      </c>
      <c r="J83" s="27" t="n">
        <v>0</v>
      </c>
      <c r="K83" s="27" t="n">
        <v>0</v>
      </c>
      <c r="L83" s="27" t="n">
        <v>0</v>
      </c>
      <c r="M83" s="27" t="n">
        <v>57765.83358104318</v>
      </c>
      <c r="N83" s="27" t="n">
        <v>1020529.72659843</v>
      </c>
      <c r="O83" s="27" t="n">
        <v>1020529.72659843</v>
      </c>
      <c r="P83" s="27" t="n">
        <v>0</v>
      </c>
      <c r="Q83" s="33" t="inlineStr"/>
    </row>
    <row r="84" ht="30" customHeight="1">
      <c r="A84" s="26" t="n">
        <v>2033</v>
      </c>
      <c r="B84" s="12" t="inlineStr">
        <is>
          <t>Wife_Trust</t>
        </is>
      </c>
      <c r="C84" s="12" t="inlineStr">
        <is>
          <t>Patricia</t>
        </is>
      </c>
      <c r="D84" s="41" t="inlineStr">
        <is>
          <t>taxable</t>
        </is>
      </c>
      <c r="E84" s="12" t="inlineStr">
        <is>
          <t>trust</t>
        </is>
      </c>
      <c r="F84" s="27" t="n">
        <v>0</v>
      </c>
      <c r="G84" s="27" t="n">
        <v>0</v>
      </c>
      <c r="H84" s="27" t="n">
        <v>0</v>
      </c>
      <c r="I84" s="27" t="n">
        <v>0</v>
      </c>
      <c r="J84" s="27" t="n">
        <v>0</v>
      </c>
      <c r="K84" s="27" t="n">
        <v>0</v>
      </c>
      <c r="L84" s="27" t="n">
        <v>0</v>
      </c>
      <c r="M84" s="27" t="n">
        <v>0</v>
      </c>
      <c r="N84" s="27" t="n">
        <v>0</v>
      </c>
      <c r="O84" s="27" t="n">
        <v>0</v>
      </c>
      <c r="P84" s="27" t="n">
        <v>0</v>
      </c>
      <c r="Q84" s="33" t="inlineStr"/>
    </row>
    <row r="85" ht="45" customHeight="1">
      <c r="A85" s="26" t="n">
        <v>2034</v>
      </c>
      <c r="B85" s="12" t="inlineStr">
        <is>
          <t>Business_Checking</t>
        </is>
      </c>
      <c r="C85" s="12" t="inlineStr">
        <is>
          <t>Matthew</t>
        </is>
      </c>
      <c r="D85" s="41" t="inlineStr">
        <is>
          <t>cash</t>
        </is>
      </c>
      <c r="E85" s="12" t="inlineStr">
        <is>
          <t>checking</t>
        </is>
      </c>
      <c r="F85" s="27" t="n">
        <v>5000</v>
      </c>
      <c r="G85" s="27" t="n">
        <v>0</v>
      </c>
      <c r="H85" s="27" t="n">
        <v>0</v>
      </c>
      <c r="I85" s="27" t="n">
        <v>0</v>
      </c>
      <c r="J85" s="27" t="n">
        <v>0</v>
      </c>
      <c r="K85" s="27" t="n">
        <v>0</v>
      </c>
      <c r="L85" s="27" t="n">
        <v>0</v>
      </c>
      <c r="M85" s="27" t="n">
        <v>0</v>
      </c>
      <c r="N85" s="27" t="n">
        <v>5000</v>
      </c>
      <c r="O85" s="27" t="n">
        <v>5000</v>
      </c>
      <c r="P85" s="27" t="n">
        <v>0</v>
      </c>
      <c r="Q85" s="33" t="inlineStr"/>
    </row>
    <row r="86" ht="30" customHeight="1">
      <c r="A86" s="26" t="n">
        <v>2034</v>
      </c>
      <c r="B86" s="12" t="inlineStr">
        <is>
          <t>Family_Checking</t>
        </is>
      </c>
      <c r="C86" s="12" t="inlineStr">
        <is>
          <t>Matthew</t>
        </is>
      </c>
      <c r="D86" s="41" t="inlineStr">
        <is>
          <t>cash</t>
        </is>
      </c>
      <c r="E86" s="12" t="inlineStr">
        <is>
          <t>checking</t>
        </is>
      </c>
      <c r="F86" s="27" t="n">
        <v>15000</v>
      </c>
      <c r="G86" s="27" t="n">
        <v>0</v>
      </c>
      <c r="H86" s="27" t="n">
        <v>0</v>
      </c>
      <c r="I86" s="27" t="n">
        <v>0</v>
      </c>
      <c r="J86" s="27" t="n">
        <v>0</v>
      </c>
      <c r="K86" s="27" t="n">
        <v>0</v>
      </c>
      <c r="L86" s="27" t="n">
        <v>0</v>
      </c>
      <c r="M86" s="27" t="n">
        <v>0</v>
      </c>
      <c r="N86" s="27" t="n">
        <v>15000</v>
      </c>
      <c r="O86" s="27" t="n">
        <v>15000</v>
      </c>
      <c r="P86" s="27" t="n">
        <v>0</v>
      </c>
      <c r="Q86" s="33" t="inlineStr"/>
    </row>
    <row r="87" ht="30" customHeight="1">
      <c r="A87" s="26" t="n">
        <v>2034</v>
      </c>
      <c r="B87" s="12" t="inlineStr">
        <is>
          <t>Husband_HSA</t>
        </is>
      </c>
      <c r="C87" s="12" t="inlineStr">
        <is>
          <t>Matthew</t>
        </is>
      </c>
      <c r="D87" s="41" t="inlineStr">
        <is>
          <t>hsa</t>
        </is>
      </c>
      <c r="E87" s="12" t="inlineStr">
        <is>
          <t>hsa</t>
        </is>
      </c>
      <c r="F87" s="27" t="n">
        <v>87221.35199846963</v>
      </c>
      <c r="G87" s="27" t="n">
        <v>0</v>
      </c>
      <c r="H87" s="27" t="n">
        <v>0</v>
      </c>
      <c r="I87" s="27" t="n">
        <v>0</v>
      </c>
      <c r="J87" s="27" t="n">
        <v>0</v>
      </c>
      <c r="K87" s="27" t="n">
        <v>0</v>
      </c>
      <c r="L87" s="27" t="n">
        <v>12460.19314263852</v>
      </c>
      <c r="M87" s="27" t="n">
        <v>4485.669531349867</v>
      </c>
      <c r="N87" s="27" t="n">
        <v>79246.82838718098</v>
      </c>
      <c r="O87" s="27" t="n">
        <v>79246.82838718098</v>
      </c>
      <c r="P87" s="27" t="n">
        <v>0</v>
      </c>
      <c r="Q87" s="12" t="inlineStr">
        <is>
          <t>withdrawal</t>
        </is>
      </c>
    </row>
    <row r="88" ht="30" customHeight="1">
      <c r="A88" s="26" t="n">
        <v>2034</v>
      </c>
      <c r="B88" s="12" t="inlineStr">
        <is>
          <t>Husband_401k</t>
        </is>
      </c>
      <c r="C88" s="12" t="inlineStr">
        <is>
          <t>Matthew</t>
        </is>
      </c>
      <c r="D88" s="41" t="inlineStr">
        <is>
          <t>pre_tax</t>
        </is>
      </c>
      <c r="E88" s="12" t="inlineStr">
        <is>
          <t>401k</t>
        </is>
      </c>
      <c r="F88" s="27" t="n">
        <v>0</v>
      </c>
      <c r="G88" s="27" t="n">
        <v>0</v>
      </c>
      <c r="H88" s="27" t="n">
        <v>0</v>
      </c>
      <c r="I88" s="27" t="n">
        <v>0</v>
      </c>
      <c r="J88" s="27" t="n">
        <v>0</v>
      </c>
      <c r="K88" s="27" t="n">
        <v>0</v>
      </c>
      <c r="L88" s="27" t="n">
        <v>0</v>
      </c>
      <c r="M88" s="27" t="n">
        <v>0</v>
      </c>
      <c r="N88" s="27" t="n">
        <v>0</v>
      </c>
      <c r="O88" s="27" t="n">
        <v>0</v>
      </c>
      <c r="P88" s="27" t="n">
        <v>0</v>
      </c>
      <c r="Q88" s="33" t="inlineStr"/>
    </row>
    <row r="89" ht="60" customHeight="1">
      <c r="A89" s="26" t="n">
        <v>2034</v>
      </c>
      <c r="B89" s="12" t="inlineStr">
        <is>
          <t>Husband_IRA</t>
        </is>
      </c>
      <c r="C89" s="12" t="inlineStr">
        <is>
          <t>Matthew</t>
        </is>
      </c>
      <c r="D89" s="41" t="inlineStr">
        <is>
          <t>pre_tax</t>
        </is>
      </c>
      <c r="E89" s="12" t="inlineStr">
        <is>
          <t>traditional_ira</t>
        </is>
      </c>
      <c r="F89" s="27" t="n">
        <v>1104685.825796226</v>
      </c>
      <c r="G89" s="27" t="n">
        <v>0</v>
      </c>
      <c r="H89" s="27" t="n">
        <v>0</v>
      </c>
      <c r="I89" s="27" t="n">
        <v>0</v>
      </c>
      <c r="J89" s="27" t="n">
        <v>0</v>
      </c>
      <c r="K89" s="27" t="n">
        <v>56615.1008459524</v>
      </c>
      <c r="L89" s="27" t="n">
        <v>190093.8647446176</v>
      </c>
      <c r="M89" s="27" t="n">
        <v>51478.61161233934</v>
      </c>
      <c r="N89" s="27" t="n">
        <v>909455.4718179952</v>
      </c>
      <c r="O89" s="27" t="n">
        <v>909455.4718179952</v>
      </c>
      <c r="P89" s="27" t="n">
        <v>0</v>
      </c>
      <c r="Q89" s="12" t="inlineStr">
        <is>
          <t>Roth conversion; withdrawal</t>
        </is>
      </c>
    </row>
    <row r="90" ht="30" customHeight="1">
      <c r="A90" s="26" t="n">
        <v>2034</v>
      </c>
      <c r="B90" s="12" t="inlineStr">
        <is>
          <t>Husband_Roth</t>
        </is>
      </c>
      <c r="C90" s="12" t="inlineStr">
        <is>
          <t>Matthew</t>
        </is>
      </c>
      <c r="D90" s="41" t="inlineStr">
        <is>
          <t>roth</t>
        </is>
      </c>
      <c r="E90" s="12" t="inlineStr">
        <is>
          <t>roth_ira</t>
        </is>
      </c>
      <c r="F90" s="27" t="n">
        <v>397893.0120395861</v>
      </c>
      <c r="G90" s="27" t="n">
        <v>0</v>
      </c>
      <c r="H90" s="27" t="n">
        <v>0</v>
      </c>
      <c r="I90" s="27" t="n">
        <v>0</v>
      </c>
      <c r="J90" s="27" t="n">
        <v>56615.1008459524</v>
      </c>
      <c r="K90" s="27" t="n">
        <v>0</v>
      </c>
      <c r="L90" s="27" t="n">
        <v>0</v>
      </c>
      <c r="M90" s="27" t="n">
        <v>27270.48677313231</v>
      </c>
      <c r="N90" s="27" t="n">
        <v>481778.5996586708</v>
      </c>
      <c r="O90" s="27" t="n">
        <v>481778.5996586708</v>
      </c>
      <c r="P90" s="27" t="n">
        <v>0</v>
      </c>
      <c r="Q90" s="12" t="inlineStr">
        <is>
          <t>Roth conversion</t>
        </is>
      </c>
    </row>
    <row r="91" ht="30" customHeight="1">
      <c r="A91" s="26" t="n">
        <v>2034</v>
      </c>
      <c r="B91" s="12" t="inlineStr">
        <is>
          <t>Husband_Trust</t>
        </is>
      </c>
      <c r="C91" s="12" t="inlineStr">
        <is>
          <t>Matthew</t>
        </is>
      </c>
      <c r="D91" s="41" t="inlineStr">
        <is>
          <t>taxable</t>
        </is>
      </c>
      <c r="E91" s="12" t="inlineStr">
        <is>
          <t>trust</t>
        </is>
      </c>
      <c r="F91" s="27" t="n">
        <v>0</v>
      </c>
      <c r="G91" s="27" t="n">
        <v>0</v>
      </c>
      <c r="H91" s="27" t="n">
        <v>0</v>
      </c>
      <c r="I91" s="27" t="n">
        <v>0</v>
      </c>
      <c r="J91" s="27" t="n">
        <v>0</v>
      </c>
      <c r="K91" s="27" t="n">
        <v>0</v>
      </c>
      <c r="L91" s="27" t="n">
        <v>0</v>
      </c>
      <c r="M91" s="27" t="n">
        <v>0</v>
      </c>
      <c r="N91" s="27" t="n">
        <v>0</v>
      </c>
      <c r="O91" s="27" t="n">
        <v>0</v>
      </c>
      <c r="P91" s="27" t="n">
        <v>0</v>
      </c>
      <c r="Q91" s="33" t="inlineStr"/>
    </row>
    <row r="92" ht="30" customHeight="1">
      <c r="A92" s="26" t="n">
        <v>2034</v>
      </c>
      <c r="B92" s="12" t="inlineStr">
        <is>
          <t>Wife_IRA</t>
        </is>
      </c>
      <c r="C92" s="12" t="inlineStr">
        <is>
          <t>Patricia</t>
        </is>
      </c>
      <c r="D92" s="41" t="inlineStr">
        <is>
          <t>pre_tax</t>
        </is>
      </c>
      <c r="E92" s="12" t="inlineStr">
        <is>
          <t>traditional_ira</t>
        </is>
      </c>
      <c r="F92" s="27" t="n">
        <v>0</v>
      </c>
      <c r="G92" s="27" t="n">
        <v>0</v>
      </c>
      <c r="H92" s="27" t="n">
        <v>0</v>
      </c>
      <c r="I92" s="27" t="n">
        <v>0</v>
      </c>
      <c r="J92" s="27" t="n">
        <v>0</v>
      </c>
      <c r="K92" s="27" t="n">
        <v>0</v>
      </c>
      <c r="L92" s="27" t="n">
        <v>0</v>
      </c>
      <c r="M92" s="27" t="n">
        <v>0</v>
      </c>
      <c r="N92" s="27" t="n">
        <v>0</v>
      </c>
      <c r="O92" s="27" t="n">
        <v>0</v>
      </c>
      <c r="P92" s="27" t="n">
        <v>0</v>
      </c>
      <c r="Q92" s="33" t="inlineStr"/>
    </row>
    <row r="93" ht="30" customHeight="1">
      <c r="A93" s="26" t="n">
        <v>2034</v>
      </c>
      <c r="B93" s="12" t="inlineStr">
        <is>
          <t>Wife_Roth</t>
        </is>
      </c>
      <c r="C93" s="12" t="inlineStr">
        <is>
          <t>Patricia</t>
        </is>
      </c>
      <c r="D93" s="41" t="inlineStr">
        <is>
          <t>roth</t>
        </is>
      </c>
      <c r="E93" s="12" t="inlineStr">
        <is>
          <t>roth_ira</t>
        </is>
      </c>
      <c r="F93" s="27" t="n">
        <v>1020529.72659843</v>
      </c>
      <c r="G93" s="27" t="n">
        <v>0</v>
      </c>
      <c r="H93" s="27" t="n">
        <v>0</v>
      </c>
      <c r="I93" s="27" t="n">
        <v>0</v>
      </c>
      <c r="J93" s="27" t="n">
        <v>0</v>
      </c>
      <c r="K93" s="27" t="n">
        <v>0</v>
      </c>
      <c r="L93" s="27" t="n">
        <v>0</v>
      </c>
      <c r="M93" s="27" t="n">
        <v>61231.78359590578</v>
      </c>
      <c r="N93" s="27" t="n">
        <v>1081761.510194335</v>
      </c>
      <c r="O93" s="27" t="n">
        <v>1081761.510194335</v>
      </c>
      <c r="P93" s="27" t="n">
        <v>0</v>
      </c>
      <c r="Q93" s="33" t="inlineStr"/>
    </row>
    <row r="94" ht="30" customHeight="1">
      <c r="A94" s="26" t="n">
        <v>2034</v>
      </c>
      <c r="B94" s="12" t="inlineStr">
        <is>
          <t>Wife_Trust</t>
        </is>
      </c>
      <c r="C94" s="12" t="inlineStr">
        <is>
          <t>Patricia</t>
        </is>
      </c>
      <c r="D94" s="41" t="inlineStr">
        <is>
          <t>taxable</t>
        </is>
      </c>
      <c r="E94" s="12" t="inlineStr">
        <is>
          <t>trust</t>
        </is>
      </c>
      <c r="F94" s="27" t="n">
        <v>0</v>
      </c>
      <c r="G94" s="27" t="n">
        <v>0</v>
      </c>
      <c r="H94" s="27" t="n">
        <v>0</v>
      </c>
      <c r="I94" s="27" t="n">
        <v>0</v>
      </c>
      <c r="J94" s="27" t="n">
        <v>0</v>
      </c>
      <c r="K94" s="27" t="n">
        <v>0</v>
      </c>
      <c r="L94" s="27" t="n">
        <v>0</v>
      </c>
      <c r="M94" s="27" t="n">
        <v>0</v>
      </c>
      <c r="N94" s="27" t="n">
        <v>0</v>
      </c>
      <c r="O94" s="27" t="n">
        <v>0</v>
      </c>
      <c r="P94" s="27" t="n">
        <v>0</v>
      </c>
      <c r="Q94" s="33" t="inlineStr"/>
    </row>
    <row r="95" ht="45" customHeight="1">
      <c r="A95" s="26" t="n">
        <v>2035</v>
      </c>
      <c r="B95" s="12" t="inlineStr">
        <is>
          <t>Business_Checking</t>
        </is>
      </c>
      <c r="C95" s="12" t="inlineStr">
        <is>
          <t>Matthew</t>
        </is>
      </c>
      <c r="D95" s="41" t="inlineStr">
        <is>
          <t>cash</t>
        </is>
      </c>
      <c r="E95" s="12" t="inlineStr">
        <is>
          <t>checking</t>
        </is>
      </c>
      <c r="F95" s="27" t="n">
        <v>5000</v>
      </c>
      <c r="G95" s="27" t="n">
        <v>0</v>
      </c>
      <c r="H95" s="27" t="n">
        <v>0</v>
      </c>
      <c r="I95" s="27" t="n">
        <v>0</v>
      </c>
      <c r="J95" s="27" t="n">
        <v>0</v>
      </c>
      <c r="K95" s="27" t="n">
        <v>0</v>
      </c>
      <c r="L95" s="27" t="n">
        <v>0</v>
      </c>
      <c r="M95" s="27" t="n">
        <v>0</v>
      </c>
      <c r="N95" s="27" t="n">
        <v>5000</v>
      </c>
      <c r="O95" s="27" t="n">
        <v>5000</v>
      </c>
      <c r="P95" s="27" t="n">
        <v>0</v>
      </c>
      <c r="Q95" s="33" t="inlineStr"/>
    </row>
    <row r="96" ht="30" customHeight="1">
      <c r="A96" s="26" t="n">
        <v>2035</v>
      </c>
      <c r="B96" s="12" t="inlineStr">
        <is>
          <t>Family_Checking</t>
        </is>
      </c>
      <c r="C96" s="12" t="inlineStr">
        <is>
          <t>Matthew</t>
        </is>
      </c>
      <c r="D96" s="41" t="inlineStr">
        <is>
          <t>cash</t>
        </is>
      </c>
      <c r="E96" s="12" t="inlineStr">
        <is>
          <t>checking</t>
        </is>
      </c>
      <c r="F96" s="27" t="n">
        <v>15000</v>
      </c>
      <c r="G96" s="27" t="n">
        <v>0</v>
      </c>
      <c r="H96" s="27" t="n">
        <v>0</v>
      </c>
      <c r="I96" s="27" t="n">
        <v>0</v>
      </c>
      <c r="J96" s="27" t="n">
        <v>0</v>
      </c>
      <c r="K96" s="27" t="n">
        <v>0</v>
      </c>
      <c r="L96" s="27" t="n">
        <v>0</v>
      </c>
      <c r="M96" s="27" t="n">
        <v>0</v>
      </c>
      <c r="N96" s="27" t="n">
        <v>15000</v>
      </c>
      <c r="O96" s="27" t="n">
        <v>15000</v>
      </c>
      <c r="P96" s="27" t="n">
        <v>0</v>
      </c>
      <c r="Q96" s="33" t="inlineStr"/>
    </row>
    <row r="97" ht="30" customHeight="1">
      <c r="A97" s="26" t="n">
        <v>2035</v>
      </c>
      <c r="B97" s="12" t="inlineStr">
        <is>
          <t>Husband_HSA</t>
        </is>
      </c>
      <c r="C97" s="12" t="inlineStr">
        <is>
          <t>Matthew</t>
        </is>
      </c>
      <c r="D97" s="41" t="inlineStr">
        <is>
          <t>hsa</t>
        </is>
      </c>
      <c r="E97" s="12" t="inlineStr">
        <is>
          <t>hsa</t>
        </is>
      </c>
      <c r="F97" s="27" t="n">
        <v>79246.82838718098</v>
      </c>
      <c r="G97" s="27" t="n">
        <v>0</v>
      </c>
      <c r="H97" s="27" t="n">
        <v>0</v>
      </c>
      <c r="I97" s="27" t="n">
        <v>0</v>
      </c>
      <c r="J97" s="27" t="n">
        <v>0</v>
      </c>
      <c r="K97" s="27" t="n">
        <v>0</v>
      </c>
      <c r="L97" s="27" t="n">
        <v>13207.80473119683</v>
      </c>
      <c r="M97" s="27" t="n">
        <v>3962.341419359049</v>
      </c>
      <c r="N97" s="27" t="n">
        <v>70001.3650753432</v>
      </c>
      <c r="O97" s="27" t="n">
        <v>70001.3650753432</v>
      </c>
      <c r="P97" s="27" t="n">
        <v>0</v>
      </c>
      <c r="Q97" s="12" t="inlineStr">
        <is>
          <t>withdrawal</t>
        </is>
      </c>
    </row>
    <row r="98" ht="30" customHeight="1">
      <c r="A98" s="26" t="n">
        <v>2035</v>
      </c>
      <c r="B98" s="12" t="inlineStr">
        <is>
          <t>Husband_401k</t>
        </is>
      </c>
      <c r="C98" s="12" t="inlineStr">
        <is>
          <t>Matthew</t>
        </is>
      </c>
      <c r="D98" s="41" t="inlineStr">
        <is>
          <t>pre_tax</t>
        </is>
      </c>
      <c r="E98" s="12" t="inlineStr">
        <is>
          <t>401k</t>
        </is>
      </c>
      <c r="F98" s="27" t="n">
        <v>0</v>
      </c>
      <c r="G98" s="27" t="n">
        <v>0</v>
      </c>
      <c r="H98" s="27" t="n">
        <v>0</v>
      </c>
      <c r="I98" s="27" t="n">
        <v>0</v>
      </c>
      <c r="J98" s="27" t="n">
        <v>0</v>
      </c>
      <c r="K98" s="27" t="n">
        <v>0</v>
      </c>
      <c r="L98" s="27" t="n">
        <v>0</v>
      </c>
      <c r="M98" s="27" t="n">
        <v>0</v>
      </c>
      <c r="N98" s="27" t="n">
        <v>0</v>
      </c>
      <c r="O98" s="27" t="n">
        <v>0</v>
      </c>
      <c r="P98" s="27" t="n">
        <v>0</v>
      </c>
      <c r="Q98" s="33" t="inlineStr"/>
    </row>
    <row r="99" ht="60" customHeight="1">
      <c r="A99" s="26" t="n">
        <v>2035</v>
      </c>
      <c r="B99" s="12" t="inlineStr">
        <is>
          <t>Husband_IRA</t>
        </is>
      </c>
      <c r="C99" s="12" t="inlineStr">
        <is>
          <t>Matthew</t>
        </is>
      </c>
      <c r="D99" s="41" t="inlineStr">
        <is>
          <t>pre_tax</t>
        </is>
      </c>
      <c r="E99" s="12" t="inlineStr">
        <is>
          <t>traditional_ira</t>
        </is>
      </c>
      <c r="F99" s="27" t="n">
        <v>909455.4718179952</v>
      </c>
      <c r="G99" s="27" t="n">
        <v>0</v>
      </c>
      <c r="H99" s="27" t="n">
        <v>0</v>
      </c>
      <c r="I99" s="27" t="n">
        <v>0</v>
      </c>
      <c r="J99" s="27" t="n">
        <v>0</v>
      </c>
      <c r="K99" s="27" t="n">
        <v>57327.09731166446</v>
      </c>
      <c r="L99" s="27" t="n">
        <v>149196.6302948706</v>
      </c>
      <c r="M99" s="27" t="n">
        <v>42175.9046526876</v>
      </c>
      <c r="N99" s="27" t="n">
        <v>745107.6488641477</v>
      </c>
      <c r="O99" s="27" t="n">
        <v>745107.6488641477</v>
      </c>
      <c r="P99" s="27" t="n">
        <v>0</v>
      </c>
      <c r="Q99" s="12" t="inlineStr">
        <is>
          <t>Roth conversion; withdrawal</t>
        </is>
      </c>
    </row>
    <row r="100" ht="30" customHeight="1">
      <c r="A100" s="26" t="n">
        <v>2035</v>
      </c>
      <c r="B100" s="12" t="inlineStr">
        <is>
          <t>Husband_Roth</t>
        </is>
      </c>
      <c r="C100" s="12" t="inlineStr">
        <is>
          <t>Matthew</t>
        </is>
      </c>
      <c r="D100" s="41" t="inlineStr">
        <is>
          <t>roth</t>
        </is>
      </c>
      <c r="E100" s="12" t="inlineStr">
        <is>
          <t>roth_ira</t>
        </is>
      </c>
      <c r="F100" s="27" t="n">
        <v>481778.5996586708</v>
      </c>
      <c r="G100" s="27" t="n">
        <v>0</v>
      </c>
      <c r="H100" s="27" t="n">
        <v>0</v>
      </c>
      <c r="I100" s="27" t="n">
        <v>0</v>
      </c>
      <c r="J100" s="27" t="n">
        <v>57327.09731166446</v>
      </c>
      <c r="K100" s="27" t="n">
        <v>0</v>
      </c>
      <c r="L100" s="27" t="n">
        <v>0</v>
      </c>
      <c r="M100" s="27" t="n">
        <v>32346.34181822011</v>
      </c>
      <c r="N100" s="27" t="n">
        <v>571452.0387885553</v>
      </c>
      <c r="O100" s="27" t="n">
        <v>571452.0387885553</v>
      </c>
      <c r="P100" s="27" t="n">
        <v>0</v>
      </c>
      <c r="Q100" s="12" t="inlineStr">
        <is>
          <t>Roth conversion</t>
        </is>
      </c>
    </row>
    <row r="101" ht="30" customHeight="1">
      <c r="A101" s="26" t="n">
        <v>2035</v>
      </c>
      <c r="B101" s="12" t="inlineStr">
        <is>
          <t>Husband_Trust</t>
        </is>
      </c>
      <c r="C101" s="12" t="inlineStr">
        <is>
          <t>Matthew</t>
        </is>
      </c>
      <c r="D101" s="41" t="inlineStr">
        <is>
          <t>taxable</t>
        </is>
      </c>
      <c r="E101" s="12" t="inlineStr">
        <is>
          <t>trust</t>
        </is>
      </c>
      <c r="F101" s="27" t="n">
        <v>0</v>
      </c>
      <c r="G101" s="27" t="n">
        <v>0</v>
      </c>
      <c r="H101" s="27" t="n">
        <v>0</v>
      </c>
      <c r="I101" s="27" t="n">
        <v>0</v>
      </c>
      <c r="J101" s="27" t="n">
        <v>0</v>
      </c>
      <c r="K101" s="27" t="n">
        <v>0</v>
      </c>
      <c r="L101" s="27" t="n">
        <v>0</v>
      </c>
      <c r="M101" s="27" t="n">
        <v>2.812436874143693e-13</v>
      </c>
      <c r="N101" s="27" t="n">
        <v>2.812436874143693e-13</v>
      </c>
      <c r="O101" s="27" t="n">
        <v>7.557201301597796e-12</v>
      </c>
      <c r="P101" s="27" t="n">
        <v>7.275957614183426e-12</v>
      </c>
      <c r="Q101" s="33" t="inlineStr"/>
    </row>
    <row r="102" ht="30" customHeight="1">
      <c r="A102" s="26" t="n">
        <v>2035</v>
      </c>
      <c r="B102" s="12" t="inlineStr">
        <is>
          <t>Wife_IRA</t>
        </is>
      </c>
      <c r="C102" s="12" t="inlineStr">
        <is>
          <t>Patricia</t>
        </is>
      </c>
      <c r="D102" s="41" t="inlineStr">
        <is>
          <t>pre_tax</t>
        </is>
      </c>
      <c r="E102" s="12" t="inlineStr">
        <is>
          <t>traditional_ira</t>
        </is>
      </c>
      <c r="F102" s="27" t="n">
        <v>0</v>
      </c>
      <c r="G102" s="27" t="n">
        <v>0</v>
      </c>
      <c r="H102" s="27" t="n">
        <v>0</v>
      </c>
      <c r="I102" s="27" t="n">
        <v>0</v>
      </c>
      <c r="J102" s="27" t="n">
        <v>0</v>
      </c>
      <c r="K102" s="27" t="n">
        <v>0</v>
      </c>
      <c r="L102" s="27" t="n">
        <v>0</v>
      </c>
      <c r="M102" s="27" t="n">
        <v>0</v>
      </c>
      <c r="N102" s="27" t="n">
        <v>0</v>
      </c>
      <c r="O102" s="27" t="n">
        <v>0</v>
      </c>
      <c r="P102" s="27" t="n">
        <v>0</v>
      </c>
      <c r="Q102" s="33" t="inlineStr"/>
    </row>
    <row r="103" ht="30" customHeight="1">
      <c r="A103" s="26" t="n">
        <v>2035</v>
      </c>
      <c r="B103" s="12" t="inlineStr">
        <is>
          <t>Wife_Roth</t>
        </is>
      </c>
      <c r="C103" s="12" t="inlineStr">
        <is>
          <t>Patricia</t>
        </is>
      </c>
      <c r="D103" s="41" t="inlineStr">
        <is>
          <t>roth</t>
        </is>
      </c>
      <c r="E103" s="12" t="inlineStr">
        <is>
          <t>roth_ira</t>
        </is>
      </c>
      <c r="F103" s="27" t="n">
        <v>1081761.510194335</v>
      </c>
      <c r="G103" s="27" t="n">
        <v>0</v>
      </c>
      <c r="H103" s="27" t="n">
        <v>0</v>
      </c>
      <c r="I103" s="27" t="n">
        <v>0</v>
      </c>
      <c r="J103" s="27" t="n">
        <v>0</v>
      </c>
      <c r="K103" s="27" t="n">
        <v>0</v>
      </c>
      <c r="L103" s="27" t="n">
        <v>0</v>
      </c>
      <c r="M103" s="27" t="n">
        <v>64905.69061166012</v>
      </c>
      <c r="N103" s="27" t="n">
        <v>1146667.200805995</v>
      </c>
      <c r="O103" s="27" t="n">
        <v>1146667.200805995</v>
      </c>
      <c r="P103" s="27" t="n">
        <v>0</v>
      </c>
      <c r="Q103" s="33" t="inlineStr"/>
    </row>
    <row r="104" ht="30" customHeight="1">
      <c r="A104" s="26" t="n">
        <v>2035</v>
      </c>
      <c r="B104" s="12" t="inlineStr">
        <is>
          <t>Wife_Trust</t>
        </is>
      </c>
      <c r="C104" s="12" t="inlineStr">
        <is>
          <t>Patricia</t>
        </is>
      </c>
      <c r="D104" s="41" t="inlineStr">
        <is>
          <t>taxable</t>
        </is>
      </c>
      <c r="E104" s="12" t="inlineStr">
        <is>
          <t>trust</t>
        </is>
      </c>
      <c r="F104" s="27" t="n">
        <v>0</v>
      </c>
      <c r="G104" s="27" t="n">
        <v>0</v>
      </c>
      <c r="H104" s="27" t="n">
        <v>0</v>
      </c>
      <c r="I104" s="27" t="n">
        <v>0</v>
      </c>
      <c r="J104" s="27" t="n">
        <v>0</v>
      </c>
      <c r="K104" s="27" t="n">
        <v>0</v>
      </c>
      <c r="L104" s="27" t="n">
        <v>0</v>
      </c>
      <c r="M104" s="27" t="n">
        <v>0</v>
      </c>
      <c r="N104" s="27" t="n">
        <v>0</v>
      </c>
      <c r="O104" s="27" t="n">
        <v>0</v>
      </c>
      <c r="P104" s="27" t="n">
        <v>0</v>
      </c>
      <c r="Q104" s="33" t="inlineStr"/>
    </row>
    <row r="105" ht="45" customHeight="1">
      <c r="A105" s="26" t="n">
        <v>2036</v>
      </c>
      <c r="B105" s="12" t="inlineStr">
        <is>
          <t>Business_Checking</t>
        </is>
      </c>
      <c r="C105" s="12" t="inlineStr">
        <is>
          <t>Matthew</t>
        </is>
      </c>
      <c r="D105" s="41" t="inlineStr">
        <is>
          <t>cash</t>
        </is>
      </c>
      <c r="E105" s="12" t="inlineStr">
        <is>
          <t>checking</t>
        </is>
      </c>
      <c r="F105" s="27" t="n">
        <v>5000</v>
      </c>
      <c r="G105" s="27" t="n">
        <v>0</v>
      </c>
      <c r="H105" s="27" t="n">
        <v>0</v>
      </c>
      <c r="I105" s="27" t="n">
        <v>0</v>
      </c>
      <c r="J105" s="27" t="n">
        <v>0</v>
      </c>
      <c r="K105" s="27" t="n">
        <v>0</v>
      </c>
      <c r="L105" s="27" t="n">
        <v>0</v>
      </c>
      <c r="M105" s="27" t="n">
        <v>0</v>
      </c>
      <c r="N105" s="27" t="n">
        <v>5000</v>
      </c>
      <c r="O105" s="27" t="n">
        <v>5000</v>
      </c>
      <c r="P105" s="27" t="n">
        <v>0</v>
      </c>
      <c r="Q105" s="33" t="inlineStr"/>
    </row>
    <row r="106" ht="30" customHeight="1">
      <c r="A106" s="26" t="n">
        <v>2036</v>
      </c>
      <c r="B106" s="12" t="inlineStr">
        <is>
          <t>Family_Checking</t>
        </is>
      </c>
      <c r="C106" s="12" t="inlineStr">
        <is>
          <t>Matthew</t>
        </is>
      </c>
      <c r="D106" s="41" t="inlineStr">
        <is>
          <t>cash</t>
        </is>
      </c>
      <c r="E106" s="12" t="inlineStr">
        <is>
          <t>checking</t>
        </is>
      </c>
      <c r="F106" s="27" t="n">
        <v>15000</v>
      </c>
      <c r="G106" s="27" t="n">
        <v>0</v>
      </c>
      <c r="H106" s="27" t="n">
        <v>0</v>
      </c>
      <c r="I106" s="27" t="n">
        <v>0</v>
      </c>
      <c r="J106" s="27" t="n">
        <v>0</v>
      </c>
      <c r="K106" s="27" t="n">
        <v>0</v>
      </c>
      <c r="L106" s="27" t="n">
        <v>0</v>
      </c>
      <c r="M106" s="27" t="n">
        <v>0</v>
      </c>
      <c r="N106" s="27" t="n">
        <v>15000</v>
      </c>
      <c r="O106" s="27" t="n">
        <v>15000</v>
      </c>
      <c r="P106" s="27" t="n">
        <v>0</v>
      </c>
      <c r="Q106" s="33" t="inlineStr"/>
    </row>
    <row r="107" ht="30" customHeight="1">
      <c r="A107" s="26" t="n">
        <v>2036</v>
      </c>
      <c r="B107" s="12" t="inlineStr">
        <is>
          <t>Husband_HSA</t>
        </is>
      </c>
      <c r="C107" s="12" t="inlineStr">
        <is>
          <t>Matthew</t>
        </is>
      </c>
      <c r="D107" s="41" t="inlineStr">
        <is>
          <t>hsa</t>
        </is>
      </c>
      <c r="E107" s="12" t="inlineStr">
        <is>
          <t>hsa</t>
        </is>
      </c>
      <c r="F107" s="27" t="n">
        <v>70001.3650753432</v>
      </c>
      <c r="G107" s="27" t="n">
        <v>0</v>
      </c>
      <c r="H107" s="27" t="n">
        <v>0</v>
      </c>
      <c r="I107" s="27" t="n">
        <v>0</v>
      </c>
      <c r="J107" s="27" t="n">
        <v>0</v>
      </c>
      <c r="K107" s="27" t="n">
        <v>0</v>
      </c>
      <c r="L107" s="27" t="n">
        <v>14000.27301506864</v>
      </c>
      <c r="M107" s="27" t="n">
        <v>3360.065523616473</v>
      </c>
      <c r="N107" s="27" t="n">
        <v>59361.15758389104</v>
      </c>
      <c r="O107" s="27" t="n">
        <v>59361.15758389104</v>
      </c>
      <c r="P107" s="27" t="n">
        <v>0</v>
      </c>
      <c r="Q107" s="12" t="inlineStr">
        <is>
          <t>withdrawal</t>
        </is>
      </c>
    </row>
    <row r="108" ht="30" customHeight="1">
      <c r="A108" s="26" t="n">
        <v>2036</v>
      </c>
      <c r="B108" s="12" t="inlineStr">
        <is>
          <t>Husband_401k</t>
        </is>
      </c>
      <c r="C108" s="12" t="inlineStr">
        <is>
          <t>Matthew</t>
        </is>
      </c>
      <c r="D108" s="41" t="inlineStr">
        <is>
          <t>pre_tax</t>
        </is>
      </c>
      <c r="E108" s="12" t="inlineStr">
        <is>
          <t>401k</t>
        </is>
      </c>
      <c r="F108" s="27" t="n">
        <v>0</v>
      </c>
      <c r="G108" s="27" t="n">
        <v>0</v>
      </c>
      <c r="H108" s="27" t="n">
        <v>0</v>
      </c>
      <c r="I108" s="27" t="n">
        <v>0</v>
      </c>
      <c r="J108" s="27" t="n">
        <v>0</v>
      </c>
      <c r="K108" s="27" t="n">
        <v>0</v>
      </c>
      <c r="L108" s="27" t="n">
        <v>0</v>
      </c>
      <c r="M108" s="27" t="n">
        <v>0</v>
      </c>
      <c r="N108" s="27" t="n">
        <v>0</v>
      </c>
      <c r="O108" s="27" t="n">
        <v>0</v>
      </c>
      <c r="P108" s="27" t="n">
        <v>0</v>
      </c>
      <c r="Q108" s="33" t="inlineStr"/>
    </row>
    <row r="109" ht="30" customHeight="1">
      <c r="A109" s="26" t="n">
        <v>2036</v>
      </c>
      <c r="B109" s="12" t="inlineStr">
        <is>
          <t>Husband_IRA</t>
        </is>
      </c>
      <c r="C109" s="12" t="inlineStr">
        <is>
          <t>Matthew</t>
        </is>
      </c>
      <c r="D109" s="41" t="inlineStr">
        <is>
          <t>pre_tax</t>
        </is>
      </c>
      <c r="E109" s="12" t="inlineStr">
        <is>
          <t>traditional_ira</t>
        </is>
      </c>
      <c r="F109" s="27" t="n">
        <v>745107.6488641477</v>
      </c>
      <c r="G109" s="27" t="n">
        <v>0</v>
      </c>
      <c r="H109" s="27" t="n">
        <v>0</v>
      </c>
      <c r="I109" s="27" t="n">
        <v>0</v>
      </c>
      <c r="J109" s="27" t="n">
        <v>0</v>
      </c>
      <c r="K109" s="27" t="n">
        <v>0</v>
      </c>
      <c r="L109" s="27" t="n">
        <v>133141.1564309435</v>
      </c>
      <c r="M109" s="27" t="n">
        <v>36717.98954599225</v>
      </c>
      <c r="N109" s="27" t="n">
        <v>648684.4819791964</v>
      </c>
      <c r="O109" s="27" t="n">
        <v>648684.4819791964</v>
      </c>
      <c r="P109" s="27" t="n">
        <v>0</v>
      </c>
      <c r="Q109" s="12" t="inlineStr">
        <is>
          <t>withdrawal</t>
        </is>
      </c>
    </row>
    <row r="110" ht="30" customHeight="1">
      <c r="A110" s="26" t="n">
        <v>2036</v>
      </c>
      <c r="B110" s="12" t="inlineStr">
        <is>
          <t>Husband_Roth</t>
        </is>
      </c>
      <c r="C110" s="12" t="inlineStr">
        <is>
          <t>Matthew</t>
        </is>
      </c>
      <c r="D110" s="41" t="inlineStr">
        <is>
          <t>roth</t>
        </is>
      </c>
      <c r="E110" s="12" t="inlineStr">
        <is>
          <t>roth_ira</t>
        </is>
      </c>
      <c r="F110" s="27" t="n">
        <v>571452.0387885553</v>
      </c>
      <c r="G110" s="27" t="n">
        <v>0</v>
      </c>
      <c r="H110" s="27" t="n">
        <v>0</v>
      </c>
      <c r="I110" s="27" t="n">
        <v>0</v>
      </c>
      <c r="J110" s="27" t="n">
        <v>0</v>
      </c>
      <c r="K110" s="27" t="n">
        <v>0</v>
      </c>
      <c r="L110" s="27" t="n">
        <v>0</v>
      </c>
      <c r="M110" s="27" t="n">
        <v>34287.12232731331</v>
      </c>
      <c r="N110" s="27" t="n">
        <v>605739.1611158686</v>
      </c>
      <c r="O110" s="27" t="n">
        <v>605739.1611158686</v>
      </c>
      <c r="P110" s="27" t="n">
        <v>0</v>
      </c>
      <c r="Q110" s="33" t="inlineStr"/>
    </row>
    <row r="111" ht="30" customHeight="1">
      <c r="A111" s="26" t="n">
        <v>2036</v>
      </c>
      <c r="B111" s="12" t="inlineStr">
        <is>
          <t>Husband_Trust</t>
        </is>
      </c>
      <c r="C111" s="12" t="inlineStr">
        <is>
          <t>Matthew</t>
        </is>
      </c>
      <c r="D111" s="41" t="inlineStr">
        <is>
          <t>taxable</t>
        </is>
      </c>
      <c r="E111" s="12" t="inlineStr">
        <is>
          <t>trust</t>
        </is>
      </c>
      <c r="F111" s="27" t="n">
        <v>7.557201301597796e-12</v>
      </c>
      <c r="G111" s="27" t="n">
        <v>0</v>
      </c>
      <c r="H111" s="27" t="n">
        <v>0</v>
      </c>
      <c r="I111" s="27" t="n">
        <v>0</v>
      </c>
      <c r="J111" s="27" t="n">
        <v>0</v>
      </c>
      <c r="K111" s="27" t="n">
        <v>0</v>
      </c>
      <c r="L111" s="27" t="n">
        <v>0</v>
      </c>
      <c r="M111" s="27" t="n">
        <v>0</v>
      </c>
      <c r="N111" s="27" t="n">
        <v>7.557201301597796e-12</v>
      </c>
      <c r="O111" s="27" t="n">
        <v>0</v>
      </c>
      <c r="P111" s="27" t="n">
        <v>-7.557201301597796e-12</v>
      </c>
      <c r="Q111" s="33" t="inlineStr"/>
    </row>
    <row r="112" ht="30" customHeight="1">
      <c r="A112" s="26" t="n">
        <v>2036</v>
      </c>
      <c r="B112" s="12" t="inlineStr">
        <is>
          <t>Wife_IRA</t>
        </is>
      </c>
      <c r="C112" s="12" t="inlineStr">
        <is>
          <t>Patricia</t>
        </is>
      </c>
      <c r="D112" s="41" t="inlineStr">
        <is>
          <t>pre_tax</t>
        </is>
      </c>
      <c r="E112" s="12" t="inlineStr">
        <is>
          <t>traditional_ira</t>
        </is>
      </c>
      <c r="F112" s="27" t="n">
        <v>0</v>
      </c>
      <c r="G112" s="27" t="n">
        <v>0</v>
      </c>
      <c r="H112" s="27" t="n">
        <v>0</v>
      </c>
      <c r="I112" s="27" t="n">
        <v>0</v>
      </c>
      <c r="J112" s="27" t="n">
        <v>0</v>
      </c>
      <c r="K112" s="27" t="n">
        <v>0</v>
      </c>
      <c r="L112" s="27" t="n">
        <v>0</v>
      </c>
      <c r="M112" s="27" t="n">
        <v>0</v>
      </c>
      <c r="N112" s="27" t="n">
        <v>0</v>
      </c>
      <c r="O112" s="27" t="n">
        <v>0</v>
      </c>
      <c r="P112" s="27" t="n">
        <v>0</v>
      </c>
      <c r="Q112" s="33" t="inlineStr"/>
    </row>
    <row r="113" ht="30" customHeight="1">
      <c r="A113" s="26" t="n">
        <v>2036</v>
      </c>
      <c r="B113" s="12" t="inlineStr">
        <is>
          <t>Wife_Roth</t>
        </is>
      </c>
      <c r="C113" s="12" t="inlineStr">
        <is>
          <t>Patricia</t>
        </is>
      </c>
      <c r="D113" s="41" t="inlineStr">
        <is>
          <t>roth</t>
        </is>
      </c>
      <c r="E113" s="12" t="inlineStr">
        <is>
          <t>roth_ira</t>
        </is>
      </c>
      <c r="F113" s="27" t="n">
        <v>1146667.200805995</v>
      </c>
      <c r="G113" s="27" t="n">
        <v>0</v>
      </c>
      <c r="H113" s="27" t="n">
        <v>0</v>
      </c>
      <c r="I113" s="27" t="n">
        <v>0</v>
      </c>
      <c r="J113" s="27" t="n">
        <v>0</v>
      </c>
      <c r="K113" s="27" t="n">
        <v>0</v>
      </c>
      <c r="L113" s="27" t="n">
        <v>0</v>
      </c>
      <c r="M113" s="27" t="n">
        <v>68800.03204835972</v>
      </c>
      <c r="N113" s="27" t="n">
        <v>1215467.232854355</v>
      </c>
      <c r="O113" s="27" t="n">
        <v>1215467.232854355</v>
      </c>
      <c r="P113" s="27" t="n">
        <v>0</v>
      </c>
      <c r="Q113" s="33" t="inlineStr"/>
    </row>
    <row r="114" ht="30" customHeight="1">
      <c r="A114" s="26" t="n">
        <v>2036</v>
      </c>
      <c r="B114" s="12" t="inlineStr">
        <is>
          <t>Wife_Trust</t>
        </is>
      </c>
      <c r="C114" s="12" t="inlineStr">
        <is>
          <t>Patricia</t>
        </is>
      </c>
      <c r="D114" s="41" t="inlineStr">
        <is>
          <t>taxable</t>
        </is>
      </c>
      <c r="E114" s="12" t="inlineStr">
        <is>
          <t>trust</t>
        </is>
      </c>
      <c r="F114" s="27" t="n">
        <v>0</v>
      </c>
      <c r="G114" s="27" t="n">
        <v>0</v>
      </c>
      <c r="H114" s="27" t="n">
        <v>0</v>
      </c>
      <c r="I114" s="27" t="n">
        <v>0</v>
      </c>
      <c r="J114" s="27" t="n">
        <v>0</v>
      </c>
      <c r="K114" s="27" t="n">
        <v>0</v>
      </c>
      <c r="L114" s="27" t="n">
        <v>0</v>
      </c>
      <c r="M114" s="27" t="n">
        <v>0</v>
      </c>
      <c r="N114" s="27" t="n">
        <v>0</v>
      </c>
      <c r="O114" s="27" t="n">
        <v>0</v>
      </c>
      <c r="P114" s="27" t="n">
        <v>0</v>
      </c>
      <c r="Q114" s="33" t="inlineStr"/>
    </row>
    <row r="115" ht="45" customHeight="1">
      <c r="A115" s="26" t="n">
        <v>2037</v>
      </c>
      <c r="B115" s="12" t="inlineStr">
        <is>
          <t>Business_Checking</t>
        </is>
      </c>
      <c r="C115" s="12" t="inlineStr">
        <is>
          <t>Matthew</t>
        </is>
      </c>
      <c r="D115" s="41" t="inlineStr">
        <is>
          <t>cash</t>
        </is>
      </c>
      <c r="E115" s="12" t="inlineStr">
        <is>
          <t>checking</t>
        </is>
      </c>
      <c r="F115" s="27" t="n">
        <v>5000</v>
      </c>
      <c r="G115" s="27" t="n">
        <v>0</v>
      </c>
      <c r="H115" s="27" t="n">
        <v>0</v>
      </c>
      <c r="I115" s="27" t="n">
        <v>0</v>
      </c>
      <c r="J115" s="27" t="n">
        <v>0</v>
      </c>
      <c r="K115" s="27" t="n">
        <v>0</v>
      </c>
      <c r="L115" s="27" t="n">
        <v>0</v>
      </c>
      <c r="M115" s="27" t="n">
        <v>0</v>
      </c>
      <c r="N115" s="27" t="n">
        <v>5000</v>
      </c>
      <c r="O115" s="27" t="n">
        <v>5000</v>
      </c>
      <c r="P115" s="27" t="n">
        <v>0</v>
      </c>
      <c r="Q115" s="33" t="inlineStr"/>
    </row>
    <row r="116" ht="30" customHeight="1">
      <c r="A116" s="26" t="n">
        <v>2037</v>
      </c>
      <c r="B116" s="12" t="inlineStr">
        <is>
          <t>Family_Checking</t>
        </is>
      </c>
      <c r="C116" s="12" t="inlineStr">
        <is>
          <t>Matthew</t>
        </is>
      </c>
      <c r="D116" s="41" t="inlineStr">
        <is>
          <t>cash</t>
        </is>
      </c>
      <c r="E116" s="12" t="inlineStr">
        <is>
          <t>checking</t>
        </is>
      </c>
      <c r="F116" s="27" t="n">
        <v>15000</v>
      </c>
      <c r="G116" s="27" t="n">
        <v>0</v>
      </c>
      <c r="H116" s="27" t="n">
        <v>0</v>
      </c>
      <c r="I116" s="27" t="n">
        <v>0</v>
      </c>
      <c r="J116" s="27" t="n">
        <v>0</v>
      </c>
      <c r="K116" s="27" t="n">
        <v>0</v>
      </c>
      <c r="L116" s="27" t="n">
        <v>0</v>
      </c>
      <c r="M116" s="27" t="n">
        <v>0</v>
      </c>
      <c r="N116" s="27" t="n">
        <v>15000</v>
      </c>
      <c r="O116" s="27" t="n">
        <v>15000</v>
      </c>
      <c r="P116" s="27" t="n">
        <v>0</v>
      </c>
      <c r="Q116" s="33" t="inlineStr"/>
    </row>
    <row r="117" ht="30" customHeight="1">
      <c r="A117" s="26" t="n">
        <v>2037</v>
      </c>
      <c r="B117" s="12" t="inlineStr">
        <is>
          <t>Husband_HSA</t>
        </is>
      </c>
      <c r="C117" s="12" t="inlineStr">
        <is>
          <t>Matthew</t>
        </is>
      </c>
      <c r="D117" s="41" t="inlineStr">
        <is>
          <t>hsa</t>
        </is>
      </c>
      <c r="E117" s="12" t="inlineStr">
        <is>
          <t>hsa</t>
        </is>
      </c>
      <c r="F117" s="27" t="n">
        <v>59361.15758389104</v>
      </c>
      <c r="G117" s="27" t="n">
        <v>0</v>
      </c>
      <c r="H117" s="27" t="n">
        <v>0</v>
      </c>
      <c r="I117" s="27" t="n">
        <v>0</v>
      </c>
      <c r="J117" s="27" t="n">
        <v>0</v>
      </c>
      <c r="K117" s="27" t="n">
        <v>0</v>
      </c>
      <c r="L117" s="27" t="n">
        <v>14840.28939597276</v>
      </c>
      <c r="M117" s="27" t="n">
        <v>2671.252091275097</v>
      </c>
      <c r="N117" s="27" t="n">
        <v>47192.12027919338</v>
      </c>
      <c r="O117" s="27" t="n">
        <v>47192.12027919338</v>
      </c>
      <c r="P117" s="27" t="n">
        <v>0</v>
      </c>
      <c r="Q117" s="12" t="inlineStr">
        <is>
          <t>withdrawal</t>
        </is>
      </c>
    </row>
    <row r="118" ht="30" customHeight="1">
      <c r="A118" s="26" t="n">
        <v>2037</v>
      </c>
      <c r="B118" s="12" t="inlineStr">
        <is>
          <t>Husband_401k</t>
        </is>
      </c>
      <c r="C118" s="12" t="inlineStr">
        <is>
          <t>Matthew</t>
        </is>
      </c>
      <c r="D118" s="41" t="inlineStr">
        <is>
          <t>pre_tax</t>
        </is>
      </c>
      <c r="E118" s="12" t="inlineStr">
        <is>
          <t>401k</t>
        </is>
      </c>
      <c r="F118" s="27" t="n">
        <v>0</v>
      </c>
      <c r="G118" s="27" t="n">
        <v>0</v>
      </c>
      <c r="H118" s="27" t="n">
        <v>0</v>
      </c>
      <c r="I118" s="27" t="n">
        <v>0</v>
      </c>
      <c r="J118" s="27" t="n">
        <v>0</v>
      </c>
      <c r="K118" s="27" t="n">
        <v>0</v>
      </c>
      <c r="L118" s="27" t="n">
        <v>0</v>
      </c>
      <c r="M118" s="27" t="n">
        <v>0</v>
      </c>
      <c r="N118" s="27" t="n">
        <v>0</v>
      </c>
      <c r="O118" s="27" t="n">
        <v>0</v>
      </c>
      <c r="P118" s="27" t="n">
        <v>0</v>
      </c>
      <c r="Q118" s="33" t="inlineStr"/>
    </row>
    <row r="119" ht="30" customHeight="1">
      <c r="A119" s="26" t="n">
        <v>2037</v>
      </c>
      <c r="B119" s="12" t="inlineStr">
        <is>
          <t>Husband_IRA</t>
        </is>
      </c>
      <c r="C119" s="12" t="inlineStr">
        <is>
          <t>Matthew</t>
        </is>
      </c>
      <c r="D119" s="41" t="inlineStr">
        <is>
          <t>pre_tax</t>
        </is>
      </c>
      <c r="E119" s="12" t="inlineStr">
        <is>
          <t>traditional_ira</t>
        </is>
      </c>
      <c r="F119" s="27" t="n">
        <v>648684.4819791964</v>
      </c>
      <c r="G119" s="27" t="n">
        <v>0</v>
      </c>
      <c r="H119" s="27" t="n">
        <v>0</v>
      </c>
      <c r="I119" s="27" t="n">
        <v>0</v>
      </c>
      <c r="J119" s="27" t="n">
        <v>0</v>
      </c>
      <c r="K119" s="27" t="n">
        <v>0</v>
      </c>
      <c r="L119" s="27" t="n">
        <v>142750.7769704091</v>
      </c>
      <c r="M119" s="27" t="n">
        <v>30356.02230052723</v>
      </c>
      <c r="N119" s="27" t="n">
        <v>536289.7273093145</v>
      </c>
      <c r="O119" s="27" t="n">
        <v>536289.7273093145</v>
      </c>
      <c r="P119" s="27" t="n">
        <v>0</v>
      </c>
      <c r="Q119" s="12" t="inlineStr">
        <is>
          <t>withdrawal</t>
        </is>
      </c>
    </row>
    <row r="120" ht="30" customHeight="1">
      <c r="A120" s="26" t="n">
        <v>2037</v>
      </c>
      <c r="B120" s="12" t="inlineStr">
        <is>
          <t>Husband_Roth</t>
        </is>
      </c>
      <c r="C120" s="12" t="inlineStr">
        <is>
          <t>Matthew</t>
        </is>
      </c>
      <c r="D120" s="41" t="inlineStr">
        <is>
          <t>roth</t>
        </is>
      </c>
      <c r="E120" s="12" t="inlineStr">
        <is>
          <t>roth_ira</t>
        </is>
      </c>
      <c r="F120" s="27" t="n">
        <v>605739.1611158686</v>
      </c>
      <c r="G120" s="27" t="n">
        <v>0</v>
      </c>
      <c r="H120" s="27" t="n">
        <v>0</v>
      </c>
      <c r="I120" s="27" t="n">
        <v>0</v>
      </c>
      <c r="J120" s="27" t="n">
        <v>0</v>
      </c>
      <c r="K120" s="27" t="n">
        <v>0</v>
      </c>
      <c r="L120" s="27" t="n">
        <v>0</v>
      </c>
      <c r="M120" s="27" t="n">
        <v>36344.34966695211</v>
      </c>
      <c r="N120" s="27" t="n">
        <v>642083.5107828208</v>
      </c>
      <c r="O120" s="27" t="n">
        <v>642083.5107828208</v>
      </c>
      <c r="P120" s="27" t="n">
        <v>0</v>
      </c>
      <c r="Q120" s="33" t="inlineStr"/>
    </row>
    <row r="121" ht="30" customHeight="1">
      <c r="A121" s="26" t="n">
        <v>2037</v>
      </c>
      <c r="B121" s="12" t="inlineStr">
        <is>
          <t>Husband_Trust</t>
        </is>
      </c>
      <c r="C121" s="12" t="inlineStr">
        <is>
          <t>Matthew</t>
        </is>
      </c>
      <c r="D121" s="41" t="inlineStr">
        <is>
          <t>taxable</t>
        </is>
      </c>
      <c r="E121" s="12" t="inlineStr">
        <is>
          <t>trust</t>
        </is>
      </c>
      <c r="F121" s="27" t="n">
        <v>0</v>
      </c>
      <c r="G121" s="27" t="n">
        <v>0</v>
      </c>
      <c r="H121" s="27" t="n">
        <v>0</v>
      </c>
      <c r="I121" s="27" t="n">
        <v>0</v>
      </c>
      <c r="J121" s="27" t="n">
        <v>0</v>
      </c>
      <c r="K121" s="27" t="n">
        <v>0</v>
      </c>
      <c r="L121" s="27" t="n">
        <v>0</v>
      </c>
      <c r="M121" s="27" t="n">
        <v>0</v>
      </c>
      <c r="N121" s="27" t="n">
        <v>0</v>
      </c>
      <c r="O121" s="27" t="n">
        <v>0</v>
      </c>
      <c r="P121" s="27" t="n">
        <v>0</v>
      </c>
      <c r="Q121" s="33" t="inlineStr"/>
    </row>
    <row r="122" ht="30" customHeight="1">
      <c r="A122" s="26" t="n">
        <v>2037</v>
      </c>
      <c r="B122" s="12" t="inlineStr">
        <is>
          <t>Wife_IRA</t>
        </is>
      </c>
      <c r="C122" s="12" t="inlineStr">
        <is>
          <t>Patricia</t>
        </is>
      </c>
      <c r="D122" s="41" t="inlineStr">
        <is>
          <t>pre_tax</t>
        </is>
      </c>
      <c r="E122" s="12" t="inlineStr">
        <is>
          <t>traditional_ira</t>
        </is>
      </c>
      <c r="F122" s="27" t="n">
        <v>0</v>
      </c>
      <c r="G122" s="27" t="n">
        <v>0</v>
      </c>
      <c r="H122" s="27" t="n">
        <v>0</v>
      </c>
      <c r="I122" s="27" t="n">
        <v>0</v>
      </c>
      <c r="J122" s="27" t="n">
        <v>0</v>
      </c>
      <c r="K122" s="27" t="n">
        <v>0</v>
      </c>
      <c r="L122" s="27" t="n">
        <v>0</v>
      </c>
      <c r="M122" s="27" t="n">
        <v>0</v>
      </c>
      <c r="N122" s="27" t="n">
        <v>0</v>
      </c>
      <c r="O122" s="27" t="n">
        <v>0</v>
      </c>
      <c r="P122" s="27" t="n">
        <v>0</v>
      </c>
      <c r="Q122" s="33" t="inlineStr"/>
    </row>
    <row r="123" ht="30" customHeight="1">
      <c r="A123" s="26" t="n">
        <v>2037</v>
      </c>
      <c r="B123" s="12" t="inlineStr">
        <is>
          <t>Wife_Roth</t>
        </is>
      </c>
      <c r="C123" s="12" t="inlineStr">
        <is>
          <t>Patricia</t>
        </is>
      </c>
      <c r="D123" s="41" t="inlineStr">
        <is>
          <t>roth</t>
        </is>
      </c>
      <c r="E123" s="12" t="inlineStr">
        <is>
          <t>roth_ira</t>
        </is>
      </c>
      <c r="F123" s="27" t="n">
        <v>1215467.232854355</v>
      </c>
      <c r="G123" s="27" t="n">
        <v>0</v>
      </c>
      <c r="H123" s="27" t="n">
        <v>0</v>
      </c>
      <c r="I123" s="27" t="n">
        <v>0</v>
      </c>
      <c r="J123" s="27" t="n">
        <v>0</v>
      </c>
      <c r="K123" s="27" t="n">
        <v>0</v>
      </c>
      <c r="L123" s="27" t="n">
        <v>0</v>
      </c>
      <c r="M123" s="27" t="n">
        <v>72928.03397126131</v>
      </c>
      <c r="N123" s="27" t="n">
        <v>1288395.266825616</v>
      </c>
      <c r="O123" s="27" t="n">
        <v>1288395.266825616</v>
      </c>
      <c r="P123" s="27" t="n">
        <v>0</v>
      </c>
      <c r="Q123" s="33" t="inlineStr"/>
    </row>
    <row r="124" ht="30" customHeight="1">
      <c r="A124" s="26" t="n">
        <v>2037</v>
      </c>
      <c r="B124" s="12" t="inlineStr">
        <is>
          <t>Wife_Trust</t>
        </is>
      </c>
      <c r="C124" s="12" t="inlineStr">
        <is>
          <t>Patricia</t>
        </is>
      </c>
      <c r="D124" s="41" t="inlineStr">
        <is>
          <t>taxable</t>
        </is>
      </c>
      <c r="E124" s="12" t="inlineStr">
        <is>
          <t>trust</t>
        </is>
      </c>
      <c r="F124" s="27" t="n">
        <v>0</v>
      </c>
      <c r="G124" s="27" t="n">
        <v>0</v>
      </c>
      <c r="H124" s="27" t="n">
        <v>0</v>
      </c>
      <c r="I124" s="27" t="n">
        <v>0</v>
      </c>
      <c r="J124" s="27" t="n">
        <v>0</v>
      </c>
      <c r="K124" s="27" t="n">
        <v>0</v>
      </c>
      <c r="L124" s="27" t="n">
        <v>0</v>
      </c>
      <c r="M124" s="27" t="n">
        <v>0</v>
      </c>
      <c r="N124" s="27" t="n">
        <v>0</v>
      </c>
      <c r="O124" s="27" t="n">
        <v>0</v>
      </c>
      <c r="P124" s="27" t="n">
        <v>0</v>
      </c>
      <c r="Q124" s="33" t="inlineStr"/>
    </row>
    <row r="125" ht="45" customHeight="1">
      <c r="A125" s="26" t="n">
        <v>2038</v>
      </c>
      <c r="B125" s="12" t="inlineStr">
        <is>
          <t>Business_Checking</t>
        </is>
      </c>
      <c r="C125" s="12" t="inlineStr">
        <is>
          <t>Matthew</t>
        </is>
      </c>
      <c r="D125" s="41" t="inlineStr">
        <is>
          <t>cash</t>
        </is>
      </c>
      <c r="E125" s="12" t="inlineStr">
        <is>
          <t>checking</t>
        </is>
      </c>
      <c r="F125" s="27" t="n">
        <v>5000</v>
      </c>
      <c r="G125" s="27" t="n">
        <v>0</v>
      </c>
      <c r="H125" s="27" t="n">
        <v>0</v>
      </c>
      <c r="I125" s="27" t="n">
        <v>0</v>
      </c>
      <c r="J125" s="27" t="n">
        <v>0</v>
      </c>
      <c r="K125" s="27" t="n">
        <v>0</v>
      </c>
      <c r="L125" s="27" t="n">
        <v>0</v>
      </c>
      <c r="M125" s="27" t="n">
        <v>0</v>
      </c>
      <c r="N125" s="27" t="n">
        <v>5000</v>
      </c>
      <c r="O125" s="27" t="n">
        <v>5000</v>
      </c>
      <c r="P125" s="27" t="n">
        <v>0</v>
      </c>
      <c r="Q125" s="33" t="inlineStr"/>
    </row>
    <row r="126" ht="30" customHeight="1">
      <c r="A126" s="26" t="n">
        <v>2038</v>
      </c>
      <c r="B126" s="12" t="inlineStr">
        <is>
          <t>Family_Checking</t>
        </is>
      </c>
      <c r="C126" s="12" t="inlineStr">
        <is>
          <t>Matthew</t>
        </is>
      </c>
      <c r="D126" s="41" t="inlineStr">
        <is>
          <t>cash</t>
        </is>
      </c>
      <c r="E126" s="12" t="inlineStr">
        <is>
          <t>checking</t>
        </is>
      </c>
      <c r="F126" s="27" t="n">
        <v>15000</v>
      </c>
      <c r="G126" s="27" t="n">
        <v>0</v>
      </c>
      <c r="H126" s="27" t="n">
        <v>0</v>
      </c>
      <c r="I126" s="27" t="n">
        <v>0</v>
      </c>
      <c r="J126" s="27" t="n">
        <v>0</v>
      </c>
      <c r="K126" s="27" t="n">
        <v>0</v>
      </c>
      <c r="L126" s="27" t="n">
        <v>0</v>
      </c>
      <c r="M126" s="27" t="n">
        <v>0</v>
      </c>
      <c r="N126" s="27" t="n">
        <v>15000</v>
      </c>
      <c r="O126" s="27" t="n">
        <v>15000</v>
      </c>
      <c r="P126" s="27" t="n">
        <v>0</v>
      </c>
      <c r="Q126" s="33" t="inlineStr"/>
    </row>
    <row r="127" ht="30" customHeight="1">
      <c r="A127" s="26" t="n">
        <v>2038</v>
      </c>
      <c r="B127" s="12" t="inlineStr">
        <is>
          <t>Husband_HSA</t>
        </is>
      </c>
      <c r="C127" s="12" t="inlineStr">
        <is>
          <t>Matthew</t>
        </is>
      </c>
      <c r="D127" s="41" t="inlineStr">
        <is>
          <t>hsa</t>
        </is>
      </c>
      <c r="E127" s="12" t="inlineStr">
        <is>
          <t>hsa</t>
        </is>
      </c>
      <c r="F127" s="27" t="n">
        <v>47192.12027919338</v>
      </c>
      <c r="G127" s="27" t="n">
        <v>0</v>
      </c>
      <c r="H127" s="27" t="n">
        <v>0</v>
      </c>
      <c r="I127" s="27" t="n">
        <v>0</v>
      </c>
      <c r="J127" s="27" t="n">
        <v>0</v>
      </c>
      <c r="K127" s="27" t="n">
        <v>0</v>
      </c>
      <c r="L127" s="27" t="n">
        <v>15730.70675973113</v>
      </c>
      <c r="M127" s="27" t="n">
        <v>1887.684811167735</v>
      </c>
      <c r="N127" s="27" t="n">
        <v>33349.09833062998</v>
      </c>
      <c r="O127" s="27" t="n">
        <v>33349.09833062998</v>
      </c>
      <c r="P127" s="27" t="n">
        <v>0</v>
      </c>
      <c r="Q127" s="12" t="inlineStr">
        <is>
          <t>withdrawal</t>
        </is>
      </c>
    </row>
    <row r="128" ht="30" customHeight="1">
      <c r="A128" s="26" t="n">
        <v>2038</v>
      </c>
      <c r="B128" s="12" t="inlineStr">
        <is>
          <t>Husband_401k</t>
        </is>
      </c>
      <c r="C128" s="12" t="inlineStr">
        <is>
          <t>Matthew</t>
        </is>
      </c>
      <c r="D128" s="41" t="inlineStr">
        <is>
          <t>pre_tax</t>
        </is>
      </c>
      <c r="E128" s="12" t="inlineStr">
        <is>
          <t>401k</t>
        </is>
      </c>
      <c r="F128" s="27" t="n">
        <v>0</v>
      </c>
      <c r="G128" s="27" t="n">
        <v>0</v>
      </c>
      <c r="H128" s="27" t="n">
        <v>0</v>
      </c>
      <c r="I128" s="27" t="n">
        <v>0</v>
      </c>
      <c r="J128" s="27" t="n">
        <v>0</v>
      </c>
      <c r="K128" s="27" t="n">
        <v>0</v>
      </c>
      <c r="L128" s="27" t="n">
        <v>0</v>
      </c>
      <c r="M128" s="27" t="n">
        <v>0</v>
      </c>
      <c r="N128" s="27" t="n">
        <v>0</v>
      </c>
      <c r="O128" s="27" t="n">
        <v>0</v>
      </c>
      <c r="P128" s="27" t="n">
        <v>0</v>
      </c>
      <c r="Q128" s="33" t="inlineStr"/>
    </row>
    <row r="129" ht="30" customHeight="1">
      <c r="A129" s="26" t="n">
        <v>2038</v>
      </c>
      <c r="B129" s="12" t="inlineStr">
        <is>
          <t>Husband_IRA</t>
        </is>
      </c>
      <c r="C129" s="12" t="inlineStr">
        <is>
          <t>Matthew</t>
        </is>
      </c>
      <c r="D129" s="41" t="inlineStr">
        <is>
          <t>pre_tax</t>
        </is>
      </c>
      <c r="E129" s="12" t="inlineStr">
        <is>
          <t>traditional_ira</t>
        </is>
      </c>
      <c r="F129" s="27" t="n">
        <v>536289.7273093145</v>
      </c>
      <c r="G129" s="27" t="n">
        <v>0</v>
      </c>
      <c r="H129" s="27" t="n">
        <v>0</v>
      </c>
      <c r="I129" s="27" t="n">
        <v>0</v>
      </c>
      <c r="J129" s="27" t="n">
        <v>0</v>
      </c>
      <c r="K129" s="27" t="n">
        <v>0</v>
      </c>
      <c r="L129" s="27" t="n">
        <v>152556.7467516791</v>
      </c>
      <c r="M129" s="27" t="n">
        <v>23023.97883345812</v>
      </c>
      <c r="N129" s="27" t="n">
        <v>406756.9593910935</v>
      </c>
      <c r="O129" s="27" t="n">
        <v>406756.9593910935</v>
      </c>
      <c r="P129" s="27" t="n">
        <v>-5.820766091346741e-11</v>
      </c>
      <c r="Q129" s="12" t="inlineStr">
        <is>
          <t>withdrawal</t>
        </is>
      </c>
    </row>
    <row r="130" ht="30" customHeight="1">
      <c r="A130" s="26" t="n">
        <v>2038</v>
      </c>
      <c r="B130" s="12" t="inlineStr">
        <is>
          <t>Husband_Roth</t>
        </is>
      </c>
      <c r="C130" s="12" t="inlineStr">
        <is>
          <t>Matthew</t>
        </is>
      </c>
      <c r="D130" s="41" t="inlineStr">
        <is>
          <t>roth</t>
        </is>
      </c>
      <c r="E130" s="12" t="inlineStr">
        <is>
          <t>roth_ira</t>
        </is>
      </c>
      <c r="F130" s="27" t="n">
        <v>642083.5107828208</v>
      </c>
      <c r="G130" s="27" t="n">
        <v>0</v>
      </c>
      <c r="H130" s="27" t="n">
        <v>0</v>
      </c>
      <c r="I130" s="27" t="n">
        <v>0</v>
      </c>
      <c r="J130" s="27" t="n">
        <v>0</v>
      </c>
      <c r="K130" s="27" t="n">
        <v>0</v>
      </c>
      <c r="L130" s="27" t="n">
        <v>0</v>
      </c>
      <c r="M130" s="27" t="n">
        <v>38525.01064696925</v>
      </c>
      <c r="N130" s="27" t="n">
        <v>680608.52142979</v>
      </c>
      <c r="O130" s="27" t="n">
        <v>680608.52142979</v>
      </c>
      <c r="P130" s="27" t="n">
        <v>0</v>
      </c>
      <c r="Q130" s="33" t="inlineStr"/>
    </row>
    <row r="131" ht="30" customHeight="1">
      <c r="A131" s="26" t="n">
        <v>2038</v>
      </c>
      <c r="B131" s="12" t="inlineStr">
        <is>
          <t>Husband_Trust</t>
        </is>
      </c>
      <c r="C131" s="12" t="inlineStr">
        <is>
          <t>Matthew</t>
        </is>
      </c>
      <c r="D131" s="41" t="inlineStr">
        <is>
          <t>taxable</t>
        </is>
      </c>
      <c r="E131" s="12" t="inlineStr">
        <is>
          <t>trust</t>
        </is>
      </c>
      <c r="F131" s="27" t="n">
        <v>0</v>
      </c>
      <c r="G131" s="27" t="n">
        <v>0</v>
      </c>
      <c r="H131" s="27" t="n">
        <v>0</v>
      </c>
      <c r="I131" s="27" t="n">
        <v>0</v>
      </c>
      <c r="J131" s="27" t="n">
        <v>0</v>
      </c>
      <c r="K131" s="27" t="n">
        <v>0</v>
      </c>
      <c r="L131" s="27" t="n">
        <v>0</v>
      </c>
      <c r="M131" s="27" t="n">
        <v>0</v>
      </c>
      <c r="N131" s="27" t="n">
        <v>0</v>
      </c>
      <c r="O131" s="27" t="n">
        <v>0</v>
      </c>
      <c r="P131" s="27" t="n">
        <v>0</v>
      </c>
      <c r="Q131" s="33" t="inlineStr"/>
    </row>
    <row r="132" ht="30" customHeight="1">
      <c r="A132" s="26" t="n">
        <v>2038</v>
      </c>
      <c r="B132" s="12" t="inlineStr">
        <is>
          <t>Wife_IRA</t>
        </is>
      </c>
      <c r="C132" s="12" t="inlineStr">
        <is>
          <t>Patricia</t>
        </is>
      </c>
      <c r="D132" s="41" t="inlineStr">
        <is>
          <t>pre_tax</t>
        </is>
      </c>
      <c r="E132" s="12" t="inlineStr">
        <is>
          <t>traditional_ira</t>
        </is>
      </c>
      <c r="F132" s="27" t="n">
        <v>0</v>
      </c>
      <c r="G132" s="27" t="n">
        <v>0</v>
      </c>
      <c r="H132" s="27" t="n">
        <v>0</v>
      </c>
      <c r="I132" s="27" t="n">
        <v>0</v>
      </c>
      <c r="J132" s="27" t="n">
        <v>0</v>
      </c>
      <c r="K132" s="27" t="n">
        <v>0</v>
      </c>
      <c r="L132" s="27" t="n">
        <v>0</v>
      </c>
      <c r="M132" s="27" t="n">
        <v>0</v>
      </c>
      <c r="N132" s="27" t="n">
        <v>0</v>
      </c>
      <c r="O132" s="27" t="n">
        <v>0</v>
      </c>
      <c r="P132" s="27" t="n">
        <v>0</v>
      </c>
      <c r="Q132" s="33" t="inlineStr"/>
    </row>
    <row r="133" ht="30" customHeight="1">
      <c r="A133" s="26" t="n">
        <v>2038</v>
      </c>
      <c r="B133" s="12" t="inlineStr">
        <is>
          <t>Wife_Roth</t>
        </is>
      </c>
      <c r="C133" s="12" t="inlineStr">
        <is>
          <t>Patricia</t>
        </is>
      </c>
      <c r="D133" s="41" t="inlineStr">
        <is>
          <t>roth</t>
        </is>
      </c>
      <c r="E133" s="12" t="inlineStr">
        <is>
          <t>roth_ira</t>
        </is>
      </c>
      <c r="F133" s="27" t="n">
        <v>1288395.266825616</v>
      </c>
      <c r="G133" s="27" t="n">
        <v>0</v>
      </c>
      <c r="H133" s="27" t="n">
        <v>0</v>
      </c>
      <c r="I133" s="27" t="n">
        <v>0</v>
      </c>
      <c r="J133" s="27" t="n">
        <v>0</v>
      </c>
      <c r="K133" s="27" t="n">
        <v>0</v>
      </c>
      <c r="L133" s="27" t="n">
        <v>0</v>
      </c>
      <c r="M133" s="27" t="n">
        <v>77303.71600953698</v>
      </c>
      <c r="N133" s="27" t="n">
        <v>1365698.982835153</v>
      </c>
      <c r="O133" s="27" t="n">
        <v>1365698.982835153</v>
      </c>
      <c r="P133" s="27" t="n">
        <v>0</v>
      </c>
      <c r="Q133" s="33" t="inlineStr"/>
    </row>
    <row r="134" ht="30" customHeight="1">
      <c r="A134" s="26" t="n">
        <v>2038</v>
      </c>
      <c r="B134" s="12" t="inlineStr">
        <is>
          <t>Wife_Trust</t>
        </is>
      </c>
      <c r="C134" s="12" t="inlineStr">
        <is>
          <t>Patricia</t>
        </is>
      </c>
      <c r="D134" s="41" t="inlineStr">
        <is>
          <t>taxable</t>
        </is>
      </c>
      <c r="E134" s="12" t="inlineStr">
        <is>
          <t>trust</t>
        </is>
      </c>
      <c r="F134" s="27" t="n">
        <v>0</v>
      </c>
      <c r="G134" s="27" t="n">
        <v>0</v>
      </c>
      <c r="H134" s="27" t="n">
        <v>0</v>
      </c>
      <c r="I134" s="27" t="n">
        <v>0</v>
      </c>
      <c r="J134" s="27" t="n">
        <v>0</v>
      </c>
      <c r="K134" s="27" t="n">
        <v>0</v>
      </c>
      <c r="L134" s="27" t="n">
        <v>0</v>
      </c>
      <c r="M134" s="27" t="n">
        <v>0</v>
      </c>
      <c r="N134" s="27" t="n">
        <v>0</v>
      </c>
      <c r="O134" s="27" t="n">
        <v>0</v>
      </c>
      <c r="P134" s="27" t="n">
        <v>0</v>
      </c>
      <c r="Q134" s="33" t="inlineStr"/>
    </row>
    <row r="135" ht="45" customHeight="1">
      <c r="A135" s="26" t="n">
        <v>2039</v>
      </c>
      <c r="B135" s="12" t="inlineStr">
        <is>
          <t>Business_Checking</t>
        </is>
      </c>
      <c r="C135" s="12" t="inlineStr">
        <is>
          <t>Matthew</t>
        </is>
      </c>
      <c r="D135" s="41" t="inlineStr">
        <is>
          <t>cash</t>
        </is>
      </c>
      <c r="E135" s="12" t="inlineStr">
        <is>
          <t>checking</t>
        </is>
      </c>
      <c r="F135" s="27" t="n">
        <v>5000</v>
      </c>
      <c r="G135" s="27" t="n">
        <v>0</v>
      </c>
      <c r="H135" s="27" t="n">
        <v>0</v>
      </c>
      <c r="I135" s="27" t="n">
        <v>0</v>
      </c>
      <c r="J135" s="27" t="n">
        <v>0</v>
      </c>
      <c r="K135" s="27" t="n">
        <v>0</v>
      </c>
      <c r="L135" s="27" t="n">
        <v>0</v>
      </c>
      <c r="M135" s="27" t="n">
        <v>0</v>
      </c>
      <c r="N135" s="27" t="n">
        <v>5000</v>
      </c>
      <c r="O135" s="27" t="n">
        <v>5000</v>
      </c>
      <c r="P135" s="27" t="n">
        <v>0</v>
      </c>
      <c r="Q135" s="33" t="inlineStr"/>
    </row>
    <row r="136" ht="30" customHeight="1">
      <c r="A136" s="26" t="n">
        <v>2039</v>
      </c>
      <c r="B136" s="12" t="inlineStr">
        <is>
          <t>Family_Checking</t>
        </is>
      </c>
      <c r="C136" s="12" t="inlineStr">
        <is>
          <t>Matthew</t>
        </is>
      </c>
      <c r="D136" s="41" t="inlineStr">
        <is>
          <t>cash</t>
        </is>
      </c>
      <c r="E136" s="12" t="inlineStr">
        <is>
          <t>checking</t>
        </is>
      </c>
      <c r="F136" s="27" t="n">
        <v>15000</v>
      </c>
      <c r="G136" s="27" t="n">
        <v>0</v>
      </c>
      <c r="H136" s="27" t="n">
        <v>0</v>
      </c>
      <c r="I136" s="27" t="n">
        <v>0</v>
      </c>
      <c r="J136" s="27" t="n">
        <v>0</v>
      </c>
      <c r="K136" s="27" t="n">
        <v>0</v>
      </c>
      <c r="L136" s="27" t="n">
        <v>0</v>
      </c>
      <c r="M136" s="27" t="n">
        <v>0</v>
      </c>
      <c r="N136" s="27" t="n">
        <v>15000</v>
      </c>
      <c r="O136" s="27" t="n">
        <v>15000</v>
      </c>
      <c r="P136" s="27" t="n">
        <v>0</v>
      </c>
      <c r="Q136" s="33" t="inlineStr"/>
    </row>
    <row r="137" ht="30" customHeight="1">
      <c r="A137" s="26" t="n">
        <v>2039</v>
      </c>
      <c r="B137" s="12" t="inlineStr">
        <is>
          <t>Husband_HSA</t>
        </is>
      </c>
      <c r="C137" s="12" t="inlineStr">
        <is>
          <t>Matthew</t>
        </is>
      </c>
      <c r="D137" s="41" t="inlineStr">
        <is>
          <t>hsa</t>
        </is>
      </c>
      <c r="E137" s="12" t="inlineStr">
        <is>
          <t>hsa</t>
        </is>
      </c>
      <c r="F137" s="27" t="n">
        <v>33349.09833062998</v>
      </c>
      <c r="G137" s="27" t="n">
        <v>0</v>
      </c>
      <c r="H137" s="27" t="n">
        <v>0</v>
      </c>
      <c r="I137" s="27" t="n">
        <v>0</v>
      </c>
      <c r="J137" s="27" t="n">
        <v>0</v>
      </c>
      <c r="K137" s="27" t="n">
        <v>0</v>
      </c>
      <c r="L137" s="27" t="n">
        <v>16674.54916531499</v>
      </c>
      <c r="M137" s="27" t="n">
        <v>1000.472949918899</v>
      </c>
      <c r="N137" s="27" t="n">
        <v>17675.02211523389</v>
      </c>
      <c r="O137" s="27" t="n">
        <v>17675.02211523389</v>
      </c>
      <c r="P137" s="27" t="n">
        <v>0</v>
      </c>
      <c r="Q137" s="12" t="inlineStr">
        <is>
          <t>withdrawal</t>
        </is>
      </c>
    </row>
    <row r="138" ht="30" customHeight="1">
      <c r="A138" s="26" t="n">
        <v>2039</v>
      </c>
      <c r="B138" s="12" t="inlineStr">
        <is>
          <t>Husband_401k</t>
        </is>
      </c>
      <c r="C138" s="12" t="inlineStr">
        <is>
          <t>Matthew</t>
        </is>
      </c>
      <c r="D138" s="41" t="inlineStr">
        <is>
          <t>pre_tax</t>
        </is>
      </c>
      <c r="E138" s="12" t="inlineStr">
        <is>
          <t>401k</t>
        </is>
      </c>
      <c r="F138" s="27" t="n">
        <v>0</v>
      </c>
      <c r="G138" s="27" t="n">
        <v>0</v>
      </c>
      <c r="H138" s="27" t="n">
        <v>0</v>
      </c>
      <c r="I138" s="27" t="n">
        <v>0</v>
      </c>
      <c r="J138" s="27" t="n">
        <v>0</v>
      </c>
      <c r="K138" s="27" t="n">
        <v>0</v>
      </c>
      <c r="L138" s="27" t="n">
        <v>0</v>
      </c>
      <c r="M138" s="27" t="n">
        <v>0</v>
      </c>
      <c r="N138" s="27" t="n">
        <v>0</v>
      </c>
      <c r="O138" s="27" t="n">
        <v>0</v>
      </c>
      <c r="P138" s="27" t="n">
        <v>0</v>
      </c>
      <c r="Q138" s="33" t="inlineStr"/>
    </row>
    <row r="139" ht="30" customHeight="1">
      <c r="A139" s="26" t="n">
        <v>2039</v>
      </c>
      <c r="B139" s="12" t="inlineStr">
        <is>
          <t>Husband_IRA</t>
        </is>
      </c>
      <c r="C139" s="12" t="inlineStr">
        <is>
          <t>Matthew</t>
        </is>
      </c>
      <c r="D139" s="41" t="inlineStr">
        <is>
          <t>pre_tax</t>
        </is>
      </c>
      <c r="E139" s="12" t="inlineStr">
        <is>
          <t>traditional_ira</t>
        </is>
      </c>
      <c r="F139" s="27" t="n">
        <v>406756.9593910935</v>
      </c>
      <c r="G139" s="27" t="n">
        <v>0</v>
      </c>
      <c r="H139" s="27" t="n">
        <v>0</v>
      </c>
      <c r="I139" s="27" t="n">
        <v>0</v>
      </c>
      <c r="J139" s="27" t="n">
        <v>0</v>
      </c>
      <c r="K139" s="27" t="n">
        <v>0</v>
      </c>
      <c r="L139" s="27" t="n">
        <v>162548.3182982101</v>
      </c>
      <c r="M139" s="27" t="n">
        <v>14652.518465573</v>
      </c>
      <c r="N139" s="27" t="n">
        <v>258861.1595584564</v>
      </c>
      <c r="O139" s="27" t="n">
        <v>258861.1595584564</v>
      </c>
      <c r="P139" s="27" t="n">
        <v>0</v>
      </c>
      <c r="Q139" s="12" t="inlineStr">
        <is>
          <t>withdrawal</t>
        </is>
      </c>
    </row>
    <row r="140" ht="30" customHeight="1">
      <c r="A140" s="26" t="n">
        <v>2039</v>
      </c>
      <c r="B140" s="12" t="inlineStr">
        <is>
          <t>Husband_Roth</t>
        </is>
      </c>
      <c r="C140" s="12" t="inlineStr">
        <is>
          <t>Matthew</t>
        </is>
      </c>
      <c r="D140" s="41" t="inlineStr">
        <is>
          <t>roth</t>
        </is>
      </c>
      <c r="E140" s="12" t="inlineStr">
        <is>
          <t>roth_ira</t>
        </is>
      </c>
      <c r="F140" s="27" t="n">
        <v>680608.52142979</v>
      </c>
      <c r="G140" s="27" t="n">
        <v>0</v>
      </c>
      <c r="H140" s="27" t="n">
        <v>0</v>
      </c>
      <c r="I140" s="27" t="n">
        <v>0</v>
      </c>
      <c r="J140" s="27" t="n">
        <v>0</v>
      </c>
      <c r="K140" s="27" t="n">
        <v>0</v>
      </c>
      <c r="L140" s="27" t="n">
        <v>0</v>
      </c>
      <c r="M140" s="27" t="n">
        <v>40836.5112857874</v>
      </c>
      <c r="N140" s="27" t="n">
        <v>721445.0327155774</v>
      </c>
      <c r="O140" s="27" t="n">
        <v>721445.0327155774</v>
      </c>
      <c r="P140" s="27" t="n">
        <v>0</v>
      </c>
      <c r="Q140" s="33" t="inlineStr"/>
    </row>
    <row r="141" ht="30" customHeight="1">
      <c r="A141" s="26" t="n">
        <v>2039</v>
      </c>
      <c r="B141" s="12" t="inlineStr">
        <is>
          <t>Husband_Trust</t>
        </is>
      </c>
      <c r="C141" s="12" t="inlineStr">
        <is>
          <t>Matthew</t>
        </is>
      </c>
      <c r="D141" s="41" t="inlineStr">
        <is>
          <t>taxable</t>
        </is>
      </c>
      <c r="E141" s="12" t="inlineStr">
        <is>
          <t>trust</t>
        </is>
      </c>
      <c r="F141" s="27" t="n">
        <v>0</v>
      </c>
      <c r="G141" s="27" t="n">
        <v>0</v>
      </c>
      <c r="H141" s="27" t="n">
        <v>0</v>
      </c>
      <c r="I141" s="27" t="n">
        <v>0</v>
      </c>
      <c r="J141" s="27" t="n">
        <v>0</v>
      </c>
      <c r="K141" s="27" t="n">
        <v>0</v>
      </c>
      <c r="L141" s="27" t="n">
        <v>0</v>
      </c>
      <c r="M141" s="27" t="n">
        <v>0</v>
      </c>
      <c r="N141" s="27" t="n">
        <v>0</v>
      </c>
      <c r="O141" s="27" t="n">
        <v>0</v>
      </c>
      <c r="P141" s="27" t="n">
        <v>0</v>
      </c>
      <c r="Q141" s="33" t="inlineStr"/>
    </row>
    <row r="142" ht="30" customHeight="1">
      <c r="A142" s="26" t="n">
        <v>2039</v>
      </c>
      <c r="B142" s="12" t="inlineStr">
        <is>
          <t>Wife_IRA</t>
        </is>
      </c>
      <c r="C142" s="12" t="inlineStr">
        <is>
          <t>Patricia</t>
        </is>
      </c>
      <c r="D142" s="41" t="inlineStr">
        <is>
          <t>pre_tax</t>
        </is>
      </c>
      <c r="E142" s="12" t="inlineStr">
        <is>
          <t>traditional_ira</t>
        </is>
      </c>
      <c r="F142" s="27" t="n">
        <v>0</v>
      </c>
      <c r="G142" s="27" t="n">
        <v>0</v>
      </c>
      <c r="H142" s="27" t="n">
        <v>0</v>
      </c>
      <c r="I142" s="27" t="n">
        <v>0</v>
      </c>
      <c r="J142" s="27" t="n">
        <v>0</v>
      </c>
      <c r="K142" s="27" t="n">
        <v>0</v>
      </c>
      <c r="L142" s="27" t="n">
        <v>0</v>
      </c>
      <c r="M142" s="27" t="n">
        <v>0</v>
      </c>
      <c r="N142" s="27" t="n">
        <v>0</v>
      </c>
      <c r="O142" s="27" t="n">
        <v>0</v>
      </c>
      <c r="P142" s="27" t="n">
        <v>0</v>
      </c>
      <c r="Q142" s="33" t="inlineStr"/>
    </row>
    <row r="143" ht="30" customHeight="1">
      <c r="A143" s="26" t="n">
        <v>2039</v>
      </c>
      <c r="B143" s="12" t="inlineStr">
        <is>
          <t>Wife_Roth</t>
        </is>
      </c>
      <c r="C143" s="12" t="inlineStr">
        <is>
          <t>Patricia</t>
        </is>
      </c>
      <c r="D143" s="41" t="inlineStr">
        <is>
          <t>roth</t>
        </is>
      </c>
      <c r="E143" s="12" t="inlineStr">
        <is>
          <t>roth_ira</t>
        </is>
      </c>
      <c r="F143" s="27" t="n">
        <v>1365698.982835153</v>
      </c>
      <c r="G143" s="27" t="n">
        <v>0</v>
      </c>
      <c r="H143" s="27" t="n">
        <v>0</v>
      </c>
      <c r="I143" s="27" t="n">
        <v>0</v>
      </c>
      <c r="J143" s="27" t="n">
        <v>0</v>
      </c>
      <c r="K143" s="27" t="n">
        <v>0</v>
      </c>
      <c r="L143" s="27" t="n">
        <v>0</v>
      </c>
      <c r="M143" s="27" t="n">
        <v>81941.9389701092</v>
      </c>
      <c r="N143" s="27" t="n">
        <v>1447640.921805263</v>
      </c>
      <c r="O143" s="27" t="n">
        <v>1447640.921805263</v>
      </c>
      <c r="P143" s="27" t="n">
        <v>0</v>
      </c>
      <c r="Q143" s="33" t="inlineStr"/>
    </row>
    <row r="144" ht="30" customHeight="1">
      <c r="A144" s="26" t="n">
        <v>2039</v>
      </c>
      <c r="B144" s="12" t="inlineStr">
        <is>
          <t>Wife_Trust</t>
        </is>
      </c>
      <c r="C144" s="12" t="inlineStr">
        <is>
          <t>Patricia</t>
        </is>
      </c>
      <c r="D144" s="41" t="inlineStr">
        <is>
          <t>taxable</t>
        </is>
      </c>
      <c r="E144" s="12" t="inlineStr">
        <is>
          <t>trust</t>
        </is>
      </c>
      <c r="F144" s="27" t="n">
        <v>0</v>
      </c>
      <c r="G144" s="27" t="n">
        <v>0</v>
      </c>
      <c r="H144" s="27" t="n">
        <v>0</v>
      </c>
      <c r="I144" s="27" t="n">
        <v>0</v>
      </c>
      <c r="J144" s="27" t="n">
        <v>0</v>
      </c>
      <c r="K144" s="27" t="n">
        <v>0</v>
      </c>
      <c r="L144" s="27" t="n">
        <v>0</v>
      </c>
      <c r="M144" s="27" t="n">
        <v>0</v>
      </c>
      <c r="N144" s="27" t="n">
        <v>0</v>
      </c>
      <c r="O144" s="27" t="n">
        <v>0</v>
      </c>
      <c r="P144" s="27" t="n">
        <v>0</v>
      </c>
      <c r="Q144" s="33" t="inlineStr"/>
    </row>
    <row r="145" ht="45" customHeight="1">
      <c r="A145" s="26" t="n">
        <v>2040</v>
      </c>
      <c r="B145" s="12" t="inlineStr">
        <is>
          <t>Business_Checking</t>
        </is>
      </c>
      <c r="C145" s="12" t="inlineStr">
        <is>
          <t>Matthew</t>
        </is>
      </c>
      <c r="D145" s="41" t="inlineStr">
        <is>
          <t>cash</t>
        </is>
      </c>
      <c r="E145" s="12" t="inlineStr">
        <is>
          <t>checking</t>
        </is>
      </c>
      <c r="F145" s="27" t="n">
        <v>5000</v>
      </c>
      <c r="G145" s="27" t="n">
        <v>0</v>
      </c>
      <c r="H145" s="27" t="n">
        <v>0</v>
      </c>
      <c r="I145" s="27" t="n">
        <v>0</v>
      </c>
      <c r="J145" s="27" t="n">
        <v>0</v>
      </c>
      <c r="K145" s="27" t="n">
        <v>0</v>
      </c>
      <c r="L145" s="27" t="n">
        <v>0</v>
      </c>
      <c r="M145" s="27" t="n">
        <v>0</v>
      </c>
      <c r="N145" s="27" t="n">
        <v>5000</v>
      </c>
      <c r="O145" s="27" t="n">
        <v>5000</v>
      </c>
      <c r="P145" s="27" t="n">
        <v>0</v>
      </c>
      <c r="Q145" s="33" t="inlineStr"/>
    </row>
    <row r="146" ht="30" customHeight="1">
      <c r="A146" s="26" t="n">
        <v>2040</v>
      </c>
      <c r="B146" s="12" t="inlineStr">
        <is>
          <t>Family_Checking</t>
        </is>
      </c>
      <c r="C146" s="12" t="inlineStr">
        <is>
          <t>Matthew</t>
        </is>
      </c>
      <c r="D146" s="41" t="inlineStr">
        <is>
          <t>cash</t>
        </is>
      </c>
      <c r="E146" s="12" t="inlineStr">
        <is>
          <t>checking</t>
        </is>
      </c>
      <c r="F146" s="27" t="n">
        <v>15000</v>
      </c>
      <c r="G146" s="27" t="n">
        <v>0</v>
      </c>
      <c r="H146" s="27" t="n">
        <v>0</v>
      </c>
      <c r="I146" s="27" t="n">
        <v>0</v>
      </c>
      <c r="J146" s="27" t="n">
        <v>0</v>
      </c>
      <c r="K146" s="27" t="n">
        <v>0</v>
      </c>
      <c r="L146" s="27" t="n">
        <v>0</v>
      </c>
      <c r="M146" s="27" t="n">
        <v>0</v>
      </c>
      <c r="N146" s="27" t="n">
        <v>15000</v>
      </c>
      <c r="O146" s="27" t="n">
        <v>15000</v>
      </c>
      <c r="P146" s="27" t="n">
        <v>0</v>
      </c>
      <c r="Q146" s="33" t="inlineStr"/>
    </row>
    <row r="147" ht="30" customHeight="1">
      <c r="A147" s="26" t="n">
        <v>2040</v>
      </c>
      <c r="B147" s="12" t="inlineStr">
        <is>
          <t>Husband_HSA</t>
        </is>
      </c>
      <c r="C147" s="12" t="inlineStr">
        <is>
          <t>Matthew</t>
        </is>
      </c>
      <c r="D147" s="41" t="inlineStr">
        <is>
          <t>hsa</t>
        </is>
      </c>
      <c r="E147" s="12" t="inlineStr">
        <is>
          <t>hsa</t>
        </is>
      </c>
      <c r="F147" s="27" t="n">
        <v>17675.02211523389</v>
      </c>
      <c r="G147" s="27" t="n">
        <v>0</v>
      </c>
      <c r="H147" s="27" t="n">
        <v>0</v>
      </c>
      <c r="I147" s="27" t="n">
        <v>0</v>
      </c>
      <c r="J147" s="27" t="n">
        <v>0</v>
      </c>
      <c r="K147" s="27" t="n">
        <v>0</v>
      </c>
      <c r="L147" s="27" t="n">
        <v>17675.02211523389</v>
      </c>
      <c r="M147" s="27" t="n">
        <v>0</v>
      </c>
      <c r="N147" s="27" t="n">
        <v>0</v>
      </c>
      <c r="O147" s="27" t="n">
        <v>0</v>
      </c>
      <c r="P147" s="27" t="n">
        <v>0</v>
      </c>
      <c r="Q147" s="12" t="inlineStr">
        <is>
          <t>withdrawal</t>
        </is>
      </c>
    </row>
    <row r="148" ht="30" customHeight="1">
      <c r="A148" s="26" t="n">
        <v>2040</v>
      </c>
      <c r="B148" s="12" t="inlineStr">
        <is>
          <t>Husband_401k</t>
        </is>
      </c>
      <c r="C148" s="12" t="inlineStr">
        <is>
          <t>Matthew</t>
        </is>
      </c>
      <c r="D148" s="41" t="inlineStr">
        <is>
          <t>pre_tax</t>
        </is>
      </c>
      <c r="E148" s="12" t="inlineStr">
        <is>
          <t>401k</t>
        </is>
      </c>
      <c r="F148" s="27" t="n">
        <v>0</v>
      </c>
      <c r="G148" s="27" t="n">
        <v>0</v>
      </c>
      <c r="H148" s="27" t="n">
        <v>0</v>
      </c>
      <c r="I148" s="27" t="n">
        <v>0</v>
      </c>
      <c r="J148" s="27" t="n">
        <v>0</v>
      </c>
      <c r="K148" s="27" t="n">
        <v>0</v>
      </c>
      <c r="L148" s="27" t="n">
        <v>0</v>
      </c>
      <c r="M148" s="27" t="n">
        <v>0</v>
      </c>
      <c r="N148" s="27" t="n">
        <v>0</v>
      </c>
      <c r="O148" s="27" t="n">
        <v>0</v>
      </c>
      <c r="P148" s="27" t="n">
        <v>0</v>
      </c>
      <c r="Q148" s="33" t="inlineStr"/>
    </row>
    <row r="149" ht="30" customHeight="1">
      <c r="A149" s="26" t="n">
        <v>2040</v>
      </c>
      <c r="B149" s="12" t="inlineStr">
        <is>
          <t>Husband_IRA</t>
        </is>
      </c>
      <c r="C149" s="12" t="inlineStr">
        <is>
          <t>Matthew</t>
        </is>
      </c>
      <c r="D149" s="41" t="inlineStr">
        <is>
          <t>pre_tax</t>
        </is>
      </c>
      <c r="E149" s="12" t="inlineStr">
        <is>
          <t>traditional_ira</t>
        </is>
      </c>
      <c r="F149" s="27" t="n">
        <v>258861.1595584564</v>
      </c>
      <c r="G149" s="27" t="n">
        <v>0</v>
      </c>
      <c r="H149" s="27" t="n">
        <v>0</v>
      </c>
      <c r="I149" s="27" t="n">
        <v>0</v>
      </c>
      <c r="J149" s="27" t="n">
        <v>0</v>
      </c>
      <c r="K149" s="27" t="n">
        <v>0</v>
      </c>
      <c r="L149" s="27" t="n">
        <v>172743.9487412603</v>
      </c>
      <c r="M149" s="27" t="n">
        <v>5167.03264903176</v>
      </c>
      <c r="N149" s="27" t="n">
        <v>91284.24346622778</v>
      </c>
      <c r="O149" s="27" t="n">
        <v>91284.24346622778</v>
      </c>
      <c r="P149" s="27" t="n">
        <v>0</v>
      </c>
      <c r="Q149" s="12" t="inlineStr">
        <is>
          <t>withdrawal</t>
        </is>
      </c>
    </row>
    <row r="150" ht="30" customHeight="1">
      <c r="A150" s="26" t="n">
        <v>2040</v>
      </c>
      <c r="B150" s="12" t="inlineStr">
        <is>
          <t>Husband_Roth</t>
        </is>
      </c>
      <c r="C150" s="12" t="inlineStr">
        <is>
          <t>Matthew</t>
        </is>
      </c>
      <c r="D150" s="41" t="inlineStr">
        <is>
          <t>roth</t>
        </is>
      </c>
      <c r="E150" s="12" t="inlineStr">
        <is>
          <t>roth_ira</t>
        </is>
      </c>
      <c r="F150" s="27" t="n">
        <v>721445.0327155774</v>
      </c>
      <c r="G150" s="27" t="n">
        <v>0</v>
      </c>
      <c r="H150" s="27" t="n">
        <v>0</v>
      </c>
      <c r="I150" s="27" t="n">
        <v>0</v>
      </c>
      <c r="J150" s="27" t="n">
        <v>0</v>
      </c>
      <c r="K150" s="27" t="n">
        <v>0</v>
      </c>
      <c r="L150" s="27" t="n">
        <v>0</v>
      </c>
      <c r="M150" s="27" t="n">
        <v>43286.70196293464</v>
      </c>
      <c r="N150" s="27" t="n">
        <v>764731.7346785121</v>
      </c>
      <c r="O150" s="27" t="n">
        <v>764731.7346785121</v>
      </c>
      <c r="P150" s="27" t="n">
        <v>0</v>
      </c>
      <c r="Q150" s="33" t="inlineStr"/>
    </row>
    <row r="151" ht="30" customHeight="1">
      <c r="A151" s="26" t="n">
        <v>2040</v>
      </c>
      <c r="B151" s="12" t="inlineStr">
        <is>
          <t>Husband_Trust</t>
        </is>
      </c>
      <c r="C151" s="12" t="inlineStr">
        <is>
          <t>Matthew</t>
        </is>
      </c>
      <c r="D151" s="41" t="inlineStr">
        <is>
          <t>taxable</t>
        </is>
      </c>
      <c r="E151" s="12" t="inlineStr">
        <is>
          <t>trust</t>
        </is>
      </c>
      <c r="F151" s="27" t="n">
        <v>0</v>
      </c>
      <c r="G151" s="27" t="n">
        <v>0</v>
      </c>
      <c r="H151" s="27" t="n">
        <v>0</v>
      </c>
      <c r="I151" s="27" t="n">
        <v>0</v>
      </c>
      <c r="J151" s="27" t="n">
        <v>0</v>
      </c>
      <c r="K151" s="27" t="n">
        <v>0</v>
      </c>
      <c r="L151" s="27" t="n">
        <v>0</v>
      </c>
      <c r="M151" s="27" t="n">
        <v>0</v>
      </c>
      <c r="N151" s="27" t="n">
        <v>0</v>
      </c>
      <c r="O151" s="27" t="n">
        <v>0</v>
      </c>
      <c r="P151" s="27" t="n">
        <v>0</v>
      </c>
      <c r="Q151" s="33" t="inlineStr"/>
    </row>
    <row r="152" ht="30" customHeight="1">
      <c r="A152" s="26" t="n">
        <v>2040</v>
      </c>
      <c r="B152" s="12" t="inlineStr">
        <is>
          <t>Wife_IRA</t>
        </is>
      </c>
      <c r="C152" s="12" t="inlineStr">
        <is>
          <t>Patricia</t>
        </is>
      </c>
      <c r="D152" s="41" t="inlineStr">
        <is>
          <t>pre_tax</t>
        </is>
      </c>
      <c r="E152" s="12" t="inlineStr">
        <is>
          <t>traditional_ira</t>
        </is>
      </c>
      <c r="F152" s="27" t="n">
        <v>0</v>
      </c>
      <c r="G152" s="27" t="n">
        <v>0</v>
      </c>
      <c r="H152" s="27" t="n">
        <v>0</v>
      </c>
      <c r="I152" s="27" t="n">
        <v>0</v>
      </c>
      <c r="J152" s="27" t="n">
        <v>0</v>
      </c>
      <c r="K152" s="27" t="n">
        <v>0</v>
      </c>
      <c r="L152" s="27" t="n">
        <v>0</v>
      </c>
      <c r="M152" s="27" t="n">
        <v>0</v>
      </c>
      <c r="N152" s="27" t="n">
        <v>0</v>
      </c>
      <c r="O152" s="27" t="n">
        <v>0</v>
      </c>
      <c r="P152" s="27" t="n">
        <v>0</v>
      </c>
      <c r="Q152" s="33" t="inlineStr"/>
    </row>
    <row r="153" ht="30" customHeight="1">
      <c r="A153" s="26" t="n">
        <v>2040</v>
      </c>
      <c r="B153" s="12" t="inlineStr">
        <is>
          <t>Wife_Roth</t>
        </is>
      </c>
      <c r="C153" s="12" t="inlineStr">
        <is>
          <t>Patricia</t>
        </is>
      </c>
      <c r="D153" s="41" t="inlineStr">
        <is>
          <t>roth</t>
        </is>
      </c>
      <c r="E153" s="12" t="inlineStr">
        <is>
          <t>roth_ira</t>
        </is>
      </c>
      <c r="F153" s="27" t="n">
        <v>1447640.921805263</v>
      </c>
      <c r="G153" s="27" t="n">
        <v>0</v>
      </c>
      <c r="H153" s="27" t="n">
        <v>0</v>
      </c>
      <c r="I153" s="27" t="n">
        <v>0</v>
      </c>
      <c r="J153" s="27" t="n">
        <v>0</v>
      </c>
      <c r="K153" s="27" t="n">
        <v>0</v>
      </c>
      <c r="L153" s="27" t="n">
        <v>0</v>
      </c>
      <c r="M153" s="27" t="n">
        <v>86858.45530831575</v>
      </c>
      <c r="N153" s="27" t="n">
        <v>1534499.377113578</v>
      </c>
      <c r="O153" s="27" t="n">
        <v>1534499.377113578</v>
      </c>
      <c r="P153" s="27" t="n">
        <v>0</v>
      </c>
      <c r="Q153" s="33" t="inlineStr"/>
    </row>
    <row r="154" ht="30" customHeight="1">
      <c r="A154" s="26" t="n">
        <v>2040</v>
      </c>
      <c r="B154" s="12" t="inlineStr">
        <is>
          <t>Wife_Trust</t>
        </is>
      </c>
      <c r="C154" s="12" t="inlineStr">
        <is>
          <t>Patricia</t>
        </is>
      </c>
      <c r="D154" s="41" t="inlineStr">
        <is>
          <t>taxable</t>
        </is>
      </c>
      <c r="E154" s="12" t="inlineStr">
        <is>
          <t>trust</t>
        </is>
      </c>
      <c r="F154" s="27" t="n">
        <v>0</v>
      </c>
      <c r="G154" s="27" t="n">
        <v>0</v>
      </c>
      <c r="H154" s="27" t="n">
        <v>0</v>
      </c>
      <c r="I154" s="27" t="n">
        <v>0</v>
      </c>
      <c r="J154" s="27" t="n">
        <v>0</v>
      </c>
      <c r="K154" s="27" t="n">
        <v>0</v>
      </c>
      <c r="L154" s="27" t="n">
        <v>0</v>
      </c>
      <c r="M154" s="27" t="n">
        <v>0</v>
      </c>
      <c r="N154" s="27" t="n">
        <v>0</v>
      </c>
      <c r="O154" s="27" t="n">
        <v>0</v>
      </c>
      <c r="P154" s="27" t="n">
        <v>0</v>
      </c>
      <c r="Q154" s="33" t="inlineStr"/>
    </row>
    <row r="155" ht="45" customHeight="1">
      <c r="A155" s="26" t="n">
        <v>2041</v>
      </c>
      <c r="B155" s="12" t="inlineStr">
        <is>
          <t>Business_Checking</t>
        </is>
      </c>
      <c r="C155" s="12" t="inlineStr">
        <is>
          <t>Matthew</t>
        </is>
      </c>
      <c r="D155" s="41" t="inlineStr">
        <is>
          <t>cash</t>
        </is>
      </c>
      <c r="E155" s="12" t="inlineStr">
        <is>
          <t>checking</t>
        </is>
      </c>
      <c r="F155" s="27" t="n">
        <v>5000</v>
      </c>
      <c r="G155" s="27" t="n">
        <v>0</v>
      </c>
      <c r="H155" s="27" t="n">
        <v>0</v>
      </c>
      <c r="I155" s="27" t="n">
        <v>0</v>
      </c>
      <c r="J155" s="27" t="n">
        <v>0</v>
      </c>
      <c r="K155" s="27" t="n">
        <v>0</v>
      </c>
      <c r="L155" s="27" t="n">
        <v>0</v>
      </c>
      <c r="M155" s="27" t="n">
        <v>0</v>
      </c>
      <c r="N155" s="27" t="n">
        <v>5000</v>
      </c>
      <c r="O155" s="27" t="n">
        <v>5000</v>
      </c>
      <c r="P155" s="27" t="n">
        <v>0</v>
      </c>
      <c r="Q155" s="33" t="inlineStr"/>
    </row>
    <row r="156" ht="30" customHeight="1">
      <c r="A156" s="26" t="n">
        <v>2041</v>
      </c>
      <c r="B156" s="12" t="inlineStr">
        <is>
          <t>Family_Checking</t>
        </is>
      </c>
      <c r="C156" s="12" t="inlineStr">
        <is>
          <t>Matthew</t>
        </is>
      </c>
      <c r="D156" s="41" t="inlineStr">
        <is>
          <t>cash</t>
        </is>
      </c>
      <c r="E156" s="12" t="inlineStr">
        <is>
          <t>checking</t>
        </is>
      </c>
      <c r="F156" s="27" t="n">
        <v>15000</v>
      </c>
      <c r="G156" s="27" t="n">
        <v>0</v>
      </c>
      <c r="H156" s="27" t="n">
        <v>0</v>
      </c>
      <c r="I156" s="27" t="n">
        <v>0</v>
      </c>
      <c r="J156" s="27" t="n">
        <v>0</v>
      </c>
      <c r="K156" s="27" t="n">
        <v>0</v>
      </c>
      <c r="L156" s="27" t="n">
        <v>0</v>
      </c>
      <c r="M156" s="27" t="n">
        <v>0</v>
      </c>
      <c r="N156" s="27" t="n">
        <v>15000</v>
      </c>
      <c r="O156" s="27" t="n">
        <v>15000</v>
      </c>
      <c r="P156" s="27" t="n">
        <v>0</v>
      </c>
      <c r="Q156" s="33" t="inlineStr"/>
    </row>
    <row r="157" ht="30" customHeight="1">
      <c r="A157" s="26" t="n">
        <v>2041</v>
      </c>
      <c r="B157" s="12" t="inlineStr">
        <is>
          <t>Husband_HSA</t>
        </is>
      </c>
      <c r="C157" s="12" t="inlineStr">
        <is>
          <t>Matthew</t>
        </is>
      </c>
      <c r="D157" s="41" t="inlineStr">
        <is>
          <t>hsa</t>
        </is>
      </c>
      <c r="E157" s="12" t="inlineStr">
        <is>
          <t>hsa</t>
        </is>
      </c>
      <c r="F157" s="27" t="n">
        <v>0</v>
      </c>
      <c r="G157" s="27" t="n">
        <v>0</v>
      </c>
      <c r="H157" s="27" t="n">
        <v>0</v>
      </c>
      <c r="I157" s="27" t="n">
        <v>0</v>
      </c>
      <c r="J157" s="27" t="n">
        <v>0</v>
      </c>
      <c r="K157" s="27" t="n">
        <v>0</v>
      </c>
      <c r="L157" s="27" t="n">
        <v>0</v>
      </c>
      <c r="M157" s="27" t="n">
        <v>0</v>
      </c>
      <c r="N157" s="27" t="n">
        <v>0</v>
      </c>
      <c r="O157" s="27" t="n">
        <v>0</v>
      </c>
      <c r="P157" s="27" t="n">
        <v>0</v>
      </c>
      <c r="Q157" s="33" t="inlineStr"/>
    </row>
    <row r="158" ht="30" customHeight="1">
      <c r="A158" s="26" t="n">
        <v>2041</v>
      </c>
      <c r="B158" s="12" t="inlineStr">
        <is>
          <t>Husband_401k</t>
        </is>
      </c>
      <c r="C158" s="12" t="inlineStr">
        <is>
          <t>Matthew</t>
        </is>
      </c>
      <c r="D158" s="41" t="inlineStr">
        <is>
          <t>pre_tax</t>
        </is>
      </c>
      <c r="E158" s="12" t="inlineStr">
        <is>
          <t>401k</t>
        </is>
      </c>
      <c r="F158" s="27" t="n">
        <v>0</v>
      </c>
      <c r="G158" s="27" t="n">
        <v>0</v>
      </c>
      <c r="H158" s="27" t="n">
        <v>0</v>
      </c>
      <c r="I158" s="27" t="n">
        <v>0</v>
      </c>
      <c r="J158" s="27" t="n">
        <v>0</v>
      </c>
      <c r="K158" s="27" t="n">
        <v>0</v>
      </c>
      <c r="L158" s="27" t="n">
        <v>0</v>
      </c>
      <c r="M158" s="27" t="n">
        <v>0</v>
      </c>
      <c r="N158" s="27" t="n">
        <v>0</v>
      </c>
      <c r="O158" s="27" t="n">
        <v>0</v>
      </c>
      <c r="P158" s="27" t="n">
        <v>0</v>
      </c>
      <c r="Q158" s="33" t="inlineStr"/>
    </row>
    <row r="159" ht="30" customHeight="1">
      <c r="A159" s="26" t="n">
        <v>2041</v>
      </c>
      <c r="B159" s="12" t="inlineStr">
        <is>
          <t>Husband_IRA</t>
        </is>
      </c>
      <c r="C159" s="12" t="inlineStr">
        <is>
          <t>Matthew</t>
        </is>
      </c>
      <c r="D159" s="41" t="inlineStr">
        <is>
          <t>pre_tax</t>
        </is>
      </c>
      <c r="E159" s="12" t="inlineStr">
        <is>
          <t>traditional_ira</t>
        </is>
      </c>
      <c r="F159" s="27" t="n">
        <v>91284.24346622778</v>
      </c>
      <c r="G159" s="27" t="n">
        <v>0</v>
      </c>
      <c r="H159" s="27" t="n">
        <v>0</v>
      </c>
      <c r="I159" s="27" t="n">
        <v>0</v>
      </c>
      <c r="J159" s="27" t="n">
        <v>0</v>
      </c>
      <c r="K159" s="27" t="n">
        <v>0</v>
      </c>
      <c r="L159" s="27" t="n">
        <v>91284.24346622778</v>
      </c>
      <c r="M159" s="27" t="n">
        <v>0</v>
      </c>
      <c r="N159" s="27" t="n">
        <v>0</v>
      </c>
      <c r="O159" s="27" t="n">
        <v>0</v>
      </c>
      <c r="P159" s="27" t="n">
        <v>0</v>
      </c>
      <c r="Q159" s="12" t="inlineStr">
        <is>
          <t>withdrawal</t>
        </is>
      </c>
    </row>
    <row r="160" ht="30" customHeight="1">
      <c r="A160" s="26" t="n">
        <v>2041</v>
      </c>
      <c r="B160" s="12" t="inlineStr">
        <is>
          <t>Husband_Roth</t>
        </is>
      </c>
      <c r="C160" s="12" t="inlineStr">
        <is>
          <t>Matthew</t>
        </is>
      </c>
      <c r="D160" s="41" t="inlineStr">
        <is>
          <t>roth</t>
        </is>
      </c>
      <c r="E160" s="12" t="inlineStr">
        <is>
          <t>roth_ira</t>
        </is>
      </c>
      <c r="F160" s="27" t="n">
        <v>764731.7346785121</v>
      </c>
      <c r="G160" s="27" t="n">
        <v>0</v>
      </c>
      <c r="H160" s="27" t="n">
        <v>0</v>
      </c>
      <c r="I160" s="27" t="n">
        <v>0</v>
      </c>
      <c r="J160" s="27" t="n">
        <v>0</v>
      </c>
      <c r="K160" s="27" t="n">
        <v>0</v>
      </c>
      <c r="L160" s="27" t="n">
        <v>28256.24203262666</v>
      </c>
      <c r="M160" s="27" t="n">
        <v>44188.52955875312</v>
      </c>
      <c r="N160" s="27" t="n">
        <v>780664.0222046386</v>
      </c>
      <c r="O160" s="27" t="n">
        <v>780664.0222046386</v>
      </c>
      <c r="P160" s="27" t="n">
        <v>0</v>
      </c>
      <c r="Q160" s="12" t="inlineStr">
        <is>
          <t>withdrawal</t>
        </is>
      </c>
    </row>
    <row r="161" ht="30" customHeight="1">
      <c r="A161" s="26" t="n">
        <v>2041</v>
      </c>
      <c r="B161" s="12" t="inlineStr">
        <is>
          <t>Husband_Trust</t>
        </is>
      </c>
      <c r="C161" s="12" t="inlineStr">
        <is>
          <t>Matthew</t>
        </is>
      </c>
      <c r="D161" s="41" t="inlineStr">
        <is>
          <t>taxable</t>
        </is>
      </c>
      <c r="E161" s="12" t="inlineStr">
        <is>
          <t>trust</t>
        </is>
      </c>
      <c r="F161" s="27" t="n">
        <v>0</v>
      </c>
      <c r="G161" s="27" t="n">
        <v>0</v>
      </c>
      <c r="H161" s="27" t="n">
        <v>0</v>
      </c>
      <c r="I161" s="27" t="n">
        <v>0</v>
      </c>
      <c r="J161" s="27" t="n">
        <v>0</v>
      </c>
      <c r="K161" s="27" t="n">
        <v>0</v>
      </c>
      <c r="L161" s="27" t="n">
        <v>0</v>
      </c>
      <c r="M161" s="27" t="n">
        <v>0</v>
      </c>
      <c r="N161" s="27" t="n">
        <v>0</v>
      </c>
      <c r="O161" s="27" t="n">
        <v>0</v>
      </c>
      <c r="P161" s="27" t="n">
        <v>0</v>
      </c>
      <c r="Q161" s="33" t="inlineStr"/>
    </row>
    <row r="162" ht="30" customHeight="1">
      <c r="A162" s="26" t="n">
        <v>2041</v>
      </c>
      <c r="B162" s="12" t="inlineStr">
        <is>
          <t>Wife_IRA</t>
        </is>
      </c>
      <c r="C162" s="12" t="inlineStr">
        <is>
          <t>Patricia</t>
        </is>
      </c>
      <c r="D162" s="41" t="inlineStr">
        <is>
          <t>pre_tax</t>
        </is>
      </c>
      <c r="E162" s="12" t="inlineStr">
        <is>
          <t>traditional_ira</t>
        </is>
      </c>
      <c r="F162" s="27" t="n">
        <v>0</v>
      </c>
      <c r="G162" s="27" t="n">
        <v>0</v>
      </c>
      <c r="H162" s="27" t="n">
        <v>0</v>
      </c>
      <c r="I162" s="27" t="n">
        <v>0</v>
      </c>
      <c r="J162" s="27" t="n">
        <v>0</v>
      </c>
      <c r="K162" s="27" t="n">
        <v>0</v>
      </c>
      <c r="L162" s="27" t="n">
        <v>0</v>
      </c>
      <c r="M162" s="27" t="n">
        <v>0</v>
      </c>
      <c r="N162" s="27" t="n">
        <v>0</v>
      </c>
      <c r="O162" s="27" t="n">
        <v>0</v>
      </c>
      <c r="P162" s="27" t="n">
        <v>0</v>
      </c>
      <c r="Q162" s="33" t="inlineStr"/>
    </row>
    <row r="163" ht="30" customHeight="1">
      <c r="A163" s="26" t="n">
        <v>2041</v>
      </c>
      <c r="B163" s="12" t="inlineStr">
        <is>
          <t>Wife_Roth</t>
        </is>
      </c>
      <c r="C163" s="12" t="inlineStr">
        <is>
          <t>Patricia</t>
        </is>
      </c>
      <c r="D163" s="41" t="inlineStr">
        <is>
          <t>roth</t>
        </is>
      </c>
      <c r="E163" s="12" t="inlineStr">
        <is>
          <t>roth_ira</t>
        </is>
      </c>
      <c r="F163" s="27" t="n">
        <v>1534499.377113578</v>
      </c>
      <c r="G163" s="27" t="n">
        <v>0</v>
      </c>
      <c r="H163" s="27" t="n">
        <v>0</v>
      </c>
      <c r="I163" s="27" t="n">
        <v>0</v>
      </c>
      <c r="J163" s="27" t="n">
        <v>0</v>
      </c>
      <c r="K163" s="27" t="n">
        <v>0</v>
      </c>
      <c r="L163" s="27" t="n">
        <v>56698.55693495447</v>
      </c>
      <c r="M163" s="27" t="n">
        <v>88668.04921071744</v>
      </c>
      <c r="N163" s="27" t="n">
        <v>1566468.869389341</v>
      </c>
      <c r="O163" s="27" t="n">
        <v>1566468.869389341</v>
      </c>
      <c r="P163" s="27" t="n">
        <v>0</v>
      </c>
      <c r="Q163" s="12" t="inlineStr">
        <is>
          <t>withdrawal</t>
        </is>
      </c>
    </row>
    <row r="164" ht="30" customHeight="1">
      <c r="A164" s="26" t="n">
        <v>2041</v>
      </c>
      <c r="B164" s="12" t="inlineStr">
        <is>
          <t>Wife_Trust</t>
        </is>
      </c>
      <c r="C164" s="12" t="inlineStr">
        <is>
          <t>Patricia</t>
        </is>
      </c>
      <c r="D164" s="41" t="inlineStr">
        <is>
          <t>taxable</t>
        </is>
      </c>
      <c r="E164" s="12" t="inlineStr">
        <is>
          <t>trust</t>
        </is>
      </c>
      <c r="F164" s="27" t="n">
        <v>0</v>
      </c>
      <c r="G164" s="27" t="n">
        <v>0</v>
      </c>
      <c r="H164" s="27" t="n">
        <v>0</v>
      </c>
      <c r="I164" s="27" t="n">
        <v>0</v>
      </c>
      <c r="J164" s="27" t="n">
        <v>0</v>
      </c>
      <c r="K164" s="27" t="n">
        <v>0</v>
      </c>
      <c r="L164" s="27" t="n">
        <v>0</v>
      </c>
      <c r="M164" s="27" t="n">
        <v>0</v>
      </c>
      <c r="N164" s="27" t="n">
        <v>0</v>
      </c>
      <c r="O164" s="27" t="n">
        <v>0</v>
      </c>
      <c r="P164" s="27" t="n">
        <v>0</v>
      </c>
      <c r="Q164" s="33" t="inlineStr"/>
    </row>
    <row r="165" ht="45" customHeight="1">
      <c r="A165" s="26" t="n">
        <v>2042</v>
      </c>
      <c r="B165" s="12" t="inlineStr">
        <is>
          <t>Business_Checking</t>
        </is>
      </c>
      <c r="C165" s="12" t="inlineStr">
        <is>
          <t>Matthew</t>
        </is>
      </c>
      <c r="D165" s="41" t="inlineStr">
        <is>
          <t>cash</t>
        </is>
      </c>
      <c r="E165" s="12" t="inlineStr">
        <is>
          <t>checking</t>
        </is>
      </c>
      <c r="F165" s="27" t="n">
        <v>5000</v>
      </c>
      <c r="G165" s="27" t="n">
        <v>0</v>
      </c>
      <c r="H165" s="27" t="n">
        <v>0</v>
      </c>
      <c r="I165" s="27" t="n">
        <v>0</v>
      </c>
      <c r="J165" s="27" t="n">
        <v>0</v>
      </c>
      <c r="K165" s="27" t="n">
        <v>0</v>
      </c>
      <c r="L165" s="27" t="n">
        <v>0</v>
      </c>
      <c r="M165" s="27" t="n">
        <v>0</v>
      </c>
      <c r="N165" s="27" t="n">
        <v>5000</v>
      </c>
      <c r="O165" s="27" t="n">
        <v>5000</v>
      </c>
      <c r="P165" s="27" t="n">
        <v>0</v>
      </c>
      <c r="Q165" s="33" t="inlineStr"/>
    </row>
    <row r="166" ht="30" customHeight="1">
      <c r="A166" s="26" t="n">
        <v>2042</v>
      </c>
      <c r="B166" s="12" t="inlineStr">
        <is>
          <t>Family_Checking</t>
        </is>
      </c>
      <c r="C166" s="12" t="inlineStr">
        <is>
          <t>Matthew</t>
        </is>
      </c>
      <c r="D166" s="41" t="inlineStr">
        <is>
          <t>cash</t>
        </is>
      </c>
      <c r="E166" s="12" t="inlineStr">
        <is>
          <t>checking</t>
        </is>
      </c>
      <c r="F166" s="27" t="n">
        <v>15000</v>
      </c>
      <c r="G166" s="27" t="n">
        <v>0</v>
      </c>
      <c r="H166" s="27" t="n">
        <v>0</v>
      </c>
      <c r="I166" s="27" t="n">
        <v>0</v>
      </c>
      <c r="J166" s="27" t="n">
        <v>0</v>
      </c>
      <c r="K166" s="27" t="n">
        <v>0</v>
      </c>
      <c r="L166" s="27" t="n">
        <v>0</v>
      </c>
      <c r="M166" s="27" t="n">
        <v>0</v>
      </c>
      <c r="N166" s="27" t="n">
        <v>15000</v>
      </c>
      <c r="O166" s="27" t="n">
        <v>15000</v>
      </c>
      <c r="P166" s="27" t="n">
        <v>0</v>
      </c>
      <c r="Q166" s="33" t="inlineStr"/>
    </row>
    <row r="167" ht="30" customHeight="1">
      <c r="A167" s="26" t="n">
        <v>2042</v>
      </c>
      <c r="B167" s="12" t="inlineStr">
        <is>
          <t>Husband_HSA</t>
        </is>
      </c>
      <c r="C167" s="12" t="inlineStr">
        <is>
          <t>Matthew</t>
        </is>
      </c>
      <c r="D167" s="41" t="inlineStr">
        <is>
          <t>hsa</t>
        </is>
      </c>
      <c r="E167" s="12" t="inlineStr">
        <is>
          <t>hsa</t>
        </is>
      </c>
      <c r="F167" s="27" t="n">
        <v>0</v>
      </c>
      <c r="G167" s="27" t="n">
        <v>0</v>
      </c>
      <c r="H167" s="27" t="n">
        <v>0</v>
      </c>
      <c r="I167" s="27" t="n">
        <v>0</v>
      </c>
      <c r="J167" s="27" t="n">
        <v>0</v>
      </c>
      <c r="K167" s="27" t="n">
        <v>0</v>
      </c>
      <c r="L167" s="27" t="n">
        <v>0</v>
      </c>
      <c r="M167" s="27" t="n">
        <v>0</v>
      </c>
      <c r="N167" s="27" t="n">
        <v>0</v>
      </c>
      <c r="O167" s="27" t="n">
        <v>0</v>
      </c>
      <c r="P167" s="27" t="n">
        <v>0</v>
      </c>
      <c r="Q167" s="33" t="inlineStr"/>
    </row>
    <row r="168" ht="30" customHeight="1">
      <c r="A168" s="26" t="n">
        <v>2042</v>
      </c>
      <c r="B168" s="12" t="inlineStr">
        <is>
          <t>Husband_401k</t>
        </is>
      </c>
      <c r="C168" s="12" t="inlineStr">
        <is>
          <t>Matthew</t>
        </is>
      </c>
      <c r="D168" s="41" t="inlineStr">
        <is>
          <t>pre_tax</t>
        </is>
      </c>
      <c r="E168" s="12" t="inlineStr">
        <is>
          <t>401k</t>
        </is>
      </c>
      <c r="F168" s="27" t="n">
        <v>0</v>
      </c>
      <c r="G168" s="27" t="n">
        <v>0</v>
      </c>
      <c r="H168" s="27" t="n">
        <v>0</v>
      </c>
      <c r="I168" s="27" t="n">
        <v>0</v>
      </c>
      <c r="J168" s="27" t="n">
        <v>0</v>
      </c>
      <c r="K168" s="27" t="n">
        <v>0</v>
      </c>
      <c r="L168" s="27" t="n">
        <v>0</v>
      </c>
      <c r="M168" s="27" t="n">
        <v>0</v>
      </c>
      <c r="N168" s="27" t="n">
        <v>0</v>
      </c>
      <c r="O168" s="27" t="n">
        <v>0</v>
      </c>
      <c r="P168" s="27" t="n">
        <v>0</v>
      </c>
      <c r="Q168" s="33" t="inlineStr"/>
    </row>
    <row r="169" ht="30" customHeight="1">
      <c r="A169" s="26" t="n">
        <v>2042</v>
      </c>
      <c r="B169" s="12" t="inlineStr">
        <is>
          <t>Husband_IRA</t>
        </is>
      </c>
      <c r="C169" s="12" t="inlineStr">
        <is>
          <t>Matthew</t>
        </is>
      </c>
      <c r="D169" s="41" t="inlineStr">
        <is>
          <t>pre_tax</t>
        </is>
      </c>
      <c r="E169" s="12" t="inlineStr">
        <is>
          <t>traditional_ira</t>
        </is>
      </c>
      <c r="F169" s="27" t="n">
        <v>0</v>
      </c>
      <c r="G169" s="27" t="n">
        <v>0</v>
      </c>
      <c r="H169" s="27" t="n">
        <v>0</v>
      </c>
      <c r="I169" s="27" t="n">
        <v>0</v>
      </c>
      <c r="J169" s="27" t="n">
        <v>0</v>
      </c>
      <c r="K169" s="27" t="n">
        <v>0</v>
      </c>
      <c r="L169" s="27" t="n">
        <v>0</v>
      </c>
      <c r="M169" s="27" t="n">
        <v>0</v>
      </c>
      <c r="N169" s="27" t="n">
        <v>0</v>
      </c>
      <c r="O169" s="27" t="n">
        <v>0</v>
      </c>
      <c r="P169" s="27" t="n">
        <v>0</v>
      </c>
      <c r="Q169" s="33" t="inlineStr"/>
    </row>
    <row r="170" ht="30" customHeight="1">
      <c r="A170" s="26" t="n">
        <v>2042</v>
      </c>
      <c r="B170" s="12" t="inlineStr">
        <is>
          <t>Husband_Roth</t>
        </is>
      </c>
      <c r="C170" s="12" t="inlineStr">
        <is>
          <t>Matthew</t>
        </is>
      </c>
      <c r="D170" s="41" t="inlineStr">
        <is>
          <t>roth</t>
        </is>
      </c>
      <c r="E170" s="12" t="inlineStr">
        <is>
          <t>roth_ira</t>
        </is>
      </c>
      <c r="F170" s="27" t="n">
        <v>780664.0222046386</v>
      </c>
      <c r="G170" s="27" t="n">
        <v>0</v>
      </c>
      <c r="H170" s="27" t="n">
        <v>0</v>
      </c>
      <c r="I170" s="27" t="n">
        <v>0</v>
      </c>
      <c r="J170" s="27" t="n">
        <v>0</v>
      </c>
      <c r="K170" s="27" t="n">
        <v>0</v>
      </c>
      <c r="L170" s="27" t="n">
        <v>53220.99102935501</v>
      </c>
      <c r="M170" s="27" t="n">
        <v>43646.58187051702</v>
      </c>
      <c r="N170" s="27" t="n">
        <v>771089.6130458006</v>
      </c>
      <c r="O170" s="27" t="n">
        <v>771089.6130458006</v>
      </c>
      <c r="P170" s="27" t="n">
        <v>0</v>
      </c>
      <c r="Q170" s="12" t="inlineStr">
        <is>
          <t>withdrawal</t>
        </is>
      </c>
    </row>
    <row r="171" ht="30" customHeight="1">
      <c r="A171" s="26" t="n">
        <v>2042</v>
      </c>
      <c r="B171" s="12" t="inlineStr">
        <is>
          <t>Husband_Trust</t>
        </is>
      </c>
      <c r="C171" s="12" t="inlineStr">
        <is>
          <t>Matthew</t>
        </is>
      </c>
      <c r="D171" s="41" t="inlineStr">
        <is>
          <t>taxable</t>
        </is>
      </c>
      <c r="E171" s="12" t="inlineStr">
        <is>
          <t>trust</t>
        </is>
      </c>
      <c r="F171" s="27" t="n">
        <v>0</v>
      </c>
      <c r="G171" s="27" t="n">
        <v>0</v>
      </c>
      <c r="H171" s="27" t="n">
        <v>0</v>
      </c>
      <c r="I171" s="27" t="n">
        <v>0</v>
      </c>
      <c r="J171" s="27" t="n">
        <v>0</v>
      </c>
      <c r="K171" s="27" t="n">
        <v>0</v>
      </c>
      <c r="L171" s="27" t="n">
        <v>0</v>
      </c>
      <c r="M171" s="27" t="n">
        <v>0</v>
      </c>
      <c r="N171" s="27" t="n">
        <v>0</v>
      </c>
      <c r="O171" s="27" t="n">
        <v>0</v>
      </c>
      <c r="P171" s="27" t="n">
        <v>0</v>
      </c>
      <c r="Q171" s="33" t="inlineStr"/>
    </row>
    <row r="172" ht="30" customHeight="1">
      <c r="A172" s="26" t="n">
        <v>2042</v>
      </c>
      <c r="B172" s="12" t="inlineStr">
        <is>
          <t>Wife_IRA</t>
        </is>
      </c>
      <c r="C172" s="12" t="inlineStr">
        <is>
          <t>Patricia</t>
        </is>
      </c>
      <c r="D172" s="41" t="inlineStr">
        <is>
          <t>pre_tax</t>
        </is>
      </c>
      <c r="E172" s="12" t="inlineStr">
        <is>
          <t>traditional_ira</t>
        </is>
      </c>
      <c r="F172" s="27" t="n">
        <v>0</v>
      </c>
      <c r="G172" s="27" t="n">
        <v>0</v>
      </c>
      <c r="H172" s="27" t="n">
        <v>0</v>
      </c>
      <c r="I172" s="27" t="n">
        <v>0</v>
      </c>
      <c r="J172" s="27" t="n">
        <v>0</v>
      </c>
      <c r="K172" s="27" t="n">
        <v>0</v>
      </c>
      <c r="L172" s="27" t="n">
        <v>0</v>
      </c>
      <c r="M172" s="27" t="n">
        <v>0</v>
      </c>
      <c r="N172" s="27" t="n">
        <v>0</v>
      </c>
      <c r="O172" s="27" t="n">
        <v>0</v>
      </c>
      <c r="P172" s="27" t="n">
        <v>0</v>
      </c>
      <c r="Q172" s="33" t="inlineStr"/>
    </row>
    <row r="173" ht="30" customHeight="1">
      <c r="A173" s="26" t="n">
        <v>2042</v>
      </c>
      <c r="B173" s="12" t="inlineStr">
        <is>
          <t>Wife_Roth</t>
        </is>
      </c>
      <c r="C173" s="12" t="inlineStr">
        <is>
          <t>Patricia</t>
        </is>
      </c>
      <c r="D173" s="41" t="inlineStr">
        <is>
          <t>roth</t>
        </is>
      </c>
      <c r="E173" s="12" t="inlineStr">
        <is>
          <t>roth_ira</t>
        </is>
      </c>
      <c r="F173" s="27" t="n">
        <v>1566468.869389341</v>
      </c>
      <c r="G173" s="27" t="n">
        <v>0</v>
      </c>
      <c r="H173" s="27" t="n">
        <v>0</v>
      </c>
      <c r="I173" s="27" t="n">
        <v>0</v>
      </c>
      <c r="J173" s="27" t="n">
        <v>0</v>
      </c>
      <c r="K173" s="27" t="n">
        <v>0</v>
      </c>
      <c r="L173" s="27" t="n">
        <v>106792.4526739368</v>
      </c>
      <c r="M173" s="27" t="n">
        <v>87580.58500292429</v>
      </c>
      <c r="N173" s="27" t="n">
        <v>1547257.001718329</v>
      </c>
      <c r="O173" s="27" t="n">
        <v>1547257.001718329</v>
      </c>
      <c r="P173" s="27" t="n">
        <v>0</v>
      </c>
      <c r="Q173" s="12" t="inlineStr">
        <is>
          <t>withdrawal</t>
        </is>
      </c>
    </row>
    <row r="174" ht="30" customHeight="1">
      <c r="A174" s="26" t="n">
        <v>2042</v>
      </c>
      <c r="B174" s="12" t="inlineStr">
        <is>
          <t>Wife_Trust</t>
        </is>
      </c>
      <c r="C174" s="12" t="inlineStr">
        <is>
          <t>Patricia</t>
        </is>
      </c>
      <c r="D174" s="41" t="inlineStr">
        <is>
          <t>taxable</t>
        </is>
      </c>
      <c r="E174" s="12" t="inlineStr">
        <is>
          <t>trust</t>
        </is>
      </c>
      <c r="F174" s="27" t="n">
        <v>0</v>
      </c>
      <c r="G174" s="27" t="n">
        <v>0</v>
      </c>
      <c r="H174" s="27" t="n">
        <v>0</v>
      </c>
      <c r="I174" s="27" t="n">
        <v>0</v>
      </c>
      <c r="J174" s="27" t="n">
        <v>0</v>
      </c>
      <c r="K174" s="27" t="n">
        <v>0</v>
      </c>
      <c r="L174" s="27" t="n">
        <v>0</v>
      </c>
      <c r="M174" s="27" t="n">
        <v>0</v>
      </c>
      <c r="N174" s="27" t="n">
        <v>0</v>
      </c>
      <c r="O174" s="27" t="n">
        <v>0</v>
      </c>
      <c r="P174" s="27" t="n">
        <v>0</v>
      </c>
      <c r="Q174" s="33" t="inlineStr"/>
    </row>
    <row r="175" ht="45" customHeight="1">
      <c r="A175" s="26" t="n">
        <v>2043</v>
      </c>
      <c r="B175" s="12" t="inlineStr">
        <is>
          <t>Business_Checking</t>
        </is>
      </c>
      <c r="C175" s="12" t="inlineStr">
        <is>
          <t>Matthew</t>
        </is>
      </c>
      <c r="D175" s="41" t="inlineStr">
        <is>
          <t>cash</t>
        </is>
      </c>
      <c r="E175" s="12" t="inlineStr">
        <is>
          <t>checking</t>
        </is>
      </c>
      <c r="F175" s="27" t="n">
        <v>5000</v>
      </c>
      <c r="G175" s="27" t="n">
        <v>0</v>
      </c>
      <c r="H175" s="27" t="n">
        <v>0</v>
      </c>
      <c r="I175" s="27" t="n">
        <v>0</v>
      </c>
      <c r="J175" s="27" t="n">
        <v>0</v>
      </c>
      <c r="K175" s="27" t="n">
        <v>0</v>
      </c>
      <c r="L175" s="27" t="n">
        <v>0</v>
      </c>
      <c r="M175" s="27" t="n">
        <v>0</v>
      </c>
      <c r="N175" s="27" t="n">
        <v>5000</v>
      </c>
      <c r="O175" s="27" t="n">
        <v>5000</v>
      </c>
      <c r="P175" s="27" t="n">
        <v>0</v>
      </c>
      <c r="Q175" s="33" t="inlineStr"/>
    </row>
    <row r="176" ht="30" customHeight="1">
      <c r="A176" s="26" t="n">
        <v>2043</v>
      </c>
      <c r="B176" s="12" t="inlineStr">
        <is>
          <t>Family_Checking</t>
        </is>
      </c>
      <c r="C176" s="12" t="inlineStr">
        <is>
          <t>Matthew</t>
        </is>
      </c>
      <c r="D176" s="41" t="inlineStr">
        <is>
          <t>cash</t>
        </is>
      </c>
      <c r="E176" s="12" t="inlineStr">
        <is>
          <t>checking</t>
        </is>
      </c>
      <c r="F176" s="27" t="n">
        <v>15000</v>
      </c>
      <c r="G176" s="27" t="n">
        <v>0</v>
      </c>
      <c r="H176" s="27" t="n">
        <v>0</v>
      </c>
      <c r="I176" s="27" t="n">
        <v>0</v>
      </c>
      <c r="J176" s="27" t="n">
        <v>0</v>
      </c>
      <c r="K176" s="27" t="n">
        <v>0</v>
      </c>
      <c r="L176" s="27" t="n">
        <v>0</v>
      </c>
      <c r="M176" s="27" t="n">
        <v>0</v>
      </c>
      <c r="N176" s="27" t="n">
        <v>15000</v>
      </c>
      <c r="O176" s="27" t="n">
        <v>15000</v>
      </c>
      <c r="P176" s="27" t="n">
        <v>0</v>
      </c>
      <c r="Q176" s="33" t="inlineStr"/>
    </row>
    <row r="177" ht="30" customHeight="1">
      <c r="A177" s="26" t="n">
        <v>2043</v>
      </c>
      <c r="B177" s="12" t="inlineStr">
        <is>
          <t>Husband_HSA</t>
        </is>
      </c>
      <c r="C177" s="12" t="inlineStr">
        <is>
          <t>Matthew</t>
        </is>
      </c>
      <c r="D177" s="41" t="inlineStr">
        <is>
          <t>hsa</t>
        </is>
      </c>
      <c r="E177" s="12" t="inlineStr">
        <is>
          <t>hsa</t>
        </is>
      </c>
      <c r="F177" s="27" t="n">
        <v>0</v>
      </c>
      <c r="G177" s="27" t="n">
        <v>0</v>
      </c>
      <c r="H177" s="27" t="n">
        <v>0</v>
      </c>
      <c r="I177" s="27" t="n">
        <v>0</v>
      </c>
      <c r="J177" s="27" t="n">
        <v>0</v>
      </c>
      <c r="K177" s="27" t="n">
        <v>0</v>
      </c>
      <c r="L177" s="27" t="n">
        <v>0</v>
      </c>
      <c r="M177" s="27" t="n">
        <v>0</v>
      </c>
      <c r="N177" s="27" t="n">
        <v>0</v>
      </c>
      <c r="O177" s="27" t="n">
        <v>0</v>
      </c>
      <c r="P177" s="27" t="n">
        <v>0</v>
      </c>
      <c r="Q177" s="33" t="inlineStr"/>
    </row>
    <row r="178" ht="30" customHeight="1">
      <c r="A178" s="26" t="n">
        <v>2043</v>
      </c>
      <c r="B178" s="12" t="inlineStr">
        <is>
          <t>Husband_401k</t>
        </is>
      </c>
      <c r="C178" s="12" t="inlineStr">
        <is>
          <t>Matthew</t>
        </is>
      </c>
      <c r="D178" s="41" t="inlineStr">
        <is>
          <t>pre_tax</t>
        </is>
      </c>
      <c r="E178" s="12" t="inlineStr">
        <is>
          <t>401k</t>
        </is>
      </c>
      <c r="F178" s="27" t="n">
        <v>0</v>
      </c>
      <c r="G178" s="27" t="n">
        <v>0</v>
      </c>
      <c r="H178" s="27" t="n">
        <v>0</v>
      </c>
      <c r="I178" s="27" t="n">
        <v>0</v>
      </c>
      <c r="J178" s="27" t="n">
        <v>0</v>
      </c>
      <c r="K178" s="27" t="n">
        <v>0</v>
      </c>
      <c r="L178" s="27" t="n">
        <v>0</v>
      </c>
      <c r="M178" s="27" t="n">
        <v>0</v>
      </c>
      <c r="N178" s="27" t="n">
        <v>0</v>
      </c>
      <c r="O178" s="27" t="n">
        <v>0</v>
      </c>
      <c r="P178" s="27" t="n">
        <v>0</v>
      </c>
      <c r="Q178" s="33" t="inlineStr"/>
    </row>
    <row r="179" ht="30" customHeight="1">
      <c r="A179" s="26" t="n">
        <v>2043</v>
      </c>
      <c r="B179" s="12" t="inlineStr">
        <is>
          <t>Husband_IRA</t>
        </is>
      </c>
      <c r="C179" s="12" t="inlineStr">
        <is>
          <t>Matthew</t>
        </is>
      </c>
      <c r="D179" s="41" t="inlineStr">
        <is>
          <t>pre_tax</t>
        </is>
      </c>
      <c r="E179" s="12" t="inlineStr">
        <is>
          <t>traditional_ira</t>
        </is>
      </c>
      <c r="F179" s="27" t="n">
        <v>0</v>
      </c>
      <c r="G179" s="27" t="n">
        <v>0</v>
      </c>
      <c r="H179" s="27" t="n">
        <v>0</v>
      </c>
      <c r="I179" s="27" t="n">
        <v>0</v>
      </c>
      <c r="J179" s="27" t="n">
        <v>0</v>
      </c>
      <c r="K179" s="27" t="n">
        <v>0</v>
      </c>
      <c r="L179" s="27" t="n">
        <v>0</v>
      </c>
      <c r="M179" s="27" t="n">
        <v>0</v>
      </c>
      <c r="N179" s="27" t="n">
        <v>0</v>
      </c>
      <c r="O179" s="27" t="n">
        <v>0</v>
      </c>
      <c r="P179" s="27" t="n">
        <v>0</v>
      </c>
      <c r="Q179" s="33" t="inlineStr"/>
    </row>
    <row r="180" ht="30" customHeight="1">
      <c r="A180" s="26" t="n">
        <v>2043</v>
      </c>
      <c r="B180" s="12" t="inlineStr">
        <is>
          <t>Husband_Roth</t>
        </is>
      </c>
      <c r="C180" s="12" t="inlineStr">
        <is>
          <t>Matthew</t>
        </is>
      </c>
      <c r="D180" s="41" t="inlineStr">
        <is>
          <t>roth</t>
        </is>
      </c>
      <c r="E180" s="12" t="inlineStr">
        <is>
          <t>roth_ira</t>
        </is>
      </c>
      <c r="F180" s="27" t="n">
        <v>771089.6130458006</v>
      </c>
      <c r="G180" s="27" t="n">
        <v>0</v>
      </c>
      <c r="H180" s="27" t="n">
        <v>0</v>
      </c>
      <c r="I180" s="27" t="n">
        <v>0</v>
      </c>
      <c r="J180" s="27" t="n">
        <v>0</v>
      </c>
      <c r="K180" s="27" t="n">
        <v>0</v>
      </c>
      <c r="L180" s="27" t="n">
        <v>54547.3515315257</v>
      </c>
      <c r="M180" s="27" t="n">
        <v>42992.53569085649</v>
      </c>
      <c r="N180" s="27" t="n">
        <v>759534.7972051314</v>
      </c>
      <c r="O180" s="27" t="n">
        <v>759534.7972051314</v>
      </c>
      <c r="P180" s="27" t="n">
        <v>0</v>
      </c>
      <c r="Q180" s="12" t="inlineStr">
        <is>
          <t>withdrawal</t>
        </is>
      </c>
    </row>
    <row r="181" ht="30" customHeight="1">
      <c r="A181" s="26" t="n">
        <v>2043</v>
      </c>
      <c r="B181" s="12" t="inlineStr">
        <is>
          <t>Husband_Trust</t>
        </is>
      </c>
      <c r="C181" s="12" t="inlineStr">
        <is>
          <t>Matthew</t>
        </is>
      </c>
      <c r="D181" s="41" t="inlineStr">
        <is>
          <t>taxable</t>
        </is>
      </c>
      <c r="E181" s="12" t="inlineStr">
        <is>
          <t>trust</t>
        </is>
      </c>
      <c r="F181" s="27" t="n">
        <v>0</v>
      </c>
      <c r="G181" s="27" t="n">
        <v>0</v>
      </c>
      <c r="H181" s="27" t="n">
        <v>0</v>
      </c>
      <c r="I181" s="27" t="n">
        <v>0</v>
      </c>
      <c r="J181" s="27" t="n">
        <v>0</v>
      </c>
      <c r="K181" s="27" t="n">
        <v>0</v>
      </c>
      <c r="L181" s="27" t="n">
        <v>0</v>
      </c>
      <c r="M181" s="27" t="n">
        <v>0</v>
      </c>
      <c r="N181" s="27" t="n">
        <v>0</v>
      </c>
      <c r="O181" s="27" t="n">
        <v>0</v>
      </c>
      <c r="P181" s="27" t="n">
        <v>0</v>
      </c>
      <c r="Q181" s="33" t="inlineStr"/>
    </row>
    <row r="182" ht="30" customHeight="1">
      <c r="A182" s="26" t="n">
        <v>2043</v>
      </c>
      <c r="B182" s="12" t="inlineStr">
        <is>
          <t>Wife_IRA</t>
        </is>
      </c>
      <c r="C182" s="12" t="inlineStr">
        <is>
          <t>Patricia</t>
        </is>
      </c>
      <c r="D182" s="41" t="inlineStr">
        <is>
          <t>pre_tax</t>
        </is>
      </c>
      <c r="E182" s="12" t="inlineStr">
        <is>
          <t>traditional_ira</t>
        </is>
      </c>
      <c r="F182" s="27" t="n">
        <v>0</v>
      </c>
      <c r="G182" s="27" t="n">
        <v>0</v>
      </c>
      <c r="H182" s="27" t="n">
        <v>0</v>
      </c>
      <c r="I182" s="27" t="n">
        <v>0</v>
      </c>
      <c r="J182" s="27" t="n">
        <v>0</v>
      </c>
      <c r="K182" s="27" t="n">
        <v>0</v>
      </c>
      <c r="L182" s="27" t="n">
        <v>0</v>
      </c>
      <c r="M182" s="27" t="n">
        <v>0</v>
      </c>
      <c r="N182" s="27" t="n">
        <v>0</v>
      </c>
      <c r="O182" s="27" t="n">
        <v>0</v>
      </c>
      <c r="P182" s="27" t="n">
        <v>0</v>
      </c>
      <c r="Q182" s="33" t="inlineStr"/>
    </row>
    <row r="183" ht="30" customHeight="1">
      <c r="A183" s="26" t="n">
        <v>2043</v>
      </c>
      <c r="B183" s="12" t="inlineStr">
        <is>
          <t>Wife_Roth</t>
        </is>
      </c>
      <c r="C183" s="12" t="inlineStr">
        <is>
          <t>Patricia</t>
        </is>
      </c>
      <c r="D183" s="41" t="inlineStr">
        <is>
          <t>roth</t>
        </is>
      </c>
      <c r="E183" s="12" t="inlineStr">
        <is>
          <t>roth_ira</t>
        </is>
      </c>
      <c r="F183" s="27" t="n">
        <v>1547257.001718329</v>
      </c>
      <c r="G183" s="27" t="n">
        <v>0</v>
      </c>
      <c r="H183" s="27" t="n">
        <v>0</v>
      </c>
      <c r="I183" s="27" t="n">
        <v>0</v>
      </c>
      <c r="J183" s="27" t="n">
        <v>0</v>
      </c>
      <c r="K183" s="27" t="n">
        <v>0</v>
      </c>
      <c r="L183" s="27" t="n">
        <v>109453.9080211045</v>
      </c>
      <c r="M183" s="27" t="n">
        <v>86268.18562183347</v>
      </c>
      <c r="N183" s="27" t="n">
        <v>1524071.279319058</v>
      </c>
      <c r="O183" s="27" t="n">
        <v>1524071.279319058</v>
      </c>
      <c r="P183" s="27" t="n">
        <v>0</v>
      </c>
      <c r="Q183" s="12" t="inlineStr">
        <is>
          <t>withdrawal</t>
        </is>
      </c>
    </row>
    <row r="184" ht="30" customHeight="1">
      <c r="A184" s="26" t="n">
        <v>2043</v>
      </c>
      <c r="B184" s="12" t="inlineStr">
        <is>
          <t>Wife_Trust</t>
        </is>
      </c>
      <c r="C184" s="12" t="inlineStr">
        <is>
          <t>Patricia</t>
        </is>
      </c>
      <c r="D184" s="41" t="inlineStr">
        <is>
          <t>taxable</t>
        </is>
      </c>
      <c r="E184" s="12" t="inlineStr">
        <is>
          <t>trust</t>
        </is>
      </c>
      <c r="F184" s="27" t="n">
        <v>0</v>
      </c>
      <c r="G184" s="27" t="n">
        <v>0</v>
      </c>
      <c r="H184" s="27" t="n">
        <v>0</v>
      </c>
      <c r="I184" s="27" t="n">
        <v>0</v>
      </c>
      <c r="J184" s="27" t="n">
        <v>0</v>
      </c>
      <c r="K184" s="27" t="n">
        <v>0</v>
      </c>
      <c r="L184" s="27" t="n">
        <v>0</v>
      </c>
      <c r="M184" s="27" t="n">
        <v>0</v>
      </c>
      <c r="N184" s="27" t="n">
        <v>0</v>
      </c>
      <c r="O184" s="27" t="n">
        <v>0</v>
      </c>
      <c r="P184" s="27" t="n">
        <v>0</v>
      </c>
      <c r="Q184" s="33" t="inlineStr"/>
    </row>
    <row r="185" ht="45" customHeight="1">
      <c r="A185" s="26" t="n">
        <v>2044</v>
      </c>
      <c r="B185" s="12" t="inlineStr">
        <is>
          <t>Business_Checking</t>
        </is>
      </c>
      <c r="C185" s="12" t="inlineStr">
        <is>
          <t>Matthew</t>
        </is>
      </c>
      <c r="D185" s="41" t="inlineStr">
        <is>
          <t>cash</t>
        </is>
      </c>
      <c r="E185" s="12" t="inlineStr">
        <is>
          <t>checking</t>
        </is>
      </c>
      <c r="F185" s="27" t="n">
        <v>5000</v>
      </c>
      <c r="G185" s="27" t="n">
        <v>0</v>
      </c>
      <c r="H185" s="27" t="n">
        <v>0</v>
      </c>
      <c r="I185" s="27" t="n">
        <v>0</v>
      </c>
      <c r="J185" s="27" t="n">
        <v>0</v>
      </c>
      <c r="K185" s="27" t="n">
        <v>0</v>
      </c>
      <c r="L185" s="27" t="n">
        <v>0</v>
      </c>
      <c r="M185" s="27" t="n">
        <v>0</v>
      </c>
      <c r="N185" s="27" t="n">
        <v>5000</v>
      </c>
      <c r="O185" s="27" t="n">
        <v>5000</v>
      </c>
      <c r="P185" s="27" t="n">
        <v>0</v>
      </c>
      <c r="Q185" s="33" t="inlineStr"/>
    </row>
    <row r="186" ht="30" customHeight="1">
      <c r="A186" s="26" t="n">
        <v>2044</v>
      </c>
      <c r="B186" s="12" t="inlineStr">
        <is>
          <t>Family_Checking</t>
        </is>
      </c>
      <c r="C186" s="12" t="inlineStr">
        <is>
          <t>Matthew</t>
        </is>
      </c>
      <c r="D186" s="41" t="inlineStr">
        <is>
          <t>cash</t>
        </is>
      </c>
      <c r="E186" s="12" t="inlineStr">
        <is>
          <t>checking</t>
        </is>
      </c>
      <c r="F186" s="27" t="n">
        <v>15000</v>
      </c>
      <c r="G186" s="27" t="n">
        <v>0</v>
      </c>
      <c r="H186" s="27" t="n">
        <v>0</v>
      </c>
      <c r="I186" s="27" t="n">
        <v>0</v>
      </c>
      <c r="J186" s="27" t="n">
        <v>0</v>
      </c>
      <c r="K186" s="27" t="n">
        <v>0</v>
      </c>
      <c r="L186" s="27" t="n">
        <v>0</v>
      </c>
      <c r="M186" s="27" t="n">
        <v>0</v>
      </c>
      <c r="N186" s="27" t="n">
        <v>15000</v>
      </c>
      <c r="O186" s="27" t="n">
        <v>15000</v>
      </c>
      <c r="P186" s="27" t="n">
        <v>0</v>
      </c>
      <c r="Q186" s="33" t="inlineStr"/>
    </row>
    <row r="187" ht="30" customHeight="1">
      <c r="A187" s="26" t="n">
        <v>2044</v>
      </c>
      <c r="B187" s="12" t="inlineStr">
        <is>
          <t>Husband_HSA</t>
        </is>
      </c>
      <c r="C187" s="12" t="inlineStr">
        <is>
          <t>Matthew</t>
        </is>
      </c>
      <c r="D187" s="41" t="inlineStr">
        <is>
          <t>hsa</t>
        </is>
      </c>
      <c r="E187" s="12" t="inlineStr">
        <is>
          <t>hsa</t>
        </is>
      </c>
      <c r="F187" s="27" t="n">
        <v>0</v>
      </c>
      <c r="G187" s="27" t="n">
        <v>0</v>
      </c>
      <c r="H187" s="27" t="n">
        <v>0</v>
      </c>
      <c r="I187" s="27" t="n">
        <v>0</v>
      </c>
      <c r="J187" s="27" t="n">
        <v>0</v>
      </c>
      <c r="K187" s="27" t="n">
        <v>0</v>
      </c>
      <c r="L187" s="27" t="n">
        <v>0</v>
      </c>
      <c r="M187" s="27" t="n">
        <v>0</v>
      </c>
      <c r="N187" s="27" t="n">
        <v>0</v>
      </c>
      <c r="O187" s="27" t="n">
        <v>0</v>
      </c>
      <c r="P187" s="27" t="n">
        <v>0</v>
      </c>
      <c r="Q187" s="33" t="inlineStr"/>
    </row>
    <row r="188" ht="30" customHeight="1">
      <c r="A188" s="26" t="n">
        <v>2044</v>
      </c>
      <c r="B188" s="12" t="inlineStr">
        <is>
          <t>Husband_401k</t>
        </is>
      </c>
      <c r="C188" s="12" t="inlineStr">
        <is>
          <t>Matthew</t>
        </is>
      </c>
      <c r="D188" s="41" t="inlineStr">
        <is>
          <t>pre_tax</t>
        </is>
      </c>
      <c r="E188" s="12" t="inlineStr">
        <is>
          <t>401k</t>
        </is>
      </c>
      <c r="F188" s="27" t="n">
        <v>0</v>
      </c>
      <c r="G188" s="27" t="n">
        <v>0</v>
      </c>
      <c r="H188" s="27" t="n">
        <v>0</v>
      </c>
      <c r="I188" s="27" t="n">
        <v>0</v>
      </c>
      <c r="J188" s="27" t="n">
        <v>0</v>
      </c>
      <c r="K188" s="27" t="n">
        <v>0</v>
      </c>
      <c r="L188" s="27" t="n">
        <v>0</v>
      </c>
      <c r="M188" s="27" t="n">
        <v>0</v>
      </c>
      <c r="N188" s="27" t="n">
        <v>0</v>
      </c>
      <c r="O188" s="27" t="n">
        <v>0</v>
      </c>
      <c r="P188" s="27" t="n">
        <v>0</v>
      </c>
      <c r="Q188" s="33" t="inlineStr"/>
    </row>
    <row r="189" ht="30" customHeight="1">
      <c r="A189" s="26" t="n">
        <v>2044</v>
      </c>
      <c r="B189" s="12" t="inlineStr">
        <is>
          <t>Husband_IRA</t>
        </is>
      </c>
      <c r="C189" s="12" t="inlineStr">
        <is>
          <t>Matthew</t>
        </is>
      </c>
      <c r="D189" s="41" t="inlineStr">
        <is>
          <t>pre_tax</t>
        </is>
      </c>
      <c r="E189" s="12" t="inlineStr">
        <is>
          <t>traditional_ira</t>
        </is>
      </c>
      <c r="F189" s="27" t="n">
        <v>0</v>
      </c>
      <c r="G189" s="27" t="n">
        <v>0</v>
      </c>
      <c r="H189" s="27" t="n">
        <v>0</v>
      </c>
      <c r="I189" s="27" t="n">
        <v>0</v>
      </c>
      <c r="J189" s="27" t="n">
        <v>0</v>
      </c>
      <c r="K189" s="27" t="n">
        <v>0</v>
      </c>
      <c r="L189" s="27" t="n">
        <v>0</v>
      </c>
      <c r="M189" s="27" t="n">
        <v>0</v>
      </c>
      <c r="N189" s="27" t="n">
        <v>0</v>
      </c>
      <c r="O189" s="27" t="n">
        <v>0</v>
      </c>
      <c r="P189" s="27" t="n">
        <v>0</v>
      </c>
      <c r="Q189" s="33" t="inlineStr"/>
    </row>
    <row r="190" ht="30" customHeight="1">
      <c r="A190" s="26" t="n">
        <v>2044</v>
      </c>
      <c r="B190" s="12" t="inlineStr">
        <is>
          <t>Husband_Roth</t>
        </is>
      </c>
      <c r="C190" s="12" t="inlineStr">
        <is>
          <t>Matthew</t>
        </is>
      </c>
      <c r="D190" s="41" t="inlineStr">
        <is>
          <t>roth</t>
        </is>
      </c>
      <c r="E190" s="12" t="inlineStr">
        <is>
          <t>roth_ira</t>
        </is>
      </c>
      <c r="F190" s="27" t="n">
        <v>759534.7972051314</v>
      </c>
      <c r="G190" s="27" t="n">
        <v>0</v>
      </c>
      <c r="H190" s="27" t="n">
        <v>0</v>
      </c>
      <c r="I190" s="27" t="n">
        <v>0</v>
      </c>
      <c r="J190" s="27" t="n">
        <v>0</v>
      </c>
      <c r="K190" s="27" t="n">
        <v>0</v>
      </c>
      <c r="L190" s="27" t="n">
        <v>55922.39083789424</v>
      </c>
      <c r="M190" s="27" t="n">
        <v>42216.74438203422</v>
      </c>
      <c r="N190" s="27" t="n">
        <v>745829.1507492713</v>
      </c>
      <c r="O190" s="27" t="n">
        <v>745829.1507492713</v>
      </c>
      <c r="P190" s="27" t="n">
        <v>0</v>
      </c>
      <c r="Q190" s="12" t="inlineStr">
        <is>
          <t>withdrawal</t>
        </is>
      </c>
    </row>
    <row r="191" ht="30" customHeight="1">
      <c r="A191" s="26" t="n">
        <v>2044</v>
      </c>
      <c r="B191" s="12" t="inlineStr">
        <is>
          <t>Husband_Trust</t>
        </is>
      </c>
      <c r="C191" s="12" t="inlineStr">
        <is>
          <t>Matthew</t>
        </is>
      </c>
      <c r="D191" s="41" t="inlineStr">
        <is>
          <t>taxable</t>
        </is>
      </c>
      <c r="E191" s="12" t="inlineStr">
        <is>
          <t>trust</t>
        </is>
      </c>
      <c r="F191" s="27" t="n">
        <v>0</v>
      </c>
      <c r="G191" s="27" t="n">
        <v>0</v>
      </c>
      <c r="H191" s="27" t="n">
        <v>0</v>
      </c>
      <c r="I191" s="27" t="n">
        <v>0</v>
      </c>
      <c r="J191" s="27" t="n">
        <v>0</v>
      </c>
      <c r="K191" s="27" t="n">
        <v>0</v>
      </c>
      <c r="L191" s="27" t="n">
        <v>0</v>
      </c>
      <c r="M191" s="27" t="n">
        <v>0</v>
      </c>
      <c r="N191" s="27" t="n">
        <v>0</v>
      </c>
      <c r="O191" s="27" t="n">
        <v>0</v>
      </c>
      <c r="P191" s="27" t="n">
        <v>0</v>
      </c>
      <c r="Q191" s="33" t="inlineStr"/>
    </row>
    <row r="192" ht="30" customHeight="1">
      <c r="A192" s="26" t="n">
        <v>2044</v>
      </c>
      <c r="B192" s="12" t="inlineStr">
        <is>
          <t>Wife_IRA</t>
        </is>
      </c>
      <c r="C192" s="12" t="inlineStr">
        <is>
          <t>Patricia</t>
        </is>
      </c>
      <c r="D192" s="41" t="inlineStr">
        <is>
          <t>pre_tax</t>
        </is>
      </c>
      <c r="E192" s="12" t="inlineStr">
        <is>
          <t>traditional_ira</t>
        </is>
      </c>
      <c r="F192" s="27" t="n">
        <v>0</v>
      </c>
      <c r="G192" s="27" t="n">
        <v>0</v>
      </c>
      <c r="H192" s="27" t="n">
        <v>0</v>
      </c>
      <c r="I192" s="27" t="n">
        <v>0</v>
      </c>
      <c r="J192" s="27" t="n">
        <v>0</v>
      </c>
      <c r="K192" s="27" t="n">
        <v>0</v>
      </c>
      <c r="L192" s="27" t="n">
        <v>0</v>
      </c>
      <c r="M192" s="27" t="n">
        <v>0</v>
      </c>
      <c r="N192" s="27" t="n">
        <v>0</v>
      </c>
      <c r="O192" s="27" t="n">
        <v>0</v>
      </c>
      <c r="P192" s="27" t="n">
        <v>0</v>
      </c>
      <c r="Q192" s="33" t="inlineStr"/>
    </row>
    <row r="193" ht="30" customHeight="1">
      <c r="A193" s="26" t="n">
        <v>2044</v>
      </c>
      <c r="B193" s="12" t="inlineStr">
        <is>
          <t>Wife_Roth</t>
        </is>
      </c>
      <c r="C193" s="12" t="inlineStr">
        <is>
          <t>Patricia</t>
        </is>
      </c>
      <c r="D193" s="41" t="inlineStr">
        <is>
          <t>roth</t>
        </is>
      </c>
      <c r="E193" s="12" t="inlineStr">
        <is>
          <t>roth_ira</t>
        </is>
      </c>
      <c r="F193" s="27" t="n">
        <v>1524071.279319058</v>
      </c>
      <c r="G193" s="27" t="n">
        <v>0</v>
      </c>
      <c r="H193" s="27" t="n">
        <v>0</v>
      </c>
      <c r="I193" s="27" t="n">
        <v>0</v>
      </c>
      <c r="J193" s="27" t="n">
        <v>0</v>
      </c>
      <c r="K193" s="27" t="n">
        <v>0</v>
      </c>
      <c r="L193" s="27" t="n">
        <v>112213.0415360962</v>
      </c>
      <c r="M193" s="27" t="n">
        <v>84711.49426697769</v>
      </c>
      <c r="N193" s="27" t="n">
        <v>1496569.732049939</v>
      </c>
      <c r="O193" s="27" t="n">
        <v>1496569.732049939</v>
      </c>
      <c r="P193" s="27" t="n">
        <v>0</v>
      </c>
      <c r="Q193" s="12" t="inlineStr">
        <is>
          <t>withdrawal</t>
        </is>
      </c>
    </row>
    <row r="194" ht="30" customHeight="1">
      <c r="A194" s="26" t="n">
        <v>2044</v>
      </c>
      <c r="B194" s="12" t="inlineStr">
        <is>
          <t>Wife_Trust</t>
        </is>
      </c>
      <c r="C194" s="12" t="inlineStr">
        <is>
          <t>Patricia</t>
        </is>
      </c>
      <c r="D194" s="41" t="inlineStr">
        <is>
          <t>taxable</t>
        </is>
      </c>
      <c r="E194" s="12" t="inlineStr">
        <is>
          <t>trust</t>
        </is>
      </c>
      <c r="F194" s="27" t="n">
        <v>0</v>
      </c>
      <c r="G194" s="27" t="n">
        <v>0</v>
      </c>
      <c r="H194" s="27" t="n">
        <v>0</v>
      </c>
      <c r="I194" s="27" t="n">
        <v>0</v>
      </c>
      <c r="J194" s="27" t="n">
        <v>0</v>
      </c>
      <c r="K194" s="27" t="n">
        <v>0</v>
      </c>
      <c r="L194" s="27" t="n">
        <v>0</v>
      </c>
      <c r="M194" s="27" t="n">
        <v>0</v>
      </c>
      <c r="N194" s="27" t="n">
        <v>0</v>
      </c>
      <c r="O194" s="27" t="n">
        <v>0</v>
      </c>
      <c r="P194" s="27" t="n">
        <v>0</v>
      </c>
      <c r="Q194" s="33" t="inlineStr"/>
    </row>
    <row r="195" ht="45" customHeight="1">
      <c r="A195" s="26" t="n">
        <v>2045</v>
      </c>
      <c r="B195" s="12" t="inlineStr">
        <is>
          <t>Business_Checking</t>
        </is>
      </c>
      <c r="C195" s="12" t="inlineStr">
        <is>
          <t>Matthew</t>
        </is>
      </c>
      <c r="D195" s="41" t="inlineStr">
        <is>
          <t>cash</t>
        </is>
      </c>
      <c r="E195" s="12" t="inlineStr">
        <is>
          <t>checking</t>
        </is>
      </c>
      <c r="F195" s="27" t="n">
        <v>5000</v>
      </c>
      <c r="G195" s="27" t="n">
        <v>0</v>
      </c>
      <c r="H195" s="27" t="n">
        <v>0</v>
      </c>
      <c r="I195" s="27" t="n">
        <v>0</v>
      </c>
      <c r="J195" s="27" t="n">
        <v>0</v>
      </c>
      <c r="K195" s="27" t="n">
        <v>0</v>
      </c>
      <c r="L195" s="27" t="n">
        <v>0</v>
      </c>
      <c r="M195" s="27" t="n">
        <v>0</v>
      </c>
      <c r="N195" s="27" t="n">
        <v>5000</v>
      </c>
      <c r="O195" s="27" t="n">
        <v>5000</v>
      </c>
      <c r="P195" s="27" t="n">
        <v>0</v>
      </c>
      <c r="Q195" s="33" t="inlineStr"/>
    </row>
    <row r="196" ht="30" customHeight="1">
      <c r="A196" s="26" t="n">
        <v>2045</v>
      </c>
      <c r="B196" s="12" t="inlineStr">
        <is>
          <t>Family_Checking</t>
        </is>
      </c>
      <c r="C196" s="12" t="inlineStr">
        <is>
          <t>Matthew</t>
        </is>
      </c>
      <c r="D196" s="41" t="inlineStr">
        <is>
          <t>cash</t>
        </is>
      </c>
      <c r="E196" s="12" t="inlineStr">
        <is>
          <t>checking</t>
        </is>
      </c>
      <c r="F196" s="27" t="n">
        <v>15000</v>
      </c>
      <c r="G196" s="27" t="n">
        <v>0</v>
      </c>
      <c r="H196" s="27" t="n">
        <v>0</v>
      </c>
      <c r="I196" s="27" t="n">
        <v>0</v>
      </c>
      <c r="J196" s="27" t="n">
        <v>0</v>
      </c>
      <c r="K196" s="27" t="n">
        <v>0</v>
      </c>
      <c r="L196" s="27" t="n">
        <v>0</v>
      </c>
      <c r="M196" s="27" t="n">
        <v>0</v>
      </c>
      <c r="N196" s="27" t="n">
        <v>15000</v>
      </c>
      <c r="O196" s="27" t="n">
        <v>15000</v>
      </c>
      <c r="P196" s="27" t="n">
        <v>0</v>
      </c>
      <c r="Q196" s="33" t="inlineStr"/>
    </row>
    <row r="197" ht="30" customHeight="1">
      <c r="A197" s="26" t="n">
        <v>2045</v>
      </c>
      <c r="B197" s="12" t="inlineStr">
        <is>
          <t>Husband_HSA</t>
        </is>
      </c>
      <c r="C197" s="12" t="inlineStr">
        <is>
          <t>Matthew</t>
        </is>
      </c>
      <c r="D197" s="41" t="inlineStr">
        <is>
          <t>hsa</t>
        </is>
      </c>
      <c r="E197" s="12" t="inlineStr">
        <is>
          <t>hsa</t>
        </is>
      </c>
      <c r="F197" s="27" t="n">
        <v>0</v>
      </c>
      <c r="G197" s="27" t="n">
        <v>0</v>
      </c>
      <c r="H197" s="27" t="n">
        <v>0</v>
      </c>
      <c r="I197" s="27" t="n">
        <v>0</v>
      </c>
      <c r="J197" s="27" t="n">
        <v>0</v>
      </c>
      <c r="K197" s="27" t="n">
        <v>0</v>
      </c>
      <c r="L197" s="27" t="n">
        <v>0</v>
      </c>
      <c r="M197" s="27" t="n">
        <v>0</v>
      </c>
      <c r="N197" s="27" t="n">
        <v>0</v>
      </c>
      <c r="O197" s="27" t="n">
        <v>0</v>
      </c>
      <c r="P197" s="27" t="n">
        <v>0</v>
      </c>
      <c r="Q197" s="33" t="inlineStr"/>
    </row>
    <row r="198" ht="30" customHeight="1">
      <c r="A198" s="26" t="n">
        <v>2045</v>
      </c>
      <c r="B198" s="12" t="inlineStr">
        <is>
          <t>Husband_401k</t>
        </is>
      </c>
      <c r="C198" s="12" t="inlineStr">
        <is>
          <t>Matthew</t>
        </is>
      </c>
      <c r="D198" s="41" t="inlineStr">
        <is>
          <t>pre_tax</t>
        </is>
      </c>
      <c r="E198" s="12" t="inlineStr">
        <is>
          <t>401k</t>
        </is>
      </c>
      <c r="F198" s="27" t="n">
        <v>0</v>
      </c>
      <c r="G198" s="27" t="n">
        <v>0</v>
      </c>
      <c r="H198" s="27" t="n">
        <v>0</v>
      </c>
      <c r="I198" s="27" t="n">
        <v>0</v>
      </c>
      <c r="J198" s="27" t="n">
        <v>0</v>
      </c>
      <c r="K198" s="27" t="n">
        <v>0</v>
      </c>
      <c r="L198" s="27" t="n">
        <v>0</v>
      </c>
      <c r="M198" s="27" t="n">
        <v>0</v>
      </c>
      <c r="N198" s="27" t="n">
        <v>0</v>
      </c>
      <c r="O198" s="27" t="n">
        <v>0</v>
      </c>
      <c r="P198" s="27" t="n">
        <v>0</v>
      </c>
      <c r="Q198" s="33" t="inlineStr"/>
    </row>
    <row r="199" ht="30" customHeight="1">
      <c r="A199" s="26" t="n">
        <v>2045</v>
      </c>
      <c r="B199" s="12" t="inlineStr">
        <is>
          <t>Husband_IRA</t>
        </is>
      </c>
      <c r="C199" s="12" t="inlineStr">
        <is>
          <t>Matthew</t>
        </is>
      </c>
      <c r="D199" s="41" t="inlineStr">
        <is>
          <t>pre_tax</t>
        </is>
      </c>
      <c r="E199" s="12" t="inlineStr">
        <is>
          <t>traditional_ira</t>
        </is>
      </c>
      <c r="F199" s="27" t="n">
        <v>0</v>
      </c>
      <c r="G199" s="27" t="n">
        <v>0</v>
      </c>
      <c r="H199" s="27" t="n">
        <v>0</v>
      </c>
      <c r="I199" s="27" t="n">
        <v>0</v>
      </c>
      <c r="J199" s="27" t="n">
        <v>0</v>
      </c>
      <c r="K199" s="27" t="n">
        <v>0</v>
      </c>
      <c r="L199" s="27" t="n">
        <v>0</v>
      </c>
      <c r="M199" s="27" t="n">
        <v>0</v>
      </c>
      <c r="N199" s="27" t="n">
        <v>0</v>
      </c>
      <c r="O199" s="27" t="n">
        <v>0</v>
      </c>
      <c r="P199" s="27" t="n">
        <v>0</v>
      </c>
      <c r="Q199" s="33" t="inlineStr"/>
    </row>
    <row r="200" ht="30" customHeight="1">
      <c r="A200" s="26" t="n">
        <v>2045</v>
      </c>
      <c r="B200" s="12" t="inlineStr">
        <is>
          <t>Husband_Roth</t>
        </is>
      </c>
      <c r="C200" s="12" t="inlineStr">
        <is>
          <t>Matthew</t>
        </is>
      </c>
      <c r="D200" s="41" t="inlineStr">
        <is>
          <t>roth</t>
        </is>
      </c>
      <c r="E200" s="12" t="inlineStr">
        <is>
          <t>roth_ira</t>
        </is>
      </c>
      <c r="F200" s="27" t="n">
        <v>745829.1507492713</v>
      </c>
      <c r="G200" s="27" t="n">
        <v>0</v>
      </c>
      <c r="H200" s="27" t="n">
        <v>0</v>
      </c>
      <c r="I200" s="27" t="n">
        <v>0</v>
      </c>
      <c r="J200" s="27" t="n">
        <v>0</v>
      </c>
      <c r="K200" s="27" t="n">
        <v>0</v>
      </c>
      <c r="L200" s="27" t="n">
        <v>57351.37854254666</v>
      </c>
      <c r="M200" s="27" t="n">
        <v>41308.66633240347</v>
      </c>
      <c r="N200" s="27" t="n">
        <v>729786.4385391281</v>
      </c>
      <c r="O200" s="27" t="n">
        <v>729786.4385391281</v>
      </c>
      <c r="P200" s="27" t="n">
        <v>0</v>
      </c>
      <c r="Q200" s="12" t="inlineStr">
        <is>
          <t>withdrawal</t>
        </is>
      </c>
    </row>
    <row r="201" ht="30" customHeight="1">
      <c r="A201" s="26" t="n">
        <v>2045</v>
      </c>
      <c r="B201" s="12" t="inlineStr">
        <is>
          <t>Husband_Trust</t>
        </is>
      </c>
      <c r="C201" s="12" t="inlineStr">
        <is>
          <t>Matthew</t>
        </is>
      </c>
      <c r="D201" s="41" t="inlineStr">
        <is>
          <t>taxable</t>
        </is>
      </c>
      <c r="E201" s="12" t="inlineStr">
        <is>
          <t>trust</t>
        </is>
      </c>
      <c r="F201" s="27" t="n">
        <v>0</v>
      </c>
      <c r="G201" s="27" t="n">
        <v>0</v>
      </c>
      <c r="H201" s="27" t="n">
        <v>0</v>
      </c>
      <c r="I201" s="27" t="n">
        <v>0</v>
      </c>
      <c r="J201" s="27" t="n">
        <v>0</v>
      </c>
      <c r="K201" s="27" t="n">
        <v>0</v>
      </c>
      <c r="L201" s="27" t="n">
        <v>0</v>
      </c>
      <c r="M201" s="27" t="n">
        <v>0</v>
      </c>
      <c r="N201" s="27" t="n">
        <v>0</v>
      </c>
      <c r="O201" s="27" t="n">
        <v>0</v>
      </c>
      <c r="P201" s="27" t="n">
        <v>0</v>
      </c>
      <c r="Q201" s="33" t="inlineStr"/>
    </row>
    <row r="202" ht="30" customHeight="1">
      <c r="A202" s="26" t="n">
        <v>2045</v>
      </c>
      <c r="B202" s="12" t="inlineStr">
        <is>
          <t>Wife_IRA</t>
        </is>
      </c>
      <c r="C202" s="12" t="inlineStr">
        <is>
          <t>Patricia</t>
        </is>
      </c>
      <c r="D202" s="41" t="inlineStr">
        <is>
          <t>pre_tax</t>
        </is>
      </c>
      <c r="E202" s="12" t="inlineStr">
        <is>
          <t>traditional_ira</t>
        </is>
      </c>
      <c r="F202" s="27" t="n">
        <v>0</v>
      </c>
      <c r="G202" s="27" t="n">
        <v>0</v>
      </c>
      <c r="H202" s="27" t="n">
        <v>0</v>
      </c>
      <c r="I202" s="27" t="n">
        <v>0</v>
      </c>
      <c r="J202" s="27" t="n">
        <v>0</v>
      </c>
      <c r="K202" s="27" t="n">
        <v>0</v>
      </c>
      <c r="L202" s="27" t="n">
        <v>0</v>
      </c>
      <c r="M202" s="27" t="n">
        <v>0</v>
      </c>
      <c r="N202" s="27" t="n">
        <v>0</v>
      </c>
      <c r="O202" s="27" t="n">
        <v>0</v>
      </c>
      <c r="P202" s="27" t="n">
        <v>0</v>
      </c>
      <c r="Q202" s="33" t="inlineStr"/>
    </row>
    <row r="203" ht="30" customHeight="1">
      <c r="A203" s="26" t="n">
        <v>2045</v>
      </c>
      <c r="B203" s="12" t="inlineStr">
        <is>
          <t>Wife_Roth</t>
        </is>
      </c>
      <c r="C203" s="12" t="inlineStr">
        <is>
          <t>Patricia</t>
        </is>
      </c>
      <c r="D203" s="41" t="inlineStr">
        <is>
          <t>roth</t>
        </is>
      </c>
      <c r="E203" s="12" t="inlineStr">
        <is>
          <t>roth_ira</t>
        </is>
      </c>
      <c r="F203" s="27" t="n">
        <v>1496569.732049939</v>
      </c>
      <c r="G203" s="27" t="n">
        <v>0</v>
      </c>
      <c r="H203" s="27" t="n">
        <v>0</v>
      </c>
      <c r="I203" s="27" t="n">
        <v>0</v>
      </c>
      <c r="J203" s="27" t="n">
        <v>0</v>
      </c>
      <c r="K203" s="27" t="n">
        <v>0</v>
      </c>
      <c r="L203" s="27" t="n">
        <v>115080.4271083897</v>
      </c>
      <c r="M203" s="27" t="n">
        <v>82889.35829649298</v>
      </c>
      <c r="N203" s="27" t="n">
        <v>1464378.663238043</v>
      </c>
      <c r="O203" s="27" t="n">
        <v>1464378.663238043</v>
      </c>
      <c r="P203" s="27" t="n">
        <v>0</v>
      </c>
      <c r="Q203" s="12" t="inlineStr">
        <is>
          <t>withdrawal</t>
        </is>
      </c>
    </row>
    <row r="204" ht="30" customHeight="1">
      <c r="A204" s="26" t="n">
        <v>2045</v>
      </c>
      <c r="B204" s="12" t="inlineStr">
        <is>
          <t>Wife_Trust</t>
        </is>
      </c>
      <c r="C204" s="12" t="inlineStr">
        <is>
          <t>Patricia</t>
        </is>
      </c>
      <c r="D204" s="41" t="inlineStr">
        <is>
          <t>taxable</t>
        </is>
      </c>
      <c r="E204" s="12" t="inlineStr">
        <is>
          <t>trust</t>
        </is>
      </c>
      <c r="F204" s="27" t="n">
        <v>0</v>
      </c>
      <c r="G204" s="27" t="n">
        <v>0</v>
      </c>
      <c r="H204" s="27" t="n">
        <v>0</v>
      </c>
      <c r="I204" s="27" t="n">
        <v>0</v>
      </c>
      <c r="J204" s="27" t="n">
        <v>0</v>
      </c>
      <c r="K204" s="27" t="n">
        <v>0</v>
      </c>
      <c r="L204" s="27" t="n">
        <v>0</v>
      </c>
      <c r="M204" s="27" t="n">
        <v>0</v>
      </c>
      <c r="N204" s="27" t="n">
        <v>0</v>
      </c>
      <c r="O204" s="27" t="n">
        <v>0</v>
      </c>
      <c r="P204" s="27" t="n">
        <v>0</v>
      </c>
      <c r="Q204" s="33" t="inlineStr"/>
    </row>
    <row r="205" ht="45" customHeight="1">
      <c r="A205" s="26" t="n">
        <v>2046</v>
      </c>
      <c r="B205" s="12" t="inlineStr">
        <is>
          <t>Business_Checking</t>
        </is>
      </c>
      <c r="C205" s="12" t="inlineStr">
        <is>
          <t>Matthew</t>
        </is>
      </c>
      <c r="D205" s="41" t="inlineStr">
        <is>
          <t>cash</t>
        </is>
      </c>
      <c r="E205" s="12" t="inlineStr">
        <is>
          <t>checking</t>
        </is>
      </c>
      <c r="F205" s="27" t="n">
        <v>5000</v>
      </c>
      <c r="G205" s="27" t="n">
        <v>0</v>
      </c>
      <c r="H205" s="27" t="n">
        <v>0</v>
      </c>
      <c r="I205" s="27" t="n">
        <v>0</v>
      </c>
      <c r="J205" s="27" t="n">
        <v>0</v>
      </c>
      <c r="K205" s="27" t="n">
        <v>0</v>
      </c>
      <c r="L205" s="27" t="n">
        <v>0</v>
      </c>
      <c r="M205" s="27" t="n">
        <v>0</v>
      </c>
      <c r="N205" s="27" t="n">
        <v>5000</v>
      </c>
      <c r="O205" s="27" t="n">
        <v>5000</v>
      </c>
      <c r="P205" s="27" t="n">
        <v>0</v>
      </c>
      <c r="Q205" s="33" t="inlineStr"/>
    </row>
    <row r="206" ht="30" customHeight="1">
      <c r="A206" s="26" t="n">
        <v>2046</v>
      </c>
      <c r="B206" s="12" t="inlineStr">
        <is>
          <t>Family_Checking</t>
        </is>
      </c>
      <c r="C206" s="12" t="inlineStr">
        <is>
          <t>Matthew</t>
        </is>
      </c>
      <c r="D206" s="41" t="inlineStr">
        <is>
          <t>cash</t>
        </is>
      </c>
      <c r="E206" s="12" t="inlineStr">
        <is>
          <t>checking</t>
        </is>
      </c>
      <c r="F206" s="27" t="n">
        <v>15000</v>
      </c>
      <c r="G206" s="27" t="n">
        <v>0</v>
      </c>
      <c r="H206" s="27" t="n">
        <v>0</v>
      </c>
      <c r="I206" s="27" t="n">
        <v>0</v>
      </c>
      <c r="J206" s="27" t="n">
        <v>0</v>
      </c>
      <c r="K206" s="27" t="n">
        <v>0</v>
      </c>
      <c r="L206" s="27" t="n">
        <v>0</v>
      </c>
      <c r="M206" s="27" t="n">
        <v>0</v>
      </c>
      <c r="N206" s="27" t="n">
        <v>15000</v>
      </c>
      <c r="O206" s="27" t="n">
        <v>15000</v>
      </c>
      <c r="P206" s="27" t="n">
        <v>0</v>
      </c>
      <c r="Q206" s="33" t="inlineStr"/>
    </row>
    <row r="207" ht="30" customHeight="1">
      <c r="A207" s="26" t="n">
        <v>2046</v>
      </c>
      <c r="B207" s="12" t="inlineStr">
        <is>
          <t>Husband_HSA</t>
        </is>
      </c>
      <c r="C207" s="12" t="inlineStr">
        <is>
          <t>Matthew</t>
        </is>
      </c>
      <c r="D207" s="41" t="inlineStr">
        <is>
          <t>hsa</t>
        </is>
      </c>
      <c r="E207" s="12" t="inlineStr">
        <is>
          <t>hsa</t>
        </is>
      </c>
      <c r="F207" s="27" t="n">
        <v>0</v>
      </c>
      <c r="G207" s="27" t="n">
        <v>0</v>
      </c>
      <c r="H207" s="27" t="n">
        <v>0</v>
      </c>
      <c r="I207" s="27" t="n">
        <v>0</v>
      </c>
      <c r="J207" s="27" t="n">
        <v>0</v>
      </c>
      <c r="K207" s="27" t="n">
        <v>0</v>
      </c>
      <c r="L207" s="27" t="n">
        <v>0</v>
      </c>
      <c r="M207" s="27" t="n">
        <v>0</v>
      </c>
      <c r="N207" s="27" t="n">
        <v>0</v>
      </c>
      <c r="O207" s="27" t="n">
        <v>0</v>
      </c>
      <c r="P207" s="27" t="n">
        <v>0</v>
      </c>
      <c r="Q207" s="33" t="inlineStr"/>
    </row>
    <row r="208" ht="30" customHeight="1">
      <c r="A208" s="26" t="n">
        <v>2046</v>
      </c>
      <c r="B208" s="12" t="inlineStr">
        <is>
          <t>Husband_401k</t>
        </is>
      </c>
      <c r="C208" s="12" t="inlineStr">
        <is>
          <t>Matthew</t>
        </is>
      </c>
      <c r="D208" s="41" t="inlineStr">
        <is>
          <t>pre_tax</t>
        </is>
      </c>
      <c r="E208" s="12" t="inlineStr">
        <is>
          <t>401k</t>
        </is>
      </c>
      <c r="F208" s="27" t="n">
        <v>0</v>
      </c>
      <c r="G208" s="27" t="n">
        <v>0</v>
      </c>
      <c r="H208" s="27" t="n">
        <v>0</v>
      </c>
      <c r="I208" s="27" t="n">
        <v>0</v>
      </c>
      <c r="J208" s="27" t="n">
        <v>0</v>
      </c>
      <c r="K208" s="27" t="n">
        <v>0</v>
      </c>
      <c r="L208" s="27" t="n">
        <v>0</v>
      </c>
      <c r="M208" s="27" t="n">
        <v>0</v>
      </c>
      <c r="N208" s="27" t="n">
        <v>0</v>
      </c>
      <c r="O208" s="27" t="n">
        <v>0</v>
      </c>
      <c r="P208" s="27" t="n">
        <v>0</v>
      </c>
      <c r="Q208" s="33" t="inlineStr"/>
    </row>
    <row r="209" ht="30" customHeight="1">
      <c r="A209" s="26" t="n">
        <v>2046</v>
      </c>
      <c r="B209" s="12" t="inlineStr">
        <is>
          <t>Husband_IRA</t>
        </is>
      </c>
      <c r="C209" s="12" t="inlineStr">
        <is>
          <t>Matthew</t>
        </is>
      </c>
      <c r="D209" s="41" t="inlineStr">
        <is>
          <t>pre_tax</t>
        </is>
      </c>
      <c r="E209" s="12" t="inlineStr">
        <is>
          <t>traditional_ira</t>
        </is>
      </c>
      <c r="F209" s="27" t="n">
        <v>0</v>
      </c>
      <c r="G209" s="27" t="n">
        <v>0</v>
      </c>
      <c r="H209" s="27" t="n">
        <v>0</v>
      </c>
      <c r="I209" s="27" t="n">
        <v>0</v>
      </c>
      <c r="J209" s="27" t="n">
        <v>0</v>
      </c>
      <c r="K209" s="27" t="n">
        <v>0</v>
      </c>
      <c r="L209" s="27" t="n">
        <v>0</v>
      </c>
      <c r="M209" s="27" t="n">
        <v>0</v>
      </c>
      <c r="N209" s="27" t="n">
        <v>0</v>
      </c>
      <c r="O209" s="27" t="n">
        <v>0</v>
      </c>
      <c r="P209" s="27" t="n">
        <v>0</v>
      </c>
      <c r="Q209" s="33" t="inlineStr"/>
    </row>
    <row r="210" ht="30" customHeight="1">
      <c r="A210" s="26" t="n">
        <v>2046</v>
      </c>
      <c r="B210" s="12" t="inlineStr">
        <is>
          <t>Husband_Roth</t>
        </is>
      </c>
      <c r="C210" s="12" t="inlineStr">
        <is>
          <t>Matthew</t>
        </is>
      </c>
      <c r="D210" s="41" t="inlineStr">
        <is>
          <t>roth</t>
        </is>
      </c>
      <c r="E210" s="12" t="inlineStr">
        <is>
          <t>roth_ira</t>
        </is>
      </c>
      <c r="F210" s="27" t="n">
        <v>729786.4385391281</v>
      </c>
      <c r="G210" s="27" t="n">
        <v>0</v>
      </c>
      <c r="H210" s="27" t="n">
        <v>0</v>
      </c>
      <c r="I210" s="27" t="n">
        <v>0</v>
      </c>
      <c r="J210" s="27" t="n">
        <v>0</v>
      </c>
      <c r="K210" s="27" t="n">
        <v>0</v>
      </c>
      <c r="L210" s="27" t="n">
        <v>45214.49290745763</v>
      </c>
      <c r="M210" s="27" t="n">
        <v>41074.31673790023</v>
      </c>
      <c r="N210" s="27" t="n">
        <v>725646.2623695707</v>
      </c>
      <c r="O210" s="27" t="n">
        <v>725646.2623695707</v>
      </c>
      <c r="P210" s="27" t="n">
        <v>0</v>
      </c>
      <c r="Q210" s="12" t="inlineStr">
        <is>
          <t>withdrawal</t>
        </is>
      </c>
    </row>
    <row r="211" ht="30" customHeight="1">
      <c r="A211" s="26" t="n">
        <v>2046</v>
      </c>
      <c r="B211" s="12" t="inlineStr">
        <is>
          <t>Husband_Trust</t>
        </is>
      </c>
      <c r="C211" s="12" t="inlineStr">
        <is>
          <t>Matthew</t>
        </is>
      </c>
      <c r="D211" s="41" t="inlineStr">
        <is>
          <t>taxable</t>
        </is>
      </c>
      <c r="E211" s="12" t="inlineStr">
        <is>
          <t>trust</t>
        </is>
      </c>
      <c r="F211" s="27" t="n">
        <v>0</v>
      </c>
      <c r="G211" s="27" t="n">
        <v>0</v>
      </c>
      <c r="H211" s="27" t="n">
        <v>0</v>
      </c>
      <c r="I211" s="27" t="n">
        <v>0</v>
      </c>
      <c r="J211" s="27" t="n">
        <v>0</v>
      </c>
      <c r="K211" s="27" t="n">
        <v>0</v>
      </c>
      <c r="L211" s="27" t="n">
        <v>0</v>
      </c>
      <c r="M211" s="27" t="n">
        <v>0</v>
      </c>
      <c r="N211" s="27" t="n">
        <v>0</v>
      </c>
      <c r="O211" s="27" t="n">
        <v>0</v>
      </c>
      <c r="P211" s="27" t="n">
        <v>0</v>
      </c>
      <c r="Q211" s="33" t="inlineStr"/>
    </row>
    <row r="212" ht="30" customHeight="1">
      <c r="A212" s="26" t="n">
        <v>2046</v>
      </c>
      <c r="B212" s="12" t="inlineStr">
        <is>
          <t>Wife_IRA</t>
        </is>
      </c>
      <c r="C212" s="12" t="inlineStr">
        <is>
          <t>Patricia</t>
        </is>
      </c>
      <c r="D212" s="41" t="inlineStr">
        <is>
          <t>pre_tax</t>
        </is>
      </c>
      <c r="E212" s="12" t="inlineStr">
        <is>
          <t>traditional_ira</t>
        </is>
      </c>
      <c r="F212" s="27" t="n">
        <v>0</v>
      </c>
      <c r="G212" s="27" t="n">
        <v>0</v>
      </c>
      <c r="H212" s="27" t="n">
        <v>0</v>
      </c>
      <c r="I212" s="27" t="n">
        <v>0</v>
      </c>
      <c r="J212" s="27" t="n">
        <v>0</v>
      </c>
      <c r="K212" s="27" t="n">
        <v>0</v>
      </c>
      <c r="L212" s="27" t="n">
        <v>0</v>
      </c>
      <c r="M212" s="27" t="n">
        <v>0</v>
      </c>
      <c r="N212" s="27" t="n">
        <v>0</v>
      </c>
      <c r="O212" s="27" t="n">
        <v>0</v>
      </c>
      <c r="P212" s="27" t="n">
        <v>0</v>
      </c>
      <c r="Q212" s="33" t="inlineStr"/>
    </row>
    <row r="213" ht="30" customHeight="1">
      <c r="A213" s="26" t="n">
        <v>2046</v>
      </c>
      <c r="B213" s="12" t="inlineStr">
        <is>
          <t>Wife_Roth</t>
        </is>
      </c>
      <c r="C213" s="12" t="inlineStr">
        <is>
          <t>Patricia</t>
        </is>
      </c>
      <c r="D213" s="41" t="inlineStr">
        <is>
          <t>roth</t>
        </is>
      </c>
      <c r="E213" s="12" t="inlineStr">
        <is>
          <t>roth_ira</t>
        </is>
      </c>
      <c r="F213" s="27" t="n">
        <v>1464378.663238043</v>
      </c>
      <c r="G213" s="27" t="n">
        <v>0</v>
      </c>
      <c r="H213" s="27" t="n">
        <v>0</v>
      </c>
      <c r="I213" s="27" t="n">
        <v>0</v>
      </c>
      <c r="J213" s="27" t="n">
        <v>0</v>
      </c>
      <c r="K213" s="27" t="n">
        <v>0</v>
      </c>
      <c r="L213" s="27" t="n">
        <v>90726.73207705656</v>
      </c>
      <c r="M213" s="27" t="n">
        <v>82419.11586965917</v>
      </c>
      <c r="N213" s="27" t="n">
        <v>1456071.047030645</v>
      </c>
      <c r="O213" s="27" t="n">
        <v>1456071.047030645</v>
      </c>
      <c r="P213" s="27" t="n">
        <v>0</v>
      </c>
      <c r="Q213" s="12" t="inlineStr">
        <is>
          <t>withdrawal</t>
        </is>
      </c>
    </row>
    <row r="214" ht="30" customHeight="1">
      <c r="A214" s="26" t="n">
        <v>2046</v>
      </c>
      <c r="B214" s="12" t="inlineStr">
        <is>
          <t>Wife_Trust</t>
        </is>
      </c>
      <c r="C214" s="12" t="inlineStr">
        <is>
          <t>Patricia</t>
        </is>
      </c>
      <c r="D214" s="41" t="inlineStr">
        <is>
          <t>taxable</t>
        </is>
      </c>
      <c r="E214" s="12" t="inlineStr">
        <is>
          <t>trust</t>
        </is>
      </c>
      <c r="F214" s="27" t="n">
        <v>0</v>
      </c>
      <c r="G214" s="27" t="n">
        <v>0</v>
      </c>
      <c r="H214" s="27" t="n">
        <v>0</v>
      </c>
      <c r="I214" s="27" t="n">
        <v>0</v>
      </c>
      <c r="J214" s="27" t="n">
        <v>0</v>
      </c>
      <c r="K214" s="27" t="n">
        <v>0</v>
      </c>
      <c r="L214" s="27" t="n">
        <v>0</v>
      </c>
      <c r="M214" s="27" t="n">
        <v>0</v>
      </c>
      <c r="N214" s="27" t="n">
        <v>0</v>
      </c>
      <c r="O214" s="27" t="n">
        <v>0</v>
      </c>
      <c r="P214" s="27" t="n">
        <v>0</v>
      </c>
      <c r="Q214" s="33" t="inlineStr"/>
    </row>
    <row r="215" ht="45" customHeight="1">
      <c r="A215" s="26" t="n">
        <v>2047</v>
      </c>
      <c r="B215" s="12" t="inlineStr">
        <is>
          <t>Business_Checking</t>
        </is>
      </c>
      <c r="C215" s="12" t="inlineStr">
        <is>
          <t>Matthew</t>
        </is>
      </c>
      <c r="D215" s="41" t="inlineStr">
        <is>
          <t>cash</t>
        </is>
      </c>
      <c r="E215" s="12" t="inlineStr">
        <is>
          <t>checking</t>
        </is>
      </c>
      <c r="F215" s="27" t="n">
        <v>5000</v>
      </c>
      <c r="G215" s="27" t="n">
        <v>0</v>
      </c>
      <c r="H215" s="27" t="n">
        <v>0</v>
      </c>
      <c r="I215" s="27" t="n">
        <v>0</v>
      </c>
      <c r="J215" s="27" t="n">
        <v>0</v>
      </c>
      <c r="K215" s="27" t="n">
        <v>0</v>
      </c>
      <c r="L215" s="27" t="n">
        <v>0</v>
      </c>
      <c r="M215" s="27" t="n">
        <v>0</v>
      </c>
      <c r="N215" s="27" t="n">
        <v>5000</v>
      </c>
      <c r="O215" s="27" t="n">
        <v>5000</v>
      </c>
      <c r="P215" s="27" t="n">
        <v>0</v>
      </c>
      <c r="Q215" s="33" t="inlineStr"/>
    </row>
    <row r="216" ht="30" customHeight="1">
      <c r="A216" s="26" t="n">
        <v>2047</v>
      </c>
      <c r="B216" s="12" t="inlineStr">
        <is>
          <t>Family_Checking</t>
        </is>
      </c>
      <c r="C216" s="12" t="inlineStr">
        <is>
          <t>Matthew</t>
        </is>
      </c>
      <c r="D216" s="41" t="inlineStr">
        <is>
          <t>cash</t>
        </is>
      </c>
      <c r="E216" s="12" t="inlineStr">
        <is>
          <t>checking</t>
        </is>
      </c>
      <c r="F216" s="27" t="n">
        <v>15000</v>
      </c>
      <c r="G216" s="27" t="n">
        <v>0</v>
      </c>
      <c r="H216" s="27" t="n">
        <v>0</v>
      </c>
      <c r="I216" s="27" t="n">
        <v>0</v>
      </c>
      <c r="J216" s="27" t="n">
        <v>0</v>
      </c>
      <c r="K216" s="27" t="n">
        <v>0</v>
      </c>
      <c r="L216" s="27" t="n">
        <v>0</v>
      </c>
      <c r="M216" s="27" t="n">
        <v>0</v>
      </c>
      <c r="N216" s="27" t="n">
        <v>15000</v>
      </c>
      <c r="O216" s="27" t="n">
        <v>15000</v>
      </c>
      <c r="P216" s="27" t="n">
        <v>0</v>
      </c>
      <c r="Q216" s="33" t="inlineStr"/>
    </row>
    <row r="217" ht="30" customHeight="1">
      <c r="A217" s="26" t="n">
        <v>2047</v>
      </c>
      <c r="B217" s="12" t="inlineStr">
        <is>
          <t>Husband_HSA</t>
        </is>
      </c>
      <c r="C217" s="12" t="inlineStr">
        <is>
          <t>Matthew</t>
        </is>
      </c>
      <c r="D217" s="41" t="inlineStr">
        <is>
          <t>hsa</t>
        </is>
      </c>
      <c r="E217" s="12" t="inlineStr">
        <is>
          <t>hsa</t>
        </is>
      </c>
      <c r="F217" s="27" t="n">
        <v>0</v>
      </c>
      <c r="G217" s="27" t="n">
        <v>0</v>
      </c>
      <c r="H217" s="27" t="n">
        <v>0</v>
      </c>
      <c r="I217" s="27" t="n">
        <v>0</v>
      </c>
      <c r="J217" s="27" t="n">
        <v>0</v>
      </c>
      <c r="K217" s="27" t="n">
        <v>0</v>
      </c>
      <c r="L217" s="27" t="n">
        <v>0</v>
      </c>
      <c r="M217" s="27" t="n">
        <v>0</v>
      </c>
      <c r="N217" s="27" t="n">
        <v>0</v>
      </c>
      <c r="O217" s="27" t="n">
        <v>0</v>
      </c>
      <c r="P217" s="27" t="n">
        <v>0</v>
      </c>
      <c r="Q217" s="33" t="inlineStr"/>
    </row>
    <row r="218" ht="30" customHeight="1">
      <c r="A218" s="26" t="n">
        <v>2047</v>
      </c>
      <c r="B218" s="12" t="inlineStr">
        <is>
          <t>Husband_401k</t>
        </is>
      </c>
      <c r="C218" s="12" t="inlineStr">
        <is>
          <t>Matthew</t>
        </is>
      </c>
      <c r="D218" s="41" t="inlineStr">
        <is>
          <t>pre_tax</t>
        </is>
      </c>
      <c r="E218" s="12" t="inlineStr">
        <is>
          <t>401k</t>
        </is>
      </c>
      <c r="F218" s="27" t="n">
        <v>0</v>
      </c>
      <c r="G218" s="27" t="n">
        <v>0</v>
      </c>
      <c r="H218" s="27" t="n">
        <v>0</v>
      </c>
      <c r="I218" s="27" t="n">
        <v>0</v>
      </c>
      <c r="J218" s="27" t="n">
        <v>0</v>
      </c>
      <c r="K218" s="27" t="n">
        <v>0</v>
      </c>
      <c r="L218" s="27" t="n">
        <v>0</v>
      </c>
      <c r="M218" s="27" t="n">
        <v>0</v>
      </c>
      <c r="N218" s="27" t="n">
        <v>0</v>
      </c>
      <c r="O218" s="27" t="n">
        <v>0</v>
      </c>
      <c r="P218" s="27" t="n">
        <v>0</v>
      </c>
      <c r="Q218" s="33" t="inlineStr"/>
    </row>
    <row r="219" ht="30" customHeight="1">
      <c r="A219" s="26" t="n">
        <v>2047</v>
      </c>
      <c r="B219" s="12" t="inlineStr">
        <is>
          <t>Husband_IRA</t>
        </is>
      </c>
      <c r="C219" s="12" t="inlineStr">
        <is>
          <t>Matthew</t>
        </is>
      </c>
      <c r="D219" s="41" t="inlineStr">
        <is>
          <t>pre_tax</t>
        </is>
      </c>
      <c r="E219" s="12" t="inlineStr">
        <is>
          <t>traditional_ira</t>
        </is>
      </c>
      <c r="F219" s="27" t="n">
        <v>0</v>
      </c>
      <c r="G219" s="27" t="n">
        <v>0</v>
      </c>
      <c r="H219" s="27" t="n">
        <v>0</v>
      </c>
      <c r="I219" s="27" t="n">
        <v>0</v>
      </c>
      <c r="J219" s="27" t="n">
        <v>0</v>
      </c>
      <c r="K219" s="27" t="n">
        <v>0</v>
      </c>
      <c r="L219" s="27" t="n">
        <v>0</v>
      </c>
      <c r="M219" s="27" t="n">
        <v>0</v>
      </c>
      <c r="N219" s="27" t="n">
        <v>0</v>
      </c>
      <c r="O219" s="27" t="n">
        <v>0</v>
      </c>
      <c r="P219" s="27" t="n">
        <v>0</v>
      </c>
      <c r="Q219" s="33" t="inlineStr"/>
    </row>
    <row r="220" ht="30" customHeight="1">
      <c r="A220" s="26" t="n">
        <v>2047</v>
      </c>
      <c r="B220" s="12" t="inlineStr">
        <is>
          <t>Husband_Roth</t>
        </is>
      </c>
      <c r="C220" s="12" t="inlineStr">
        <is>
          <t>Matthew</t>
        </is>
      </c>
      <c r="D220" s="41" t="inlineStr">
        <is>
          <t>roth</t>
        </is>
      </c>
      <c r="E220" s="12" t="inlineStr">
        <is>
          <t>roth_ira</t>
        </is>
      </c>
      <c r="F220" s="27" t="n">
        <v>725646.2623695707</v>
      </c>
      <c r="G220" s="27" t="n">
        <v>0</v>
      </c>
      <c r="H220" s="27" t="n">
        <v>0</v>
      </c>
      <c r="I220" s="27" t="n">
        <v>0</v>
      </c>
      <c r="J220" s="27" t="n">
        <v>0</v>
      </c>
      <c r="K220" s="27" t="n">
        <v>0</v>
      </c>
      <c r="L220" s="27" t="n">
        <v>49027.53192384337</v>
      </c>
      <c r="M220" s="27" t="n">
        <v>40597.12382674363</v>
      </c>
      <c r="N220" s="27" t="n">
        <v>717215.8542724709</v>
      </c>
      <c r="O220" s="27" t="n">
        <v>717215.8542724709</v>
      </c>
      <c r="P220" s="27" t="n">
        <v>0</v>
      </c>
      <c r="Q220" s="12" t="inlineStr">
        <is>
          <t>withdrawal</t>
        </is>
      </c>
    </row>
    <row r="221" ht="30" customHeight="1">
      <c r="A221" s="26" t="n">
        <v>2047</v>
      </c>
      <c r="B221" s="12" t="inlineStr">
        <is>
          <t>Husband_Trust</t>
        </is>
      </c>
      <c r="C221" s="12" t="inlineStr">
        <is>
          <t>Matthew</t>
        </is>
      </c>
      <c r="D221" s="41" t="inlineStr">
        <is>
          <t>taxable</t>
        </is>
      </c>
      <c r="E221" s="12" t="inlineStr">
        <is>
          <t>trust</t>
        </is>
      </c>
      <c r="F221" s="27" t="n">
        <v>0</v>
      </c>
      <c r="G221" s="27" t="n">
        <v>0</v>
      </c>
      <c r="H221" s="27" t="n">
        <v>0</v>
      </c>
      <c r="I221" s="27" t="n">
        <v>0</v>
      </c>
      <c r="J221" s="27" t="n">
        <v>0</v>
      </c>
      <c r="K221" s="27" t="n">
        <v>0</v>
      </c>
      <c r="L221" s="27" t="n">
        <v>0</v>
      </c>
      <c r="M221" s="27" t="n">
        <v>0</v>
      </c>
      <c r="N221" s="27" t="n">
        <v>0</v>
      </c>
      <c r="O221" s="27" t="n">
        <v>0</v>
      </c>
      <c r="P221" s="27" t="n">
        <v>0</v>
      </c>
      <c r="Q221" s="33" t="inlineStr"/>
    </row>
    <row r="222" ht="30" customHeight="1">
      <c r="A222" s="26" t="n">
        <v>2047</v>
      </c>
      <c r="B222" s="12" t="inlineStr">
        <is>
          <t>Wife_IRA</t>
        </is>
      </c>
      <c r="C222" s="12" t="inlineStr">
        <is>
          <t>Patricia</t>
        </is>
      </c>
      <c r="D222" s="41" t="inlineStr">
        <is>
          <t>pre_tax</t>
        </is>
      </c>
      <c r="E222" s="12" t="inlineStr">
        <is>
          <t>traditional_ira</t>
        </is>
      </c>
      <c r="F222" s="27" t="n">
        <v>0</v>
      </c>
      <c r="G222" s="27" t="n">
        <v>0</v>
      </c>
      <c r="H222" s="27" t="n">
        <v>0</v>
      </c>
      <c r="I222" s="27" t="n">
        <v>0</v>
      </c>
      <c r="J222" s="27" t="n">
        <v>0</v>
      </c>
      <c r="K222" s="27" t="n">
        <v>0</v>
      </c>
      <c r="L222" s="27" t="n">
        <v>0</v>
      </c>
      <c r="M222" s="27" t="n">
        <v>0</v>
      </c>
      <c r="N222" s="27" t="n">
        <v>0</v>
      </c>
      <c r="O222" s="27" t="n">
        <v>0</v>
      </c>
      <c r="P222" s="27" t="n">
        <v>0</v>
      </c>
      <c r="Q222" s="33" t="inlineStr"/>
    </row>
    <row r="223" ht="30" customHeight="1">
      <c r="A223" s="26" t="n">
        <v>2047</v>
      </c>
      <c r="B223" s="12" t="inlineStr">
        <is>
          <t>Wife_Roth</t>
        </is>
      </c>
      <c r="C223" s="12" t="inlineStr">
        <is>
          <t>Patricia</t>
        </is>
      </c>
      <c r="D223" s="41" t="inlineStr">
        <is>
          <t>roth</t>
        </is>
      </c>
      <c r="E223" s="12" t="inlineStr">
        <is>
          <t>roth_ira</t>
        </is>
      </c>
      <c r="F223" s="27" t="n">
        <v>1456071.047030645</v>
      </c>
      <c r="G223" s="27" t="n">
        <v>0</v>
      </c>
      <c r="H223" s="27" t="n">
        <v>0</v>
      </c>
      <c r="I223" s="27" t="n">
        <v>0</v>
      </c>
      <c r="J223" s="27" t="n">
        <v>0</v>
      </c>
      <c r="K223" s="27" t="n">
        <v>0</v>
      </c>
      <c r="L223" s="27" t="n">
        <v>98377.91971609635</v>
      </c>
      <c r="M223" s="27" t="n">
        <v>81461.58763887295</v>
      </c>
      <c r="N223" s="27" t="n">
        <v>1439154.714953422</v>
      </c>
      <c r="O223" s="27" t="n">
        <v>1439154.714953422</v>
      </c>
      <c r="P223" s="27" t="n">
        <v>0</v>
      </c>
      <c r="Q223" s="12" t="inlineStr">
        <is>
          <t>withdrawal</t>
        </is>
      </c>
    </row>
    <row r="224" ht="30" customHeight="1">
      <c r="A224" s="26" t="n">
        <v>2047</v>
      </c>
      <c r="B224" s="12" t="inlineStr">
        <is>
          <t>Wife_Trust</t>
        </is>
      </c>
      <c r="C224" s="12" t="inlineStr">
        <is>
          <t>Patricia</t>
        </is>
      </c>
      <c r="D224" s="41" t="inlineStr">
        <is>
          <t>taxable</t>
        </is>
      </c>
      <c r="E224" s="12" t="inlineStr">
        <is>
          <t>trust</t>
        </is>
      </c>
      <c r="F224" s="27" t="n">
        <v>0</v>
      </c>
      <c r="G224" s="27" t="n">
        <v>0</v>
      </c>
      <c r="H224" s="27" t="n">
        <v>0</v>
      </c>
      <c r="I224" s="27" t="n">
        <v>0</v>
      </c>
      <c r="J224" s="27" t="n">
        <v>0</v>
      </c>
      <c r="K224" s="27" t="n">
        <v>0</v>
      </c>
      <c r="L224" s="27" t="n">
        <v>0</v>
      </c>
      <c r="M224" s="27" t="n">
        <v>0</v>
      </c>
      <c r="N224" s="27" t="n">
        <v>0</v>
      </c>
      <c r="O224" s="27" t="n">
        <v>0</v>
      </c>
      <c r="P224" s="27" t="n">
        <v>0</v>
      </c>
      <c r="Q224" s="33" t="inlineStr"/>
    </row>
    <row r="225" ht="45" customHeight="1">
      <c r="A225" s="26" t="n">
        <v>2048</v>
      </c>
      <c r="B225" s="12" t="inlineStr">
        <is>
          <t>Business_Checking</t>
        </is>
      </c>
      <c r="C225" s="12" t="inlineStr">
        <is>
          <t>Matthew</t>
        </is>
      </c>
      <c r="D225" s="41" t="inlineStr">
        <is>
          <t>cash</t>
        </is>
      </c>
      <c r="E225" s="12" t="inlineStr">
        <is>
          <t>checking</t>
        </is>
      </c>
      <c r="F225" s="27" t="n">
        <v>5000</v>
      </c>
      <c r="G225" s="27" t="n">
        <v>0</v>
      </c>
      <c r="H225" s="27" t="n">
        <v>0</v>
      </c>
      <c r="I225" s="27" t="n">
        <v>0</v>
      </c>
      <c r="J225" s="27" t="n">
        <v>0</v>
      </c>
      <c r="K225" s="27" t="n">
        <v>0</v>
      </c>
      <c r="L225" s="27" t="n">
        <v>0</v>
      </c>
      <c r="M225" s="27" t="n">
        <v>0</v>
      </c>
      <c r="N225" s="27" t="n">
        <v>5000</v>
      </c>
      <c r="O225" s="27" t="n">
        <v>5000</v>
      </c>
      <c r="P225" s="27" t="n">
        <v>0</v>
      </c>
      <c r="Q225" s="33" t="inlineStr"/>
    </row>
    <row r="226" ht="30" customHeight="1">
      <c r="A226" s="26" t="n">
        <v>2048</v>
      </c>
      <c r="B226" s="12" t="inlineStr">
        <is>
          <t>Family_Checking</t>
        </is>
      </c>
      <c r="C226" s="12" t="inlineStr">
        <is>
          <t>Matthew</t>
        </is>
      </c>
      <c r="D226" s="41" t="inlineStr">
        <is>
          <t>cash</t>
        </is>
      </c>
      <c r="E226" s="12" t="inlineStr">
        <is>
          <t>checking</t>
        </is>
      </c>
      <c r="F226" s="27" t="n">
        <v>15000</v>
      </c>
      <c r="G226" s="27" t="n">
        <v>0</v>
      </c>
      <c r="H226" s="27" t="n">
        <v>0</v>
      </c>
      <c r="I226" s="27" t="n">
        <v>0</v>
      </c>
      <c r="J226" s="27" t="n">
        <v>0</v>
      </c>
      <c r="K226" s="27" t="n">
        <v>0</v>
      </c>
      <c r="L226" s="27" t="n">
        <v>0</v>
      </c>
      <c r="M226" s="27" t="n">
        <v>0</v>
      </c>
      <c r="N226" s="27" t="n">
        <v>15000</v>
      </c>
      <c r="O226" s="27" t="n">
        <v>15000</v>
      </c>
      <c r="P226" s="27" t="n">
        <v>0</v>
      </c>
      <c r="Q226" s="33" t="inlineStr"/>
    </row>
    <row r="227" ht="30" customHeight="1">
      <c r="A227" s="26" t="n">
        <v>2048</v>
      </c>
      <c r="B227" s="12" t="inlineStr">
        <is>
          <t>Husband_HSA</t>
        </is>
      </c>
      <c r="C227" s="12" t="inlineStr">
        <is>
          <t>Matthew</t>
        </is>
      </c>
      <c r="D227" s="41" t="inlineStr">
        <is>
          <t>hsa</t>
        </is>
      </c>
      <c r="E227" s="12" t="inlineStr">
        <is>
          <t>hsa</t>
        </is>
      </c>
      <c r="F227" s="27" t="n">
        <v>0</v>
      </c>
      <c r="G227" s="27" t="n">
        <v>0</v>
      </c>
      <c r="H227" s="27" t="n">
        <v>0</v>
      </c>
      <c r="I227" s="27" t="n">
        <v>0</v>
      </c>
      <c r="J227" s="27" t="n">
        <v>0</v>
      </c>
      <c r="K227" s="27" t="n">
        <v>0</v>
      </c>
      <c r="L227" s="27" t="n">
        <v>0</v>
      </c>
      <c r="M227" s="27" t="n">
        <v>0</v>
      </c>
      <c r="N227" s="27" t="n">
        <v>0</v>
      </c>
      <c r="O227" s="27" t="n">
        <v>0</v>
      </c>
      <c r="P227" s="27" t="n">
        <v>0</v>
      </c>
      <c r="Q227" s="33" t="inlineStr"/>
    </row>
    <row r="228" ht="30" customHeight="1">
      <c r="A228" s="26" t="n">
        <v>2048</v>
      </c>
      <c r="B228" s="12" t="inlineStr">
        <is>
          <t>Husband_401k</t>
        </is>
      </c>
      <c r="C228" s="12" t="inlineStr">
        <is>
          <t>Matthew</t>
        </is>
      </c>
      <c r="D228" s="41" t="inlineStr">
        <is>
          <t>pre_tax</t>
        </is>
      </c>
      <c r="E228" s="12" t="inlineStr">
        <is>
          <t>401k</t>
        </is>
      </c>
      <c r="F228" s="27" t="n">
        <v>0</v>
      </c>
      <c r="G228" s="27" t="n">
        <v>0</v>
      </c>
      <c r="H228" s="27" t="n">
        <v>0</v>
      </c>
      <c r="I228" s="27" t="n">
        <v>0</v>
      </c>
      <c r="J228" s="27" t="n">
        <v>0</v>
      </c>
      <c r="K228" s="27" t="n">
        <v>0</v>
      </c>
      <c r="L228" s="27" t="n">
        <v>0</v>
      </c>
      <c r="M228" s="27" t="n">
        <v>0</v>
      </c>
      <c r="N228" s="27" t="n">
        <v>0</v>
      </c>
      <c r="O228" s="27" t="n">
        <v>0</v>
      </c>
      <c r="P228" s="27" t="n">
        <v>0</v>
      </c>
      <c r="Q228" s="33" t="inlineStr"/>
    </row>
    <row r="229" ht="30" customHeight="1">
      <c r="A229" s="26" t="n">
        <v>2048</v>
      </c>
      <c r="B229" s="12" t="inlineStr">
        <is>
          <t>Husband_IRA</t>
        </is>
      </c>
      <c r="C229" s="12" t="inlineStr">
        <is>
          <t>Matthew</t>
        </is>
      </c>
      <c r="D229" s="41" t="inlineStr">
        <is>
          <t>pre_tax</t>
        </is>
      </c>
      <c r="E229" s="12" t="inlineStr">
        <is>
          <t>traditional_ira</t>
        </is>
      </c>
      <c r="F229" s="27" t="n">
        <v>0</v>
      </c>
      <c r="G229" s="27" t="n">
        <v>0</v>
      </c>
      <c r="H229" s="27" t="n">
        <v>0</v>
      </c>
      <c r="I229" s="27" t="n">
        <v>0</v>
      </c>
      <c r="J229" s="27" t="n">
        <v>0</v>
      </c>
      <c r="K229" s="27" t="n">
        <v>0</v>
      </c>
      <c r="L229" s="27" t="n">
        <v>0</v>
      </c>
      <c r="M229" s="27" t="n">
        <v>0</v>
      </c>
      <c r="N229" s="27" t="n">
        <v>0</v>
      </c>
      <c r="O229" s="27" t="n">
        <v>0</v>
      </c>
      <c r="P229" s="27" t="n">
        <v>0</v>
      </c>
      <c r="Q229" s="33" t="inlineStr"/>
    </row>
    <row r="230" ht="30" customHeight="1">
      <c r="A230" s="26" t="n">
        <v>2048</v>
      </c>
      <c r="B230" s="12" t="inlineStr">
        <is>
          <t>Husband_Roth</t>
        </is>
      </c>
      <c r="C230" s="12" t="inlineStr">
        <is>
          <t>Matthew</t>
        </is>
      </c>
      <c r="D230" s="41" t="inlineStr">
        <is>
          <t>roth</t>
        </is>
      </c>
      <c r="E230" s="12" t="inlineStr">
        <is>
          <t>roth_ira</t>
        </is>
      </c>
      <c r="F230" s="27" t="n">
        <v>717215.8542724709</v>
      </c>
      <c r="G230" s="27" t="n">
        <v>0</v>
      </c>
      <c r="H230" s="27" t="n">
        <v>0</v>
      </c>
      <c r="I230" s="27" t="n">
        <v>0</v>
      </c>
      <c r="J230" s="27" t="n">
        <v>0</v>
      </c>
      <c r="K230" s="27" t="n">
        <v>0</v>
      </c>
      <c r="L230" s="27" t="n">
        <v>56570.96942945307</v>
      </c>
      <c r="M230" s="27" t="n">
        <v>39638.69309058107</v>
      </c>
      <c r="N230" s="27" t="n">
        <v>700283.577933599</v>
      </c>
      <c r="O230" s="27" t="n">
        <v>700283.577933599</v>
      </c>
      <c r="P230" s="27" t="n">
        <v>0</v>
      </c>
      <c r="Q230" s="12" t="inlineStr">
        <is>
          <t>withdrawal</t>
        </is>
      </c>
    </row>
    <row r="231" ht="30" customHeight="1">
      <c r="A231" s="26" t="n">
        <v>2048</v>
      </c>
      <c r="B231" s="12" t="inlineStr">
        <is>
          <t>Husband_Trust</t>
        </is>
      </c>
      <c r="C231" s="12" t="inlineStr">
        <is>
          <t>Matthew</t>
        </is>
      </c>
      <c r="D231" s="41" t="inlineStr">
        <is>
          <t>taxable</t>
        </is>
      </c>
      <c r="E231" s="12" t="inlineStr">
        <is>
          <t>trust</t>
        </is>
      </c>
      <c r="F231" s="27" t="n">
        <v>0</v>
      </c>
      <c r="G231" s="27" t="n">
        <v>0</v>
      </c>
      <c r="H231" s="27" t="n">
        <v>0</v>
      </c>
      <c r="I231" s="27" t="n">
        <v>0</v>
      </c>
      <c r="J231" s="27" t="n">
        <v>0</v>
      </c>
      <c r="K231" s="27" t="n">
        <v>0</v>
      </c>
      <c r="L231" s="27" t="n">
        <v>0</v>
      </c>
      <c r="M231" s="27" t="n">
        <v>0</v>
      </c>
      <c r="N231" s="27" t="n">
        <v>0</v>
      </c>
      <c r="O231" s="27" t="n">
        <v>0</v>
      </c>
      <c r="P231" s="27" t="n">
        <v>0</v>
      </c>
      <c r="Q231" s="33" t="inlineStr"/>
    </row>
    <row r="232" ht="30" customHeight="1">
      <c r="A232" s="26" t="n">
        <v>2048</v>
      </c>
      <c r="B232" s="12" t="inlineStr">
        <is>
          <t>Wife_IRA</t>
        </is>
      </c>
      <c r="C232" s="12" t="inlineStr">
        <is>
          <t>Patricia</t>
        </is>
      </c>
      <c r="D232" s="41" t="inlineStr">
        <is>
          <t>pre_tax</t>
        </is>
      </c>
      <c r="E232" s="12" t="inlineStr">
        <is>
          <t>traditional_ira</t>
        </is>
      </c>
      <c r="F232" s="27" t="n">
        <v>0</v>
      </c>
      <c r="G232" s="27" t="n">
        <v>0</v>
      </c>
      <c r="H232" s="27" t="n">
        <v>0</v>
      </c>
      <c r="I232" s="27" t="n">
        <v>0</v>
      </c>
      <c r="J232" s="27" t="n">
        <v>0</v>
      </c>
      <c r="K232" s="27" t="n">
        <v>0</v>
      </c>
      <c r="L232" s="27" t="n">
        <v>0</v>
      </c>
      <c r="M232" s="27" t="n">
        <v>0</v>
      </c>
      <c r="N232" s="27" t="n">
        <v>0</v>
      </c>
      <c r="O232" s="27" t="n">
        <v>0</v>
      </c>
      <c r="P232" s="27" t="n">
        <v>0</v>
      </c>
      <c r="Q232" s="33" t="inlineStr"/>
    </row>
    <row r="233" ht="30" customHeight="1">
      <c r="A233" s="26" t="n">
        <v>2048</v>
      </c>
      <c r="B233" s="12" t="inlineStr">
        <is>
          <t>Wife_Roth</t>
        </is>
      </c>
      <c r="C233" s="12" t="inlineStr">
        <is>
          <t>Patricia</t>
        </is>
      </c>
      <c r="D233" s="41" t="inlineStr">
        <is>
          <t>roth</t>
        </is>
      </c>
      <c r="E233" s="12" t="inlineStr">
        <is>
          <t>roth_ira</t>
        </is>
      </c>
      <c r="F233" s="27" t="n">
        <v>1439154.714953422</v>
      </c>
      <c r="G233" s="27" t="n">
        <v>0</v>
      </c>
      <c r="H233" s="27" t="n">
        <v>0</v>
      </c>
      <c r="I233" s="27" t="n">
        <v>0</v>
      </c>
      <c r="J233" s="27" t="n">
        <v>0</v>
      </c>
      <c r="K233" s="27" t="n">
        <v>0</v>
      </c>
      <c r="L233" s="27" t="n">
        <v>113514.4697358487</v>
      </c>
      <c r="M233" s="27" t="n">
        <v>79538.4147130544</v>
      </c>
      <c r="N233" s="27" t="n">
        <v>1405178.659930628</v>
      </c>
      <c r="O233" s="27" t="n">
        <v>1405178.659930628</v>
      </c>
      <c r="P233" s="27" t="n">
        <v>0</v>
      </c>
      <c r="Q233" s="12" t="inlineStr">
        <is>
          <t>withdrawal</t>
        </is>
      </c>
    </row>
    <row r="234" ht="30" customHeight="1">
      <c r="A234" s="26" t="n">
        <v>2048</v>
      </c>
      <c r="B234" s="12" t="inlineStr">
        <is>
          <t>Wife_Trust</t>
        </is>
      </c>
      <c r="C234" s="12" t="inlineStr">
        <is>
          <t>Patricia</t>
        </is>
      </c>
      <c r="D234" s="41" t="inlineStr">
        <is>
          <t>taxable</t>
        </is>
      </c>
      <c r="E234" s="12" t="inlineStr">
        <is>
          <t>trust</t>
        </is>
      </c>
      <c r="F234" s="27" t="n">
        <v>0</v>
      </c>
      <c r="G234" s="27" t="n">
        <v>0</v>
      </c>
      <c r="H234" s="27" t="n">
        <v>0</v>
      </c>
      <c r="I234" s="27" t="n">
        <v>0</v>
      </c>
      <c r="J234" s="27" t="n">
        <v>0</v>
      </c>
      <c r="K234" s="27" t="n">
        <v>0</v>
      </c>
      <c r="L234" s="27" t="n">
        <v>0</v>
      </c>
      <c r="M234" s="27" t="n">
        <v>0</v>
      </c>
      <c r="N234" s="27" t="n">
        <v>0</v>
      </c>
      <c r="O234" s="27" t="n">
        <v>0</v>
      </c>
      <c r="P234" s="27" t="n">
        <v>0</v>
      </c>
      <c r="Q234" s="33" t="inlineStr"/>
    </row>
    <row r="235" ht="45" customHeight="1">
      <c r="A235" s="26" t="n">
        <v>2049</v>
      </c>
      <c r="B235" s="12" t="inlineStr">
        <is>
          <t>Business_Checking</t>
        </is>
      </c>
      <c r="C235" s="12" t="inlineStr">
        <is>
          <t>Matthew</t>
        </is>
      </c>
      <c r="D235" s="41" t="inlineStr">
        <is>
          <t>cash</t>
        </is>
      </c>
      <c r="E235" s="12" t="inlineStr">
        <is>
          <t>checking</t>
        </is>
      </c>
      <c r="F235" s="27" t="n">
        <v>5000</v>
      </c>
      <c r="G235" s="27" t="n">
        <v>0</v>
      </c>
      <c r="H235" s="27" t="n">
        <v>0</v>
      </c>
      <c r="I235" s="27" t="n">
        <v>0</v>
      </c>
      <c r="J235" s="27" t="n">
        <v>0</v>
      </c>
      <c r="K235" s="27" t="n">
        <v>0</v>
      </c>
      <c r="L235" s="27" t="n">
        <v>0</v>
      </c>
      <c r="M235" s="27" t="n">
        <v>0</v>
      </c>
      <c r="N235" s="27" t="n">
        <v>5000</v>
      </c>
      <c r="O235" s="27" t="n">
        <v>5000</v>
      </c>
      <c r="P235" s="27" t="n">
        <v>0</v>
      </c>
      <c r="Q235" s="33" t="inlineStr"/>
    </row>
    <row r="236" ht="30" customHeight="1">
      <c r="A236" s="26" t="n">
        <v>2049</v>
      </c>
      <c r="B236" s="12" t="inlineStr">
        <is>
          <t>Family_Checking</t>
        </is>
      </c>
      <c r="C236" s="12" t="inlineStr">
        <is>
          <t>Matthew</t>
        </is>
      </c>
      <c r="D236" s="41" t="inlineStr">
        <is>
          <t>cash</t>
        </is>
      </c>
      <c r="E236" s="12" t="inlineStr">
        <is>
          <t>checking</t>
        </is>
      </c>
      <c r="F236" s="27" t="n">
        <v>15000</v>
      </c>
      <c r="G236" s="27" t="n">
        <v>0</v>
      </c>
      <c r="H236" s="27" t="n">
        <v>0</v>
      </c>
      <c r="I236" s="27" t="n">
        <v>0</v>
      </c>
      <c r="J236" s="27" t="n">
        <v>0</v>
      </c>
      <c r="K236" s="27" t="n">
        <v>0</v>
      </c>
      <c r="L236" s="27" t="n">
        <v>0</v>
      </c>
      <c r="M236" s="27" t="n">
        <v>0</v>
      </c>
      <c r="N236" s="27" t="n">
        <v>15000</v>
      </c>
      <c r="O236" s="27" t="n">
        <v>15000</v>
      </c>
      <c r="P236" s="27" t="n">
        <v>0</v>
      </c>
      <c r="Q236" s="33" t="inlineStr"/>
    </row>
    <row r="237" ht="30" customHeight="1">
      <c r="A237" s="26" t="n">
        <v>2049</v>
      </c>
      <c r="B237" s="12" t="inlineStr">
        <is>
          <t>Husband_HSA</t>
        </is>
      </c>
      <c r="C237" s="12" t="inlineStr">
        <is>
          <t>Matthew</t>
        </is>
      </c>
      <c r="D237" s="41" t="inlineStr">
        <is>
          <t>hsa</t>
        </is>
      </c>
      <c r="E237" s="12" t="inlineStr">
        <is>
          <t>hsa</t>
        </is>
      </c>
      <c r="F237" s="27" t="n">
        <v>0</v>
      </c>
      <c r="G237" s="27" t="n">
        <v>0</v>
      </c>
      <c r="H237" s="27" t="n">
        <v>0</v>
      </c>
      <c r="I237" s="27" t="n">
        <v>0</v>
      </c>
      <c r="J237" s="27" t="n">
        <v>0</v>
      </c>
      <c r="K237" s="27" t="n">
        <v>0</v>
      </c>
      <c r="L237" s="27" t="n">
        <v>0</v>
      </c>
      <c r="M237" s="27" t="n">
        <v>0</v>
      </c>
      <c r="N237" s="27" t="n">
        <v>0</v>
      </c>
      <c r="O237" s="27" t="n">
        <v>0</v>
      </c>
      <c r="P237" s="27" t="n">
        <v>0</v>
      </c>
      <c r="Q237" s="33" t="inlineStr"/>
    </row>
    <row r="238" ht="30" customHeight="1">
      <c r="A238" s="26" t="n">
        <v>2049</v>
      </c>
      <c r="B238" s="12" t="inlineStr">
        <is>
          <t>Husband_401k</t>
        </is>
      </c>
      <c r="C238" s="12" t="inlineStr">
        <is>
          <t>Matthew</t>
        </is>
      </c>
      <c r="D238" s="41" t="inlineStr">
        <is>
          <t>pre_tax</t>
        </is>
      </c>
      <c r="E238" s="12" t="inlineStr">
        <is>
          <t>401k</t>
        </is>
      </c>
      <c r="F238" s="27" t="n">
        <v>0</v>
      </c>
      <c r="G238" s="27" t="n">
        <v>0</v>
      </c>
      <c r="H238" s="27" t="n">
        <v>0</v>
      </c>
      <c r="I238" s="27" t="n">
        <v>0</v>
      </c>
      <c r="J238" s="27" t="n">
        <v>0</v>
      </c>
      <c r="K238" s="27" t="n">
        <v>0</v>
      </c>
      <c r="L238" s="27" t="n">
        <v>0</v>
      </c>
      <c r="M238" s="27" t="n">
        <v>0</v>
      </c>
      <c r="N238" s="27" t="n">
        <v>0</v>
      </c>
      <c r="O238" s="27" t="n">
        <v>0</v>
      </c>
      <c r="P238" s="27" t="n">
        <v>0</v>
      </c>
      <c r="Q238" s="33" t="inlineStr"/>
    </row>
    <row r="239" ht="30" customHeight="1">
      <c r="A239" s="26" t="n">
        <v>2049</v>
      </c>
      <c r="B239" s="12" t="inlineStr">
        <is>
          <t>Husband_IRA</t>
        </is>
      </c>
      <c r="C239" s="12" t="inlineStr">
        <is>
          <t>Matthew</t>
        </is>
      </c>
      <c r="D239" s="41" t="inlineStr">
        <is>
          <t>pre_tax</t>
        </is>
      </c>
      <c r="E239" s="12" t="inlineStr">
        <is>
          <t>traditional_ira</t>
        </is>
      </c>
      <c r="F239" s="27" t="n">
        <v>0</v>
      </c>
      <c r="G239" s="27" t="n">
        <v>0</v>
      </c>
      <c r="H239" s="27" t="n">
        <v>0</v>
      </c>
      <c r="I239" s="27" t="n">
        <v>0</v>
      </c>
      <c r="J239" s="27" t="n">
        <v>0</v>
      </c>
      <c r="K239" s="27" t="n">
        <v>0</v>
      </c>
      <c r="L239" s="27" t="n">
        <v>0</v>
      </c>
      <c r="M239" s="27" t="n">
        <v>0</v>
      </c>
      <c r="N239" s="27" t="n">
        <v>0</v>
      </c>
      <c r="O239" s="27" t="n">
        <v>0</v>
      </c>
      <c r="P239" s="27" t="n">
        <v>0</v>
      </c>
      <c r="Q239" s="33" t="inlineStr"/>
    </row>
    <row r="240" ht="30" customHeight="1">
      <c r="A240" s="26" t="n">
        <v>2049</v>
      </c>
      <c r="B240" s="12" t="inlineStr">
        <is>
          <t>Husband_Roth</t>
        </is>
      </c>
      <c r="C240" s="12" t="inlineStr">
        <is>
          <t>Matthew</t>
        </is>
      </c>
      <c r="D240" s="41" t="inlineStr">
        <is>
          <t>roth</t>
        </is>
      </c>
      <c r="E240" s="12" t="inlineStr">
        <is>
          <t>roth_ira</t>
        </is>
      </c>
      <c r="F240" s="27" t="n">
        <v>700283.577933599</v>
      </c>
      <c r="G240" s="27" t="n">
        <v>0</v>
      </c>
      <c r="H240" s="27" t="n">
        <v>0</v>
      </c>
      <c r="I240" s="27" t="n">
        <v>0</v>
      </c>
      <c r="J240" s="27" t="n">
        <v>0</v>
      </c>
      <c r="K240" s="27" t="n">
        <v>0</v>
      </c>
      <c r="L240" s="27" t="n">
        <v>57589.71520492667</v>
      </c>
      <c r="M240" s="27" t="n">
        <v>38561.63176372034</v>
      </c>
      <c r="N240" s="27" t="n">
        <v>681255.4944923926</v>
      </c>
      <c r="O240" s="27" t="n">
        <v>681255.4944923926</v>
      </c>
      <c r="P240" s="27" t="n">
        <v>0</v>
      </c>
      <c r="Q240" s="12" t="inlineStr">
        <is>
          <t>withdrawal</t>
        </is>
      </c>
    </row>
    <row r="241" ht="30" customHeight="1">
      <c r="A241" s="26" t="n">
        <v>2049</v>
      </c>
      <c r="B241" s="12" t="inlineStr">
        <is>
          <t>Husband_Trust</t>
        </is>
      </c>
      <c r="C241" s="12" t="inlineStr">
        <is>
          <t>Matthew</t>
        </is>
      </c>
      <c r="D241" s="41" t="inlineStr">
        <is>
          <t>taxable</t>
        </is>
      </c>
      <c r="E241" s="12" t="inlineStr">
        <is>
          <t>trust</t>
        </is>
      </c>
      <c r="F241" s="27" t="n">
        <v>0</v>
      </c>
      <c r="G241" s="27" t="n">
        <v>0</v>
      </c>
      <c r="H241" s="27" t="n">
        <v>0</v>
      </c>
      <c r="I241" s="27" t="n">
        <v>0</v>
      </c>
      <c r="J241" s="27" t="n">
        <v>0</v>
      </c>
      <c r="K241" s="27" t="n">
        <v>0</v>
      </c>
      <c r="L241" s="27" t="n">
        <v>0</v>
      </c>
      <c r="M241" s="27" t="n">
        <v>0</v>
      </c>
      <c r="N241" s="27" t="n">
        <v>0</v>
      </c>
      <c r="O241" s="27" t="n">
        <v>0</v>
      </c>
      <c r="P241" s="27" t="n">
        <v>0</v>
      </c>
      <c r="Q241" s="33" t="inlineStr"/>
    </row>
    <row r="242" ht="30" customHeight="1">
      <c r="A242" s="26" t="n">
        <v>2049</v>
      </c>
      <c r="B242" s="12" t="inlineStr">
        <is>
          <t>Wife_IRA</t>
        </is>
      </c>
      <c r="C242" s="12" t="inlineStr">
        <is>
          <t>Patricia</t>
        </is>
      </c>
      <c r="D242" s="41" t="inlineStr">
        <is>
          <t>pre_tax</t>
        </is>
      </c>
      <c r="E242" s="12" t="inlineStr">
        <is>
          <t>traditional_ira</t>
        </is>
      </c>
      <c r="F242" s="27" t="n">
        <v>0</v>
      </c>
      <c r="G242" s="27" t="n">
        <v>0</v>
      </c>
      <c r="H242" s="27" t="n">
        <v>0</v>
      </c>
      <c r="I242" s="27" t="n">
        <v>0</v>
      </c>
      <c r="J242" s="27" t="n">
        <v>0</v>
      </c>
      <c r="K242" s="27" t="n">
        <v>0</v>
      </c>
      <c r="L242" s="27" t="n">
        <v>0</v>
      </c>
      <c r="M242" s="27" t="n">
        <v>0</v>
      </c>
      <c r="N242" s="27" t="n">
        <v>0</v>
      </c>
      <c r="O242" s="27" t="n">
        <v>0</v>
      </c>
      <c r="P242" s="27" t="n">
        <v>0</v>
      </c>
      <c r="Q242" s="33" t="inlineStr"/>
    </row>
    <row r="243" ht="30" customHeight="1">
      <c r="A243" s="26" t="n">
        <v>2049</v>
      </c>
      <c r="B243" s="12" t="inlineStr">
        <is>
          <t>Wife_Roth</t>
        </is>
      </c>
      <c r="C243" s="12" t="inlineStr">
        <is>
          <t>Patricia</t>
        </is>
      </c>
      <c r="D243" s="41" t="inlineStr">
        <is>
          <t>roth</t>
        </is>
      </c>
      <c r="E243" s="12" t="inlineStr">
        <is>
          <t>roth_ira</t>
        </is>
      </c>
      <c r="F243" s="27" t="n">
        <v>1405178.659930628</v>
      </c>
      <c r="G243" s="27" t="n">
        <v>0</v>
      </c>
      <c r="H243" s="27" t="n">
        <v>0</v>
      </c>
      <c r="I243" s="27" t="n">
        <v>0</v>
      </c>
      <c r="J243" s="27" t="n">
        <v>0</v>
      </c>
      <c r="K243" s="27" t="n">
        <v>0</v>
      </c>
      <c r="L243" s="27" t="n">
        <v>115558.6699265973</v>
      </c>
      <c r="M243" s="27" t="n">
        <v>77377.19940024182</v>
      </c>
      <c r="N243" s="27" t="n">
        <v>1366997.189404272</v>
      </c>
      <c r="O243" s="27" t="n">
        <v>1366997.189404272</v>
      </c>
      <c r="P243" s="27" t="n">
        <v>0</v>
      </c>
      <c r="Q243" s="12" t="inlineStr">
        <is>
          <t>withdrawal</t>
        </is>
      </c>
    </row>
    <row r="244" ht="30" customHeight="1">
      <c r="A244" s="26" t="n">
        <v>2049</v>
      </c>
      <c r="B244" s="12" t="inlineStr">
        <is>
          <t>Wife_Trust</t>
        </is>
      </c>
      <c r="C244" s="12" t="inlineStr">
        <is>
          <t>Patricia</t>
        </is>
      </c>
      <c r="D244" s="41" t="inlineStr">
        <is>
          <t>taxable</t>
        </is>
      </c>
      <c r="E244" s="12" t="inlineStr">
        <is>
          <t>trust</t>
        </is>
      </c>
      <c r="F244" s="27" t="n">
        <v>0</v>
      </c>
      <c r="G244" s="27" t="n">
        <v>0</v>
      </c>
      <c r="H244" s="27" t="n">
        <v>0</v>
      </c>
      <c r="I244" s="27" t="n">
        <v>0</v>
      </c>
      <c r="J244" s="27" t="n">
        <v>0</v>
      </c>
      <c r="K244" s="27" t="n">
        <v>0</v>
      </c>
      <c r="L244" s="27" t="n">
        <v>0</v>
      </c>
      <c r="M244" s="27" t="n">
        <v>0</v>
      </c>
      <c r="N244" s="27" t="n">
        <v>0</v>
      </c>
      <c r="O244" s="27" t="n">
        <v>0</v>
      </c>
      <c r="P244" s="27" t="n">
        <v>0</v>
      </c>
      <c r="Q244" s="33" t="inlineStr"/>
    </row>
    <row r="245" ht="45" customHeight="1">
      <c r="A245" s="26" t="n">
        <v>2050</v>
      </c>
      <c r="B245" s="12" t="inlineStr">
        <is>
          <t>Business_Checking</t>
        </is>
      </c>
      <c r="C245" s="12" t="inlineStr">
        <is>
          <t>Matthew</t>
        </is>
      </c>
      <c r="D245" s="41" t="inlineStr">
        <is>
          <t>cash</t>
        </is>
      </c>
      <c r="E245" s="12" t="inlineStr">
        <is>
          <t>checking</t>
        </is>
      </c>
      <c r="F245" s="27" t="n">
        <v>5000</v>
      </c>
      <c r="G245" s="27" t="n">
        <v>0</v>
      </c>
      <c r="H245" s="27" t="n">
        <v>0</v>
      </c>
      <c r="I245" s="27" t="n">
        <v>0</v>
      </c>
      <c r="J245" s="27" t="n">
        <v>0</v>
      </c>
      <c r="K245" s="27" t="n">
        <v>0</v>
      </c>
      <c r="L245" s="27" t="n">
        <v>0</v>
      </c>
      <c r="M245" s="27" t="n">
        <v>0</v>
      </c>
      <c r="N245" s="27" t="n">
        <v>5000</v>
      </c>
      <c r="O245" s="27" t="n">
        <v>5000</v>
      </c>
      <c r="P245" s="27" t="n">
        <v>0</v>
      </c>
      <c r="Q245" s="33" t="inlineStr"/>
    </row>
    <row r="246" ht="30" customHeight="1">
      <c r="A246" s="26" t="n">
        <v>2050</v>
      </c>
      <c r="B246" s="12" t="inlineStr">
        <is>
          <t>Family_Checking</t>
        </is>
      </c>
      <c r="C246" s="12" t="inlineStr">
        <is>
          <t>Matthew</t>
        </is>
      </c>
      <c r="D246" s="41" t="inlineStr">
        <is>
          <t>cash</t>
        </is>
      </c>
      <c r="E246" s="12" t="inlineStr">
        <is>
          <t>checking</t>
        </is>
      </c>
      <c r="F246" s="27" t="n">
        <v>15000</v>
      </c>
      <c r="G246" s="27" t="n">
        <v>0</v>
      </c>
      <c r="H246" s="27" t="n">
        <v>0</v>
      </c>
      <c r="I246" s="27" t="n">
        <v>0</v>
      </c>
      <c r="J246" s="27" t="n">
        <v>0</v>
      </c>
      <c r="K246" s="27" t="n">
        <v>0</v>
      </c>
      <c r="L246" s="27" t="n">
        <v>0</v>
      </c>
      <c r="M246" s="27" t="n">
        <v>0</v>
      </c>
      <c r="N246" s="27" t="n">
        <v>15000</v>
      </c>
      <c r="O246" s="27" t="n">
        <v>15000</v>
      </c>
      <c r="P246" s="27" t="n">
        <v>0</v>
      </c>
      <c r="Q246" s="33" t="inlineStr"/>
    </row>
    <row r="247" ht="30" customHeight="1">
      <c r="A247" s="26" t="n">
        <v>2050</v>
      </c>
      <c r="B247" s="12" t="inlineStr">
        <is>
          <t>Husband_HSA</t>
        </is>
      </c>
      <c r="C247" s="12" t="inlineStr">
        <is>
          <t>Matthew</t>
        </is>
      </c>
      <c r="D247" s="41" t="inlineStr">
        <is>
          <t>hsa</t>
        </is>
      </c>
      <c r="E247" s="12" t="inlineStr">
        <is>
          <t>hsa</t>
        </is>
      </c>
      <c r="F247" s="27" t="n">
        <v>0</v>
      </c>
      <c r="G247" s="27" t="n">
        <v>0</v>
      </c>
      <c r="H247" s="27" t="n">
        <v>0</v>
      </c>
      <c r="I247" s="27" t="n">
        <v>0</v>
      </c>
      <c r="J247" s="27" t="n">
        <v>0</v>
      </c>
      <c r="K247" s="27" t="n">
        <v>0</v>
      </c>
      <c r="L247" s="27" t="n">
        <v>0</v>
      </c>
      <c r="M247" s="27" t="n">
        <v>0</v>
      </c>
      <c r="N247" s="27" t="n">
        <v>0</v>
      </c>
      <c r="O247" s="27" t="n">
        <v>0</v>
      </c>
      <c r="P247" s="27" t="n">
        <v>0</v>
      </c>
      <c r="Q247" s="33" t="inlineStr"/>
    </row>
    <row r="248" ht="30" customHeight="1">
      <c r="A248" s="26" t="n">
        <v>2050</v>
      </c>
      <c r="B248" s="12" t="inlineStr">
        <is>
          <t>Husband_401k</t>
        </is>
      </c>
      <c r="C248" s="12" t="inlineStr">
        <is>
          <t>Matthew</t>
        </is>
      </c>
      <c r="D248" s="41" t="inlineStr">
        <is>
          <t>pre_tax</t>
        </is>
      </c>
      <c r="E248" s="12" t="inlineStr">
        <is>
          <t>401k</t>
        </is>
      </c>
      <c r="F248" s="27" t="n">
        <v>0</v>
      </c>
      <c r="G248" s="27" t="n">
        <v>0</v>
      </c>
      <c r="H248" s="27" t="n">
        <v>0</v>
      </c>
      <c r="I248" s="27" t="n">
        <v>0</v>
      </c>
      <c r="J248" s="27" t="n">
        <v>0</v>
      </c>
      <c r="K248" s="27" t="n">
        <v>0</v>
      </c>
      <c r="L248" s="27" t="n">
        <v>0</v>
      </c>
      <c r="M248" s="27" t="n">
        <v>0</v>
      </c>
      <c r="N248" s="27" t="n">
        <v>0</v>
      </c>
      <c r="O248" s="27" t="n">
        <v>0</v>
      </c>
      <c r="P248" s="27" t="n">
        <v>0</v>
      </c>
      <c r="Q248" s="33" t="inlineStr"/>
    </row>
    <row r="249" ht="30" customHeight="1">
      <c r="A249" s="26" t="n">
        <v>2050</v>
      </c>
      <c r="B249" s="12" t="inlineStr">
        <is>
          <t>Husband_IRA</t>
        </is>
      </c>
      <c r="C249" s="12" t="inlineStr">
        <is>
          <t>Matthew</t>
        </is>
      </c>
      <c r="D249" s="41" t="inlineStr">
        <is>
          <t>pre_tax</t>
        </is>
      </c>
      <c r="E249" s="12" t="inlineStr">
        <is>
          <t>traditional_ira</t>
        </is>
      </c>
      <c r="F249" s="27" t="n">
        <v>0</v>
      </c>
      <c r="G249" s="27" t="n">
        <v>0</v>
      </c>
      <c r="H249" s="27" t="n">
        <v>0</v>
      </c>
      <c r="I249" s="27" t="n">
        <v>0</v>
      </c>
      <c r="J249" s="27" t="n">
        <v>0</v>
      </c>
      <c r="K249" s="27" t="n">
        <v>0</v>
      </c>
      <c r="L249" s="27" t="n">
        <v>0</v>
      </c>
      <c r="M249" s="27" t="n">
        <v>0</v>
      </c>
      <c r="N249" s="27" t="n">
        <v>0</v>
      </c>
      <c r="O249" s="27" t="n">
        <v>0</v>
      </c>
      <c r="P249" s="27" t="n">
        <v>0</v>
      </c>
      <c r="Q249" s="33" t="inlineStr"/>
    </row>
    <row r="250" ht="30" customHeight="1">
      <c r="A250" s="26" t="n">
        <v>2050</v>
      </c>
      <c r="B250" s="12" t="inlineStr">
        <is>
          <t>Husband_Roth</t>
        </is>
      </c>
      <c r="C250" s="12" t="inlineStr">
        <is>
          <t>Matthew</t>
        </is>
      </c>
      <c r="D250" s="41" t="inlineStr">
        <is>
          <t>roth</t>
        </is>
      </c>
      <c r="E250" s="12" t="inlineStr">
        <is>
          <t>roth_ira</t>
        </is>
      </c>
      <c r="F250" s="27" t="n">
        <v>681255.4944923926</v>
      </c>
      <c r="G250" s="27" t="n">
        <v>0</v>
      </c>
      <c r="H250" s="27" t="n">
        <v>0</v>
      </c>
      <c r="I250" s="27" t="n">
        <v>0</v>
      </c>
      <c r="J250" s="27" t="n">
        <v>0</v>
      </c>
      <c r="K250" s="27" t="n">
        <v>0</v>
      </c>
      <c r="L250" s="27" t="n">
        <v>58692.69616214269</v>
      </c>
      <c r="M250" s="27" t="n">
        <v>37353.76789981499</v>
      </c>
      <c r="N250" s="27" t="n">
        <v>659916.566230065</v>
      </c>
      <c r="O250" s="27" t="n">
        <v>659916.566230065</v>
      </c>
      <c r="P250" s="27" t="n">
        <v>0</v>
      </c>
      <c r="Q250" s="12" t="inlineStr">
        <is>
          <t>withdrawal</t>
        </is>
      </c>
    </row>
    <row r="251" ht="30" customHeight="1">
      <c r="A251" s="26" t="n">
        <v>2050</v>
      </c>
      <c r="B251" s="12" t="inlineStr">
        <is>
          <t>Husband_Trust</t>
        </is>
      </c>
      <c r="C251" s="12" t="inlineStr">
        <is>
          <t>Matthew</t>
        </is>
      </c>
      <c r="D251" s="41" t="inlineStr">
        <is>
          <t>taxable</t>
        </is>
      </c>
      <c r="E251" s="12" t="inlineStr">
        <is>
          <t>trust</t>
        </is>
      </c>
      <c r="F251" s="27" t="n">
        <v>0</v>
      </c>
      <c r="G251" s="27" t="n">
        <v>0</v>
      </c>
      <c r="H251" s="27" t="n">
        <v>0</v>
      </c>
      <c r="I251" s="27" t="n">
        <v>0</v>
      </c>
      <c r="J251" s="27" t="n">
        <v>0</v>
      </c>
      <c r="K251" s="27" t="n">
        <v>0</v>
      </c>
      <c r="L251" s="27" t="n">
        <v>0</v>
      </c>
      <c r="M251" s="27" t="n">
        <v>0</v>
      </c>
      <c r="N251" s="27" t="n">
        <v>0</v>
      </c>
      <c r="O251" s="27" t="n">
        <v>0</v>
      </c>
      <c r="P251" s="27" t="n">
        <v>0</v>
      </c>
      <c r="Q251" s="33" t="inlineStr"/>
    </row>
    <row r="252" ht="30" customHeight="1">
      <c r="A252" s="26" t="n">
        <v>2050</v>
      </c>
      <c r="B252" s="12" t="inlineStr">
        <is>
          <t>Wife_IRA</t>
        </is>
      </c>
      <c r="C252" s="12" t="inlineStr">
        <is>
          <t>Patricia</t>
        </is>
      </c>
      <c r="D252" s="41" t="inlineStr">
        <is>
          <t>pre_tax</t>
        </is>
      </c>
      <c r="E252" s="12" t="inlineStr">
        <is>
          <t>traditional_ira</t>
        </is>
      </c>
      <c r="F252" s="27" t="n">
        <v>0</v>
      </c>
      <c r="G252" s="27" t="n">
        <v>0</v>
      </c>
      <c r="H252" s="27" t="n">
        <v>0</v>
      </c>
      <c r="I252" s="27" t="n">
        <v>0</v>
      </c>
      <c r="J252" s="27" t="n">
        <v>0</v>
      </c>
      <c r="K252" s="27" t="n">
        <v>0</v>
      </c>
      <c r="L252" s="27" t="n">
        <v>0</v>
      </c>
      <c r="M252" s="27" t="n">
        <v>0</v>
      </c>
      <c r="N252" s="27" t="n">
        <v>0</v>
      </c>
      <c r="O252" s="27" t="n">
        <v>0</v>
      </c>
      <c r="P252" s="27" t="n">
        <v>0</v>
      </c>
      <c r="Q252" s="33" t="inlineStr"/>
    </row>
    <row r="253" ht="30" customHeight="1">
      <c r="A253" s="26" t="n">
        <v>2050</v>
      </c>
      <c r="B253" s="12" t="inlineStr">
        <is>
          <t>Wife_Roth</t>
        </is>
      </c>
      <c r="C253" s="12" t="inlineStr">
        <is>
          <t>Patricia</t>
        </is>
      </c>
      <c r="D253" s="41" t="inlineStr">
        <is>
          <t>roth</t>
        </is>
      </c>
      <c r="E253" s="12" t="inlineStr">
        <is>
          <t>roth_ira</t>
        </is>
      </c>
      <c r="F253" s="27" t="n">
        <v>1366997.189404272</v>
      </c>
      <c r="G253" s="27" t="n">
        <v>0</v>
      </c>
      <c r="H253" s="27" t="n">
        <v>0</v>
      </c>
      <c r="I253" s="27" t="n">
        <v>0</v>
      </c>
      <c r="J253" s="27" t="n">
        <v>0</v>
      </c>
      <c r="K253" s="27" t="n">
        <v>0</v>
      </c>
      <c r="L253" s="27" t="n">
        <v>117771.8951859461</v>
      </c>
      <c r="M253" s="27" t="n">
        <v>74953.51765309955</v>
      </c>
      <c r="N253" s="27" t="n">
        <v>1324178.811871425</v>
      </c>
      <c r="O253" s="27" t="n">
        <v>1324178.811871425</v>
      </c>
      <c r="P253" s="27" t="n">
        <v>0</v>
      </c>
      <c r="Q253" s="12" t="inlineStr">
        <is>
          <t>withdrawal</t>
        </is>
      </c>
    </row>
    <row r="254" ht="30" customHeight="1">
      <c r="A254" s="26" t="n">
        <v>2050</v>
      </c>
      <c r="B254" s="12" t="inlineStr">
        <is>
          <t>Wife_Trust</t>
        </is>
      </c>
      <c r="C254" s="12" t="inlineStr">
        <is>
          <t>Patricia</t>
        </is>
      </c>
      <c r="D254" s="41" t="inlineStr">
        <is>
          <t>taxable</t>
        </is>
      </c>
      <c r="E254" s="12" t="inlineStr">
        <is>
          <t>trust</t>
        </is>
      </c>
      <c r="F254" s="27" t="n">
        <v>0</v>
      </c>
      <c r="G254" s="27" t="n">
        <v>0</v>
      </c>
      <c r="H254" s="27" t="n">
        <v>0</v>
      </c>
      <c r="I254" s="27" t="n">
        <v>0</v>
      </c>
      <c r="J254" s="27" t="n">
        <v>0</v>
      </c>
      <c r="K254" s="27" t="n">
        <v>0</v>
      </c>
      <c r="L254" s="27" t="n">
        <v>0</v>
      </c>
      <c r="M254" s="27" t="n">
        <v>0</v>
      </c>
      <c r="N254" s="27" t="n">
        <v>0</v>
      </c>
      <c r="O254" s="27" t="n">
        <v>0</v>
      </c>
      <c r="P254" s="27" t="n">
        <v>0</v>
      </c>
      <c r="Q254" s="33" t="inlineStr"/>
    </row>
    <row r="255" ht="45" customHeight="1">
      <c r="A255" s="26" t="n">
        <v>2051</v>
      </c>
      <c r="B255" s="12" t="inlineStr">
        <is>
          <t>Business_Checking</t>
        </is>
      </c>
      <c r="C255" s="12" t="inlineStr">
        <is>
          <t>Matthew</t>
        </is>
      </c>
      <c r="D255" s="41" t="inlineStr">
        <is>
          <t>cash</t>
        </is>
      </c>
      <c r="E255" s="12" t="inlineStr">
        <is>
          <t>checking</t>
        </is>
      </c>
      <c r="F255" s="27" t="n">
        <v>5000</v>
      </c>
      <c r="G255" s="27" t="n">
        <v>0</v>
      </c>
      <c r="H255" s="27" t="n">
        <v>0</v>
      </c>
      <c r="I255" s="27" t="n">
        <v>0</v>
      </c>
      <c r="J255" s="27" t="n">
        <v>0</v>
      </c>
      <c r="K255" s="27" t="n">
        <v>0</v>
      </c>
      <c r="L255" s="27" t="n">
        <v>0</v>
      </c>
      <c r="M255" s="27" t="n">
        <v>0</v>
      </c>
      <c r="N255" s="27" t="n">
        <v>5000</v>
      </c>
      <c r="O255" s="27" t="n">
        <v>5000</v>
      </c>
      <c r="P255" s="27" t="n">
        <v>0</v>
      </c>
      <c r="Q255" s="33" t="inlineStr"/>
    </row>
    <row r="256" ht="30" customHeight="1">
      <c r="A256" s="26" t="n">
        <v>2051</v>
      </c>
      <c r="B256" s="12" t="inlineStr">
        <is>
          <t>Family_Checking</t>
        </is>
      </c>
      <c r="C256" s="12" t="inlineStr">
        <is>
          <t>Matthew</t>
        </is>
      </c>
      <c r="D256" s="41" t="inlineStr">
        <is>
          <t>cash</t>
        </is>
      </c>
      <c r="E256" s="12" t="inlineStr">
        <is>
          <t>checking</t>
        </is>
      </c>
      <c r="F256" s="27" t="n">
        <v>15000</v>
      </c>
      <c r="G256" s="27" t="n">
        <v>0</v>
      </c>
      <c r="H256" s="27" t="n">
        <v>0</v>
      </c>
      <c r="I256" s="27" t="n">
        <v>0</v>
      </c>
      <c r="J256" s="27" t="n">
        <v>0</v>
      </c>
      <c r="K256" s="27" t="n">
        <v>0</v>
      </c>
      <c r="L256" s="27" t="n">
        <v>0</v>
      </c>
      <c r="M256" s="27" t="n">
        <v>0</v>
      </c>
      <c r="N256" s="27" t="n">
        <v>15000</v>
      </c>
      <c r="O256" s="27" t="n">
        <v>15000</v>
      </c>
      <c r="P256" s="27" t="n">
        <v>0</v>
      </c>
      <c r="Q256" s="33" t="inlineStr"/>
    </row>
    <row r="257" ht="30" customHeight="1">
      <c r="A257" s="26" t="n">
        <v>2051</v>
      </c>
      <c r="B257" s="12" t="inlineStr">
        <is>
          <t>Husband_HSA</t>
        </is>
      </c>
      <c r="C257" s="12" t="inlineStr">
        <is>
          <t>Matthew</t>
        </is>
      </c>
      <c r="D257" s="41" t="inlineStr">
        <is>
          <t>hsa</t>
        </is>
      </c>
      <c r="E257" s="12" t="inlineStr">
        <is>
          <t>hsa</t>
        </is>
      </c>
      <c r="F257" s="27" t="n">
        <v>0</v>
      </c>
      <c r="G257" s="27" t="n">
        <v>0</v>
      </c>
      <c r="H257" s="27" t="n">
        <v>0</v>
      </c>
      <c r="I257" s="27" t="n">
        <v>0</v>
      </c>
      <c r="J257" s="27" t="n">
        <v>0</v>
      </c>
      <c r="K257" s="27" t="n">
        <v>0</v>
      </c>
      <c r="L257" s="27" t="n">
        <v>0</v>
      </c>
      <c r="M257" s="27" t="n">
        <v>0</v>
      </c>
      <c r="N257" s="27" t="n">
        <v>0</v>
      </c>
      <c r="O257" s="27" t="n">
        <v>0</v>
      </c>
      <c r="P257" s="27" t="n">
        <v>0</v>
      </c>
      <c r="Q257" s="33" t="inlineStr"/>
    </row>
    <row r="258" ht="30" customHeight="1">
      <c r="A258" s="26" t="n">
        <v>2051</v>
      </c>
      <c r="B258" s="12" t="inlineStr">
        <is>
          <t>Husband_401k</t>
        </is>
      </c>
      <c r="C258" s="12" t="inlineStr">
        <is>
          <t>Matthew</t>
        </is>
      </c>
      <c r="D258" s="41" t="inlineStr">
        <is>
          <t>pre_tax</t>
        </is>
      </c>
      <c r="E258" s="12" t="inlineStr">
        <is>
          <t>401k</t>
        </is>
      </c>
      <c r="F258" s="27" t="n">
        <v>0</v>
      </c>
      <c r="G258" s="27" t="n">
        <v>0</v>
      </c>
      <c r="H258" s="27" t="n">
        <v>0</v>
      </c>
      <c r="I258" s="27" t="n">
        <v>0</v>
      </c>
      <c r="J258" s="27" t="n">
        <v>0</v>
      </c>
      <c r="K258" s="27" t="n">
        <v>0</v>
      </c>
      <c r="L258" s="27" t="n">
        <v>0</v>
      </c>
      <c r="M258" s="27" t="n">
        <v>0</v>
      </c>
      <c r="N258" s="27" t="n">
        <v>0</v>
      </c>
      <c r="O258" s="27" t="n">
        <v>0</v>
      </c>
      <c r="P258" s="27" t="n">
        <v>0</v>
      </c>
      <c r="Q258" s="33" t="inlineStr"/>
    </row>
    <row r="259" ht="30" customHeight="1">
      <c r="A259" s="26" t="n">
        <v>2051</v>
      </c>
      <c r="B259" s="12" t="inlineStr">
        <is>
          <t>Husband_IRA</t>
        </is>
      </c>
      <c r="C259" s="12" t="inlineStr">
        <is>
          <t>Matthew</t>
        </is>
      </c>
      <c r="D259" s="41" t="inlineStr">
        <is>
          <t>pre_tax</t>
        </is>
      </c>
      <c r="E259" s="12" t="inlineStr">
        <is>
          <t>traditional_ira</t>
        </is>
      </c>
      <c r="F259" s="27" t="n">
        <v>0</v>
      </c>
      <c r="G259" s="27" t="n">
        <v>0</v>
      </c>
      <c r="H259" s="27" t="n">
        <v>0</v>
      </c>
      <c r="I259" s="27" t="n">
        <v>0</v>
      </c>
      <c r="J259" s="27" t="n">
        <v>0</v>
      </c>
      <c r="K259" s="27" t="n">
        <v>0</v>
      </c>
      <c r="L259" s="27" t="n">
        <v>0</v>
      </c>
      <c r="M259" s="27" t="n">
        <v>0</v>
      </c>
      <c r="N259" s="27" t="n">
        <v>0</v>
      </c>
      <c r="O259" s="27" t="n">
        <v>0</v>
      </c>
      <c r="P259" s="27" t="n">
        <v>0</v>
      </c>
      <c r="Q259" s="33" t="inlineStr"/>
    </row>
    <row r="260" ht="30" customHeight="1">
      <c r="A260" s="26" t="n">
        <v>2051</v>
      </c>
      <c r="B260" s="12" t="inlineStr">
        <is>
          <t>Husband_Roth</t>
        </is>
      </c>
      <c r="C260" s="12" t="inlineStr">
        <is>
          <t>Matthew</t>
        </is>
      </c>
      <c r="D260" s="41" t="inlineStr">
        <is>
          <t>roth</t>
        </is>
      </c>
      <c r="E260" s="12" t="inlineStr">
        <is>
          <t>roth_ira</t>
        </is>
      </c>
      <c r="F260" s="27" t="n">
        <v>659916.566230065</v>
      </c>
      <c r="G260" s="27" t="n">
        <v>0</v>
      </c>
      <c r="H260" s="27" t="n">
        <v>0</v>
      </c>
      <c r="I260" s="27" t="n">
        <v>0</v>
      </c>
      <c r="J260" s="27" t="n">
        <v>0</v>
      </c>
      <c r="K260" s="27" t="n">
        <v>0</v>
      </c>
      <c r="L260" s="27" t="n">
        <v>59885.80428315978</v>
      </c>
      <c r="M260" s="27" t="n">
        <v>36001.84571681431</v>
      </c>
      <c r="N260" s="27" t="n">
        <v>636032.6076637194</v>
      </c>
      <c r="O260" s="27" t="n">
        <v>636032.6076637194</v>
      </c>
      <c r="P260" s="27" t="n">
        <v>0</v>
      </c>
      <c r="Q260" s="12" t="inlineStr">
        <is>
          <t>withdrawal</t>
        </is>
      </c>
    </row>
    <row r="261" ht="30" customHeight="1">
      <c r="A261" s="26" t="n">
        <v>2051</v>
      </c>
      <c r="B261" s="12" t="inlineStr">
        <is>
          <t>Husband_Trust</t>
        </is>
      </c>
      <c r="C261" s="12" t="inlineStr">
        <is>
          <t>Matthew</t>
        </is>
      </c>
      <c r="D261" s="41" t="inlineStr">
        <is>
          <t>taxable</t>
        </is>
      </c>
      <c r="E261" s="12" t="inlineStr">
        <is>
          <t>trust</t>
        </is>
      </c>
      <c r="F261" s="27" t="n">
        <v>0</v>
      </c>
      <c r="G261" s="27" t="n">
        <v>0</v>
      </c>
      <c r="H261" s="27" t="n">
        <v>0</v>
      </c>
      <c r="I261" s="27" t="n">
        <v>0</v>
      </c>
      <c r="J261" s="27" t="n">
        <v>0</v>
      </c>
      <c r="K261" s="27" t="n">
        <v>0</v>
      </c>
      <c r="L261" s="27" t="n">
        <v>0</v>
      </c>
      <c r="M261" s="27" t="n">
        <v>0</v>
      </c>
      <c r="N261" s="27" t="n">
        <v>0</v>
      </c>
      <c r="O261" s="27" t="n">
        <v>0</v>
      </c>
      <c r="P261" s="27" t="n">
        <v>0</v>
      </c>
      <c r="Q261" s="33" t="inlineStr"/>
    </row>
    <row r="262" ht="30" customHeight="1">
      <c r="A262" s="26" t="n">
        <v>2051</v>
      </c>
      <c r="B262" s="12" t="inlineStr">
        <is>
          <t>Wife_IRA</t>
        </is>
      </c>
      <c r="C262" s="12" t="inlineStr">
        <is>
          <t>Patricia</t>
        </is>
      </c>
      <c r="D262" s="41" t="inlineStr">
        <is>
          <t>pre_tax</t>
        </is>
      </c>
      <c r="E262" s="12" t="inlineStr">
        <is>
          <t>traditional_ira</t>
        </is>
      </c>
      <c r="F262" s="27" t="n">
        <v>0</v>
      </c>
      <c r="G262" s="27" t="n">
        <v>0</v>
      </c>
      <c r="H262" s="27" t="n">
        <v>0</v>
      </c>
      <c r="I262" s="27" t="n">
        <v>0</v>
      </c>
      <c r="J262" s="27" t="n">
        <v>0</v>
      </c>
      <c r="K262" s="27" t="n">
        <v>0</v>
      </c>
      <c r="L262" s="27" t="n">
        <v>0</v>
      </c>
      <c r="M262" s="27" t="n">
        <v>0</v>
      </c>
      <c r="N262" s="27" t="n">
        <v>0</v>
      </c>
      <c r="O262" s="27" t="n">
        <v>0</v>
      </c>
      <c r="P262" s="27" t="n">
        <v>0</v>
      </c>
      <c r="Q262" s="33" t="inlineStr"/>
    </row>
    <row r="263" ht="30" customHeight="1">
      <c r="A263" s="26" t="n">
        <v>2051</v>
      </c>
      <c r="B263" s="12" t="inlineStr">
        <is>
          <t>Wife_Roth</t>
        </is>
      </c>
      <c r="C263" s="12" t="inlineStr">
        <is>
          <t>Patricia</t>
        </is>
      </c>
      <c r="D263" s="41" t="inlineStr">
        <is>
          <t>roth</t>
        </is>
      </c>
      <c r="E263" s="12" t="inlineStr">
        <is>
          <t>roth_ira</t>
        </is>
      </c>
      <c r="F263" s="27" t="n">
        <v>1324178.811871425</v>
      </c>
      <c r="G263" s="27" t="n">
        <v>0</v>
      </c>
      <c r="H263" s="27" t="n">
        <v>0</v>
      </c>
      <c r="I263" s="27" t="n">
        <v>0</v>
      </c>
      <c r="J263" s="27" t="n">
        <v>0</v>
      </c>
      <c r="K263" s="27" t="n">
        <v>0</v>
      </c>
      <c r="L263" s="27" t="n">
        <v>120165.9682778645</v>
      </c>
      <c r="M263" s="27" t="n">
        <v>72240.77061561366</v>
      </c>
      <c r="N263" s="27" t="n">
        <v>1276253.614209175</v>
      </c>
      <c r="O263" s="27" t="n">
        <v>1276253.614209175</v>
      </c>
      <c r="P263" s="27" t="n">
        <v>0</v>
      </c>
      <c r="Q263" s="12" t="inlineStr">
        <is>
          <t>withdrawal</t>
        </is>
      </c>
    </row>
    <row r="264" ht="30" customHeight="1">
      <c r="A264" s="26" t="n">
        <v>2051</v>
      </c>
      <c r="B264" s="12" t="inlineStr">
        <is>
          <t>Wife_Trust</t>
        </is>
      </c>
      <c r="C264" s="12" t="inlineStr">
        <is>
          <t>Patricia</t>
        </is>
      </c>
      <c r="D264" s="41" t="inlineStr">
        <is>
          <t>taxable</t>
        </is>
      </c>
      <c r="E264" s="12" t="inlineStr">
        <is>
          <t>trust</t>
        </is>
      </c>
      <c r="F264" s="27" t="n">
        <v>0</v>
      </c>
      <c r="G264" s="27" t="n">
        <v>0</v>
      </c>
      <c r="H264" s="27" t="n">
        <v>0</v>
      </c>
      <c r="I264" s="27" t="n">
        <v>0</v>
      </c>
      <c r="J264" s="27" t="n">
        <v>0</v>
      </c>
      <c r="K264" s="27" t="n">
        <v>0</v>
      </c>
      <c r="L264" s="27" t="n">
        <v>0</v>
      </c>
      <c r="M264" s="27" t="n">
        <v>0</v>
      </c>
      <c r="N264" s="27" t="n">
        <v>0</v>
      </c>
      <c r="O264" s="27" t="n">
        <v>0</v>
      </c>
      <c r="P264" s="27" t="n">
        <v>0</v>
      </c>
      <c r="Q264" s="33" t="inlineStr"/>
    </row>
    <row r="265" ht="45" customHeight="1">
      <c r="A265" s="26" t="n">
        <v>2052</v>
      </c>
      <c r="B265" s="12" t="inlineStr">
        <is>
          <t>Business_Checking</t>
        </is>
      </c>
      <c r="C265" s="12" t="inlineStr">
        <is>
          <t>Matthew</t>
        </is>
      </c>
      <c r="D265" s="41" t="inlineStr">
        <is>
          <t>cash</t>
        </is>
      </c>
      <c r="E265" s="12" t="inlineStr">
        <is>
          <t>checking</t>
        </is>
      </c>
      <c r="F265" s="27" t="n">
        <v>5000</v>
      </c>
      <c r="G265" s="27" t="n">
        <v>0</v>
      </c>
      <c r="H265" s="27" t="n">
        <v>0</v>
      </c>
      <c r="I265" s="27" t="n">
        <v>0</v>
      </c>
      <c r="J265" s="27" t="n">
        <v>0</v>
      </c>
      <c r="K265" s="27" t="n">
        <v>0</v>
      </c>
      <c r="L265" s="27" t="n">
        <v>0</v>
      </c>
      <c r="M265" s="27" t="n">
        <v>0</v>
      </c>
      <c r="N265" s="27" t="n">
        <v>5000</v>
      </c>
      <c r="O265" s="27" t="n">
        <v>5000</v>
      </c>
      <c r="P265" s="27" t="n">
        <v>0</v>
      </c>
      <c r="Q265" s="33" t="inlineStr"/>
    </row>
    <row r="266" ht="30" customHeight="1">
      <c r="A266" s="26" t="n">
        <v>2052</v>
      </c>
      <c r="B266" s="12" t="inlineStr">
        <is>
          <t>Family_Checking</t>
        </is>
      </c>
      <c r="C266" s="12" t="inlineStr">
        <is>
          <t>Matthew</t>
        </is>
      </c>
      <c r="D266" s="41" t="inlineStr">
        <is>
          <t>cash</t>
        </is>
      </c>
      <c r="E266" s="12" t="inlineStr">
        <is>
          <t>checking</t>
        </is>
      </c>
      <c r="F266" s="27" t="n">
        <v>15000</v>
      </c>
      <c r="G266" s="27" t="n">
        <v>0</v>
      </c>
      <c r="H266" s="27" t="n">
        <v>0</v>
      </c>
      <c r="I266" s="27" t="n">
        <v>0</v>
      </c>
      <c r="J266" s="27" t="n">
        <v>0</v>
      </c>
      <c r="K266" s="27" t="n">
        <v>0</v>
      </c>
      <c r="L266" s="27" t="n">
        <v>0</v>
      </c>
      <c r="M266" s="27" t="n">
        <v>0</v>
      </c>
      <c r="N266" s="27" t="n">
        <v>15000</v>
      </c>
      <c r="O266" s="27" t="n">
        <v>15000</v>
      </c>
      <c r="P266" s="27" t="n">
        <v>0</v>
      </c>
      <c r="Q266" s="33" t="inlineStr"/>
    </row>
    <row r="267" ht="30" customHeight="1">
      <c r="A267" s="26" t="n">
        <v>2052</v>
      </c>
      <c r="B267" s="12" t="inlineStr">
        <is>
          <t>Husband_HSA</t>
        </is>
      </c>
      <c r="C267" s="12" t="inlineStr">
        <is>
          <t>Matthew</t>
        </is>
      </c>
      <c r="D267" s="41" t="inlineStr">
        <is>
          <t>hsa</t>
        </is>
      </c>
      <c r="E267" s="12" t="inlineStr">
        <is>
          <t>hsa</t>
        </is>
      </c>
      <c r="F267" s="27" t="n">
        <v>0</v>
      </c>
      <c r="G267" s="27" t="n">
        <v>0</v>
      </c>
      <c r="H267" s="27" t="n">
        <v>0</v>
      </c>
      <c r="I267" s="27" t="n">
        <v>0</v>
      </c>
      <c r="J267" s="27" t="n">
        <v>0</v>
      </c>
      <c r="K267" s="27" t="n">
        <v>0</v>
      </c>
      <c r="L267" s="27" t="n">
        <v>0</v>
      </c>
      <c r="M267" s="27" t="n">
        <v>0</v>
      </c>
      <c r="N267" s="27" t="n">
        <v>0</v>
      </c>
      <c r="O267" s="27" t="n">
        <v>0</v>
      </c>
      <c r="P267" s="27" t="n">
        <v>0</v>
      </c>
      <c r="Q267" s="33" t="inlineStr"/>
    </row>
    <row r="268" ht="30" customHeight="1">
      <c r="A268" s="26" t="n">
        <v>2052</v>
      </c>
      <c r="B268" s="12" t="inlineStr">
        <is>
          <t>Husband_401k</t>
        </is>
      </c>
      <c r="C268" s="12" t="inlineStr">
        <is>
          <t>Matthew</t>
        </is>
      </c>
      <c r="D268" s="41" t="inlineStr">
        <is>
          <t>pre_tax</t>
        </is>
      </c>
      <c r="E268" s="12" t="inlineStr">
        <is>
          <t>401k</t>
        </is>
      </c>
      <c r="F268" s="27" t="n">
        <v>0</v>
      </c>
      <c r="G268" s="27" t="n">
        <v>0</v>
      </c>
      <c r="H268" s="27" t="n">
        <v>0</v>
      </c>
      <c r="I268" s="27" t="n">
        <v>0</v>
      </c>
      <c r="J268" s="27" t="n">
        <v>0</v>
      </c>
      <c r="K268" s="27" t="n">
        <v>0</v>
      </c>
      <c r="L268" s="27" t="n">
        <v>0</v>
      </c>
      <c r="M268" s="27" t="n">
        <v>0</v>
      </c>
      <c r="N268" s="27" t="n">
        <v>0</v>
      </c>
      <c r="O268" s="27" t="n">
        <v>0</v>
      </c>
      <c r="P268" s="27" t="n">
        <v>0</v>
      </c>
      <c r="Q268" s="33" t="inlineStr"/>
    </row>
    <row r="269" ht="30" customHeight="1">
      <c r="A269" s="26" t="n">
        <v>2052</v>
      </c>
      <c r="B269" s="12" t="inlineStr">
        <is>
          <t>Husband_IRA</t>
        </is>
      </c>
      <c r="C269" s="12" t="inlineStr">
        <is>
          <t>Matthew</t>
        </is>
      </c>
      <c r="D269" s="41" t="inlineStr">
        <is>
          <t>pre_tax</t>
        </is>
      </c>
      <c r="E269" s="12" t="inlineStr">
        <is>
          <t>traditional_ira</t>
        </is>
      </c>
      <c r="F269" s="27" t="n">
        <v>0</v>
      </c>
      <c r="G269" s="27" t="n">
        <v>0</v>
      </c>
      <c r="H269" s="27" t="n">
        <v>0</v>
      </c>
      <c r="I269" s="27" t="n">
        <v>0</v>
      </c>
      <c r="J269" s="27" t="n">
        <v>0</v>
      </c>
      <c r="K269" s="27" t="n">
        <v>0</v>
      </c>
      <c r="L269" s="27" t="n">
        <v>0</v>
      </c>
      <c r="M269" s="27" t="n">
        <v>0</v>
      </c>
      <c r="N269" s="27" t="n">
        <v>0</v>
      </c>
      <c r="O269" s="27" t="n">
        <v>0</v>
      </c>
      <c r="P269" s="27" t="n">
        <v>0</v>
      </c>
      <c r="Q269" s="33" t="inlineStr"/>
    </row>
    <row r="270" ht="30" customHeight="1">
      <c r="A270" s="26" t="n">
        <v>2052</v>
      </c>
      <c r="B270" s="12" t="inlineStr">
        <is>
          <t>Husband_Roth</t>
        </is>
      </c>
      <c r="C270" s="12" t="inlineStr">
        <is>
          <t>Matthew</t>
        </is>
      </c>
      <c r="D270" s="41" t="inlineStr">
        <is>
          <t>roth</t>
        </is>
      </c>
      <c r="E270" s="12" t="inlineStr">
        <is>
          <t>roth_ira</t>
        </is>
      </c>
      <c r="F270" s="27" t="n">
        <v>636032.6076637194</v>
      </c>
      <c r="G270" s="27" t="n">
        <v>0</v>
      </c>
      <c r="H270" s="27" t="n">
        <v>0</v>
      </c>
      <c r="I270" s="27" t="n">
        <v>0</v>
      </c>
      <c r="J270" s="27" t="n">
        <v>0</v>
      </c>
      <c r="K270" s="27" t="n">
        <v>0</v>
      </c>
      <c r="L270" s="27" t="n">
        <v>61166.64977518292</v>
      </c>
      <c r="M270" s="27" t="n">
        <v>34491.95747331219</v>
      </c>
      <c r="N270" s="27" t="n">
        <v>609357.9153618487</v>
      </c>
      <c r="O270" s="27" t="n">
        <v>609357.9153618487</v>
      </c>
      <c r="P270" s="27" t="n">
        <v>0</v>
      </c>
      <c r="Q270" s="12" t="inlineStr">
        <is>
          <t>withdrawal</t>
        </is>
      </c>
    </row>
    <row r="271" ht="30" customHeight="1">
      <c r="A271" s="26" t="n">
        <v>2052</v>
      </c>
      <c r="B271" s="12" t="inlineStr">
        <is>
          <t>Husband_Trust</t>
        </is>
      </c>
      <c r="C271" s="12" t="inlineStr">
        <is>
          <t>Matthew</t>
        </is>
      </c>
      <c r="D271" s="41" t="inlineStr">
        <is>
          <t>taxable</t>
        </is>
      </c>
      <c r="E271" s="12" t="inlineStr">
        <is>
          <t>trust</t>
        </is>
      </c>
      <c r="F271" s="27" t="n">
        <v>0</v>
      </c>
      <c r="G271" s="27" t="n">
        <v>0</v>
      </c>
      <c r="H271" s="27" t="n">
        <v>0</v>
      </c>
      <c r="I271" s="27" t="n">
        <v>0</v>
      </c>
      <c r="J271" s="27" t="n">
        <v>0</v>
      </c>
      <c r="K271" s="27" t="n">
        <v>0</v>
      </c>
      <c r="L271" s="27" t="n">
        <v>0</v>
      </c>
      <c r="M271" s="27" t="n">
        <v>0</v>
      </c>
      <c r="N271" s="27" t="n">
        <v>0</v>
      </c>
      <c r="O271" s="27" t="n">
        <v>0</v>
      </c>
      <c r="P271" s="27" t="n">
        <v>0</v>
      </c>
      <c r="Q271" s="33" t="inlineStr"/>
    </row>
    <row r="272" ht="30" customHeight="1">
      <c r="A272" s="26" t="n">
        <v>2052</v>
      </c>
      <c r="B272" s="12" t="inlineStr">
        <is>
          <t>Wife_IRA</t>
        </is>
      </c>
      <c r="C272" s="12" t="inlineStr">
        <is>
          <t>Patricia</t>
        </is>
      </c>
      <c r="D272" s="41" t="inlineStr">
        <is>
          <t>pre_tax</t>
        </is>
      </c>
      <c r="E272" s="12" t="inlineStr">
        <is>
          <t>traditional_ira</t>
        </is>
      </c>
      <c r="F272" s="27" t="n">
        <v>0</v>
      </c>
      <c r="G272" s="27" t="n">
        <v>0</v>
      </c>
      <c r="H272" s="27" t="n">
        <v>0</v>
      </c>
      <c r="I272" s="27" t="n">
        <v>0</v>
      </c>
      <c r="J272" s="27" t="n">
        <v>0</v>
      </c>
      <c r="K272" s="27" t="n">
        <v>0</v>
      </c>
      <c r="L272" s="27" t="n">
        <v>0</v>
      </c>
      <c r="M272" s="27" t="n">
        <v>0</v>
      </c>
      <c r="N272" s="27" t="n">
        <v>0</v>
      </c>
      <c r="O272" s="27" t="n">
        <v>0</v>
      </c>
      <c r="P272" s="27" t="n">
        <v>0</v>
      </c>
      <c r="Q272" s="33" t="inlineStr"/>
    </row>
    <row r="273" ht="30" customHeight="1">
      <c r="A273" s="26" t="n">
        <v>2052</v>
      </c>
      <c r="B273" s="12" t="inlineStr">
        <is>
          <t>Wife_Roth</t>
        </is>
      </c>
      <c r="C273" s="12" t="inlineStr">
        <is>
          <t>Patricia</t>
        </is>
      </c>
      <c r="D273" s="41" t="inlineStr">
        <is>
          <t>roth</t>
        </is>
      </c>
      <c r="E273" s="12" t="inlineStr">
        <is>
          <t>roth_ira</t>
        </is>
      </c>
      <c r="F273" s="27" t="n">
        <v>1276253.614209175</v>
      </c>
      <c r="G273" s="27" t="n">
        <v>0</v>
      </c>
      <c r="H273" s="27" t="n">
        <v>0</v>
      </c>
      <c r="I273" s="27" t="n">
        <v>0</v>
      </c>
      <c r="J273" s="27" t="n">
        <v>0</v>
      </c>
      <c r="K273" s="27" t="n">
        <v>0</v>
      </c>
      <c r="L273" s="27" t="n">
        <v>122736.0938795103</v>
      </c>
      <c r="M273" s="27" t="n">
        <v>69211.05121977987</v>
      </c>
      <c r="N273" s="27" t="n">
        <v>1222728.571549444</v>
      </c>
      <c r="O273" s="27" t="n">
        <v>1222728.571549444</v>
      </c>
      <c r="P273" s="27" t="n">
        <v>0</v>
      </c>
      <c r="Q273" s="12" t="inlineStr">
        <is>
          <t>withdrawal</t>
        </is>
      </c>
    </row>
    <row r="274" ht="30" customHeight="1">
      <c r="A274" s="26" t="n">
        <v>2052</v>
      </c>
      <c r="B274" s="12" t="inlineStr">
        <is>
          <t>Wife_Trust</t>
        </is>
      </c>
      <c r="C274" s="12" t="inlineStr">
        <is>
          <t>Patricia</t>
        </is>
      </c>
      <c r="D274" s="41" t="inlineStr">
        <is>
          <t>taxable</t>
        </is>
      </c>
      <c r="E274" s="12" t="inlineStr">
        <is>
          <t>trust</t>
        </is>
      </c>
      <c r="F274" s="27" t="n">
        <v>0</v>
      </c>
      <c r="G274" s="27" t="n">
        <v>0</v>
      </c>
      <c r="H274" s="27" t="n">
        <v>0</v>
      </c>
      <c r="I274" s="27" t="n">
        <v>0</v>
      </c>
      <c r="J274" s="27" t="n">
        <v>0</v>
      </c>
      <c r="K274" s="27" t="n">
        <v>0</v>
      </c>
      <c r="L274" s="27" t="n">
        <v>0</v>
      </c>
      <c r="M274" s="27" t="n">
        <v>0</v>
      </c>
      <c r="N274" s="27" t="n">
        <v>0</v>
      </c>
      <c r="O274" s="27" t="n">
        <v>0</v>
      </c>
      <c r="P274" s="27" t="n">
        <v>0</v>
      </c>
      <c r="Q274" s="33" t="inlineStr"/>
    </row>
    <row r="275" ht="45" customHeight="1">
      <c r="A275" s="26" t="n">
        <v>2053</v>
      </c>
      <c r="B275" s="12" t="inlineStr">
        <is>
          <t>Business_Checking</t>
        </is>
      </c>
      <c r="C275" s="12" t="inlineStr">
        <is>
          <t>Matthew</t>
        </is>
      </c>
      <c r="D275" s="41" t="inlineStr">
        <is>
          <t>cash</t>
        </is>
      </c>
      <c r="E275" s="12" t="inlineStr">
        <is>
          <t>checking</t>
        </is>
      </c>
      <c r="F275" s="27" t="n">
        <v>5000</v>
      </c>
      <c r="G275" s="27" t="n">
        <v>0</v>
      </c>
      <c r="H275" s="27" t="n">
        <v>0</v>
      </c>
      <c r="I275" s="27" t="n">
        <v>0</v>
      </c>
      <c r="J275" s="27" t="n">
        <v>0</v>
      </c>
      <c r="K275" s="27" t="n">
        <v>0</v>
      </c>
      <c r="L275" s="27" t="n">
        <v>0</v>
      </c>
      <c r="M275" s="27" t="n">
        <v>0</v>
      </c>
      <c r="N275" s="27" t="n">
        <v>5000</v>
      </c>
      <c r="O275" s="27" t="n">
        <v>5000</v>
      </c>
      <c r="P275" s="27" t="n">
        <v>0</v>
      </c>
      <c r="Q275" s="33" t="inlineStr"/>
    </row>
    <row r="276" ht="30" customHeight="1">
      <c r="A276" s="26" t="n">
        <v>2053</v>
      </c>
      <c r="B276" s="12" t="inlineStr">
        <is>
          <t>Family_Checking</t>
        </is>
      </c>
      <c r="C276" s="12" t="inlineStr">
        <is>
          <t>Matthew</t>
        </is>
      </c>
      <c r="D276" s="41" t="inlineStr">
        <is>
          <t>cash</t>
        </is>
      </c>
      <c r="E276" s="12" t="inlineStr">
        <is>
          <t>checking</t>
        </is>
      </c>
      <c r="F276" s="27" t="n">
        <v>15000</v>
      </c>
      <c r="G276" s="27" t="n">
        <v>0</v>
      </c>
      <c r="H276" s="27" t="n">
        <v>0</v>
      </c>
      <c r="I276" s="27" t="n">
        <v>0</v>
      </c>
      <c r="J276" s="27" t="n">
        <v>0</v>
      </c>
      <c r="K276" s="27" t="n">
        <v>0</v>
      </c>
      <c r="L276" s="27" t="n">
        <v>0</v>
      </c>
      <c r="M276" s="27" t="n">
        <v>0</v>
      </c>
      <c r="N276" s="27" t="n">
        <v>15000</v>
      </c>
      <c r="O276" s="27" t="n">
        <v>15000</v>
      </c>
      <c r="P276" s="27" t="n">
        <v>0</v>
      </c>
      <c r="Q276" s="33" t="inlineStr"/>
    </row>
    <row r="277" ht="30" customHeight="1">
      <c r="A277" s="26" t="n">
        <v>2053</v>
      </c>
      <c r="B277" s="12" t="inlineStr">
        <is>
          <t>Husband_HSA</t>
        </is>
      </c>
      <c r="C277" s="12" t="inlineStr">
        <is>
          <t>Matthew</t>
        </is>
      </c>
      <c r="D277" s="41" t="inlineStr">
        <is>
          <t>hsa</t>
        </is>
      </c>
      <c r="E277" s="12" t="inlineStr">
        <is>
          <t>hsa</t>
        </is>
      </c>
      <c r="F277" s="27" t="n">
        <v>0</v>
      </c>
      <c r="G277" s="27" t="n">
        <v>0</v>
      </c>
      <c r="H277" s="27" t="n">
        <v>0</v>
      </c>
      <c r="I277" s="27" t="n">
        <v>0</v>
      </c>
      <c r="J277" s="27" t="n">
        <v>0</v>
      </c>
      <c r="K277" s="27" t="n">
        <v>0</v>
      </c>
      <c r="L277" s="27" t="n">
        <v>0</v>
      </c>
      <c r="M277" s="27" t="n">
        <v>0</v>
      </c>
      <c r="N277" s="27" t="n">
        <v>0</v>
      </c>
      <c r="O277" s="27" t="n">
        <v>0</v>
      </c>
      <c r="P277" s="27" t="n">
        <v>0</v>
      </c>
      <c r="Q277" s="33" t="inlineStr"/>
    </row>
    <row r="278" ht="30" customHeight="1">
      <c r="A278" s="26" t="n">
        <v>2053</v>
      </c>
      <c r="B278" s="12" t="inlineStr">
        <is>
          <t>Husband_401k</t>
        </is>
      </c>
      <c r="C278" s="12" t="inlineStr">
        <is>
          <t>Matthew</t>
        </is>
      </c>
      <c r="D278" s="41" t="inlineStr">
        <is>
          <t>pre_tax</t>
        </is>
      </c>
      <c r="E278" s="12" t="inlineStr">
        <is>
          <t>401k</t>
        </is>
      </c>
      <c r="F278" s="27" t="n">
        <v>0</v>
      </c>
      <c r="G278" s="27" t="n">
        <v>0</v>
      </c>
      <c r="H278" s="27" t="n">
        <v>0</v>
      </c>
      <c r="I278" s="27" t="n">
        <v>0</v>
      </c>
      <c r="J278" s="27" t="n">
        <v>0</v>
      </c>
      <c r="K278" s="27" t="n">
        <v>0</v>
      </c>
      <c r="L278" s="27" t="n">
        <v>0</v>
      </c>
      <c r="M278" s="27" t="n">
        <v>0</v>
      </c>
      <c r="N278" s="27" t="n">
        <v>0</v>
      </c>
      <c r="O278" s="27" t="n">
        <v>0</v>
      </c>
      <c r="P278" s="27" t="n">
        <v>0</v>
      </c>
      <c r="Q278" s="33" t="inlineStr"/>
    </row>
    <row r="279" ht="30" customHeight="1">
      <c r="A279" s="26" t="n">
        <v>2053</v>
      </c>
      <c r="B279" s="12" t="inlineStr">
        <is>
          <t>Husband_IRA</t>
        </is>
      </c>
      <c r="C279" s="12" t="inlineStr">
        <is>
          <t>Matthew</t>
        </is>
      </c>
      <c r="D279" s="41" t="inlineStr">
        <is>
          <t>pre_tax</t>
        </is>
      </c>
      <c r="E279" s="12" t="inlineStr">
        <is>
          <t>traditional_ira</t>
        </is>
      </c>
      <c r="F279" s="27" t="n">
        <v>0</v>
      </c>
      <c r="G279" s="27" t="n">
        <v>0</v>
      </c>
      <c r="H279" s="27" t="n">
        <v>0</v>
      </c>
      <c r="I279" s="27" t="n">
        <v>0</v>
      </c>
      <c r="J279" s="27" t="n">
        <v>0</v>
      </c>
      <c r="K279" s="27" t="n">
        <v>0</v>
      </c>
      <c r="L279" s="27" t="n">
        <v>0</v>
      </c>
      <c r="M279" s="27" t="n">
        <v>0</v>
      </c>
      <c r="N279" s="27" t="n">
        <v>0</v>
      </c>
      <c r="O279" s="27" t="n">
        <v>0</v>
      </c>
      <c r="P279" s="27" t="n">
        <v>0</v>
      </c>
      <c r="Q279" s="33" t="inlineStr"/>
    </row>
    <row r="280" ht="30" customHeight="1">
      <c r="A280" s="26" t="n">
        <v>2053</v>
      </c>
      <c r="B280" s="12" t="inlineStr">
        <is>
          <t>Husband_Roth</t>
        </is>
      </c>
      <c r="C280" s="12" t="inlineStr">
        <is>
          <t>Matthew</t>
        </is>
      </c>
      <c r="D280" s="41" t="inlineStr">
        <is>
          <t>roth</t>
        </is>
      </c>
      <c r="E280" s="12" t="inlineStr">
        <is>
          <t>roth_ira</t>
        </is>
      </c>
      <c r="F280" s="27" t="n">
        <v>609357.9153618487</v>
      </c>
      <c r="G280" s="27" t="n">
        <v>0</v>
      </c>
      <c r="H280" s="27" t="n">
        <v>0</v>
      </c>
      <c r="I280" s="27" t="n">
        <v>0</v>
      </c>
      <c r="J280" s="27" t="n">
        <v>0</v>
      </c>
      <c r="K280" s="27" t="n">
        <v>0</v>
      </c>
      <c r="L280" s="27" t="n">
        <v>62517.32327355223</v>
      </c>
      <c r="M280" s="27" t="n">
        <v>32810.43552529778</v>
      </c>
      <c r="N280" s="27" t="n">
        <v>579651.0276135942</v>
      </c>
      <c r="O280" s="27" t="n">
        <v>579651.0276135942</v>
      </c>
      <c r="P280" s="27" t="n">
        <v>0</v>
      </c>
      <c r="Q280" s="12" t="inlineStr">
        <is>
          <t>withdrawal</t>
        </is>
      </c>
    </row>
    <row r="281" ht="30" customHeight="1">
      <c r="A281" s="26" t="n">
        <v>2053</v>
      </c>
      <c r="B281" s="12" t="inlineStr">
        <is>
          <t>Husband_Trust</t>
        </is>
      </c>
      <c r="C281" s="12" t="inlineStr">
        <is>
          <t>Matthew</t>
        </is>
      </c>
      <c r="D281" s="41" t="inlineStr">
        <is>
          <t>taxable</t>
        </is>
      </c>
      <c r="E281" s="12" t="inlineStr">
        <is>
          <t>trust</t>
        </is>
      </c>
      <c r="F281" s="27" t="n">
        <v>0</v>
      </c>
      <c r="G281" s="27" t="n">
        <v>0</v>
      </c>
      <c r="H281" s="27" t="n">
        <v>0</v>
      </c>
      <c r="I281" s="27" t="n">
        <v>0</v>
      </c>
      <c r="J281" s="27" t="n">
        <v>0</v>
      </c>
      <c r="K281" s="27" t="n">
        <v>0</v>
      </c>
      <c r="L281" s="27" t="n">
        <v>0</v>
      </c>
      <c r="M281" s="27" t="n">
        <v>0</v>
      </c>
      <c r="N281" s="27" t="n">
        <v>0</v>
      </c>
      <c r="O281" s="27" t="n">
        <v>0</v>
      </c>
      <c r="P281" s="27" t="n">
        <v>0</v>
      </c>
      <c r="Q281" s="33" t="inlineStr"/>
    </row>
    <row r="282" ht="30" customHeight="1">
      <c r="A282" s="26" t="n">
        <v>2053</v>
      </c>
      <c r="B282" s="12" t="inlineStr">
        <is>
          <t>Wife_IRA</t>
        </is>
      </c>
      <c r="C282" s="12" t="inlineStr">
        <is>
          <t>Patricia</t>
        </is>
      </c>
      <c r="D282" s="41" t="inlineStr">
        <is>
          <t>pre_tax</t>
        </is>
      </c>
      <c r="E282" s="12" t="inlineStr">
        <is>
          <t>traditional_ira</t>
        </is>
      </c>
      <c r="F282" s="27" t="n">
        <v>0</v>
      </c>
      <c r="G282" s="27" t="n">
        <v>0</v>
      </c>
      <c r="H282" s="27" t="n">
        <v>0</v>
      </c>
      <c r="I282" s="27" t="n">
        <v>0</v>
      </c>
      <c r="J282" s="27" t="n">
        <v>0</v>
      </c>
      <c r="K282" s="27" t="n">
        <v>0</v>
      </c>
      <c r="L282" s="27" t="n">
        <v>0</v>
      </c>
      <c r="M282" s="27" t="n">
        <v>0</v>
      </c>
      <c r="N282" s="27" t="n">
        <v>0</v>
      </c>
      <c r="O282" s="27" t="n">
        <v>0</v>
      </c>
      <c r="P282" s="27" t="n">
        <v>0</v>
      </c>
      <c r="Q282" s="33" t="inlineStr"/>
    </row>
    <row r="283" ht="30" customHeight="1">
      <c r="A283" s="26" t="n">
        <v>2053</v>
      </c>
      <c r="B283" s="12" t="inlineStr">
        <is>
          <t>Wife_Roth</t>
        </is>
      </c>
      <c r="C283" s="12" t="inlineStr">
        <is>
          <t>Patricia</t>
        </is>
      </c>
      <c r="D283" s="41" t="inlineStr">
        <is>
          <t>roth</t>
        </is>
      </c>
      <c r="E283" s="12" t="inlineStr">
        <is>
          <t>roth_ira</t>
        </is>
      </c>
      <c r="F283" s="27" t="n">
        <v>1222728.571549444</v>
      </c>
      <c r="G283" s="27" t="n">
        <v>0</v>
      </c>
      <c r="H283" s="27" t="n">
        <v>0</v>
      </c>
      <c r="I283" s="27" t="n">
        <v>0</v>
      </c>
      <c r="J283" s="27" t="n">
        <v>0</v>
      </c>
      <c r="K283" s="27" t="n">
        <v>0</v>
      </c>
      <c r="L283" s="27" t="n">
        <v>125446.3353249014</v>
      </c>
      <c r="M283" s="27" t="n">
        <v>65836.93417347257</v>
      </c>
      <c r="N283" s="27" t="n">
        <v>1163119.170398016</v>
      </c>
      <c r="O283" s="27" t="n">
        <v>1163119.170398016</v>
      </c>
      <c r="P283" s="27" t="n">
        <v>0</v>
      </c>
      <c r="Q283" s="12" t="inlineStr">
        <is>
          <t>withdrawal</t>
        </is>
      </c>
    </row>
    <row r="284" ht="30" customHeight="1">
      <c r="A284" s="26" t="n">
        <v>2053</v>
      </c>
      <c r="B284" s="12" t="inlineStr">
        <is>
          <t>Wife_Trust</t>
        </is>
      </c>
      <c r="C284" s="12" t="inlineStr">
        <is>
          <t>Patricia</t>
        </is>
      </c>
      <c r="D284" s="41" t="inlineStr">
        <is>
          <t>taxable</t>
        </is>
      </c>
      <c r="E284" s="12" t="inlineStr">
        <is>
          <t>trust</t>
        </is>
      </c>
      <c r="F284" s="27" t="n">
        <v>0</v>
      </c>
      <c r="G284" s="27" t="n">
        <v>0</v>
      </c>
      <c r="H284" s="27" t="n">
        <v>0</v>
      </c>
      <c r="I284" s="27" t="n">
        <v>0</v>
      </c>
      <c r="J284" s="27" t="n">
        <v>0</v>
      </c>
      <c r="K284" s="27" t="n">
        <v>0</v>
      </c>
      <c r="L284" s="27" t="n">
        <v>0</v>
      </c>
      <c r="M284" s="27" t="n">
        <v>0</v>
      </c>
      <c r="N284" s="27" t="n">
        <v>0</v>
      </c>
      <c r="O284" s="27" t="n">
        <v>0</v>
      </c>
      <c r="P284" s="27" t="n">
        <v>0</v>
      </c>
      <c r="Q284" s="33" t="inlineStr"/>
    </row>
    <row r="285" ht="45" customHeight="1">
      <c r="A285" s="26" t="n">
        <v>2054</v>
      </c>
      <c r="B285" s="12" t="inlineStr">
        <is>
          <t>Business_Checking</t>
        </is>
      </c>
      <c r="C285" s="12" t="inlineStr">
        <is>
          <t>Matthew</t>
        </is>
      </c>
      <c r="D285" s="41" t="inlineStr">
        <is>
          <t>cash</t>
        </is>
      </c>
      <c r="E285" s="12" t="inlineStr">
        <is>
          <t>checking</t>
        </is>
      </c>
      <c r="F285" s="27" t="n">
        <v>5000</v>
      </c>
      <c r="G285" s="27" t="n">
        <v>0</v>
      </c>
      <c r="H285" s="27" t="n">
        <v>0</v>
      </c>
      <c r="I285" s="27" t="n">
        <v>5000</v>
      </c>
      <c r="J285" s="27" t="n">
        <v>0</v>
      </c>
      <c r="K285" s="27" t="n">
        <v>0</v>
      </c>
      <c r="L285" s="27" t="n">
        <v>0</v>
      </c>
      <c r="M285" s="27" t="n">
        <v>0</v>
      </c>
      <c r="N285" s="27" t="n">
        <v>0</v>
      </c>
      <c r="O285" s="27" t="n">
        <v>0</v>
      </c>
      <c r="P285" s="27" t="n">
        <v>0</v>
      </c>
      <c r="Q285" s="12" t="inlineStr">
        <is>
          <t>transfer/rollover</t>
        </is>
      </c>
    </row>
    <row r="286" ht="45" customHeight="1">
      <c r="A286" s="26" t="n">
        <v>2054</v>
      </c>
      <c r="B286" s="12" t="inlineStr">
        <is>
          <t>Family_Checking</t>
        </is>
      </c>
      <c r="C286" s="12" t="inlineStr">
        <is>
          <t>Matthew</t>
        </is>
      </c>
      <c r="D286" s="41" t="inlineStr">
        <is>
          <t>cash</t>
        </is>
      </c>
      <c r="E286" s="12" t="inlineStr">
        <is>
          <t>checking</t>
        </is>
      </c>
      <c r="F286" s="27" t="n">
        <v>15000</v>
      </c>
      <c r="G286" s="27" t="n">
        <v>0</v>
      </c>
      <c r="H286" s="27" t="n">
        <v>0</v>
      </c>
      <c r="I286" s="27" t="n">
        <v>15000</v>
      </c>
      <c r="J286" s="27" t="n">
        <v>0</v>
      </c>
      <c r="K286" s="27" t="n">
        <v>0</v>
      </c>
      <c r="L286" s="27" t="n">
        <v>0</v>
      </c>
      <c r="M286" s="27" t="n">
        <v>0</v>
      </c>
      <c r="N286" s="27" t="n">
        <v>0</v>
      </c>
      <c r="O286" s="27" t="n">
        <v>0</v>
      </c>
      <c r="P286" s="27" t="n">
        <v>0</v>
      </c>
      <c r="Q286" s="12" t="inlineStr">
        <is>
          <t>transfer/rollover</t>
        </is>
      </c>
    </row>
    <row r="287" ht="30" customHeight="1">
      <c r="A287" s="26" t="n">
        <v>2054</v>
      </c>
      <c r="B287" s="12" t="inlineStr">
        <is>
          <t>Husband_HSA</t>
        </is>
      </c>
      <c r="C287" s="12" t="inlineStr">
        <is>
          <t>Matthew</t>
        </is>
      </c>
      <c r="D287" s="41" t="inlineStr">
        <is>
          <t>hsa</t>
        </is>
      </c>
      <c r="E287" s="12" t="inlineStr">
        <is>
          <t>hsa</t>
        </is>
      </c>
      <c r="F287" s="27" t="n">
        <v>0</v>
      </c>
      <c r="G287" s="27" t="n">
        <v>0</v>
      </c>
      <c r="H287" s="27" t="n">
        <v>0</v>
      </c>
      <c r="I287" s="27" t="n">
        <v>0</v>
      </c>
      <c r="J287" s="27" t="n">
        <v>0</v>
      </c>
      <c r="K287" s="27" t="n">
        <v>0</v>
      </c>
      <c r="L287" s="27" t="n">
        <v>0</v>
      </c>
      <c r="M287" s="27" t="n">
        <v>0</v>
      </c>
      <c r="N287" s="27" t="n">
        <v>0</v>
      </c>
      <c r="O287" s="27" t="n">
        <v>0</v>
      </c>
      <c r="P287" s="27" t="n">
        <v>0</v>
      </c>
      <c r="Q287" s="33" t="inlineStr"/>
    </row>
    <row r="288" ht="30" customHeight="1">
      <c r="A288" s="26" t="n">
        <v>2054</v>
      </c>
      <c r="B288" s="12" t="inlineStr">
        <is>
          <t>Husband_401k</t>
        </is>
      </c>
      <c r="C288" s="12" t="inlineStr">
        <is>
          <t>Matthew</t>
        </is>
      </c>
      <c r="D288" s="41" t="inlineStr">
        <is>
          <t>pre_tax</t>
        </is>
      </c>
      <c r="E288" s="12" t="inlineStr">
        <is>
          <t>401k</t>
        </is>
      </c>
      <c r="F288" s="27" t="n">
        <v>0</v>
      </c>
      <c r="G288" s="27" t="n">
        <v>0</v>
      </c>
      <c r="H288" s="27" t="n">
        <v>0</v>
      </c>
      <c r="I288" s="27" t="n">
        <v>0</v>
      </c>
      <c r="J288" s="27" t="n">
        <v>0</v>
      </c>
      <c r="K288" s="27" t="n">
        <v>0</v>
      </c>
      <c r="L288" s="27" t="n">
        <v>0</v>
      </c>
      <c r="M288" s="27" t="n">
        <v>0</v>
      </c>
      <c r="N288" s="27" t="n">
        <v>0</v>
      </c>
      <c r="O288" s="27" t="n">
        <v>0</v>
      </c>
      <c r="P288" s="27" t="n">
        <v>0</v>
      </c>
      <c r="Q288" s="33" t="inlineStr"/>
    </row>
    <row r="289" ht="30" customHeight="1">
      <c r="A289" s="26" t="n">
        <v>2054</v>
      </c>
      <c r="B289" s="12" t="inlineStr">
        <is>
          <t>Husband_IRA</t>
        </is>
      </c>
      <c r="C289" s="12" t="inlineStr">
        <is>
          <t>Matthew</t>
        </is>
      </c>
      <c r="D289" s="41" t="inlineStr">
        <is>
          <t>pre_tax</t>
        </is>
      </c>
      <c r="E289" s="12" t="inlineStr">
        <is>
          <t>traditional_ira</t>
        </is>
      </c>
      <c r="F289" s="27" t="n">
        <v>0</v>
      </c>
      <c r="G289" s="27" t="n">
        <v>0</v>
      </c>
      <c r="H289" s="27" t="n">
        <v>0</v>
      </c>
      <c r="I289" s="27" t="n">
        <v>0</v>
      </c>
      <c r="J289" s="27" t="n">
        <v>0</v>
      </c>
      <c r="K289" s="27" t="n">
        <v>0</v>
      </c>
      <c r="L289" s="27" t="n">
        <v>0</v>
      </c>
      <c r="M289" s="27" t="n">
        <v>0</v>
      </c>
      <c r="N289" s="27" t="n">
        <v>0</v>
      </c>
      <c r="O289" s="27" t="n">
        <v>0</v>
      </c>
      <c r="P289" s="27" t="n">
        <v>0</v>
      </c>
      <c r="Q289" s="33" t="inlineStr"/>
    </row>
    <row r="290" ht="45" customHeight="1">
      <c r="A290" s="26" t="n">
        <v>2054</v>
      </c>
      <c r="B290" s="12" t="inlineStr">
        <is>
          <t>Husband_Roth</t>
        </is>
      </c>
      <c r="C290" s="12" t="inlineStr">
        <is>
          <t>Matthew</t>
        </is>
      </c>
      <c r="D290" s="41" t="inlineStr">
        <is>
          <t>roth</t>
        </is>
      </c>
      <c r="E290" s="12" t="inlineStr">
        <is>
          <t>roth_ira</t>
        </is>
      </c>
      <c r="F290" s="27" t="n">
        <v>579651.0276135942</v>
      </c>
      <c r="G290" s="27" t="n">
        <v>0</v>
      </c>
      <c r="H290" s="27" t="n">
        <v>0</v>
      </c>
      <c r="I290" s="27" t="n">
        <v>579651.0276135942</v>
      </c>
      <c r="J290" s="27" t="n">
        <v>0</v>
      </c>
      <c r="K290" s="27" t="n">
        <v>0</v>
      </c>
      <c r="L290" s="27" t="n">
        <v>0</v>
      </c>
      <c r="M290" s="27" t="n">
        <v>0</v>
      </c>
      <c r="N290" s="27" t="n">
        <v>0</v>
      </c>
      <c r="O290" s="27" t="n">
        <v>0</v>
      </c>
      <c r="P290" s="27" t="n">
        <v>0</v>
      </c>
      <c r="Q290" s="12" t="inlineStr">
        <is>
          <t>transfer/rollover</t>
        </is>
      </c>
    </row>
    <row r="291" ht="30" customHeight="1">
      <c r="A291" s="26" t="n">
        <v>2054</v>
      </c>
      <c r="B291" s="12" t="inlineStr">
        <is>
          <t>Husband_Trust</t>
        </is>
      </c>
      <c r="C291" s="12" t="inlineStr">
        <is>
          <t>Matthew</t>
        </is>
      </c>
      <c r="D291" s="41" t="inlineStr">
        <is>
          <t>taxable</t>
        </is>
      </c>
      <c r="E291" s="12" t="inlineStr">
        <is>
          <t>trust</t>
        </is>
      </c>
      <c r="F291" s="27" t="n">
        <v>0</v>
      </c>
      <c r="G291" s="27" t="n">
        <v>0</v>
      </c>
      <c r="H291" s="27" t="n">
        <v>0</v>
      </c>
      <c r="I291" s="27" t="n">
        <v>0</v>
      </c>
      <c r="J291" s="27" t="n">
        <v>0</v>
      </c>
      <c r="K291" s="27" t="n">
        <v>0</v>
      </c>
      <c r="L291" s="27" t="n">
        <v>0</v>
      </c>
      <c r="M291" s="27" t="n">
        <v>0</v>
      </c>
      <c r="N291" s="27" t="n">
        <v>0</v>
      </c>
      <c r="O291" s="27" t="n">
        <v>0</v>
      </c>
      <c r="P291" s="27" t="n">
        <v>0</v>
      </c>
      <c r="Q291" s="33" t="inlineStr"/>
    </row>
    <row r="292" ht="30" customHeight="1">
      <c r="A292" s="26" t="n">
        <v>2054</v>
      </c>
      <c r="B292" s="12" t="inlineStr">
        <is>
          <t>Wife_IRA</t>
        </is>
      </c>
      <c r="C292" s="12" t="inlineStr">
        <is>
          <t>Patricia</t>
        </is>
      </c>
      <c r="D292" s="41" t="inlineStr">
        <is>
          <t>pre_tax</t>
        </is>
      </c>
      <c r="E292" s="12" t="inlineStr">
        <is>
          <t>traditional_ira</t>
        </is>
      </c>
      <c r="F292" s="27" t="n">
        <v>0</v>
      </c>
      <c r="G292" s="27" t="n">
        <v>0</v>
      </c>
      <c r="H292" s="27" t="n">
        <v>0</v>
      </c>
      <c r="I292" s="27" t="n">
        <v>0</v>
      </c>
      <c r="J292" s="27" t="n">
        <v>0</v>
      </c>
      <c r="K292" s="27" t="n">
        <v>0</v>
      </c>
      <c r="L292" s="27" t="n">
        <v>0</v>
      </c>
      <c r="M292" s="27" t="n">
        <v>0</v>
      </c>
      <c r="N292" s="27" t="n">
        <v>0</v>
      </c>
      <c r="O292" s="27" t="n">
        <v>0</v>
      </c>
      <c r="P292" s="27" t="n">
        <v>0</v>
      </c>
      <c r="Q292" s="33" t="inlineStr"/>
    </row>
    <row r="293" ht="60" customHeight="1">
      <c r="A293" s="26" t="n">
        <v>2054</v>
      </c>
      <c r="B293" s="12" t="inlineStr">
        <is>
          <t>Wife_Roth</t>
        </is>
      </c>
      <c r="C293" s="12" t="inlineStr">
        <is>
          <t>Patricia</t>
        </is>
      </c>
      <c r="D293" s="41" t="inlineStr">
        <is>
          <t>roth</t>
        </is>
      </c>
      <c r="E293" s="12" t="inlineStr">
        <is>
          <t>roth_ira</t>
        </is>
      </c>
      <c r="F293" s="27" t="n">
        <v>1163119.170398016</v>
      </c>
      <c r="G293" s="27" t="n">
        <v>0</v>
      </c>
      <c r="H293" s="27" t="n">
        <v>579651.0276135942</v>
      </c>
      <c r="I293" s="27" t="n">
        <v>0</v>
      </c>
      <c r="J293" s="27" t="n">
        <v>0</v>
      </c>
      <c r="K293" s="27" t="n">
        <v>0</v>
      </c>
      <c r="L293" s="27" t="n">
        <v>192242.3676354435</v>
      </c>
      <c r="M293" s="27" t="n">
        <v>93031.66982256997</v>
      </c>
      <c r="N293" s="27" t="n">
        <v>1643559.500198736</v>
      </c>
      <c r="O293" s="27" t="n">
        <v>1643559.500198736</v>
      </c>
      <c r="P293" s="27" t="n">
        <v>0</v>
      </c>
      <c r="Q293" s="12" t="inlineStr">
        <is>
          <t>transfer/rollover; withdrawal</t>
        </is>
      </c>
    </row>
    <row r="294" ht="45" customHeight="1">
      <c r="A294" s="26" t="n">
        <v>2054</v>
      </c>
      <c r="B294" s="12" t="inlineStr">
        <is>
          <t>Wife_Trust</t>
        </is>
      </c>
      <c r="C294" s="12" t="inlineStr">
        <is>
          <t>Patricia</t>
        </is>
      </c>
      <c r="D294" s="41" t="inlineStr">
        <is>
          <t>taxable</t>
        </is>
      </c>
      <c r="E294" s="12" t="inlineStr">
        <is>
          <t>trust</t>
        </is>
      </c>
      <c r="F294" s="27" t="n">
        <v>0</v>
      </c>
      <c r="G294" s="27" t="n">
        <v>0</v>
      </c>
      <c r="H294" s="27" t="n">
        <v>20000</v>
      </c>
      <c r="I294" s="27" t="n">
        <v>20000</v>
      </c>
      <c r="J294" s="27" t="n">
        <v>0</v>
      </c>
      <c r="K294" s="27" t="n">
        <v>0</v>
      </c>
      <c r="L294" s="27" t="n">
        <v>0</v>
      </c>
      <c r="M294" s="27" t="n">
        <v>0</v>
      </c>
      <c r="N294" s="27" t="n">
        <v>0</v>
      </c>
      <c r="O294" s="27" t="n">
        <v>0</v>
      </c>
      <c r="P294" s="27" t="n">
        <v>0</v>
      </c>
      <c r="Q294" s="12" t="inlineStr">
        <is>
          <t>transfer/rollover</t>
        </is>
      </c>
    </row>
    <row r="295" ht="45" customHeight="1">
      <c r="A295" s="26" t="n">
        <v>2055</v>
      </c>
      <c r="B295" s="12" t="inlineStr">
        <is>
          <t>Business_Checking</t>
        </is>
      </c>
      <c r="C295" s="12" t="inlineStr">
        <is>
          <t>Matthew</t>
        </is>
      </c>
      <c r="D295" s="41" t="inlineStr">
        <is>
          <t>cash</t>
        </is>
      </c>
      <c r="E295" s="12" t="inlineStr">
        <is>
          <t>checking</t>
        </is>
      </c>
      <c r="F295" s="27" t="n">
        <v>0</v>
      </c>
      <c r="G295" s="27" t="n">
        <v>0</v>
      </c>
      <c r="H295" s="27" t="n">
        <v>0</v>
      </c>
      <c r="I295" s="27" t="n">
        <v>0</v>
      </c>
      <c r="J295" s="27" t="n">
        <v>0</v>
      </c>
      <c r="K295" s="27" t="n">
        <v>0</v>
      </c>
      <c r="L295" s="27" t="n">
        <v>0</v>
      </c>
      <c r="M295" s="27" t="n">
        <v>0</v>
      </c>
      <c r="N295" s="27" t="n">
        <v>0</v>
      </c>
      <c r="O295" s="27" t="n">
        <v>0</v>
      </c>
      <c r="P295" s="27" t="n">
        <v>0</v>
      </c>
      <c r="Q295" s="33" t="inlineStr"/>
    </row>
    <row r="296" ht="30" customHeight="1">
      <c r="A296" s="26" t="n">
        <v>2055</v>
      </c>
      <c r="B296" s="12" t="inlineStr">
        <is>
          <t>Family_Checking</t>
        </is>
      </c>
      <c r="C296" s="12" t="inlineStr">
        <is>
          <t>Matthew</t>
        </is>
      </c>
      <c r="D296" s="41" t="inlineStr">
        <is>
          <t>cash</t>
        </is>
      </c>
      <c r="E296" s="12" t="inlineStr">
        <is>
          <t>checking</t>
        </is>
      </c>
      <c r="F296" s="27" t="n">
        <v>0</v>
      </c>
      <c r="G296" s="27" t="n">
        <v>0</v>
      </c>
      <c r="H296" s="27" t="n">
        <v>0</v>
      </c>
      <c r="I296" s="27" t="n">
        <v>0</v>
      </c>
      <c r="J296" s="27" t="n">
        <v>0</v>
      </c>
      <c r="K296" s="27" t="n">
        <v>0</v>
      </c>
      <c r="L296" s="27" t="n">
        <v>0</v>
      </c>
      <c r="M296" s="27" t="n">
        <v>0</v>
      </c>
      <c r="N296" s="27" t="n">
        <v>0</v>
      </c>
      <c r="O296" s="27" t="n">
        <v>0</v>
      </c>
      <c r="P296" s="27" t="n">
        <v>0</v>
      </c>
      <c r="Q296" s="33" t="inlineStr"/>
    </row>
    <row r="297" ht="30" customHeight="1">
      <c r="A297" s="26" t="n">
        <v>2055</v>
      </c>
      <c r="B297" s="12" t="inlineStr">
        <is>
          <t>Husband_HSA</t>
        </is>
      </c>
      <c r="C297" s="12" t="inlineStr">
        <is>
          <t>Matthew</t>
        </is>
      </c>
      <c r="D297" s="41" t="inlineStr">
        <is>
          <t>hsa</t>
        </is>
      </c>
      <c r="E297" s="12" t="inlineStr">
        <is>
          <t>hsa</t>
        </is>
      </c>
      <c r="F297" s="27" t="n">
        <v>0</v>
      </c>
      <c r="G297" s="27" t="n">
        <v>0</v>
      </c>
      <c r="H297" s="27" t="n">
        <v>0</v>
      </c>
      <c r="I297" s="27" t="n">
        <v>0</v>
      </c>
      <c r="J297" s="27" t="n">
        <v>0</v>
      </c>
      <c r="K297" s="27" t="n">
        <v>0</v>
      </c>
      <c r="L297" s="27" t="n">
        <v>0</v>
      </c>
      <c r="M297" s="27" t="n">
        <v>0</v>
      </c>
      <c r="N297" s="27" t="n">
        <v>0</v>
      </c>
      <c r="O297" s="27" t="n">
        <v>0</v>
      </c>
      <c r="P297" s="27" t="n">
        <v>0</v>
      </c>
      <c r="Q297" s="33" t="inlineStr"/>
    </row>
    <row r="298" ht="30" customHeight="1">
      <c r="A298" s="26" t="n">
        <v>2055</v>
      </c>
      <c r="B298" s="12" t="inlineStr">
        <is>
          <t>Husband_401k</t>
        </is>
      </c>
      <c r="C298" s="12" t="inlineStr">
        <is>
          <t>Matthew</t>
        </is>
      </c>
      <c r="D298" s="41" t="inlineStr">
        <is>
          <t>pre_tax</t>
        </is>
      </c>
      <c r="E298" s="12" t="inlineStr">
        <is>
          <t>401k</t>
        </is>
      </c>
      <c r="F298" s="27" t="n">
        <v>0</v>
      </c>
      <c r="G298" s="27" t="n">
        <v>0</v>
      </c>
      <c r="H298" s="27" t="n">
        <v>0</v>
      </c>
      <c r="I298" s="27" t="n">
        <v>0</v>
      </c>
      <c r="J298" s="27" t="n">
        <v>0</v>
      </c>
      <c r="K298" s="27" t="n">
        <v>0</v>
      </c>
      <c r="L298" s="27" t="n">
        <v>0</v>
      </c>
      <c r="M298" s="27" t="n">
        <v>0</v>
      </c>
      <c r="N298" s="27" t="n">
        <v>0</v>
      </c>
      <c r="O298" s="27" t="n">
        <v>0</v>
      </c>
      <c r="P298" s="27" t="n">
        <v>0</v>
      </c>
      <c r="Q298" s="33" t="inlineStr"/>
    </row>
    <row r="299" ht="30" customHeight="1">
      <c r="A299" s="26" t="n">
        <v>2055</v>
      </c>
      <c r="B299" s="12" t="inlineStr">
        <is>
          <t>Husband_IRA</t>
        </is>
      </c>
      <c r="C299" s="12" t="inlineStr">
        <is>
          <t>Matthew</t>
        </is>
      </c>
      <c r="D299" s="41" t="inlineStr">
        <is>
          <t>pre_tax</t>
        </is>
      </c>
      <c r="E299" s="12" t="inlineStr">
        <is>
          <t>traditional_ira</t>
        </is>
      </c>
      <c r="F299" s="27" t="n">
        <v>0</v>
      </c>
      <c r="G299" s="27" t="n">
        <v>0</v>
      </c>
      <c r="H299" s="27" t="n">
        <v>0</v>
      </c>
      <c r="I299" s="27" t="n">
        <v>0</v>
      </c>
      <c r="J299" s="27" t="n">
        <v>0</v>
      </c>
      <c r="K299" s="27" t="n">
        <v>0</v>
      </c>
      <c r="L299" s="27" t="n">
        <v>0</v>
      </c>
      <c r="M299" s="27" t="n">
        <v>0</v>
      </c>
      <c r="N299" s="27" t="n">
        <v>0</v>
      </c>
      <c r="O299" s="27" t="n">
        <v>0</v>
      </c>
      <c r="P299" s="27" t="n">
        <v>0</v>
      </c>
      <c r="Q299" s="33" t="inlineStr"/>
    </row>
    <row r="300" ht="30" customHeight="1">
      <c r="A300" s="26" t="n">
        <v>2055</v>
      </c>
      <c r="B300" s="12" t="inlineStr">
        <is>
          <t>Husband_Roth</t>
        </is>
      </c>
      <c r="C300" s="12" t="inlineStr">
        <is>
          <t>Matthew</t>
        </is>
      </c>
      <c r="D300" s="41" t="inlineStr">
        <is>
          <t>roth</t>
        </is>
      </c>
      <c r="E300" s="12" t="inlineStr">
        <is>
          <t>roth_ira</t>
        </is>
      </c>
      <c r="F300" s="27" t="n">
        <v>0</v>
      </c>
      <c r="G300" s="27" t="n">
        <v>0</v>
      </c>
      <c r="H300" s="27" t="n">
        <v>0</v>
      </c>
      <c r="I300" s="27" t="n">
        <v>0</v>
      </c>
      <c r="J300" s="27" t="n">
        <v>0</v>
      </c>
      <c r="K300" s="27" t="n">
        <v>0</v>
      </c>
      <c r="L300" s="27" t="n">
        <v>0</v>
      </c>
      <c r="M300" s="27" t="n">
        <v>0</v>
      </c>
      <c r="N300" s="27" t="n">
        <v>0</v>
      </c>
      <c r="O300" s="27" t="n">
        <v>0</v>
      </c>
      <c r="P300" s="27" t="n">
        <v>0</v>
      </c>
      <c r="Q300" s="33" t="inlineStr"/>
    </row>
    <row r="301" ht="30" customHeight="1">
      <c r="A301" s="26" t="n">
        <v>2055</v>
      </c>
      <c r="B301" s="12" t="inlineStr">
        <is>
          <t>Husband_Trust</t>
        </is>
      </c>
      <c r="C301" s="12" t="inlineStr">
        <is>
          <t>Matthew</t>
        </is>
      </c>
      <c r="D301" s="41" t="inlineStr">
        <is>
          <t>taxable</t>
        </is>
      </c>
      <c r="E301" s="12" t="inlineStr">
        <is>
          <t>trust</t>
        </is>
      </c>
      <c r="F301" s="27" t="n">
        <v>0</v>
      </c>
      <c r="G301" s="27" t="n">
        <v>0</v>
      </c>
      <c r="H301" s="27" t="n">
        <v>0</v>
      </c>
      <c r="I301" s="27" t="n">
        <v>0</v>
      </c>
      <c r="J301" s="27" t="n">
        <v>0</v>
      </c>
      <c r="K301" s="27" t="n">
        <v>0</v>
      </c>
      <c r="L301" s="27" t="n">
        <v>0</v>
      </c>
      <c r="M301" s="27" t="n">
        <v>0</v>
      </c>
      <c r="N301" s="27" t="n">
        <v>0</v>
      </c>
      <c r="O301" s="27" t="n">
        <v>0</v>
      </c>
      <c r="P301" s="27" t="n">
        <v>0</v>
      </c>
      <c r="Q301" s="33" t="inlineStr"/>
    </row>
    <row r="302" ht="30" customHeight="1">
      <c r="A302" s="26" t="n">
        <v>2055</v>
      </c>
      <c r="B302" s="12" t="inlineStr">
        <is>
          <t>Wife_IRA</t>
        </is>
      </c>
      <c r="C302" s="12" t="inlineStr">
        <is>
          <t>Patricia</t>
        </is>
      </c>
      <c r="D302" s="41" t="inlineStr">
        <is>
          <t>pre_tax</t>
        </is>
      </c>
      <c r="E302" s="12" t="inlineStr">
        <is>
          <t>traditional_ira</t>
        </is>
      </c>
      <c r="F302" s="27" t="n">
        <v>0</v>
      </c>
      <c r="G302" s="27" t="n">
        <v>0</v>
      </c>
      <c r="H302" s="27" t="n">
        <v>0</v>
      </c>
      <c r="I302" s="27" t="n">
        <v>0</v>
      </c>
      <c r="J302" s="27" t="n">
        <v>0</v>
      </c>
      <c r="K302" s="27" t="n">
        <v>0</v>
      </c>
      <c r="L302" s="27" t="n">
        <v>0</v>
      </c>
      <c r="M302" s="27" t="n">
        <v>0</v>
      </c>
      <c r="N302" s="27" t="n">
        <v>0</v>
      </c>
      <c r="O302" s="27" t="n">
        <v>0</v>
      </c>
      <c r="P302" s="27" t="n">
        <v>0</v>
      </c>
      <c r="Q302" s="33" t="inlineStr"/>
    </row>
    <row r="303" ht="30" customHeight="1">
      <c r="A303" s="26" t="n">
        <v>2055</v>
      </c>
      <c r="B303" s="12" t="inlineStr">
        <is>
          <t>Wife_Roth</t>
        </is>
      </c>
      <c r="C303" s="12" t="inlineStr">
        <is>
          <t>Patricia</t>
        </is>
      </c>
      <c r="D303" s="41" t="inlineStr">
        <is>
          <t>roth</t>
        </is>
      </c>
      <c r="E303" s="12" t="inlineStr">
        <is>
          <t>roth_ira</t>
        </is>
      </c>
      <c r="F303" s="27" t="n">
        <v>1643559.500198736</v>
      </c>
      <c r="G303" s="27" t="n">
        <v>0</v>
      </c>
      <c r="H303" s="27" t="n">
        <v>0</v>
      </c>
      <c r="I303" s="27" t="n">
        <v>0</v>
      </c>
      <c r="J303" s="27" t="n">
        <v>0</v>
      </c>
      <c r="K303" s="27" t="n">
        <v>0</v>
      </c>
      <c r="L303" s="27" t="n">
        <v>195874.9318859959</v>
      </c>
      <c r="M303" s="27" t="n">
        <v>86861.07409876441</v>
      </c>
      <c r="N303" s="27" t="n">
        <v>1534545.642411505</v>
      </c>
      <c r="O303" s="27" t="n">
        <v>1534545.642411505</v>
      </c>
      <c r="P303" s="27" t="n">
        <v>0</v>
      </c>
      <c r="Q303" s="12" t="inlineStr">
        <is>
          <t>withdrawal</t>
        </is>
      </c>
    </row>
    <row r="304" ht="30" customHeight="1">
      <c r="A304" s="26" t="n">
        <v>2055</v>
      </c>
      <c r="B304" s="12" t="inlineStr">
        <is>
          <t>Wife_Trust</t>
        </is>
      </c>
      <c r="C304" s="12" t="inlineStr">
        <is>
          <t>Patricia</t>
        </is>
      </c>
      <c r="D304" s="41" t="inlineStr">
        <is>
          <t>taxable</t>
        </is>
      </c>
      <c r="E304" s="12" t="inlineStr">
        <is>
          <t>trust</t>
        </is>
      </c>
      <c r="F304" s="27" t="n">
        <v>0</v>
      </c>
      <c r="G304" s="27" t="n">
        <v>0</v>
      </c>
      <c r="H304" s="27" t="n">
        <v>0</v>
      </c>
      <c r="I304" s="27" t="n">
        <v>0</v>
      </c>
      <c r="J304" s="27" t="n">
        <v>0</v>
      </c>
      <c r="K304" s="27" t="n">
        <v>0</v>
      </c>
      <c r="L304" s="27" t="n">
        <v>0</v>
      </c>
      <c r="M304" s="27" t="n">
        <v>0</v>
      </c>
      <c r="N304" s="27" t="n">
        <v>0</v>
      </c>
      <c r="O304" s="27" t="n">
        <v>0</v>
      </c>
      <c r="P304" s="27" t="n">
        <v>0</v>
      </c>
      <c r="Q304" s="33" t="inlineStr"/>
    </row>
    <row r="305" ht="45" customHeight="1">
      <c r="A305" s="26" t="n">
        <v>2056</v>
      </c>
      <c r="B305" s="12" t="inlineStr">
        <is>
          <t>Business_Checking</t>
        </is>
      </c>
      <c r="C305" s="12" t="inlineStr">
        <is>
          <t>Matthew</t>
        </is>
      </c>
      <c r="D305" s="41" t="inlineStr">
        <is>
          <t>cash</t>
        </is>
      </c>
      <c r="E305" s="12" t="inlineStr">
        <is>
          <t>checking</t>
        </is>
      </c>
      <c r="F305" s="27" t="n">
        <v>0</v>
      </c>
      <c r="G305" s="27" t="n">
        <v>0</v>
      </c>
      <c r="H305" s="27" t="n">
        <v>0</v>
      </c>
      <c r="I305" s="27" t="n">
        <v>0</v>
      </c>
      <c r="J305" s="27" t="n">
        <v>0</v>
      </c>
      <c r="K305" s="27" t="n">
        <v>0</v>
      </c>
      <c r="L305" s="27" t="n">
        <v>0</v>
      </c>
      <c r="M305" s="27" t="n">
        <v>0</v>
      </c>
      <c r="N305" s="27" t="n">
        <v>0</v>
      </c>
      <c r="O305" s="27" t="n">
        <v>0</v>
      </c>
      <c r="P305" s="27" t="n">
        <v>0</v>
      </c>
      <c r="Q305" s="33" t="inlineStr"/>
    </row>
    <row r="306" ht="30" customHeight="1">
      <c r="A306" s="26" t="n">
        <v>2056</v>
      </c>
      <c r="B306" s="12" t="inlineStr">
        <is>
          <t>Family_Checking</t>
        </is>
      </c>
      <c r="C306" s="12" t="inlineStr">
        <is>
          <t>Matthew</t>
        </is>
      </c>
      <c r="D306" s="41" t="inlineStr">
        <is>
          <t>cash</t>
        </is>
      </c>
      <c r="E306" s="12" t="inlineStr">
        <is>
          <t>checking</t>
        </is>
      </c>
      <c r="F306" s="27" t="n">
        <v>0</v>
      </c>
      <c r="G306" s="27" t="n">
        <v>0</v>
      </c>
      <c r="H306" s="27" t="n">
        <v>0</v>
      </c>
      <c r="I306" s="27" t="n">
        <v>0</v>
      </c>
      <c r="J306" s="27" t="n">
        <v>0</v>
      </c>
      <c r="K306" s="27" t="n">
        <v>0</v>
      </c>
      <c r="L306" s="27" t="n">
        <v>0</v>
      </c>
      <c r="M306" s="27" t="n">
        <v>0</v>
      </c>
      <c r="N306" s="27" t="n">
        <v>0</v>
      </c>
      <c r="O306" s="27" t="n">
        <v>0</v>
      </c>
      <c r="P306" s="27" t="n">
        <v>0</v>
      </c>
      <c r="Q306" s="33" t="inlineStr"/>
    </row>
    <row r="307" ht="30" customHeight="1">
      <c r="A307" s="26" t="n">
        <v>2056</v>
      </c>
      <c r="B307" s="12" t="inlineStr">
        <is>
          <t>Husband_HSA</t>
        </is>
      </c>
      <c r="C307" s="12" t="inlineStr">
        <is>
          <t>Matthew</t>
        </is>
      </c>
      <c r="D307" s="41" t="inlineStr">
        <is>
          <t>hsa</t>
        </is>
      </c>
      <c r="E307" s="12" t="inlineStr">
        <is>
          <t>hsa</t>
        </is>
      </c>
      <c r="F307" s="27" t="n">
        <v>0</v>
      </c>
      <c r="G307" s="27" t="n">
        <v>0</v>
      </c>
      <c r="H307" s="27" t="n">
        <v>0</v>
      </c>
      <c r="I307" s="27" t="n">
        <v>0</v>
      </c>
      <c r="J307" s="27" t="n">
        <v>0</v>
      </c>
      <c r="K307" s="27" t="n">
        <v>0</v>
      </c>
      <c r="L307" s="27" t="n">
        <v>0</v>
      </c>
      <c r="M307" s="27" t="n">
        <v>0</v>
      </c>
      <c r="N307" s="27" t="n">
        <v>0</v>
      </c>
      <c r="O307" s="27" t="n">
        <v>0</v>
      </c>
      <c r="P307" s="27" t="n">
        <v>0</v>
      </c>
      <c r="Q307" s="33" t="inlineStr"/>
    </row>
    <row r="308" ht="30" customHeight="1">
      <c r="A308" s="26" t="n">
        <v>2056</v>
      </c>
      <c r="B308" s="12" t="inlineStr">
        <is>
          <t>Husband_401k</t>
        </is>
      </c>
      <c r="C308" s="12" t="inlineStr">
        <is>
          <t>Matthew</t>
        </is>
      </c>
      <c r="D308" s="41" t="inlineStr">
        <is>
          <t>pre_tax</t>
        </is>
      </c>
      <c r="E308" s="12" t="inlineStr">
        <is>
          <t>401k</t>
        </is>
      </c>
      <c r="F308" s="27" t="n">
        <v>0</v>
      </c>
      <c r="G308" s="27" t="n">
        <v>0</v>
      </c>
      <c r="H308" s="27" t="n">
        <v>0</v>
      </c>
      <c r="I308" s="27" t="n">
        <v>0</v>
      </c>
      <c r="J308" s="27" t="n">
        <v>0</v>
      </c>
      <c r="K308" s="27" t="n">
        <v>0</v>
      </c>
      <c r="L308" s="27" t="n">
        <v>0</v>
      </c>
      <c r="M308" s="27" t="n">
        <v>0</v>
      </c>
      <c r="N308" s="27" t="n">
        <v>0</v>
      </c>
      <c r="O308" s="27" t="n">
        <v>0</v>
      </c>
      <c r="P308" s="27" t="n">
        <v>0</v>
      </c>
      <c r="Q308" s="33" t="inlineStr"/>
    </row>
    <row r="309" ht="30" customHeight="1">
      <c r="A309" s="26" t="n">
        <v>2056</v>
      </c>
      <c r="B309" s="12" t="inlineStr">
        <is>
          <t>Husband_IRA</t>
        </is>
      </c>
      <c r="C309" s="12" t="inlineStr">
        <is>
          <t>Matthew</t>
        </is>
      </c>
      <c r="D309" s="41" t="inlineStr">
        <is>
          <t>pre_tax</t>
        </is>
      </c>
      <c r="E309" s="12" t="inlineStr">
        <is>
          <t>traditional_ira</t>
        </is>
      </c>
      <c r="F309" s="27" t="n">
        <v>0</v>
      </c>
      <c r="G309" s="27" t="n">
        <v>0</v>
      </c>
      <c r="H309" s="27" t="n">
        <v>0</v>
      </c>
      <c r="I309" s="27" t="n">
        <v>0</v>
      </c>
      <c r="J309" s="27" t="n">
        <v>0</v>
      </c>
      <c r="K309" s="27" t="n">
        <v>0</v>
      </c>
      <c r="L309" s="27" t="n">
        <v>0</v>
      </c>
      <c r="M309" s="27" t="n">
        <v>0</v>
      </c>
      <c r="N309" s="27" t="n">
        <v>0</v>
      </c>
      <c r="O309" s="27" t="n">
        <v>0</v>
      </c>
      <c r="P309" s="27" t="n">
        <v>0</v>
      </c>
      <c r="Q309" s="33" t="inlineStr"/>
    </row>
    <row r="310" ht="30" customHeight="1">
      <c r="A310" s="26" t="n">
        <v>2056</v>
      </c>
      <c r="B310" s="12" t="inlineStr">
        <is>
          <t>Husband_Roth</t>
        </is>
      </c>
      <c r="C310" s="12" t="inlineStr">
        <is>
          <t>Matthew</t>
        </is>
      </c>
      <c r="D310" s="41" t="inlineStr">
        <is>
          <t>roth</t>
        </is>
      </c>
      <c r="E310" s="12" t="inlineStr">
        <is>
          <t>roth_ira</t>
        </is>
      </c>
      <c r="F310" s="27" t="n">
        <v>0</v>
      </c>
      <c r="G310" s="27" t="n">
        <v>0</v>
      </c>
      <c r="H310" s="27" t="n">
        <v>0</v>
      </c>
      <c r="I310" s="27" t="n">
        <v>0</v>
      </c>
      <c r="J310" s="27" t="n">
        <v>0</v>
      </c>
      <c r="K310" s="27" t="n">
        <v>0</v>
      </c>
      <c r="L310" s="27" t="n">
        <v>0</v>
      </c>
      <c r="M310" s="27" t="n">
        <v>0</v>
      </c>
      <c r="N310" s="27" t="n">
        <v>0</v>
      </c>
      <c r="O310" s="27" t="n">
        <v>0</v>
      </c>
      <c r="P310" s="27" t="n">
        <v>0</v>
      </c>
      <c r="Q310" s="33" t="inlineStr"/>
    </row>
    <row r="311" ht="30" customHeight="1">
      <c r="A311" s="26" t="n">
        <v>2056</v>
      </c>
      <c r="B311" s="12" t="inlineStr">
        <is>
          <t>Husband_Trust</t>
        </is>
      </c>
      <c r="C311" s="12" t="inlineStr">
        <is>
          <t>Matthew</t>
        </is>
      </c>
      <c r="D311" s="41" t="inlineStr">
        <is>
          <t>taxable</t>
        </is>
      </c>
      <c r="E311" s="12" t="inlineStr">
        <is>
          <t>trust</t>
        </is>
      </c>
      <c r="F311" s="27" t="n">
        <v>0</v>
      </c>
      <c r="G311" s="27" t="n">
        <v>0</v>
      </c>
      <c r="H311" s="27" t="n">
        <v>0</v>
      </c>
      <c r="I311" s="27" t="n">
        <v>0</v>
      </c>
      <c r="J311" s="27" t="n">
        <v>0</v>
      </c>
      <c r="K311" s="27" t="n">
        <v>0</v>
      </c>
      <c r="L311" s="27" t="n">
        <v>0</v>
      </c>
      <c r="M311" s="27" t="n">
        <v>0</v>
      </c>
      <c r="N311" s="27" t="n">
        <v>0</v>
      </c>
      <c r="O311" s="27" t="n">
        <v>0</v>
      </c>
      <c r="P311" s="27" t="n">
        <v>0</v>
      </c>
      <c r="Q311" s="33" t="inlineStr"/>
    </row>
    <row r="312" ht="30" customHeight="1">
      <c r="A312" s="26" t="n">
        <v>2056</v>
      </c>
      <c r="B312" s="12" t="inlineStr">
        <is>
          <t>Wife_IRA</t>
        </is>
      </c>
      <c r="C312" s="12" t="inlineStr">
        <is>
          <t>Patricia</t>
        </is>
      </c>
      <c r="D312" s="41" t="inlineStr">
        <is>
          <t>pre_tax</t>
        </is>
      </c>
      <c r="E312" s="12" t="inlineStr">
        <is>
          <t>traditional_ira</t>
        </is>
      </c>
      <c r="F312" s="27" t="n">
        <v>0</v>
      </c>
      <c r="G312" s="27" t="n">
        <v>0</v>
      </c>
      <c r="H312" s="27" t="n">
        <v>0</v>
      </c>
      <c r="I312" s="27" t="n">
        <v>0</v>
      </c>
      <c r="J312" s="27" t="n">
        <v>0</v>
      </c>
      <c r="K312" s="27" t="n">
        <v>0</v>
      </c>
      <c r="L312" s="27" t="n">
        <v>0</v>
      </c>
      <c r="M312" s="27" t="n">
        <v>0</v>
      </c>
      <c r="N312" s="27" t="n">
        <v>0</v>
      </c>
      <c r="O312" s="27" t="n">
        <v>0</v>
      </c>
      <c r="P312" s="27" t="n">
        <v>0</v>
      </c>
      <c r="Q312" s="33" t="inlineStr"/>
    </row>
    <row r="313" ht="30" customHeight="1">
      <c r="A313" s="26" t="n">
        <v>2056</v>
      </c>
      <c r="B313" s="12" t="inlineStr">
        <is>
          <t>Wife_Roth</t>
        </is>
      </c>
      <c r="C313" s="12" t="inlineStr">
        <is>
          <t>Patricia</t>
        </is>
      </c>
      <c r="D313" s="41" t="inlineStr">
        <is>
          <t>roth</t>
        </is>
      </c>
      <c r="E313" s="12" t="inlineStr">
        <is>
          <t>roth_ira</t>
        </is>
      </c>
      <c r="F313" s="27" t="n">
        <v>1534545.642411505</v>
      </c>
      <c r="G313" s="27" t="n">
        <v>0</v>
      </c>
      <c r="H313" s="27" t="n">
        <v>0</v>
      </c>
      <c r="I313" s="27" t="n">
        <v>0</v>
      </c>
      <c r="J313" s="27" t="n">
        <v>0</v>
      </c>
      <c r="K313" s="27" t="n">
        <v>0</v>
      </c>
      <c r="L313" s="27" t="n">
        <v>199276.6197957158</v>
      </c>
      <c r="M313" s="27" t="n">
        <v>80116.14135694732</v>
      </c>
      <c r="N313" s="27" t="n">
        <v>1415385.163972736</v>
      </c>
      <c r="O313" s="27" t="n">
        <v>1415385.163972736</v>
      </c>
      <c r="P313" s="27" t="n">
        <v>0</v>
      </c>
      <c r="Q313" s="12" t="inlineStr">
        <is>
          <t>withdrawal</t>
        </is>
      </c>
    </row>
    <row r="314" ht="30" customHeight="1">
      <c r="A314" s="26" t="n">
        <v>2056</v>
      </c>
      <c r="B314" s="12" t="inlineStr">
        <is>
          <t>Wife_Trust</t>
        </is>
      </c>
      <c r="C314" s="12" t="inlineStr">
        <is>
          <t>Patricia</t>
        </is>
      </c>
      <c r="D314" s="41" t="inlineStr">
        <is>
          <t>taxable</t>
        </is>
      </c>
      <c r="E314" s="12" t="inlineStr">
        <is>
          <t>trust</t>
        </is>
      </c>
      <c r="F314" s="27" t="n">
        <v>0</v>
      </c>
      <c r="G314" s="27" t="n">
        <v>0</v>
      </c>
      <c r="H314" s="27" t="n">
        <v>0</v>
      </c>
      <c r="I314" s="27" t="n">
        <v>0</v>
      </c>
      <c r="J314" s="27" t="n">
        <v>0</v>
      </c>
      <c r="K314" s="27" t="n">
        <v>0</v>
      </c>
      <c r="L314" s="27" t="n">
        <v>0</v>
      </c>
      <c r="M314" s="27" t="n">
        <v>0</v>
      </c>
      <c r="N314" s="27" t="n">
        <v>0</v>
      </c>
      <c r="O314" s="27" t="n">
        <v>0</v>
      </c>
      <c r="P314" s="27" t="n">
        <v>0</v>
      </c>
      <c r="Q314" s="33" t="inlineStr"/>
    </row>
  </sheetData>
  <autoFilter ref="A4:Q314"/>
  <mergeCells count="2">
    <mergeCell ref="A1:P1"/>
    <mergeCell ref="A2:P2"/>
  </mergeCells>
  <pageMargins left="0.75" right="0.75" top="1" bottom="1" header="0.5" footer="0.5"/>
</worksheet>
</file>

<file path=xl/worksheets/sheet27.xml><?xml version="1.0" encoding="utf-8"?>
<worksheet xmlns="http://schemas.openxmlformats.org/spreadsheetml/2006/main">
  <sheetPr>
    <tabColor rgb="00B45F06"/>
    <outlinePr summaryBelow="1" summaryRight="1"/>
    <pageSetUpPr/>
  </sheetPr>
  <dimension ref="A1:H55"/>
  <sheetViews>
    <sheetView showGridLines="0" workbookViewId="0">
      <selection activeCell="A1" sqref="A1"/>
    </sheetView>
  </sheetViews>
  <sheetFormatPr baseColWidth="8" defaultRowHeight="15"/>
  <cols>
    <col width="18.4" customWidth="1" min="1" max="1"/>
    <col width="18.4" customWidth="1" min="2" max="2"/>
    <col width="18.4" customWidth="1" min="3" max="3"/>
    <col width="11.1" customWidth="1" min="4" max="4"/>
    <col width="11.1" customWidth="1" min="5" max="5"/>
    <col width="18.4" customWidth="1" min="6" max="6"/>
    <col width="11.1" customWidth="1" min="7" max="7"/>
    <col width="11.1" customWidth="1" min="8" max="8"/>
  </cols>
  <sheetData>
    <row r="1" ht="18" customHeight="1">
      <c r="A1" s="9" t="inlineStr">
        <is>
          <t>QUALITY CONTROL SUMMARY</t>
        </is>
      </c>
    </row>
    <row r="2"/>
    <row r="3" ht="15" customHeight="1">
      <c r="A3" s="13" t="inlineStr">
        <is>
          <t>Sheet</t>
        </is>
      </c>
      <c r="B3" s="13" t="inlineStr">
        <is>
          <t>Check</t>
        </is>
      </c>
      <c r="C3" s="4" t="n"/>
      <c r="D3" s="13" t="inlineStr">
        <is>
          <t>Status</t>
        </is>
      </c>
      <c r="E3" s="13" t="inlineStr">
        <is>
          <t>Detail</t>
        </is>
      </c>
    </row>
    <row r="4" ht="30" customHeight="1">
      <c r="A4" s="97" t="inlineStr">
        <is>
          <t>16. Scenario Analysis</t>
        </is>
      </c>
      <c r="B4" s="12" t="inlineStr">
        <is>
          <t>All configured scenarios have result rows</t>
        </is>
      </c>
      <c r="C4" s="4" t="n"/>
      <c r="D4" s="128" t="inlineStr">
        <is>
          <t>PASS</t>
        </is>
      </c>
      <c r="E4" s="33" t="inlineStr"/>
    </row>
    <row r="5" ht="30" customHeight="1">
      <c r="A5" s="97" t="inlineStr">
        <is>
          <t>1A. Executive Summary</t>
        </is>
      </c>
      <c r="B5" s="12" t="inlineStr">
        <is>
          <t>Headline numbers present</t>
        </is>
      </c>
      <c r="C5" s="4" t="n"/>
      <c r="D5" s="128" t="inlineStr">
        <is>
          <t>PASS</t>
        </is>
      </c>
      <c r="E5" s="12" t="inlineStr">
        <is>
          <t>NW: $4,805,659</t>
        </is>
      </c>
    </row>
    <row r="6" ht="30" customHeight="1">
      <c r="A6" s="97" t="inlineStr">
        <is>
          <t>4B. Assumptions</t>
        </is>
      </c>
      <c r="B6" s="12" t="inlineStr">
        <is>
          <t>All major parameters in editable cells</t>
        </is>
      </c>
      <c r="C6" s="4" t="n"/>
      <c r="D6" s="128" t="inlineStr">
        <is>
          <t>PASS</t>
        </is>
      </c>
      <c r="E6" s="33" t="inlineStr"/>
    </row>
    <row r="7" ht="60" customHeight="1">
      <c r="A7" s="97" t="inlineStr">
        <is>
          <t>1D. Balance Sheet</t>
        </is>
      </c>
      <c r="B7" s="12" t="inlineStr">
        <is>
          <t>Total assets - liabilities = net worth and reconciles to projection Y0</t>
        </is>
      </c>
      <c r="C7" s="4" t="n"/>
      <c r="D7" s="128" t="inlineStr">
        <is>
          <t>PASS</t>
        </is>
      </c>
      <c r="E7" s="12" t="inlineStr">
        <is>
          <t>NW=5,928,978 vs projection Y0=5,928,978</t>
        </is>
      </c>
    </row>
    <row r="8" ht="45" customHeight="1">
      <c r="A8" s="97" t="inlineStr">
        <is>
          <t>1D. Balance Sheet</t>
        </is>
      </c>
      <c r="B8" s="12" t="inlineStr">
        <is>
          <t>Positions sourced from holdings data</t>
        </is>
      </c>
      <c r="C8" s="4" t="n"/>
      <c r="D8" s="128" t="inlineStr">
        <is>
          <t>PASS</t>
        </is>
      </c>
      <c r="E8" s="12" t="inlineStr">
        <is>
          <t>30 holdings across 10 accounts</t>
        </is>
      </c>
    </row>
    <row r="9" ht="60" customHeight="1">
      <c r="A9" s="97" t="inlineStr">
        <is>
          <t>1D. Balance Sheet</t>
        </is>
      </c>
      <c r="B9" s="12" t="inlineStr">
        <is>
          <t>Tax-lot data coverage</t>
        </is>
      </c>
      <c r="C9" s="4" t="n"/>
      <c r="D9" s="128" t="inlineStr">
        <is>
          <t>PASS</t>
        </is>
      </c>
      <c r="E9" s="12" t="inlineStr">
        <is>
          <t>100% — specific-lot sell guidance active</t>
        </is>
      </c>
    </row>
    <row r="10" ht="45" customHeight="1">
      <c r="A10" s="97" t="inlineStr">
        <is>
          <t>1D. Balance Sheet</t>
        </is>
      </c>
      <c r="B10" s="12" t="inlineStr">
        <is>
          <t>Holdings detail: all positions with live prices</t>
        </is>
      </c>
      <c r="C10" s="4" t="n"/>
      <c r="D10" s="128" t="inlineStr">
        <is>
          <t>PASS</t>
        </is>
      </c>
      <c r="E10" s="12" t="inlineStr">
        <is>
          <t>Grand total invested: $2,741,608</t>
        </is>
      </c>
    </row>
    <row r="11" ht="15" customHeight="1">
      <c r="A11" s="97" t="inlineStr">
        <is>
          <t>1B. Net Worth</t>
        </is>
      </c>
      <c r="B11" s="12" t="inlineStr">
        <is>
          <t>Row count = 31 (2026-2056)</t>
        </is>
      </c>
      <c r="C11" s="4" t="n"/>
      <c r="D11" s="128" t="inlineStr">
        <is>
          <t>PASS</t>
        </is>
      </c>
      <c r="E11" s="33" t="inlineStr"/>
    </row>
    <row r="12" ht="15" customHeight="1">
      <c r="A12" s="97" t="inlineStr">
        <is>
          <t>1B. Net Worth</t>
        </is>
      </c>
      <c r="B12" s="12" t="inlineStr">
        <is>
          <t>All balances ≥ 0</t>
        </is>
      </c>
      <c r="C12" s="4" t="n"/>
      <c r="D12" s="128" t="inlineStr">
        <is>
          <t>PASS</t>
        </is>
      </c>
      <c r="E12" s="33" t="inlineStr"/>
    </row>
    <row r="13" ht="30" customHeight="1">
      <c r="A13" s="97" t="inlineStr">
        <is>
          <t>1C. Cash Flow</t>
        </is>
      </c>
      <c r="B13" s="12" t="inlineStr">
        <is>
          <t>31 rows, account-level WDs, collapsible groups</t>
        </is>
      </c>
      <c r="C13" s="4" t="n"/>
      <c r="D13" s="128" t="inlineStr">
        <is>
          <t>PASS</t>
        </is>
      </c>
      <c r="E13" s="33" t="inlineStr"/>
    </row>
    <row r="14" ht="30" customHeight="1">
      <c r="A14" s="97" t="inlineStr">
        <is>
          <t>1F. Lifetime Taxes</t>
        </is>
      </c>
      <c r="B14" s="12" t="inlineStr">
        <is>
          <t>Lifetime totals present</t>
        </is>
      </c>
      <c r="C14" s="4" t="n"/>
      <c r="D14" s="128" t="inlineStr">
        <is>
          <t>PASS</t>
        </is>
      </c>
      <c r="E14" s="12" t="inlineStr">
        <is>
          <t>Total: $768,150</t>
        </is>
      </c>
    </row>
    <row r="15" ht="90" customHeight="1">
      <c r="A15" s="97" t="inlineStr">
        <is>
          <t>1E. Charts</t>
        </is>
      </c>
      <c r="B15" s="12" t="inlineStr">
        <is>
          <t>6 charts: NW, CF Income, CF Expense, MC Bands, Alloc Before, Alloc After</t>
        </is>
      </c>
      <c r="C15" s="4" t="n"/>
      <c r="D15" s="128" t="inlineStr">
        <is>
          <t>PASS</t>
        </is>
      </c>
      <c r="E15" s="12" t="inlineStr">
        <is>
          <t>NW, Income (15 ser, ymax=$500,000), Expense (8 ser, ymax=$500,000), MC bands, 2 pie charts</t>
        </is>
      </c>
    </row>
    <row r="16" ht="30" customHeight="1">
      <c r="A16" s="97" t="inlineStr">
        <is>
          <t>9. Retirement Strategy</t>
        </is>
      </c>
      <c r="B16" s="12" t="inlineStr">
        <is>
          <t>Withdrawal cascade and key risks documented</t>
        </is>
      </c>
      <c r="C16" s="4" t="n"/>
      <c r="D16" s="128" t="inlineStr">
        <is>
          <t>PASS</t>
        </is>
      </c>
      <c r="E16" s="33" t="inlineStr"/>
    </row>
    <row r="17" ht="30" customHeight="1">
      <c r="A17" s="97" t="inlineStr">
        <is>
          <t>2D. Social Security</t>
        </is>
      </c>
      <c r="B17" s="12" t="inlineStr">
        <is>
          <t>Claim ages 62-70 swept by spouse against full projection</t>
        </is>
      </c>
      <c r="C17" s="4" t="n"/>
      <c r="D17" s="128" t="inlineStr">
        <is>
          <t>PASS</t>
        </is>
      </c>
      <c r="E17" s="33" t="inlineStr"/>
    </row>
    <row r="18" ht="75" customHeight="1">
      <c r="A18" s="97" t="inlineStr">
        <is>
          <t>2A. Roth Conversion</t>
        </is>
      </c>
      <c r="B18" s="12" t="inlineStr">
        <is>
          <t>Canonical result contract, candidate scores, rejection reasons, and binding constraints rendered</t>
        </is>
      </c>
      <c r="C18" s="4" t="n"/>
      <c r="D18" s="128" t="inlineStr">
        <is>
          <t>PASS</t>
        </is>
      </c>
      <c r="E18" s="12" t="inlineStr">
        <is>
          <t>Total: $767,289  Forced: $0  Voluntary: $767,289</t>
        </is>
      </c>
    </row>
    <row r="19" ht="30" customHeight="1">
      <c r="A19" s="97" t="inlineStr">
        <is>
          <t>2F. Charitable Giving</t>
        </is>
      </c>
      <c r="B19" s="12" t="inlineStr">
        <is>
          <t>Three vehicles documented; SALT phases shown</t>
        </is>
      </c>
      <c r="C19" s="4" t="n"/>
      <c r="D19" s="128" t="inlineStr">
        <is>
          <t>PASS</t>
        </is>
      </c>
      <c r="E19" s="33" t="inlineStr"/>
    </row>
    <row r="20" ht="30" customHeight="1">
      <c r="A20" s="97" t="inlineStr">
        <is>
          <t>2C. State Residency</t>
        </is>
      </c>
      <c r="B20" s="12" t="inlineStr">
        <is>
          <t>11 states compared with retirement-income treatment</t>
        </is>
      </c>
      <c r="C20" s="4" t="n"/>
      <c r="D20" s="128" t="inlineStr">
        <is>
          <t>PASS</t>
        </is>
      </c>
      <c r="E20" s="12" t="inlineStr">
        <is>
          <t>retirement=43% of AGI</t>
        </is>
      </c>
    </row>
    <row r="21" ht="60" customHeight="1">
      <c r="A21" s="97" t="inlineStr">
        <is>
          <t>2G. Estate &amp; Legacy Planning</t>
        </is>
      </c>
      <c r="B21" s="12" t="inlineStr">
        <is>
          <t>Federal/IL tax, QTIP, Credit Shelter documented</t>
        </is>
      </c>
      <c r="C21" s="4" t="n"/>
      <c r="D21" s="128" t="inlineStr">
        <is>
          <t>PASS</t>
        </is>
      </c>
      <c r="E21" s="12" t="inlineStr">
        <is>
          <t>IL est. tax: $338,628, CS saves ~$320,000</t>
        </is>
      </c>
    </row>
    <row r="22" ht="30" customHeight="1">
      <c r="A22" s="97" t="inlineStr">
        <is>
          <t>2H. Planning Levers</t>
        </is>
      </c>
      <c r="B22" s="12" t="inlineStr">
        <is>
          <t>Interactive lever sensitivity dashboard created</t>
        </is>
      </c>
      <c r="C22" s="4" t="n"/>
      <c r="D22" s="128" t="inlineStr">
        <is>
          <t>PASS</t>
        </is>
      </c>
      <c r="E22" s="12" t="inlineStr">
        <is>
          <t>10 levers</t>
        </is>
      </c>
    </row>
    <row r="23" ht="75" customHeight="1">
      <c r="A23" s="97" t="inlineStr">
        <is>
          <t>3A. Monte Carlo</t>
        </is>
      </c>
      <c r="B23" s="12" t="inlineStr">
        <is>
          <t>7-section MC report: 16 sims, 5 quintiles, 25-cell sensitivity</t>
        </is>
      </c>
      <c r="C23" s="4" t="n"/>
      <c r="D23" s="128" t="inlineStr">
        <is>
          <t>PASS</t>
        </is>
      </c>
      <c r="E23" s="12" t="inlineStr">
        <is>
          <t>Funding success=68.8%, P50 liquid end=$3,272,027</t>
        </is>
      </c>
    </row>
    <row r="24" ht="30" customHeight="1">
      <c r="A24" s="97" t="inlineStr">
        <is>
          <t>17. LTC Stress Test</t>
        </is>
      </c>
      <c r="B24" s="12" t="inlineStr">
        <is>
          <t>Four scenarios modeled with plan-survives flag</t>
        </is>
      </c>
      <c r="C24" s="4" t="n"/>
      <c r="D24" s="128" t="inlineStr">
        <is>
          <t>PASS</t>
        </is>
      </c>
      <c r="E24" s="33" t="inlineStr"/>
    </row>
    <row r="25" ht="75" customHeight="1">
      <c r="A25" s="97" t="inlineStr">
        <is>
          <t>3B. Survivor</t>
        </is>
      </c>
      <c r="B25" s="12" t="inlineStr">
        <is>
          <t>5 early-death scenarios with full projection re-runs</t>
        </is>
      </c>
      <c r="C25" s="4" t="n"/>
      <c r="D25" s="128" t="inlineStr">
        <is>
          <t>PASS</t>
        </is>
      </c>
      <c r="E25" s="12" t="inlineStr">
        <is>
          <t>worst case: Both die at 75 (shortened plan) at $+0</t>
        </is>
      </c>
    </row>
    <row r="26" ht="30" customHeight="1">
      <c r="A26" s="97" t="inlineStr">
        <is>
          <t>3C. LTC + Life Insurance</t>
        </is>
      </c>
      <c r="B26" s="12" t="inlineStr">
        <is>
          <t>Annuity DB table; gap analysis; options documented</t>
        </is>
      </c>
      <c r="C26" s="4" t="n"/>
      <c r="D26" s="128" t="inlineStr">
        <is>
          <t>PASS</t>
        </is>
      </c>
      <c r="E26" s="33" t="inlineStr"/>
    </row>
    <row r="27" ht="60" customHeight="1">
      <c r="A27" s="97" t="inlineStr">
        <is>
          <t>4E. RMD Audit</t>
        </is>
      </c>
      <c r="B27" s="12" t="inlineStr">
        <is>
          <t>Matches CF; RMD vs elective flagged; death years correct</t>
        </is>
      </c>
      <c r="C27" s="4" t="n"/>
      <c r="D27" s="128" t="inlineStr">
        <is>
          <t>PASS</t>
        </is>
      </c>
      <c r="E27" s="12" t="inlineStr">
        <is>
          <t>RMD start age 75; H dies 2054; W dies 2056</t>
        </is>
      </c>
    </row>
    <row r="28" ht="15" customHeight="1">
      <c r="A28" s="97" t="inlineStr">
        <is>
          <t>4G. Glossary</t>
        </is>
      </c>
      <c r="B28" s="12" t="inlineStr">
        <is>
          <t>All key terms defined</t>
        </is>
      </c>
      <c r="C28" s="4" t="n"/>
      <c r="D28" s="128" t="inlineStr">
        <is>
          <t>PASS</t>
        </is>
      </c>
      <c r="E28" s="12" t="inlineStr">
        <is>
          <t>22 terms</t>
        </is>
      </c>
    </row>
    <row r="29" ht="30" customHeight="1">
      <c r="A29" s="97" t="inlineStr">
        <is>
          <t>4F. Methodology</t>
        </is>
      </c>
      <c r="B29" s="12" t="inlineStr">
        <is>
          <t>Re-run steps and methodology documented</t>
        </is>
      </c>
      <c r="C29" s="4" t="n"/>
      <c r="D29" s="128" t="inlineStr">
        <is>
          <t>PASS</t>
        </is>
      </c>
      <c r="E29" s="33" t="inlineStr"/>
    </row>
    <row r="30" ht="30" customHeight="1">
      <c r="A30" s="97" t="inlineStr">
        <is>
          <t>24. Asset Location</t>
        </is>
      </c>
      <c r="B30" s="12" t="inlineStr">
        <is>
          <t>Tax-location savings quantified</t>
        </is>
      </c>
      <c r="C30" s="4" t="n"/>
      <c r="D30" s="128" t="inlineStr">
        <is>
          <t>PASS</t>
        </is>
      </c>
      <c r="E30" s="12" t="inlineStr">
        <is>
          <t>$40,011 lifetime</t>
        </is>
      </c>
    </row>
    <row r="31" ht="60" customHeight="1">
      <c r="A31" s="97" t="inlineStr">
        <is>
          <t>4C. Account Reconciliation</t>
        </is>
      </c>
      <c r="B31" s="12" t="inlineStr">
        <is>
          <t>Every account roll-forward foots</t>
        </is>
      </c>
      <c r="C31" s="4" t="n"/>
      <c r="D31" s="128" t="inlineStr">
        <is>
          <t>PASS</t>
        </is>
      </c>
      <c r="E31" s="12" t="inlineStr">
        <is>
          <t>max residual $0.00 across 310 account-years</t>
        </is>
      </c>
    </row>
    <row r="32" ht="60" customHeight="1">
      <c r="A32" s="97" t="inlineStr">
        <is>
          <t>Core Spending</t>
        </is>
      </c>
      <c r="B32" s="12" t="inlineStr">
        <is>
          <t>YTD core spending breakdown, 8 groups</t>
        </is>
      </c>
      <c r="C32" s="4" t="n"/>
      <c r="D32" s="128" t="inlineStr">
        <is>
          <t>PASS</t>
        </is>
      </c>
      <c r="E32" s="12" t="inlineStr">
        <is>
          <t>$78,559 actual  |  $157,549 annualized</t>
        </is>
      </c>
    </row>
    <row r="33" ht="75" customHeight="1">
      <c r="A33" s="97" t="inlineStr">
        <is>
          <t>Spending Summary</t>
        </is>
      </c>
      <c r="B33" s="12" t="inlineStr">
        <is>
          <t>Taxonomy-aware spending summary, 7 tracking types</t>
        </is>
      </c>
      <c r="C33" s="4" t="n"/>
      <c r="D33" s="128" t="inlineStr">
        <is>
          <t>PASS</t>
        </is>
      </c>
      <c r="E33" s="12" t="inlineStr">
        <is>
          <t>$178,073 actual  |  $357,124 annualized  |  0 unmapped</t>
        </is>
      </c>
    </row>
    <row r="34" ht="30" customHeight="1">
      <c r="A34" s="97" t="inlineStr">
        <is>
          <t>4D. Quality Control</t>
        </is>
      </c>
      <c r="B34" s="12" t="inlineStr">
        <is>
          <t>QC sheet itself has checks</t>
        </is>
      </c>
      <c r="C34" s="4" t="n"/>
      <c r="D34" s="128" t="inlineStr">
        <is>
          <t>PASS</t>
        </is>
      </c>
      <c r="E34" s="12" t="inlineStr">
        <is>
          <t>30 checks</t>
        </is>
      </c>
    </row>
    <row r="35" ht="30" customHeight="1">
      <c r="A35" s="97" t="inlineStr">
        <is>
          <t>Validation</t>
        </is>
      </c>
      <c r="B35" s="12" t="inlineStr">
        <is>
          <t>All invariants passed</t>
        </is>
      </c>
      <c r="C35" s="4" t="n"/>
      <c r="D35" s="128" t="inlineStr">
        <is>
          <t>PASS</t>
        </is>
      </c>
      <c r="E35" s="12" t="inlineStr">
        <is>
          <t>31 rows checked</t>
        </is>
      </c>
    </row>
    <row r="36"/>
    <row r="37" ht="15" customHeight="1">
      <c r="A37" s="35" t="inlineStr">
        <is>
          <t>TOTAL: 32/32 PASS · 0 FAIL</t>
        </is>
      </c>
      <c r="B37" s="3" t="n"/>
      <c r="C37" s="3" t="n"/>
      <c r="D37" s="3" t="n"/>
      <c r="E37" s="4" t="n"/>
    </row>
    <row r="38"/>
    <row r="39" ht="15" customHeight="1">
      <c r="A39" s="13" t="inlineStr">
        <is>
          <t>MODELING ADJUSTMENTS &amp; NORMALIZATIONS</t>
        </is>
      </c>
      <c r="B39" s="3" t="n"/>
      <c r="C39" s="3" t="n"/>
      <c r="D39" s="3" t="n"/>
      <c r="E39" s="4" t="n"/>
    </row>
    <row r="40" ht="45" customHeight="1">
      <c r="A40" s="11" t="inlineStr">
        <is>
          <t>Annuity Net Worth Valuation</t>
        </is>
      </c>
      <c r="B40" s="12" t="inlineStr">
        <is>
          <t>Each annuity is valued at the PV of future cash income (guaranteed payment + cash dividend) through the relevant death. Base accumulation is NOT an estate asset.</t>
        </is>
      </c>
      <c r="C40" s="3" t="n"/>
      <c r="D40" s="3" t="n"/>
      <c r="E40" s="4" t="n"/>
    </row>
    <row r="41" ht="45" customHeight="1">
      <c r="A41" s="11" t="inlineStr">
        <is>
          <t>Annuity Dividend Model</t>
        </is>
      </c>
      <c r="B41" s="12" t="inlineStr">
        <is>
          <t>Base compounds at div_rate pre-distribution; at div_rate × additional_income_pct post-distribution. Guaranteed payment grows at add_pct × div_rate.</t>
        </is>
      </c>
      <c r="C41" s="3" t="n"/>
      <c r="D41" s="3" t="n"/>
      <c r="E41" s="4" t="n"/>
    </row>
    <row r="42" ht="30" customHeight="1">
      <c r="A42" s="11" t="inlineStr">
        <is>
          <t>CASH Placeholder Positions</t>
        </is>
      </c>
      <c r="B42" s="12" t="inlineStr">
        <is>
          <t>Every account includes a CASH position at $1/share. Drain logic: Account_Balance &lt; max(500, Calculated_RMD).</t>
        </is>
      </c>
      <c r="C42" s="3" t="n"/>
      <c r="D42" s="3" t="n"/>
      <c r="E42" s="4" t="n"/>
    </row>
    <row r="43" ht="30" customHeight="1">
      <c r="A43" s="11" t="inlineStr">
        <is>
          <t>Mortgage Normalization</t>
        </is>
      </c>
      <c r="B43" s="12" t="inlineStr">
        <is>
          <t>Mortgage balance computed from configured starting balance; $0 after last_payment_year.</t>
        </is>
      </c>
      <c r="C43" s="3" t="n"/>
      <c r="D43" s="3" t="n"/>
      <c r="E43" s="4" t="n"/>
    </row>
    <row r="44" ht="30" customHeight="1">
      <c r="A44" s="11" t="inlineStr">
        <is>
          <t>RMD Timing</t>
        </is>
      </c>
      <c r="B44" s="12" t="inlineStr">
        <is>
          <t>RMDs computed at year-start balance; satisfied before year-end; SECURE 2.0 age-75 for those born 1960+.</t>
        </is>
      </c>
      <c r="C44" s="3" t="n"/>
      <c r="D44" s="3" t="n"/>
      <c r="E44" s="4" t="n"/>
    </row>
    <row r="45" ht="30" customHeight="1">
      <c r="A45" s="11" t="inlineStr">
        <is>
          <t>Roth Conversion Forced Actions</t>
        </is>
      </c>
      <c r="B45" s="12" t="inlineStr">
        <is>
          <t>Forced Roth conversion amounts are read from configured Forced Actions.</t>
        </is>
      </c>
      <c r="C45" s="3" t="n"/>
      <c r="D45" s="3" t="n"/>
      <c r="E45" s="4" t="n"/>
    </row>
    <row r="46" ht="45" customHeight="1">
      <c r="A46" s="11" t="inlineStr">
        <is>
          <t>NIIT / State Estate Tax</t>
        </is>
      </c>
      <c r="B46" s="12" t="inlineStr">
        <is>
          <t>Modeled per Plan Settings toggles (both TRUE). IL estate tax: ~$4M exemption, graduated 0.8%–16% rates, no portability.</t>
        </is>
      </c>
      <c r="C46" s="3" t="n"/>
      <c r="D46" s="3" t="n"/>
      <c r="E46" s="4" t="n"/>
    </row>
    <row r="47" ht="30" customHeight="1">
      <c r="A47" s="11" t="inlineStr">
        <is>
          <t>Live Pricing</t>
        </is>
      </c>
      <c r="B47" s="12" t="inlineStr">
        <is>
          <t>ETF prices fetched at build time via FMP / Alpha Vantage / Stooq. CASH = $1.00/share.</t>
        </is>
      </c>
      <c r="C47" s="3" t="n"/>
      <c r="D47" s="3" t="n"/>
      <c r="E47" s="4" t="n"/>
    </row>
    <row r="48" ht="30" customHeight="1">
      <c r="A48" s="11" t="inlineStr">
        <is>
          <t>SS Survivor Benefit</t>
        </is>
      </c>
      <c r="B48" s="12" t="inlineStr">
        <is>
          <t>100% of higher benefit (at deceased's claim age per configured policy rows).</t>
        </is>
      </c>
      <c r="C48" s="3" t="n"/>
      <c r="D48" s="3" t="n"/>
      <c r="E48" s="4" t="n"/>
    </row>
    <row r="49" ht="45" customHeight="1">
      <c r="A49" s="11" t="inlineStr">
        <is>
          <t>Spousal Rollover</t>
        </is>
      </c>
      <c r="B49" s="12" t="inlineStr">
        <is>
          <t>Decedent balances roll to survivor in year of death; RMDs recalculated under survivor's age starting the following year.</t>
        </is>
      </c>
      <c r="C49" s="3" t="n"/>
      <c r="D49" s="3" t="n"/>
      <c r="E49" s="4" t="n"/>
    </row>
    <row r="50"/>
    <row r="51"/>
    <row r="52" ht="15" customHeight="1">
      <c r="A52" s="179" t="inlineStr">
        <is>
          <t>WORKBOOK WARNINGS — Consistency, Staleness, and Advisor Review</t>
        </is>
      </c>
    </row>
    <row r="53"/>
    <row r="54" ht="15" customHeight="1">
      <c r="A54" s="5" t="inlineStr">
        <is>
          <t>Severity</t>
        </is>
      </c>
      <c r="B54" s="5" t="inlineStr">
        <is>
          <t>Code</t>
        </is>
      </c>
      <c r="C54" s="5" t="inlineStr">
        <is>
          <t>Message</t>
        </is>
      </c>
      <c r="D54" s="3" t="n"/>
      <c r="E54" s="4" t="n"/>
      <c r="F54" s="5" t="inlineStr">
        <is>
          <t>Recommended Action</t>
        </is>
      </c>
      <c r="G54" s="3" t="n"/>
      <c r="H54" s="4" t="n"/>
    </row>
    <row r="55" ht="45" customHeight="1">
      <c r="A55" s="92" t="inlineStr">
        <is>
          <t>OK</t>
        </is>
      </c>
      <c r="B55" s="12" t="inlineStr">
        <is>
          <t>NO_CONSISTENCY_WARNINGS</t>
        </is>
      </c>
      <c r="C55" s="12" t="inlineStr">
        <is>
          <t>No workbook consistency warnings were detected from the canonical result contract.</t>
        </is>
      </c>
      <c r="D55" s="3" t="n"/>
      <c r="E55" s="4" t="n"/>
      <c r="F55" s="12" t="inlineStr">
        <is>
          <t>Review tax freshness, pricing, and assumption signoff separately.</t>
        </is>
      </c>
      <c r="G55" s="3" t="n"/>
      <c r="H55" s="4" t="n"/>
    </row>
  </sheetData>
  <mergeCells count="51">
    <mergeCell ref="C54:E54"/>
    <mergeCell ref="A39:E39"/>
    <mergeCell ref="B40:E40"/>
    <mergeCell ref="B16:C16"/>
    <mergeCell ref="B49:E49"/>
    <mergeCell ref="B7:C7"/>
    <mergeCell ref="B25:C25"/>
    <mergeCell ref="C55:E55"/>
    <mergeCell ref="B3:C3"/>
    <mergeCell ref="B22:C22"/>
    <mergeCell ref="A1:E1"/>
    <mergeCell ref="B31:C31"/>
    <mergeCell ref="B18:C18"/>
    <mergeCell ref="B27:C27"/>
    <mergeCell ref="B12:C12"/>
    <mergeCell ref="B45:E45"/>
    <mergeCell ref="B21:C21"/>
    <mergeCell ref="B41:E41"/>
    <mergeCell ref="B11:C11"/>
    <mergeCell ref="B23:C23"/>
    <mergeCell ref="B14:C14"/>
    <mergeCell ref="A37:E37"/>
    <mergeCell ref="B47:E47"/>
    <mergeCell ref="B17:C17"/>
    <mergeCell ref="B8:C8"/>
    <mergeCell ref="B46:E46"/>
    <mergeCell ref="B13:C13"/>
    <mergeCell ref="B29:C29"/>
    <mergeCell ref="B43:E43"/>
    <mergeCell ref="B19:C19"/>
    <mergeCell ref="B34:C34"/>
    <mergeCell ref="B10:C10"/>
    <mergeCell ref="B28:C28"/>
    <mergeCell ref="B48:E48"/>
    <mergeCell ref="F55:H55"/>
    <mergeCell ref="B9:C9"/>
    <mergeCell ref="B42:E42"/>
    <mergeCell ref="B6:C6"/>
    <mergeCell ref="B24:C24"/>
    <mergeCell ref="B30:C30"/>
    <mergeCell ref="F54:H54"/>
    <mergeCell ref="B15:C15"/>
    <mergeCell ref="B33:C33"/>
    <mergeCell ref="B5:C5"/>
    <mergeCell ref="B20:C20"/>
    <mergeCell ref="B44:E44"/>
    <mergeCell ref="A52:H52"/>
    <mergeCell ref="B32:C32"/>
    <mergeCell ref="B26:C26"/>
    <mergeCell ref="B35:C35"/>
    <mergeCell ref="B4:C4"/>
  </mergeCells>
  <pageMargins left="0.75" right="0.75" top="1" bottom="1" header="0.5" footer="0.5"/>
</worksheet>
</file>

<file path=xl/worksheets/sheet28.xml><?xml version="1.0" encoding="utf-8"?>
<worksheet xmlns="http://schemas.openxmlformats.org/spreadsheetml/2006/main">
  <sheetPr>
    <tabColor rgb="00B45F06"/>
    <outlinePr summaryBelow="1" summaryRight="1"/>
    <pageSetUpPr/>
  </sheetPr>
  <dimension ref="A1:AA38"/>
  <sheetViews>
    <sheetView showGridLines="0" workbookViewId="0">
      <pane ySplit="2" topLeftCell="A3" activePane="bottomLeft" state="frozen"/>
      <selection pane="bottomLeft" activeCell="A1" sqref="A1"/>
    </sheetView>
  </sheetViews>
  <sheetFormatPr baseColWidth="8" defaultRowHeight="15"/>
  <cols>
    <col width="9.4" customWidth="1" min="1" max="1"/>
    <col width="10" customWidth="1" min="2" max="2"/>
    <col width="4.4" customWidth="1" min="3" max="3"/>
    <col width="10" customWidth="1" min="4" max="4"/>
    <col width="10" customWidth="1" min="5" max="5"/>
    <col width="10" customWidth="1" min="6" max="6"/>
    <col width="9.4" customWidth="1" min="7" max="7"/>
    <col width="9.4" customWidth="1" min="8" max="8"/>
    <col width="9.4" customWidth="1" min="9" max="9"/>
    <col width="10" customWidth="1" min="10" max="10"/>
    <col width="9.4" customWidth="1" min="11" max="11"/>
    <col width="9.4" customWidth="1" min="12" max="12"/>
    <col width="9.4" customWidth="1" min="13" max="13"/>
    <col width="9.4" customWidth="1" min="14" max="14"/>
    <col width="9.4" customWidth="1" min="15" max="15"/>
    <col width="9.4" customWidth="1" min="16" max="16"/>
    <col width="10" customWidth="1" min="17" max="17"/>
    <col width="9.4" customWidth="1" min="18" max="18"/>
    <col width="9.4" customWidth="1" min="19" max="19"/>
    <col width="9.4" customWidth="1" min="20" max="20"/>
    <col width="9.4" customWidth="1" min="21" max="21"/>
    <col width="9.4" customWidth="1" min="22" max="22"/>
    <col width="9.4" customWidth="1" min="23" max="23"/>
    <col width="9.4" customWidth="1" min="24" max="24"/>
    <col width="10" customWidth="1" min="25" max="25"/>
    <col width="14" customWidth="1" min="26" max="26"/>
    <col width="25" customWidth="1" min="27" max="27"/>
  </cols>
  <sheetData>
    <row r="1" ht="18" customHeight="1">
      <c r="A1" s="9" t="inlineStr">
        <is>
          <t>RMD AUDIT — Required Minimum Distributions &amp; IRA Withdrawal Attribution</t>
        </is>
      </c>
    </row>
    <row r="2" ht="54" customHeight="1">
      <c r="A2" s="39" t="inlineStr">
        <is>
          <t>Year</t>
        </is>
      </c>
      <c r="B2" s="39" t="inlineStr">
        <is>
          <t>H Age</t>
        </is>
      </c>
      <c r="C2" s="39" t="inlineStr">
        <is>
          <t>W Age</t>
        </is>
      </c>
      <c r="D2" s="39" t="inlineStr">
        <is>
          <t>Filing</t>
        </is>
      </c>
      <c r="E2" s="39" t="inlineStr">
        <is>
          <t>H Alive</t>
        </is>
      </c>
      <c r="F2" s="39" t="inlineStr">
        <is>
          <t>W Alive</t>
        </is>
      </c>
      <c r="G2" s="180" t="inlineStr">
        <is>
          <t>H IRA Bal (BOY)</t>
        </is>
      </c>
      <c r="H2" s="180" t="inlineStr">
        <is>
          <t>H 401k Bal</t>
        </is>
      </c>
      <c r="I2" s="180" t="inlineStr">
        <is>
          <t>H RMD Required</t>
        </is>
      </c>
      <c r="J2" s="180" t="inlineStr">
        <is>
          <t>H RMD Satisfied?</t>
        </is>
      </c>
      <c r="K2" s="180" t="inlineStr">
        <is>
          <t>H IRA Elective</t>
        </is>
      </c>
      <c r="L2" s="180" t="inlineStr">
        <is>
          <t>H IRA Conversion</t>
        </is>
      </c>
      <c r="M2" s="180" t="inlineStr">
        <is>
          <t>H IRA Total Outflow</t>
        </is>
      </c>
      <c r="N2" s="178" t="inlineStr">
        <is>
          <t>H IRA RMD%</t>
        </is>
      </c>
      <c r="O2" s="178" t="inlineStr">
        <is>
          <t>W IRA Bal (BOY)</t>
        </is>
      </c>
      <c r="P2" s="178" t="inlineStr">
        <is>
          <t>W RMD Required</t>
        </is>
      </c>
      <c r="Q2" s="178" t="inlineStr">
        <is>
          <t>W RMD Satisfied?</t>
        </is>
      </c>
      <c r="R2" s="178" t="inlineStr">
        <is>
          <t>W IRA Elective</t>
        </is>
      </c>
      <c r="S2" s="178" t="inlineStr">
        <is>
          <t>W IRA Conversion</t>
        </is>
      </c>
      <c r="T2" s="181" t="inlineStr">
        <is>
          <t>W IRA Total Outflow</t>
        </is>
      </c>
      <c r="U2" s="181" t="inlineStr">
        <is>
          <t>W IRA RMD%</t>
        </is>
      </c>
      <c r="V2" s="181" t="inlineStr">
        <is>
          <t>Total RMD Req</t>
        </is>
      </c>
      <c r="W2" s="23" t="inlineStr">
        <is>
          <t>Total IRA Cash Drawn</t>
        </is>
      </c>
      <c r="X2" s="23" t="inlineStr">
        <is>
          <t>Total IRA Outflow</t>
        </is>
      </c>
      <c r="Y2" s="23" t="inlineStr">
        <is>
          <t>RMD Match CF?</t>
        </is>
      </c>
      <c r="Z2" s="23" t="inlineStr">
        <is>
          <t>Rollover Event</t>
        </is>
      </c>
      <c r="AA2" s="23" t="inlineStr">
        <is>
          <t>Notes</t>
        </is>
      </c>
    </row>
    <row r="3" ht="15" customHeight="1">
      <c r="A3" s="182" t="n">
        <v>2026</v>
      </c>
      <c r="B3" s="183" t="n">
        <v>64</v>
      </c>
      <c r="C3" s="182" t="n">
        <v>65</v>
      </c>
      <c r="D3" s="184" t="inlineStr">
        <is>
          <t>MFJ</t>
        </is>
      </c>
      <c r="E3" s="184" t="inlineStr">
        <is>
          <t>ALIVE</t>
        </is>
      </c>
      <c r="F3" s="184" t="inlineStr">
        <is>
          <t>ALIVE</t>
        </is>
      </c>
      <c r="G3" s="185" t="n">
        <v>1429203.3388384</v>
      </c>
      <c r="H3" s="185" t="n">
        <v>39242.525</v>
      </c>
      <c r="I3" s="186" t="n">
        <v>0</v>
      </c>
      <c r="J3" s="187" t="inlineStr">
        <is>
          <t>N/A</t>
        </is>
      </c>
      <c r="K3" s="185" t="n">
        <v>0</v>
      </c>
      <c r="L3" s="186" t="n">
        <v>0</v>
      </c>
      <c r="M3" s="185" t="n">
        <v>0</v>
      </c>
      <c r="N3" s="188" t="n"/>
      <c r="O3" s="186" t="n">
        <v>482153.19713486</v>
      </c>
      <c r="P3" s="189" t="n">
        <v>0</v>
      </c>
      <c r="Q3" s="184" t="inlineStr">
        <is>
          <t>N/A</t>
        </is>
      </c>
      <c r="R3" s="186" t="n">
        <v>0</v>
      </c>
      <c r="S3" s="185" t="n">
        <v>0</v>
      </c>
      <c r="T3" s="186" t="n">
        <v>0</v>
      </c>
      <c r="U3" s="190" t="n"/>
      <c r="V3" s="185" t="n">
        <v>0</v>
      </c>
      <c r="W3" s="185" t="n">
        <v>0</v>
      </c>
      <c r="X3" s="185" t="n">
        <v>0</v>
      </c>
      <c r="Y3" s="191" t="inlineStr">
        <is>
          <t>✓</t>
        </is>
      </c>
      <c r="Z3" s="192" t="inlineStr"/>
      <c r="AA3" s="192" t="inlineStr"/>
    </row>
    <row r="4" ht="15" customHeight="1">
      <c r="A4" s="182" t="n">
        <v>2027</v>
      </c>
      <c r="B4" s="183" t="n">
        <v>65</v>
      </c>
      <c r="C4" s="182" t="n">
        <v>66</v>
      </c>
      <c r="D4" s="184" t="inlineStr">
        <is>
          <t>MFJ</t>
        </is>
      </c>
      <c r="E4" s="184" t="inlineStr">
        <is>
          <t>ALIVE</t>
        </is>
      </c>
      <c r="F4" s="184" t="inlineStr">
        <is>
          <t>ALIVE</t>
        </is>
      </c>
      <c r="G4" s="185" t="n">
        <v>1464323.531788851</v>
      </c>
      <c r="H4" s="185" t="n">
        <v>40206.8419816431</v>
      </c>
      <c r="I4" s="186" t="n">
        <v>0</v>
      </c>
      <c r="J4" s="187" t="inlineStr">
        <is>
          <t>N/A</t>
        </is>
      </c>
      <c r="K4" s="185" t="n">
        <v>47766.04469797487</v>
      </c>
      <c r="L4" s="186" t="n">
        <v>0</v>
      </c>
      <c r="M4" s="185" t="n">
        <v>47766.04469797487</v>
      </c>
      <c r="N4" s="188" t="n">
        <v>0</v>
      </c>
      <c r="O4" s="186" t="n">
        <v>323216.4196972499</v>
      </c>
      <c r="P4" s="189" t="n">
        <v>0</v>
      </c>
      <c r="Q4" s="184" t="inlineStr">
        <is>
          <t>N/A</t>
        </is>
      </c>
      <c r="R4" s="186" t="n">
        <v>10543.27791312477</v>
      </c>
      <c r="S4" s="185" t="n">
        <v>166688.7685639524</v>
      </c>
      <c r="T4" s="186" t="n">
        <v>177232.0464770771</v>
      </c>
      <c r="U4" s="190" t="n">
        <v>0</v>
      </c>
      <c r="V4" s="185" t="n">
        <v>0</v>
      </c>
      <c r="W4" s="185" t="n">
        <v>58309.32261109965</v>
      </c>
      <c r="X4" s="185" t="n">
        <v>224998.091175052</v>
      </c>
      <c r="Y4" s="191" t="inlineStr">
        <is>
          <t>✓</t>
        </is>
      </c>
      <c r="Z4" s="192" t="inlineStr"/>
      <c r="AA4" s="192" t="inlineStr"/>
    </row>
    <row r="5" ht="15" customHeight="1">
      <c r="A5" s="182" t="n">
        <v>2028</v>
      </c>
      <c r="B5" s="183" t="n">
        <v>66</v>
      </c>
      <c r="C5" s="182" t="n">
        <v>67</v>
      </c>
      <c r="D5" s="184" t="inlineStr">
        <is>
          <t>MFJ</t>
        </is>
      </c>
      <c r="E5" s="184" t="inlineStr">
        <is>
          <t>ALIVE</t>
        </is>
      </c>
      <c r="F5" s="184" t="inlineStr">
        <is>
          <t>ALIVE</t>
        </is>
      </c>
      <c r="G5" s="185" t="n">
        <v>1495692.945245416</v>
      </c>
      <c r="H5" s="185" t="n">
        <v>41068.17147783998</v>
      </c>
      <c r="I5" s="186" t="n">
        <v>0</v>
      </c>
      <c r="J5" s="187" t="inlineStr">
        <is>
          <t>N/A</t>
        </is>
      </c>
      <c r="K5" s="185" t="n">
        <v>53292.45136864739</v>
      </c>
      <c r="L5" s="186" t="n">
        <v>0</v>
      </c>
      <c r="M5" s="185" t="n">
        <v>53292.45136864739</v>
      </c>
      <c r="N5" s="188" t="n">
        <v>0</v>
      </c>
      <c r="O5" s="186" t="n">
        <v>173532.1744014696</v>
      </c>
      <c r="P5" s="189" t="n">
        <v>0</v>
      </c>
      <c r="Q5" s="184" t="inlineStr">
        <is>
          <t>N/A</t>
        </is>
      </c>
      <c r="R5" s="186" t="n">
        <v>6183.057153932444</v>
      </c>
      <c r="S5" s="185" t="n">
        <v>153323.764051365</v>
      </c>
      <c r="T5" s="186" t="n">
        <v>159506.8212052975</v>
      </c>
      <c r="U5" s="190" t="n">
        <v>0</v>
      </c>
      <c r="V5" s="185" t="n">
        <v>0</v>
      </c>
      <c r="W5" s="185" t="n">
        <v>59475.50852257983</v>
      </c>
      <c r="X5" s="185" t="n">
        <v>212799.2725739449</v>
      </c>
      <c r="Y5" s="191" t="inlineStr">
        <is>
          <t>✓</t>
        </is>
      </c>
      <c r="Z5" s="192" t="inlineStr"/>
      <c r="AA5" s="192" t="inlineStr"/>
    </row>
    <row r="6" ht="15" customHeight="1">
      <c r="A6" s="182" t="n">
        <v>2029</v>
      </c>
      <c r="B6" s="183" t="n">
        <v>67</v>
      </c>
      <c r="C6" s="182" t="n">
        <v>68</v>
      </c>
      <c r="D6" s="184" t="inlineStr">
        <is>
          <t>MFJ</t>
        </is>
      </c>
      <c r="E6" s="184" t="inlineStr">
        <is>
          <t>ALIVE</t>
        </is>
      </c>
      <c r="F6" s="184" t="inlineStr">
        <is>
          <t>ALIVE</t>
        </is>
      </c>
      <c r="G6" s="185" t="n">
        <v>1521887.796165002</v>
      </c>
      <c r="H6" s="185" t="n">
        <v>41787.41979202221</v>
      </c>
      <c r="I6" s="186" t="n">
        <v>0</v>
      </c>
      <c r="J6" s="187" t="inlineStr">
        <is>
          <t>N/A</t>
        </is>
      </c>
      <c r="K6" s="185" t="n">
        <v>59949.74131616871</v>
      </c>
      <c r="L6" s="186" t="n">
        <v>0</v>
      </c>
      <c r="M6" s="185" t="n">
        <v>59949.74131616871</v>
      </c>
      <c r="N6" s="188" t="n">
        <v>0</v>
      </c>
      <c r="O6" s="186" t="n">
        <v>92259.79906398551</v>
      </c>
      <c r="P6" s="189" t="n">
        <v>0</v>
      </c>
      <c r="Q6" s="184" t="inlineStr">
        <is>
          <t>N/A</t>
        </is>
      </c>
      <c r="R6" s="186" t="n">
        <v>3634.269951901221</v>
      </c>
      <c r="S6" s="185" t="n">
        <v>82860.35816278958</v>
      </c>
      <c r="T6" s="186" t="n">
        <v>86494.6281146908</v>
      </c>
      <c r="U6" s="190" t="n">
        <v>0</v>
      </c>
      <c r="V6" s="185" t="n">
        <v>0</v>
      </c>
      <c r="W6" s="185" t="n">
        <v>63584.01126806994</v>
      </c>
      <c r="X6" s="185" t="n">
        <v>146444.3694308595</v>
      </c>
      <c r="Y6" s="191" t="inlineStr">
        <is>
          <t>✓</t>
        </is>
      </c>
      <c r="Z6" s="192" t="inlineStr"/>
      <c r="AA6" s="192" t="inlineStr"/>
    </row>
    <row r="7" ht="15" customHeight="1">
      <c r="A7" s="182" t="n">
        <v>2030</v>
      </c>
      <c r="B7" s="183" t="n">
        <v>68</v>
      </c>
      <c r="C7" s="182" t="n">
        <v>69</v>
      </c>
      <c r="D7" s="184" t="inlineStr">
        <is>
          <t>MFJ</t>
        </is>
      </c>
      <c r="E7" s="184" t="inlineStr">
        <is>
          <t>ALIVE</t>
        </is>
      </c>
      <c r="F7" s="184" t="inlineStr">
        <is>
          <t>ALIVE</t>
        </is>
      </c>
      <c r="G7" s="185" t="n">
        <v>1491201.805008892</v>
      </c>
      <c r="H7" s="185" t="n">
        <v>0</v>
      </c>
      <c r="I7" s="186" t="n">
        <v>0</v>
      </c>
      <c r="J7" s="187" t="inlineStr">
        <is>
          <t>N/A</t>
        </is>
      </c>
      <c r="K7" s="185" t="n">
        <v>114119.0451801116</v>
      </c>
      <c r="L7" s="186" t="n">
        <v>974.5953161246871</v>
      </c>
      <c r="M7" s="185" t="n">
        <v>115093.6404962363</v>
      </c>
      <c r="N7" s="188" t="n">
        <v>0</v>
      </c>
      <c r="O7" s="186" t="n">
        <v>0</v>
      </c>
      <c r="P7" s="189" t="n">
        <v>0</v>
      </c>
      <c r="Q7" s="184" t="inlineStr">
        <is>
          <t>N/A</t>
        </is>
      </c>
      <c r="R7" s="186" t="n">
        <v>0</v>
      </c>
      <c r="S7" s="185" t="n">
        <v>92259.79906398551</v>
      </c>
      <c r="T7" s="186" t="n">
        <v>92259.79906398551</v>
      </c>
      <c r="U7" s="190" t="n"/>
      <c r="V7" s="185" t="n">
        <v>0</v>
      </c>
      <c r="W7" s="185" t="n">
        <v>114119.0451801116</v>
      </c>
      <c r="X7" s="185" t="n">
        <v>207353.4395602218</v>
      </c>
      <c r="Y7" s="191" t="inlineStr">
        <is>
          <t>✓</t>
        </is>
      </c>
      <c r="Z7" s="192" t="inlineStr"/>
      <c r="AA7" s="184" t="inlineStr">
        <is>
          <t>workplace plan rollover</t>
        </is>
      </c>
    </row>
    <row r="8" ht="15" customHeight="1">
      <c r="A8" s="182" t="n">
        <v>2031</v>
      </c>
      <c r="B8" s="183" t="n">
        <v>69</v>
      </c>
      <c r="C8" s="182" t="n">
        <v>70</v>
      </c>
      <c r="D8" s="184" t="inlineStr">
        <is>
          <t>MFJ</t>
        </is>
      </c>
      <c r="E8" s="184" t="inlineStr">
        <is>
          <t>ALIVE</t>
        </is>
      </c>
      <c r="F8" s="184" t="inlineStr">
        <is>
          <t>ALIVE</t>
        </is>
      </c>
      <c r="G8" s="185" t="n">
        <v>1390819.486806385</v>
      </c>
      <c r="H8" s="185" t="n">
        <v>0</v>
      </c>
      <c r="I8" s="186" t="n">
        <v>0</v>
      </c>
      <c r="J8" s="187" t="inlineStr">
        <is>
          <t>N/A</t>
        </is>
      </c>
      <c r="K8" s="185" t="n">
        <v>116956.6250900172</v>
      </c>
      <c r="L8" s="186" t="n">
        <v>62151.3244411526</v>
      </c>
      <c r="M8" s="185" t="n">
        <v>179107.9495311698</v>
      </c>
      <c r="N8" s="188" t="n">
        <v>0</v>
      </c>
      <c r="O8" s="186" t="n">
        <v>0</v>
      </c>
      <c r="P8" s="189" t="n">
        <v>0</v>
      </c>
      <c r="Q8" s="184" t="inlineStr">
        <is>
          <t>N/A</t>
        </is>
      </c>
      <c r="R8" s="186" t="n">
        <v>0</v>
      </c>
      <c r="S8" s="185" t="n">
        <v>0</v>
      </c>
      <c r="T8" s="186" t="n">
        <v>0</v>
      </c>
      <c r="U8" s="190" t="n"/>
      <c r="V8" s="185" t="n">
        <v>0</v>
      </c>
      <c r="W8" s="185" t="n">
        <v>116956.6250900172</v>
      </c>
      <c r="X8" s="185" t="n">
        <v>179107.9495311698</v>
      </c>
      <c r="Y8" s="191" t="inlineStr">
        <is>
          <t>✓</t>
        </is>
      </c>
      <c r="Z8" s="192" t="inlineStr"/>
      <c r="AA8" s="192" t="inlineStr"/>
    </row>
    <row r="9" ht="15" customHeight="1">
      <c r="A9" s="182" t="n">
        <v>2032</v>
      </c>
      <c r="B9" s="183" t="n">
        <v>70</v>
      </c>
      <c r="C9" s="182" t="n">
        <v>71</v>
      </c>
      <c r="D9" s="184" t="inlineStr">
        <is>
          <t>MFJ</t>
        </is>
      </c>
      <c r="E9" s="184" t="inlineStr">
        <is>
          <t>ALIVE</t>
        </is>
      </c>
      <c r="F9" s="184" t="inlineStr">
        <is>
          <t>ALIVE</t>
        </is>
      </c>
      <c r="G9" s="185" t="n">
        <v>1194968.591108165</v>
      </c>
      <c r="H9" s="185" t="n">
        <v>0</v>
      </c>
      <c r="I9" s="186" t="n">
        <v>0</v>
      </c>
      <c r="J9" s="187" t="inlineStr">
        <is>
          <t>N/A</t>
        </is>
      </c>
      <c r="K9" s="185" t="n">
        <v>218960.3380735459</v>
      </c>
      <c r="L9" s="186" t="n">
        <v>44530.28919683411</v>
      </c>
      <c r="M9" s="185" t="n">
        <v>263490.62727038</v>
      </c>
      <c r="N9" s="188" t="n">
        <v>0</v>
      </c>
      <c r="O9" s="186" t="n">
        <v>0</v>
      </c>
      <c r="P9" s="189" t="n">
        <v>0</v>
      </c>
      <c r="Q9" s="184" t="inlineStr">
        <is>
          <t>N/A</t>
        </is>
      </c>
      <c r="R9" s="186" t="n">
        <v>0</v>
      </c>
      <c r="S9" s="185" t="n">
        <v>0</v>
      </c>
      <c r="T9" s="186" t="n">
        <v>0</v>
      </c>
      <c r="U9" s="190" t="n"/>
      <c r="V9" s="185" t="n">
        <v>0</v>
      </c>
      <c r="W9" s="185" t="n">
        <v>218960.3380735459</v>
      </c>
      <c r="X9" s="185" t="n">
        <v>263490.62727038</v>
      </c>
      <c r="Y9" s="191" t="inlineStr">
        <is>
          <t>✓</t>
        </is>
      </c>
      <c r="Z9" s="192" t="inlineStr"/>
      <c r="AA9" s="192" t="inlineStr"/>
    </row>
    <row r="10" ht="15" customHeight="1">
      <c r="A10" s="182" t="n">
        <v>2033</v>
      </c>
      <c r="B10" s="183" t="n">
        <v>71</v>
      </c>
      <c r="C10" s="182" t="n">
        <v>72</v>
      </c>
      <c r="D10" s="184" t="inlineStr">
        <is>
          <t>MFJ</t>
        </is>
      </c>
      <c r="E10" s="184" t="inlineStr">
        <is>
          <t>ALIVE</t>
        </is>
      </c>
      <c r="F10" s="184" t="inlineStr">
        <is>
          <t>ALIVE</t>
        </is>
      </c>
      <c r="G10" s="185" t="n">
        <v>1104685.825796226</v>
      </c>
      <c r="H10" s="185" t="n">
        <v>0</v>
      </c>
      <c r="I10" s="186" t="n">
        <v>0</v>
      </c>
      <c r="J10" s="187" t="inlineStr">
        <is>
          <t>N/A</t>
        </is>
      </c>
      <c r="K10" s="185" t="n">
        <v>102254.4701944376</v>
      </c>
      <c r="L10" s="186" t="n">
        <v>50557.68148332619</v>
      </c>
      <c r="M10" s="185" t="n">
        <v>152812.1516777638</v>
      </c>
      <c r="N10" s="188" t="n">
        <v>0</v>
      </c>
      <c r="O10" s="186" t="n">
        <v>0</v>
      </c>
      <c r="P10" s="189" t="n">
        <v>0</v>
      </c>
      <c r="Q10" s="184" t="inlineStr">
        <is>
          <t>N/A</t>
        </is>
      </c>
      <c r="R10" s="186" t="n">
        <v>0</v>
      </c>
      <c r="S10" s="185" t="n">
        <v>0</v>
      </c>
      <c r="T10" s="186" t="n">
        <v>0</v>
      </c>
      <c r="U10" s="190" t="n"/>
      <c r="V10" s="185" t="n">
        <v>0</v>
      </c>
      <c r="W10" s="185" t="n">
        <v>102254.4701944376</v>
      </c>
      <c r="X10" s="185" t="n">
        <v>152812.1516777638</v>
      </c>
      <c r="Y10" s="191" t="inlineStr">
        <is>
          <t>✓</t>
        </is>
      </c>
      <c r="Z10" s="192" t="inlineStr"/>
      <c r="AA10" s="192" t="inlineStr"/>
    </row>
    <row r="11" ht="15" customHeight="1">
      <c r="A11" s="182" t="n">
        <v>2034</v>
      </c>
      <c r="B11" s="183" t="n">
        <v>72</v>
      </c>
      <c r="C11" s="182" t="n">
        <v>73</v>
      </c>
      <c r="D11" s="184" t="inlineStr">
        <is>
          <t>MFJ</t>
        </is>
      </c>
      <c r="E11" s="184" t="inlineStr">
        <is>
          <t>ALIVE</t>
        </is>
      </c>
      <c r="F11" s="184" t="inlineStr">
        <is>
          <t>ALIVE</t>
        </is>
      </c>
      <c r="G11" s="185" t="n">
        <v>909455.4718179952</v>
      </c>
      <c r="H11" s="185" t="n">
        <v>0</v>
      </c>
      <c r="I11" s="186" t="n">
        <v>0</v>
      </c>
      <c r="J11" s="187" t="inlineStr">
        <is>
          <t>N/A</t>
        </is>
      </c>
      <c r="K11" s="185" t="n">
        <v>190093.8647446176</v>
      </c>
      <c r="L11" s="186" t="n">
        <v>56615.1008459524</v>
      </c>
      <c r="M11" s="185" t="n">
        <v>246708.96559057</v>
      </c>
      <c r="N11" s="188" t="n">
        <v>0</v>
      </c>
      <c r="O11" s="186" t="n">
        <v>0</v>
      </c>
      <c r="P11" s="189" t="n">
        <v>0</v>
      </c>
      <c r="Q11" s="184" t="inlineStr">
        <is>
          <t>N/A</t>
        </is>
      </c>
      <c r="R11" s="186" t="n">
        <v>0</v>
      </c>
      <c r="S11" s="185" t="n">
        <v>0</v>
      </c>
      <c r="T11" s="186" t="n">
        <v>0</v>
      </c>
      <c r="U11" s="190" t="n"/>
      <c r="V11" s="185" t="n">
        <v>0</v>
      </c>
      <c r="W11" s="185" t="n">
        <v>190093.8647446176</v>
      </c>
      <c r="X11" s="185" t="n">
        <v>246708.96559057</v>
      </c>
      <c r="Y11" s="191" t="inlineStr">
        <is>
          <t>✓</t>
        </is>
      </c>
      <c r="Z11" s="192" t="inlineStr"/>
      <c r="AA11" s="192" t="inlineStr"/>
    </row>
    <row r="12" ht="15" customHeight="1">
      <c r="A12" s="182" t="n">
        <v>2035</v>
      </c>
      <c r="B12" s="183" t="n">
        <v>73</v>
      </c>
      <c r="C12" s="182" t="n">
        <v>74</v>
      </c>
      <c r="D12" s="184" t="inlineStr">
        <is>
          <t>MFJ</t>
        </is>
      </c>
      <c r="E12" s="184" t="inlineStr">
        <is>
          <t>ALIVE</t>
        </is>
      </c>
      <c r="F12" s="184" t="inlineStr">
        <is>
          <t>ALIVE</t>
        </is>
      </c>
      <c r="G12" s="185" t="n">
        <v>745107.6488641477</v>
      </c>
      <c r="H12" s="185" t="n">
        <v>0</v>
      </c>
      <c r="I12" s="186" t="n">
        <v>0</v>
      </c>
      <c r="J12" s="187" t="inlineStr">
        <is>
          <t>N/A</t>
        </is>
      </c>
      <c r="K12" s="185" t="n">
        <v>149196.6302948706</v>
      </c>
      <c r="L12" s="186" t="n">
        <v>57327.09731166446</v>
      </c>
      <c r="M12" s="185" t="n">
        <v>206523.727606535</v>
      </c>
      <c r="N12" s="188" t="n">
        <v>0</v>
      </c>
      <c r="O12" s="186" t="n">
        <v>0</v>
      </c>
      <c r="P12" s="189" t="n">
        <v>0</v>
      </c>
      <c r="Q12" s="184" t="inlineStr">
        <is>
          <t>N/A</t>
        </is>
      </c>
      <c r="R12" s="186" t="n">
        <v>0</v>
      </c>
      <c r="S12" s="185" t="n">
        <v>0</v>
      </c>
      <c r="T12" s="186" t="n">
        <v>0</v>
      </c>
      <c r="U12" s="190" t="n"/>
      <c r="V12" s="185" t="n">
        <v>0</v>
      </c>
      <c r="W12" s="185" t="n">
        <v>149196.6302948706</v>
      </c>
      <c r="X12" s="185" t="n">
        <v>206523.727606535</v>
      </c>
      <c r="Y12" s="191" t="inlineStr">
        <is>
          <t>✓</t>
        </is>
      </c>
      <c r="Z12" s="192" t="inlineStr"/>
      <c r="AA12" s="192" t="inlineStr"/>
    </row>
    <row r="13" ht="15" customHeight="1">
      <c r="A13" s="182" t="n">
        <v>2036</v>
      </c>
      <c r="B13" s="183" t="n">
        <v>74</v>
      </c>
      <c r="C13" s="182" t="n">
        <v>75</v>
      </c>
      <c r="D13" s="184" t="inlineStr">
        <is>
          <t>MFJ</t>
        </is>
      </c>
      <c r="E13" s="184" t="inlineStr">
        <is>
          <t>ALIVE</t>
        </is>
      </c>
      <c r="F13" s="184" t="inlineStr">
        <is>
          <t>ALIVE</t>
        </is>
      </c>
      <c r="G13" s="185" t="n">
        <v>648684.4819791964</v>
      </c>
      <c r="H13" s="185" t="n">
        <v>0</v>
      </c>
      <c r="I13" s="186" t="n">
        <v>0</v>
      </c>
      <c r="J13" s="187" t="inlineStr">
        <is>
          <t>N/A</t>
        </is>
      </c>
      <c r="K13" s="185" t="n">
        <v>133141.1564309435</v>
      </c>
      <c r="L13" s="186" t="n">
        <v>0</v>
      </c>
      <c r="M13" s="185" t="n">
        <v>133141.1564309435</v>
      </c>
      <c r="N13" s="188" t="n">
        <v>0</v>
      </c>
      <c r="O13" s="186" t="n">
        <v>0</v>
      </c>
      <c r="P13" s="189" t="n">
        <v>0</v>
      </c>
      <c r="Q13" s="184" t="inlineStr">
        <is>
          <t>✓</t>
        </is>
      </c>
      <c r="R13" s="186" t="n">
        <v>0</v>
      </c>
      <c r="S13" s="185" t="n">
        <v>0</v>
      </c>
      <c r="T13" s="186" t="n">
        <v>0</v>
      </c>
      <c r="U13" s="190" t="n"/>
      <c r="V13" s="185" t="n">
        <v>0</v>
      </c>
      <c r="W13" s="185" t="n">
        <v>133141.1564309435</v>
      </c>
      <c r="X13" s="185" t="n">
        <v>133141.1564309435</v>
      </c>
      <c r="Y13" s="191" t="inlineStr">
        <is>
          <t>✓</t>
        </is>
      </c>
      <c r="Z13" s="192" t="inlineStr"/>
      <c r="AA13" s="192" t="inlineStr"/>
    </row>
    <row r="14" ht="30" customHeight="1">
      <c r="A14" s="193" t="n">
        <v>2037</v>
      </c>
      <c r="B14" s="193" t="n">
        <v>75</v>
      </c>
      <c r="C14" s="193" t="n">
        <v>76</v>
      </c>
      <c r="D14" s="191" t="inlineStr">
        <is>
          <t>MFJ</t>
        </is>
      </c>
      <c r="E14" s="191" t="inlineStr">
        <is>
          <t>ALIVE</t>
        </is>
      </c>
      <c r="F14" s="191" t="inlineStr">
        <is>
          <t>ALIVE</t>
        </is>
      </c>
      <c r="G14" s="194" t="n">
        <v>536289.7273093145</v>
      </c>
      <c r="H14" s="194" t="n">
        <v>0</v>
      </c>
      <c r="I14" s="195" t="n">
        <v>26369.28788533319</v>
      </c>
      <c r="J14" s="191" t="inlineStr">
        <is>
          <t>✓</t>
        </is>
      </c>
      <c r="K14" s="194" t="n">
        <v>116381.489085076</v>
      </c>
      <c r="L14" s="195" t="n">
        <v>0</v>
      </c>
      <c r="M14" s="194" t="n">
        <v>142750.7769704091</v>
      </c>
      <c r="N14" s="196" t="n">
        <v>0.1847225524439652</v>
      </c>
      <c r="O14" s="195" t="n">
        <v>0</v>
      </c>
      <c r="P14" s="197" t="n">
        <v>0</v>
      </c>
      <c r="Q14" s="191" t="inlineStr">
        <is>
          <t>✓</t>
        </is>
      </c>
      <c r="R14" s="195" t="n">
        <v>0</v>
      </c>
      <c r="S14" s="194" t="n">
        <v>0</v>
      </c>
      <c r="T14" s="195" t="n">
        <v>0</v>
      </c>
      <c r="U14" s="198" t="n"/>
      <c r="V14" s="194" t="n">
        <v>26369.28788533319</v>
      </c>
      <c r="W14" s="194" t="n">
        <v>142750.7769704091</v>
      </c>
      <c r="X14" s="194" t="n">
        <v>142750.7769704091</v>
      </c>
      <c r="Y14" s="191" t="inlineStr">
        <is>
          <t>✓</t>
        </is>
      </c>
      <c r="Z14" s="199" t="inlineStr"/>
      <c r="AA14" s="191" t="inlineStr">
        <is>
          <t>H: RMD $26,369 + Elec $116,381</t>
        </is>
      </c>
    </row>
    <row r="15" ht="45" customHeight="1">
      <c r="A15" s="193" t="n">
        <v>2038</v>
      </c>
      <c r="B15" s="193" t="n">
        <v>76</v>
      </c>
      <c r="C15" s="193" t="n">
        <v>77</v>
      </c>
      <c r="D15" s="191" t="inlineStr">
        <is>
          <t>MFJ</t>
        </is>
      </c>
      <c r="E15" s="191" t="inlineStr">
        <is>
          <t>ALIVE</t>
        </is>
      </c>
      <c r="F15" s="191" t="inlineStr">
        <is>
          <t>ALIVE</t>
        </is>
      </c>
      <c r="G15" s="194" t="n">
        <v>406756.9593910935</v>
      </c>
      <c r="H15" s="194" t="n">
        <v>0</v>
      </c>
      <c r="I15" s="195" t="n">
        <v>22628.258536258</v>
      </c>
      <c r="J15" s="191" t="inlineStr">
        <is>
          <t>✓</t>
        </is>
      </c>
      <c r="K15" s="194" t="n">
        <v>129928.4882154211</v>
      </c>
      <c r="L15" s="195" t="n">
        <v>0</v>
      </c>
      <c r="M15" s="194" t="n">
        <v>152556.7467516791</v>
      </c>
      <c r="N15" s="196" t="n">
        <v>0.1483268293148034</v>
      </c>
      <c r="O15" s="195" t="n">
        <v>0</v>
      </c>
      <c r="P15" s="197" t="n">
        <v>0</v>
      </c>
      <c r="Q15" s="191" t="inlineStr">
        <is>
          <t>✓</t>
        </is>
      </c>
      <c r="R15" s="195" t="n">
        <v>0</v>
      </c>
      <c r="S15" s="194" t="n">
        <v>0</v>
      </c>
      <c r="T15" s="195" t="n">
        <v>0</v>
      </c>
      <c r="U15" s="198" t="n"/>
      <c r="V15" s="194" t="n">
        <v>22628.258536258</v>
      </c>
      <c r="W15" s="194" t="n">
        <v>152556.7467516791</v>
      </c>
      <c r="X15" s="194" t="n">
        <v>152556.7467516791</v>
      </c>
      <c r="Y15" s="191" t="inlineStr">
        <is>
          <t>✓</t>
        </is>
      </c>
      <c r="Z15" s="199" t="inlineStr"/>
      <c r="AA15" s="191" t="inlineStr">
        <is>
          <t>H: RMD $22,628 + Elec $129,928</t>
        </is>
      </c>
    </row>
    <row r="16" ht="45" customHeight="1">
      <c r="A16" s="193" t="n">
        <v>2039</v>
      </c>
      <c r="B16" s="193" t="n">
        <v>77</v>
      </c>
      <c r="C16" s="193" t="n">
        <v>78</v>
      </c>
      <c r="D16" s="191" t="inlineStr">
        <is>
          <t>MFJ</t>
        </is>
      </c>
      <c r="E16" s="191" t="inlineStr">
        <is>
          <t>ALIVE</t>
        </is>
      </c>
      <c r="F16" s="191" t="inlineStr">
        <is>
          <t>ALIVE</t>
        </is>
      </c>
      <c r="G16" s="194" t="n">
        <v>258861.1595584564</v>
      </c>
      <c r="H16" s="194" t="n">
        <v>0</v>
      </c>
      <c r="I16" s="195" t="n">
        <v>17762.31263716565</v>
      </c>
      <c r="J16" s="191" t="inlineStr">
        <is>
          <t>✓</t>
        </is>
      </c>
      <c r="K16" s="194" t="n">
        <v>144786.0056610444</v>
      </c>
      <c r="L16" s="195" t="n">
        <v>0</v>
      </c>
      <c r="M16" s="194" t="n">
        <v>162548.3182982101</v>
      </c>
      <c r="N16" s="196" t="n">
        <v>0.1092740473917364</v>
      </c>
      <c r="O16" s="195" t="n">
        <v>0</v>
      </c>
      <c r="P16" s="197" t="n">
        <v>0</v>
      </c>
      <c r="Q16" s="191" t="inlineStr">
        <is>
          <t>✓</t>
        </is>
      </c>
      <c r="R16" s="195" t="n">
        <v>0</v>
      </c>
      <c r="S16" s="194" t="n">
        <v>0</v>
      </c>
      <c r="T16" s="195" t="n">
        <v>0</v>
      </c>
      <c r="U16" s="198" t="n"/>
      <c r="V16" s="194" t="n">
        <v>17762.31263716565</v>
      </c>
      <c r="W16" s="194" t="n">
        <v>162548.3182982101</v>
      </c>
      <c r="X16" s="194" t="n">
        <v>162548.3182982101</v>
      </c>
      <c r="Y16" s="191" t="inlineStr">
        <is>
          <t>✓</t>
        </is>
      </c>
      <c r="Z16" s="199" t="inlineStr"/>
      <c r="AA16" s="191" t="inlineStr">
        <is>
          <t>H: RMD $17,762 + Elec $144,786</t>
        </is>
      </c>
    </row>
    <row r="17" ht="45" customHeight="1">
      <c r="A17" s="193" t="n">
        <v>2040</v>
      </c>
      <c r="B17" s="193" t="n">
        <v>78</v>
      </c>
      <c r="C17" s="193" t="n">
        <v>79</v>
      </c>
      <c r="D17" s="191" t="inlineStr">
        <is>
          <t>MFJ</t>
        </is>
      </c>
      <c r="E17" s="191" t="inlineStr">
        <is>
          <t>ALIVE</t>
        </is>
      </c>
      <c r="F17" s="191" t="inlineStr">
        <is>
          <t>ALIVE</t>
        </is>
      </c>
      <c r="G17" s="194" t="n">
        <v>91284.24346622778</v>
      </c>
      <c r="H17" s="194" t="n">
        <v>0</v>
      </c>
      <c r="I17" s="195" t="n">
        <v>11766.4163435662</v>
      </c>
      <c r="J17" s="191" t="inlineStr">
        <is>
          <t>✓</t>
        </is>
      </c>
      <c r="K17" s="194" t="n">
        <v>160977.5323976941</v>
      </c>
      <c r="L17" s="195" t="n">
        <v>0</v>
      </c>
      <c r="M17" s="194" t="n">
        <v>172743.9487412603</v>
      </c>
      <c r="N17" s="196" t="n">
        <v>0.06811478161350933</v>
      </c>
      <c r="O17" s="195" t="n">
        <v>0</v>
      </c>
      <c r="P17" s="197" t="n">
        <v>0</v>
      </c>
      <c r="Q17" s="191" t="inlineStr">
        <is>
          <t>✓</t>
        </is>
      </c>
      <c r="R17" s="195" t="n">
        <v>0</v>
      </c>
      <c r="S17" s="194" t="n">
        <v>0</v>
      </c>
      <c r="T17" s="195" t="n">
        <v>0</v>
      </c>
      <c r="U17" s="198" t="n"/>
      <c r="V17" s="194" t="n">
        <v>11766.4163435662</v>
      </c>
      <c r="W17" s="194" t="n">
        <v>172743.9487412603</v>
      </c>
      <c r="X17" s="194" t="n">
        <v>172743.9487412603</v>
      </c>
      <c r="Y17" s="191" t="inlineStr">
        <is>
          <t>✓</t>
        </is>
      </c>
      <c r="Z17" s="199" t="inlineStr"/>
      <c r="AA17" s="191" t="inlineStr">
        <is>
          <t>H: RMD $11,766 + Elec $160,978</t>
        </is>
      </c>
    </row>
    <row r="18" ht="45" customHeight="1">
      <c r="A18" s="193" t="n">
        <v>2041</v>
      </c>
      <c r="B18" s="193" t="n">
        <v>79</v>
      </c>
      <c r="C18" s="193" t="n">
        <v>80</v>
      </c>
      <c r="D18" s="191" t="inlineStr">
        <is>
          <t>MFJ</t>
        </is>
      </c>
      <c r="E18" s="191" t="inlineStr">
        <is>
          <t>ALIVE</t>
        </is>
      </c>
      <c r="F18" s="191" t="inlineStr">
        <is>
          <t>ALIVE</t>
        </is>
      </c>
      <c r="G18" s="194" t="n">
        <v>0</v>
      </c>
      <c r="H18" s="194" t="n">
        <v>0</v>
      </c>
      <c r="I18" s="195" t="n">
        <v>4326.267462854397</v>
      </c>
      <c r="J18" s="191" t="inlineStr">
        <is>
          <t>✓</t>
        </is>
      </c>
      <c r="K18" s="194" t="n">
        <v>86957.97600337339</v>
      </c>
      <c r="L18" s="195" t="n">
        <v>0</v>
      </c>
      <c r="M18" s="194" t="n">
        <v>91284.24346622778</v>
      </c>
      <c r="N18" s="196" t="n">
        <v>0.04739336492890996</v>
      </c>
      <c r="O18" s="195" t="n">
        <v>0</v>
      </c>
      <c r="P18" s="197" t="n">
        <v>0</v>
      </c>
      <c r="Q18" s="191" t="inlineStr">
        <is>
          <t>✓</t>
        </is>
      </c>
      <c r="R18" s="195" t="n">
        <v>0</v>
      </c>
      <c r="S18" s="194" t="n">
        <v>0</v>
      </c>
      <c r="T18" s="195" t="n">
        <v>0</v>
      </c>
      <c r="U18" s="198" t="n"/>
      <c r="V18" s="194" t="n">
        <v>4326.267462854397</v>
      </c>
      <c r="W18" s="194" t="n">
        <v>91284.24346622778</v>
      </c>
      <c r="X18" s="194" t="n">
        <v>91284.24346622778</v>
      </c>
      <c r="Y18" s="191" t="inlineStr">
        <is>
          <t>✓</t>
        </is>
      </c>
      <c r="Z18" s="199" t="inlineStr"/>
      <c r="AA18" s="191" t="inlineStr">
        <is>
          <t>H: RMD $4,326 + Elec $86,958</t>
        </is>
      </c>
    </row>
    <row r="19" ht="15" customHeight="1">
      <c r="A19" s="182" t="n">
        <v>2042</v>
      </c>
      <c r="B19" s="183" t="n">
        <v>80</v>
      </c>
      <c r="C19" s="182" t="n">
        <v>81</v>
      </c>
      <c r="D19" s="184" t="inlineStr">
        <is>
          <t>MFJ</t>
        </is>
      </c>
      <c r="E19" s="184" t="inlineStr">
        <is>
          <t>ALIVE</t>
        </is>
      </c>
      <c r="F19" s="184" t="inlineStr">
        <is>
          <t>ALIVE</t>
        </is>
      </c>
      <c r="G19" s="185" t="n">
        <v>0</v>
      </c>
      <c r="H19" s="185" t="n">
        <v>0</v>
      </c>
      <c r="I19" s="186" t="n">
        <v>0</v>
      </c>
      <c r="J19" s="191" t="inlineStr">
        <is>
          <t>✓</t>
        </is>
      </c>
      <c r="K19" s="185" t="n">
        <v>0</v>
      </c>
      <c r="L19" s="186" t="n">
        <v>0</v>
      </c>
      <c r="M19" s="185" t="n">
        <v>0</v>
      </c>
      <c r="N19" s="188" t="n"/>
      <c r="O19" s="186" t="n">
        <v>0</v>
      </c>
      <c r="P19" s="189" t="n">
        <v>0</v>
      </c>
      <c r="Q19" s="184" t="inlineStr">
        <is>
          <t>✓</t>
        </is>
      </c>
      <c r="R19" s="186" t="n">
        <v>0</v>
      </c>
      <c r="S19" s="185" t="n">
        <v>0</v>
      </c>
      <c r="T19" s="186" t="n">
        <v>0</v>
      </c>
      <c r="U19" s="190" t="n"/>
      <c r="V19" s="185" t="n">
        <v>0</v>
      </c>
      <c r="W19" s="185" t="n">
        <v>0</v>
      </c>
      <c r="X19" s="185" t="n">
        <v>0</v>
      </c>
      <c r="Y19" s="191" t="inlineStr">
        <is>
          <t>✓</t>
        </is>
      </c>
      <c r="Z19" s="192" t="inlineStr"/>
      <c r="AA19" s="192" t="inlineStr"/>
    </row>
    <row r="20" ht="15" customHeight="1">
      <c r="A20" s="182" t="n">
        <v>2043</v>
      </c>
      <c r="B20" s="183" t="n">
        <v>81</v>
      </c>
      <c r="C20" s="182" t="n">
        <v>82</v>
      </c>
      <c r="D20" s="184" t="inlineStr">
        <is>
          <t>MFJ</t>
        </is>
      </c>
      <c r="E20" s="184" t="inlineStr">
        <is>
          <t>ALIVE</t>
        </is>
      </c>
      <c r="F20" s="184" t="inlineStr">
        <is>
          <t>ALIVE</t>
        </is>
      </c>
      <c r="G20" s="185" t="n">
        <v>0</v>
      </c>
      <c r="H20" s="185" t="n">
        <v>0</v>
      </c>
      <c r="I20" s="186" t="n">
        <v>0</v>
      </c>
      <c r="J20" s="191" t="inlineStr">
        <is>
          <t>✓</t>
        </is>
      </c>
      <c r="K20" s="185" t="n">
        <v>0</v>
      </c>
      <c r="L20" s="186" t="n">
        <v>0</v>
      </c>
      <c r="M20" s="185" t="n">
        <v>0</v>
      </c>
      <c r="N20" s="188" t="n"/>
      <c r="O20" s="186" t="n">
        <v>0</v>
      </c>
      <c r="P20" s="189" t="n">
        <v>0</v>
      </c>
      <c r="Q20" s="184" t="inlineStr">
        <is>
          <t>✓</t>
        </is>
      </c>
      <c r="R20" s="186" t="n">
        <v>0</v>
      </c>
      <c r="S20" s="185" t="n">
        <v>0</v>
      </c>
      <c r="T20" s="186" t="n">
        <v>0</v>
      </c>
      <c r="U20" s="190" t="n"/>
      <c r="V20" s="185" t="n">
        <v>0</v>
      </c>
      <c r="W20" s="185" t="n">
        <v>0</v>
      </c>
      <c r="X20" s="185" t="n">
        <v>0</v>
      </c>
      <c r="Y20" s="191" t="inlineStr">
        <is>
          <t>✓</t>
        </is>
      </c>
      <c r="Z20" s="192" t="inlineStr"/>
      <c r="AA20" s="192" t="inlineStr"/>
    </row>
    <row r="21" ht="15" customHeight="1">
      <c r="A21" s="182" t="n">
        <v>2044</v>
      </c>
      <c r="B21" s="183" t="n">
        <v>82</v>
      </c>
      <c r="C21" s="182" t="n">
        <v>83</v>
      </c>
      <c r="D21" s="184" t="inlineStr">
        <is>
          <t>MFJ</t>
        </is>
      </c>
      <c r="E21" s="184" t="inlineStr">
        <is>
          <t>ALIVE</t>
        </is>
      </c>
      <c r="F21" s="184" t="inlineStr">
        <is>
          <t>ALIVE</t>
        </is>
      </c>
      <c r="G21" s="185" t="n">
        <v>0</v>
      </c>
      <c r="H21" s="185" t="n">
        <v>0</v>
      </c>
      <c r="I21" s="186" t="n">
        <v>0</v>
      </c>
      <c r="J21" s="191" t="inlineStr">
        <is>
          <t>✓</t>
        </is>
      </c>
      <c r="K21" s="185" t="n">
        <v>0</v>
      </c>
      <c r="L21" s="186" t="n">
        <v>0</v>
      </c>
      <c r="M21" s="185" t="n">
        <v>0</v>
      </c>
      <c r="N21" s="188" t="n"/>
      <c r="O21" s="186" t="n">
        <v>0</v>
      </c>
      <c r="P21" s="189" t="n">
        <v>0</v>
      </c>
      <c r="Q21" s="184" t="inlineStr">
        <is>
          <t>✓</t>
        </is>
      </c>
      <c r="R21" s="186" t="n">
        <v>0</v>
      </c>
      <c r="S21" s="185" t="n">
        <v>0</v>
      </c>
      <c r="T21" s="186" t="n">
        <v>0</v>
      </c>
      <c r="U21" s="190" t="n"/>
      <c r="V21" s="185" t="n">
        <v>0</v>
      </c>
      <c r="W21" s="185" t="n">
        <v>0</v>
      </c>
      <c r="X21" s="185" t="n">
        <v>0</v>
      </c>
      <c r="Y21" s="191" t="inlineStr">
        <is>
          <t>✓</t>
        </is>
      </c>
      <c r="Z21" s="192" t="inlineStr"/>
      <c r="AA21" s="192" t="inlineStr"/>
    </row>
    <row r="22" ht="15" customHeight="1">
      <c r="A22" s="182" t="n">
        <v>2045</v>
      </c>
      <c r="B22" s="183" t="n">
        <v>83</v>
      </c>
      <c r="C22" s="182" t="n">
        <v>84</v>
      </c>
      <c r="D22" s="184" t="inlineStr">
        <is>
          <t>MFJ</t>
        </is>
      </c>
      <c r="E22" s="184" t="inlineStr">
        <is>
          <t>ALIVE</t>
        </is>
      </c>
      <c r="F22" s="184" t="inlineStr">
        <is>
          <t>ALIVE</t>
        </is>
      </c>
      <c r="G22" s="185" t="n">
        <v>0</v>
      </c>
      <c r="H22" s="185" t="n">
        <v>0</v>
      </c>
      <c r="I22" s="186" t="n">
        <v>0</v>
      </c>
      <c r="J22" s="191" t="inlineStr">
        <is>
          <t>✓</t>
        </is>
      </c>
      <c r="K22" s="185" t="n">
        <v>0</v>
      </c>
      <c r="L22" s="186" t="n">
        <v>0</v>
      </c>
      <c r="M22" s="185" t="n">
        <v>0</v>
      </c>
      <c r="N22" s="188" t="n"/>
      <c r="O22" s="186" t="n">
        <v>0</v>
      </c>
      <c r="P22" s="189" t="n">
        <v>0</v>
      </c>
      <c r="Q22" s="184" t="inlineStr">
        <is>
          <t>✓</t>
        </is>
      </c>
      <c r="R22" s="186" t="n">
        <v>0</v>
      </c>
      <c r="S22" s="185" t="n">
        <v>0</v>
      </c>
      <c r="T22" s="186" t="n">
        <v>0</v>
      </c>
      <c r="U22" s="190" t="n"/>
      <c r="V22" s="185" t="n">
        <v>0</v>
      </c>
      <c r="W22" s="185" t="n">
        <v>0</v>
      </c>
      <c r="X22" s="185" t="n">
        <v>0</v>
      </c>
      <c r="Y22" s="191" t="inlineStr">
        <is>
          <t>✓</t>
        </is>
      </c>
      <c r="Z22" s="192" t="inlineStr"/>
      <c r="AA22" s="192" t="inlineStr"/>
    </row>
    <row r="23" ht="15" customHeight="1">
      <c r="A23" s="182" t="n">
        <v>2046</v>
      </c>
      <c r="B23" s="183" t="n">
        <v>84</v>
      </c>
      <c r="C23" s="182" t="n">
        <v>85</v>
      </c>
      <c r="D23" s="184" t="inlineStr">
        <is>
          <t>MFJ</t>
        </is>
      </c>
      <c r="E23" s="184" t="inlineStr">
        <is>
          <t>ALIVE</t>
        </is>
      </c>
      <c r="F23" s="184" t="inlineStr">
        <is>
          <t>ALIVE</t>
        </is>
      </c>
      <c r="G23" s="185" t="n">
        <v>0</v>
      </c>
      <c r="H23" s="185" t="n">
        <v>0</v>
      </c>
      <c r="I23" s="186" t="n">
        <v>0</v>
      </c>
      <c r="J23" s="191" t="inlineStr">
        <is>
          <t>✓</t>
        </is>
      </c>
      <c r="K23" s="185" t="n">
        <v>0</v>
      </c>
      <c r="L23" s="186" t="n">
        <v>0</v>
      </c>
      <c r="M23" s="185" t="n">
        <v>0</v>
      </c>
      <c r="N23" s="188" t="n"/>
      <c r="O23" s="186" t="n">
        <v>0</v>
      </c>
      <c r="P23" s="189" t="n">
        <v>0</v>
      </c>
      <c r="Q23" s="184" t="inlineStr">
        <is>
          <t>✓</t>
        </is>
      </c>
      <c r="R23" s="186" t="n">
        <v>0</v>
      </c>
      <c r="S23" s="185" t="n">
        <v>0</v>
      </c>
      <c r="T23" s="186" t="n">
        <v>0</v>
      </c>
      <c r="U23" s="190" t="n"/>
      <c r="V23" s="185" t="n">
        <v>0</v>
      </c>
      <c r="W23" s="185" t="n">
        <v>0</v>
      </c>
      <c r="X23" s="185" t="n">
        <v>0</v>
      </c>
      <c r="Y23" s="191" t="inlineStr">
        <is>
          <t>✓</t>
        </is>
      </c>
      <c r="Z23" s="192" t="inlineStr"/>
      <c r="AA23" s="192" t="inlineStr"/>
    </row>
    <row r="24" ht="15" customHeight="1">
      <c r="A24" s="182" t="n">
        <v>2047</v>
      </c>
      <c r="B24" s="183" t="n">
        <v>85</v>
      </c>
      <c r="C24" s="182" t="n">
        <v>86</v>
      </c>
      <c r="D24" s="184" t="inlineStr">
        <is>
          <t>MFJ</t>
        </is>
      </c>
      <c r="E24" s="184" t="inlineStr">
        <is>
          <t>ALIVE</t>
        </is>
      </c>
      <c r="F24" s="184" t="inlineStr">
        <is>
          <t>ALIVE</t>
        </is>
      </c>
      <c r="G24" s="185" t="n">
        <v>0</v>
      </c>
      <c r="H24" s="185" t="n">
        <v>0</v>
      </c>
      <c r="I24" s="186" t="n">
        <v>0</v>
      </c>
      <c r="J24" s="191" t="inlineStr">
        <is>
          <t>✓</t>
        </is>
      </c>
      <c r="K24" s="185" t="n">
        <v>0</v>
      </c>
      <c r="L24" s="186" t="n">
        <v>0</v>
      </c>
      <c r="M24" s="185" t="n">
        <v>0</v>
      </c>
      <c r="N24" s="188" t="n"/>
      <c r="O24" s="186" t="n">
        <v>0</v>
      </c>
      <c r="P24" s="189" t="n">
        <v>0</v>
      </c>
      <c r="Q24" s="184" t="inlineStr">
        <is>
          <t>✓</t>
        </is>
      </c>
      <c r="R24" s="186" t="n">
        <v>0</v>
      </c>
      <c r="S24" s="185" t="n">
        <v>0</v>
      </c>
      <c r="T24" s="186" t="n">
        <v>0</v>
      </c>
      <c r="U24" s="190" t="n"/>
      <c r="V24" s="185" t="n">
        <v>0</v>
      </c>
      <c r="W24" s="185" t="n">
        <v>0</v>
      </c>
      <c r="X24" s="185" t="n">
        <v>0</v>
      </c>
      <c r="Y24" s="191" t="inlineStr">
        <is>
          <t>✓</t>
        </is>
      </c>
      <c r="Z24" s="192" t="inlineStr"/>
      <c r="AA24" s="192" t="inlineStr"/>
    </row>
    <row r="25" ht="15" customHeight="1">
      <c r="A25" s="182" t="n">
        <v>2048</v>
      </c>
      <c r="B25" s="183" t="n">
        <v>86</v>
      </c>
      <c r="C25" s="182" t="n">
        <v>87</v>
      </c>
      <c r="D25" s="184" t="inlineStr">
        <is>
          <t>MFJ</t>
        </is>
      </c>
      <c r="E25" s="184" t="inlineStr">
        <is>
          <t>ALIVE</t>
        </is>
      </c>
      <c r="F25" s="184" t="inlineStr">
        <is>
          <t>ALIVE</t>
        </is>
      </c>
      <c r="G25" s="185" t="n">
        <v>0</v>
      </c>
      <c r="H25" s="185" t="n">
        <v>0</v>
      </c>
      <c r="I25" s="186" t="n">
        <v>0</v>
      </c>
      <c r="J25" s="191" t="inlineStr">
        <is>
          <t>✓</t>
        </is>
      </c>
      <c r="K25" s="185" t="n">
        <v>0</v>
      </c>
      <c r="L25" s="186" t="n">
        <v>0</v>
      </c>
      <c r="M25" s="185" t="n">
        <v>0</v>
      </c>
      <c r="N25" s="188" t="n"/>
      <c r="O25" s="186" t="n">
        <v>0</v>
      </c>
      <c r="P25" s="189" t="n">
        <v>0</v>
      </c>
      <c r="Q25" s="184" t="inlineStr">
        <is>
          <t>✓</t>
        </is>
      </c>
      <c r="R25" s="186" t="n">
        <v>0</v>
      </c>
      <c r="S25" s="185" t="n">
        <v>0</v>
      </c>
      <c r="T25" s="186" t="n">
        <v>0</v>
      </c>
      <c r="U25" s="190" t="n"/>
      <c r="V25" s="185" t="n">
        <v>0</v>
      </c>
      <c r="W25" s="185" t="n">
        <v>0</v>
      </c>
      <c r="X25" s="185" t="n">
        <v>0</v>
      </c>
      <c r="Y25" s="191" t="inlineStr">
        <is>
          <t>✓</t>
        </is>
      </c>
      <c r="Z25" s="192" t="inlineStr"/>
      <c r="AA25" s="192" t="inlineStr"/>
    </row>
    <row r="26" ht="15" customHeight="1">
      <c r="A26" s="182" t="n">
        <v>2049</v>
      </c>
      <c r="B26" s="183" t="n">
        <v>87</v>
      </c>
      <c r="C26" s="182" t="n">
        <v>88</v>
      </c>
      <c r="D26" s="184" t="inlineStr">
        <is>
          <t>MFJ</t>
        </is>
      </c>
      <c r="E26" s="184" t="inlineStr">
        <is>
          <t>ALIVE</t>
        </is>
      </c>
      <c r="F26" s="184" t="inlineStr">
        <is>
          <t>ALIVE</t>
        </is>
      </c>
      <c r="G26" s="185" t="n">
        <v>0</v>
      </c>
      <c r="H26" s="185" t="n">
        <v>0</v>
      </c>
      <c r="I26" s="186" t="n">
        <v>0</v>
      </c>
      <c r="J26" s="191" t="inlineStr">
        <is>
          <t>✓</t>
        </is>
      </c>
      <c r="K26" s="185" t="n">
        <v>0</v>
      </c>
      <c r="L26" s="186" t="n">
        <v>0</v>
      </c>
      <c r="M26" s="185" t="n">
        <v>0</v>
      </c>
      <c r="N26" s="188" t="n"/>
      <c r="O26" s="186" t="n">
        <v>0</v>
      </c>
      <c r="P26" s="189" t="n">
        <v>0</v>
      </c>
      <c r="Q26" s="184" t="inlineStr">
        <is>
          <t>✓</t>
        </is>
      </c>
      <c r="R26" s="186" t="n">
        <v>0</v>
      </c>
      <c r="S26" s="185" t="n">
        <v>0</v>
      </c>
      <c r="T26" s="186" t="n">
        <v>0</v>
      </c>
      <c r="U26" s="190" t="n"/>
      <c r="V26" s="185" t="n">
        <v>0</v>
      </c>
      <c r="W26" s="185" t="n">
        <v>0</v>
      </c>
      <c r="X26" s="185" t="n">
        <v>0</v>
      </c>
      <c r="Y26" s="191" t="inlineStr">
        <is>
          <t>✓</t>
        </is>
      </c>
      <c r="Z26" s="192" t="inlineStr"/>
      <c r="AA26" s="192" t="inlineStr"/>
    </row>
    <row r="27" ht="15" customHeight="1">
      <c r="A27" s="182" t="n">
        <v>2050</v>
      </c>
      <c r="B27" s="183" t="n">
        <v>88</v>
      </c>
      <c r="C27" s="182" t="n">
        <v>89</v>
      </c>
      <c r="D27" s="184" t="inlineStr">
        <is>
          <t>MFJ</t>
        </is>
      </c>
      <c r="E27" s="184" t="inlineStr">
        <is>
          <t>ALIVE</t>
        </is>
      </c>
      <c r="F27" s="184" t="inlineStr">
        <is>
          <t>ALIVE</t>
        </is>
      </c>
      <c r="G27" s="185" t="n">
        <v>0</v>
      </c>
      <c r="H27" s="185" t="n">
        <v>0</v>
      </c>
      <c r="I27" s="186" t="n">
        <v>0</v>
      </c>
      <c r="J27" s="191" t="inlineStr">
        <is>
          <t>✓</t>
        </is>
      </c>
      <c r="K27" s="185" t="n">
        <v>0</v>
      </c>
      <c r="L27" s="186" t="n">
        <v>0</v>
      </c>
      <c r="M27" s="185" t="n">
        <v>0</v>
      </c>
      <c r="N27" s="188" t="n"/>
      <c r="O27" s="186" t="n">
        <v>0</v>
      </c>
      <c r="P27" s="189" t="n">
        <v>0</v>
      </c>
      <c r="Q27" s="184" t="inlineStr">
        <is>
          <t>✓</t>
        </is>
      </c>
      <c r="R27" s="186" t="n">
        <v>0</v>
      </c>
      <c r="S27" s="185" t="n">
        <v>0</v>
      </c>
      <c r="T27" s="186" t="n">
        <v>0</v>
      </c>
      <c r="U27" s="190" t="n"/>
      <c r="V27" s="185" t="n">
        <v>0</v>
      </c>
      <c r="W27" s="185" t="n">
        <v>0</v>
      </c>
      <c r="X27" s="185" t="n">
        <v>0</v>
      </c>
      <c r="Y27" s="191" t="inlineStr">
        <is>
          <t>✓</t>
        </is>
      </c>
      <c r="Z27" s="192" t="inlineStr"/>
      <c r="AA27" s="192" t="inlineStr"/>
    </row>
    <row r="28" ht="15" customHeight="1">
      <c r="A28" s="182" t="n">
        <v>2051</v>
      </c>
      <c r="B28" s="183" t="n">
        <v>89</v>
      </c>
      <c r="C28" s="182" t="n">
        <v>90</v>
      </c>
      <c r="D28" s="184" t="inlineStr">
        <is>
          <t>MFJ</t>
        </is>
      </c>
      <c r="E28" s="184" t="inlineStr">
        <is>
          <t>ALIVE</t>
        </is>
      </c>
      <c r="F28" s="184" t="inlineStr">
        <is>
          <t>ALIVE</t>
        </is>
      </c>
      <c r="G28" s="185" t="n">
        <v>0</v>
      </c>
      <c r="H28" s="185" t="n">
        <v>0</v>
      </c>
      <c r="I28" s="186" t="n">
        <v>0</v>
      </c>
      <c r="J28" s="191" t="inlineStr">
        <is>
          <t>✓</t>
        </is>
      </c>
      <c r="K28" s="185" t="n">
        <v>0</v>
      </c>
      <c r="L28" s="186" t="n">
        <v>0</v>
      </c>
      <c r="M28" s="185" t="n">
        <v>0</v>
      </c>
      <c r="N28" s="188" t="n"/>
      <c r="O28" s="186" t="n">
        <v>0</v>
      </c>
      <c r="P28" s="189" t="n">
        <v>0</v>
      </c>
      <c r="Q28" s="184" t="inlineStr">
        <is>
          <t>✓</t>
        </is>
      </c>
      <c r="R28" s="186" t="n">
        <v>0</v>
      </c>
      <c r="S28" s="185" t="n">
        <v>0</v>
      </c>
      <c r="T28" s="186" t="n">
        <v>0</v>
      </c>
      <c r="U28" s="190" t="n"/>
      <c r="V28" s="185" t="n">
        <v>0</v>
      </c>
      <c r="W28" s="185" t="n">
        <v>0</v>
      </c>
      <c r="X28" s="185" t="n">
        <v>0</v>
      </c>
      <c r="Y28" s="191" t="inlineStr">
        <is>
          <t>✓</t>
        </is>
      </c>
      <c r="Z28" s="192" t="inlineStr"/>
      <c r="AA28" s="192" t="inlineStr"/>
    </row>
    <row r="29" ht="15" customHeight="1">
      <c r="A29" s="182" t="n">
        <v>2052</v>
      </c>
      <c r="B29" s="183" t="n">
        <v>90</v>
      </c>
      <c r="C29" s="182" t="n">
        <v>91</v>
      </c>
      <c r="D29" s="184" t="inlineStr">
        <is>
          <t>MFJ</t>
        </is>
      </c>
      <c r="E29" s="184" t="inlineStr">
        <is>
          <t>ALIVE</t>
        </is>
      </c>
      <c r="F29" s="184" t="inlineStr">
        <is>
          <t>ALIVE</t>
        </is>
      </c>
      <c r="G29" s="185" t="n">
        <v>0</v>
      </c>
      <c r="H29" s="185" t="n">
        <v>0</v>
      </c>
      <c r="I29" s="186" t="n">
        <v>0</v>
      </c>
      <c r="J29" s="191" t="inlineStr">
        <is>
          <t>✓</t>
        </is>
      </c>
      <c r="K29" s="185" t="n">
        <v>0</v>
      </c>
      <c r="L29" s="186" t="n">
        <v>0</v>
      </c>
      <c r="M29" s="185" t="n">
        <v>0</v>
      </c>
      <c r="N29" s="188" t="n"/>
      <c r="O29" s="186" t="n">
        <v>0</v>
      </c>
      <c r="P29" s="189" t="n">
        <v>0</v>
      </c>
      <c r="Q29" s="184" t="inlineStr">
        <is>
          <t>✓</t>
        </is>
      </c>
      <c r="R29" s="186" t="n">
        <v>0</v>
      </c>
      <c r="S29" s="185" t="n">
        <v>0</v>
      </c>
      <c r="T29" s="186" t="n">
        <v>0</v>
      </c>
      <c r="U29" s="190" t="n"/>
      <c r="V29" s="185" t="n">
        <v>0</v>
      </c>
      <c r="W29" s="185" t="n">
        <v>0</v>
      </c>
      <c r="X29" s="185" t="n">
        <v>0</v>
      </c>
      <c r="Y29" s="191" t="inlineStr">
        <is>
          <t>✓</t>
        </is>
      </c>
      <c r="Z29" s="192" t="inlineStr"/>
      <c r="AA29" s="192" t="inlineStr"/>
    </row>
    <row r="30" ht="15" customHeight="1">
      <c r="A30" s="182" t="n">
        <v>2053</v>
      </c>
      <c r="B30" s="183" t="n">
        <v>91</v>
      </c>
      <c r="C30" s="182" t="n">
        <v>92</v>
      </c>
      <c r="D30" s="184" t="inlineStr">
        <is>
          <t>MFJ</t>
        </is>
      </c>
      <c r="E30" s="184" t="inlineStr">
        <is>
          <t>ALIVE</t>
        </is>
      </c>
      <c r="F30" s="184" t="inlineStr">
        <is>
          <t>ALIVE</t>
        </is>
      </c>
      <c r="G30" s="185" t="n">
        <v>0</v>
      </c>
      <c r="H30" s="185" t="n">
        <v>0</v>
      </c>
      <c r="I30" s="186" t="n">
        <v>0</v>
      </c>
      <c r="J30" s="191" t="inlineStr">
        <is>
          <t>✓</t>
        </is>
      </c>
      <c r="K30" s="185" t="n">
        <v>0</v>
      </c>
      <c r="L30" s="186" t="n">
        <v>0</v>
      </c>
      <c r="M30" s="185" t="n">
        <v>0</v>
      </c>
      <c r="N30" s="188" t="n"/>
      <c r="O30" s="186" t="n">
        <v>0</v>
      </c>
      <c r="P30" s="189" t="n">
        <v>0</v>
      </c>
      <c r="Q30" s="184" t="inlineStr">
        <is>
          <t>✓</t>
        </is>
      </c>
      <c r="R30" s="186" t="n">
        <v>0</v>
      </c>
      <c r="S30" s="185" t="n">
        <v>0</v>
      </c>
      <c r="T30" s="186" t="n">
        <v>0</v>
      </c>
      <c r="U30" s="190" t="n"/>
      <c r="V30" s="185" t="n">
        <v>0</v>
      </c>
      <c r="W30" s="185" t="n">
        <v>0</v>
      </c>
      <c r="X30" s="185" t="n">
        <v>0</v>
      </c>
      <c r="Y30" s="191" t="inlineStr">
        <is>
          <t>✓</t>
        </is>
      </c>
      <c r="Z30" s="192" t="inlineStr"/>
      <c r="AA30" s="192" t="inlineStr"/>
    </row>
    <row r="31" ht="30" customHeight="1">
      <c r="A31" s="200" t="n">
        <v>2054</v>
      </c>
      <c r="B31" s="200" t="n">
        <v>92</v>
      </c>
      <c r="C31" s="200" t="n">
        <v>93</v>
      </c>
      <c r="D31" s="201" t="inlineStr">
        <is>
          <t>MFJ</t>
        </is>
      </c>
      <c r="E31" s="201" t="inlineStr">
        <is>
          <t>ALIVE</t>
        </is>
      </c>
      <c r="F31" s="201" t="inlineStr">
        <is>
          <t>ALIVE</t>
        </is>
      </c>
      <c r="G31" s="202" t="n">
        <v>0</v>
      </c>
      <c r="H31" s="202" t="n">
        <v>0</v>
      </c>
      <c r="I31" s="203" t="n">
        <v>0</v>
      </c>
      <c r="J31" s="191" t="inlineStr">
        <is>
          <t>✓</t>
        </is>
      </c>
      <c r="K31" s="202" t="n">
        <v>0</v>
      </c>
      <c r="L31" s="203" t="n">
        <v>0</v>
      </c>
      <c r="M31" s="202" t="n">
        <v>0</v>
      </c>
      <c r="N31" s="204" t="n"/>
      <c r="O31" s="203" t="n">
        <v>0</v>
      </c>
      <c r="P31" s="197" t="n">
        <v>0</v>
      </c>
      <c r="Q31" s="201" t="inlineStr">
        <is>
          <t>✓</t>
        </is>
      </c>
      <c r="R31" s="203" t="n">
        <v>0</v>
      </c>
      <c r="S31" s="202" t="n">
        <v>0</v>
      </c>
      <c r="T31" s="203" t="n">
        <v>0</v>
      </c>
      <c r="U31" s="205" t="n"/>
      <c r="V31" s="202" t="n">
        <v>0</v>
      </c>
      <c r="W31" s="202" t="n">
        <v>0</v>
      </c>
      <c r="X31" s="202" t="n">
        <v>0</v>
      </c>
      <c r="Y31" s="191" t="inlineStr">
        <is>
          <t>✓</t>
        </is>
      </c>
      <c r="Z31" s="201" t="inlineStr">
        <is>
          <t>H→W (spousal rollover)</t>
        </is>
      </c>
      <c r="AA31" s="201" t="inlineStr">
        <is>
          <t>Rollover: H→W (spousal rollover)</t>
        </is>
      </c>
    </row>
    <row r="32" ht="15" customHeight="1">
      <c r="A32" s="206" t="n">
        <v>2055</v>
      </c>
      <c r="B32" s="206" t="n">
        <v>93</v>
      </c>
      <c r="C32" s="206" t="n">
        <v>94</v>
      </c>
      <c r="D32" s="187" t="inlineStr">
        <is>
          <t>Single</t>
        </is>
      </c>
      <c r="E32" s="187" t="inlineStr">
        <is>
          <t>DIED 2054</t>
        </is>
      </c>
      <c r="F32" s="187" t="inlineStr">
        <is>
          <t>ALIVE</t>
        </is>
      </c>
      <c r="G32" s="197" t="n">
        <v>0</v>
      </c>
      <c r="H32" s="197" t="n">
        <v>0</v>
      </c>
      <c r="I32" s="207" t="n">
        <v>0</v>
      </c>
      <c r="J32" s="187" t="inlineStr">
        <is>
          <t>N/A</t>
        </is>
      </c>
      <c r="K32" s="197" t="n">
        <v>0</v>
      </c>
      <c r="L32" s="207" t="n">
        <v>0</v>
      </c>
      <c r="M32" s="197" t="n">
        <v>0</v>
      </c>
      <c r="N32" s="208" t="n"/>
      <c r="O32" s="207" t="n">
        <v>0</v>
      </c>
      <c r="P32" s="197" t="n">
        <v>0</v>
      </c>
      <c r="Q32" s="187" t="inlineStr">
        <is>
          <t>✓</t>
        </is>
      </c>
      <c r="R32" s="207" t="n">
        <v>0</v>
      </c>
      <c r="S32" s="197" t="n">
        <v>0</v>
      </c>
      <c r="T32" s="207" t="n">
        <v>0</v>
      </c>
      <c r="U32" s="209" t="n"/>
      <c r="V32" s="197" t="n">
        <v>0</v>
      </c>
      <c r="W32" s="197" t="n">
        <v>0</v>
      </c>
      <c r="X32" s="197" t="n">
        <v>0</v>
      </c>
      <c r="Y32" s="191" t="inlineStr">
        <is>
          <t>✓</t>
        </is>
      </c>
      <c r="Z32" s="210" t="inlineStr"/>
      <c r="AA32" s="187" t="inlineStr">
        <is>
          <t>H died 2054</t>
        </is>
      </c>
    </row>
    <row r="33" ht="90" customHeight="1">
      <c r="A33" s="200" t="n">
        <v>2056</v>
      </c>
      <c r="B33" s="200" t="n">
        <v>94</v>
      </c>
      <c r="C33" s="200" t="n">
        <v>95</v>
      </c>
      <c r="D33" s="201" t="inlineStr">
        <is>
          <t>Single</t>
        </is>
      </c>
      <c r="E33" s="201" t="inlineStr">
        <is>
          <t>DIED 2054</t>
        </is>
      </c>
      <c r="F33" s="201" t="inlineStr">
        <is>
          <t>ALIVE</t>
        </is>
      </c>
      <c r="G33" s="202" t="n">
        <v>0</v>
      </c>
      <c r="H33" s="202" t="n">
        <v>0</v>
      </c>
      <c r="I33" s="203" t="n">
        <v>0</v>
      </c>
      <c r="J33" s="187" t="inlineStr">
        <is>
          <t>N/A</t>
        </is>
      </c>
      <c r="K33" s="202" t="n">
        <v>0</v>
      </c>
      <c r="L33" s="203" t="n">
        <v>0</v>
      </c>
      <c r="M33" s="202" t="n">
        <v>0</v>
      </c>
      <c r="N33" s="204" t="n"/>
      <c r="O33" s="203" t="n">
        <v>0</v>
      </c>
      <c r="P33" s="197" t="n">
        <v>0</v>
      </c>
      <c r="Q33" s="201" t="inlineStr">
        <is>
          <t>✓</t>
        </is>
      </c>
      <c r="R33" s="203" t="n">
        <v>0</v>
      </c>
      <c r="S33" s="202" t="n">
        <v>0</v>
      </c>
      <c r="T33" s="203" t="n">
        <v>0</v>
      </c>
      <c r="U33" s="205" t="n"/>
      <c r="V33" s="202" t="n">
        <v>0</v>
      </c>
      <c r="W33" s="202" t="n">
        <v>0</v>
      </c>
      <c r="X33" s="202" t="n">
        <v>0</v>
      </c>
      <c r="Y33" s="191" t="inlineStr">
        <is>
          <t>✓</t>
        </is>
      </c>
      <c r="Z33" s="201" t="inlineStr">
        <is>
          <t>W 2nd death — taxable → Wife_Trust; IRAs/Roths inherited by beneficiaries</t>
        </is>
      </c>
      <c r="AA33" s="201" t="inlineStr">
        <is>
          <t>H died 2054; Rollover: W 2nd death — taxable → Wife_Trust; IRAs/Roths inherited by beneficiaries</t>
        </is>
      </c>
    </row>
    <row r="34"/>
    <row r="35" ht="15" customHeight="1">
      <c r="A35" s="211" t="n"/>
      <c r="B35" s="212" t="inlineStr">
        <is>
          <t>RMD year — satisfied correctly</t>
        </is>
      </c>
    </row>
    <row r="36" ht="15" customHeight="1">
      <c r="A36" s="213" t="n"/>
      <c r="B36" s="212" t="inlineStr">
        <is>
          <t>RMD shortfall or CF mismatch</t>
        </is>
      </c>
    </row>
    <row r="37" ht="15" customHeight="1">
      <c r="A37" s="214" t="n"/>
      <c r="B37" s="212" t="inlineStr">
        <is>
          <t>Spousal rollover year</t>
        </is>
      </c>
    </row>
    <row r="38" ht="15" customHeight="1">
      <c r="A38" s="215" t="n"/>
      <c r="B38" s="212" t="inlineStr">
        <is>
          <t>Post-death (accounts zeroed; rollover to estate)</t>
        </is>
      </c>
    </row>
  </sheetData>
  <mergeCells count="5">
    <mergeCell ref="B36:H36"/>
    <mergeCell ref="B35:H35"/>
    <mergeCell ref="B38:H38"/>
    <mergeCell ref="B37:H37"/>
    <mergeCell ref="A1:N1"/>
  </mergeCells>
  <pageMargins left="0.75" right="0.75" top="1" bottom="1" header="0.5" footer="0.5"/>
</worksheet>
</file>

<file path=xl/worksheets/sheet29.xml><?xml version="1.0" encoding="utf-8"?>
<worksheet xmlns="http://schemas.openxmlformats.org/spreadsheetml/2006/main">
  <sheetPr>
    <tabColor rgb="00B45F06"/>
    <outlinePr summaryBelow="1" summaryRight="1"/>
    <pageSetUpPr/>
  </sheetPr>
  <dimension ref="A1:F64"/>
  <sheetViews>
    <sheetView showGridLines="0" workbookViewId="0">
      <selection activeCell="A1" sqref="A1"/>
    </sheetView>
  </sheetViews>
  <sheetFormatPr baseColWidth="8" defaultRowHeight="15"/>
  <cols>
    <col width="20" customWidth="1" min="1" max="1"/>
    <col width="10" customWidth="1" min="2" max="2"/>
    <col width="27.9" customWidth="1" min="3" max="3"/>
    <col width="23" customWidth="1" min="4" max="4"/>
    <col width="14" customWidth="1" min="5" max="5"/>
    <col width="14" customWidth="1" min="6" max="6"/>
  </cols>
  <sheetData>
    <row r="1" ht="18" customHeight="1">
      <c r="A1" s="9" t="inlineStr">
        <is>
          <t>METHODOLOGY &amp; RE-RUN PROCESS</t>
        </is>
      </c>
    </row>
    <row r="2"/>
    <row r="3" ht="15" customHeight="1">
      <c r="A3" s="13" t="inlineStr">
        <is>
          <t>Projection Engine Logic</t>
        </is>
      </c>
      <c r="B3" s="3" t="n"/>
      <c r="C3" s="3" t="n"/>
      <c r="D3" s="4" t="n"/>
    </row>
    <row r="4" ht="15" customHeight="1">
      <c r="A4" s="12" t="inlineStr">
        <is>
          <t>• Year-by-year from plan_start to plan_end (later of husband/wife death year).</t>
        </is>
      </c>
      <c r="B4" s="3" t="n"/>
      <c r="C4" s="3" t="n"/>
      <c r="D4" s="4" t="n"/>
    </row>
    <row r="5" ht="30" customHeight="1">
      <c r="A5" s="12" t="inlineStr">
        <is>
          <t>• Asset balances grow at portfolio_nominal_return; withdrawals reduce balances before growth.</t>
        </is>
      </c>
      <c r="B5" s="3" t="n"/>
      <c r="C5" s="3" t="n"/>
      <c r="D5" s="4" t="n"/>
    </row>
    <row r="6" ht="30" customHeight="1">
      <c r="A6" s="12" t="inlineStr">
        <is>
          <t>• Income sources: earned income, Social Security (age 70), annuities, pension, Note Receivable, RMDs.</t>
        </is>
      </c>
      <c r="B6" s="3" t="n"/>
      <c r="C6" s="3" t="n"/>
      <c r="D6" s="4" t="n"/>
    </row>
    <row r="7" ht="30" customHeight="1">
      <c r="A7" s="12" t="inlineStr">
        <is>
          <t>• Withdrawal cascade: RMDs → HSA window → tax-sensitive pre-tax → taxable/trust → final pre-tax/HSA → Roth last → Home Equity.</t>
        </is>
      </c>
      <c r="B7" s="3" t="n"/>
      <c r="C7" s="3" t="n"/>
      <c r="D7" s="4" t="n"/>
    </row>
    <row r="8" ht="15" customHeight="1">
      <c r="A8" s="12" t="inlineStr">
        <is>
          <t>• Surplus reinvested into the first registry taxable account.</t>
        </is>
      </c>
      <c r="B8" s="3" t="n"/>
      <c r="C8" s="3" t="n"/>
      <c r="D8" s="4" t="n"/>
    </row>
    <row r="9"/>
    <row r="10" ht="15" customHeight="1">
      <c r="A10" s="13" t="inlineStr">
        <is>
          <t>Tax Computation Order</t>
        </is>
      </c>
      <c r="B10" s="3" t="n"/>
      <c r="C10" s="3" t="n"/>
      <c r="D10" s="4" t="n"/>
    </row>
    <row r="11" ht="15" customHeight="1">
      <c r="A11" s="12" t="inlineStr">
        <is>
          <t>• 1. Gross income (earned + SS + annuities + RMDs + Roth conversion)</t>
        </is>
      </c>
      <c r="B11" s="3" t="n"/>
      <c r="C11" s="3" t="n"/>
      <c r="D11" s="4" t="n"/>
    </row>
    <row r="12" ht="15" customHeight="1">
      <c r="A12" s="12" t="inlineStr">
        <is>
          <t>• 2. AGI (minus SE deductions, half-SE-tax, SEHI)</t>
        </is>
      </c>
      <c r="B12" s="3" t="n"/>
      <c r="C12" s="3" t="n"/>
      <c r="D12" s="4" t="n"/>
    </row>
    <row r="13" ht="15" customHeight="1">
      <c r="A13" s="12" t="inlineStr">
        <is>
          <t>• 3. MAGI (add back for NIIT/SALT)</t>
        </is>
      </c>
      <c r="B13" s="3" t="n"/>
      <c r="C13" s="3" t="n"/>
      <c r="D13" s="4" t="n"/>
    </row>
    <row r="14" ht="15" customHeight="1">
      <c r="A14" s="12" t="inlineStr">
        <is>
          <t>• 4. SALT cap (phased down formula)</t>
        </is>
      </c>
      <c r="B14" s="3" t="n"/>
      <c r="C14" s="3" t="n"/>
      <c r="D14" s="4" t="n"/>
    </row>
    <row r="15" ht="15" customHeight="1">
      <c r="A15" s="12" t="inlineStr">
        <is>
          <t>• 5. Charitable deduction (AGI floor per OBBBA)</t>
        </is>
      </c>
      <c r="B15" s="3" t="n"/>
      <c r="C15" s="3" t="n"/>
      <c r="D15" s="4" t="n"/>
    </row>
    <row r="16" ht="15" customHeight="1">
      <c r="A16" s="12" t="inlineStr">
        <is>
          <t>• 6. Greater of standard or itemized deduction</t>
        </is>
      </c>
      <c r="B16" s="3" t="n"/>
      <c r="C16" s="3" t="n"/>
      <c r="D16" s="4" t="n"/>
    </row>
    <row r="17" ht="15" customHeight="1">
      <c r="A17" s="12" t="inlineStr">
        <is>
          <t>• 7. Federal tax, State tax, NIIT, Payroll tax, IRMAA</t>
        </is>
      </c>
      <c r="B17" s="3" t="n"/>
      <c r="C17" s="3" t="n"/>
      <c r="D17" s="4" t="n"/>
    </row>
    <row r="18" ht="30" customHeight="1">
      <c r="A18" s="12" t="inlineStr">
        <is>
          <t>• 8. Taxable-withdrawal LTCG/NIIT uses a bounded fixed-point solve before moving to pre-tax/Roth buckets.</t>
        </is>
      </c>
      <c r="B18" s="3" t="n"/>
      <c r="C18" s="3" t="n"/>
      <c r="D18" s="4" t="n"/>
    </row>
    <row r="19"/>
    <row r="20" ht="15" customHeight="1">
      <c r="A20" s="13" t="inlineStr">
        <is>
          <t>Annuity Dividend Model</t>
        </is>
      </c>
      <c r="B20" s="3" t="n"/>
      <c r="C20" s="3" t="n"/>
      <c r="D20" s="4" t="n"/>
    </row>
    <row r="21" ht="15" customHeight="1">
      <c r="A21" s="12" t="inlineStr">
        <is>
          <t>• Base compounds at div_rate pre-distribution year.</t>
        </is>
      </c>
      <c r="B21" s="3" t="n"/>
      <c r="C21" s="3" t="n"/>
      <c r="D21" s="4" t="n"/>
    </row>
    <row r="22" ht="15" customHeight="1">
      <c r="A22" s="12" t="inlineStr">
        <is>
          <t>• From first_payment year: base grows at add_pct × div_rate (reinvested share).</t>
        </is>
      </c>
      <c r="B22" s="3" t="n"/>
      <c r="C22" s="3" t="n"/>
      <c r="D22" s="4" t="n"/>
    </row>
    <row r="23" ht="30" customHeight="1">
      <c r="A23" s="12" t="inlineStr">
        <is>
          <t>• Cash income = guaranteed_payment (grows at add_pct × div_rate) + base × div_rate × cash_pct.</t>
        </is>
      </c>
      <c r="B23" s="3" t="n"/>
      <c r="C23" s="3" t="n"/>
      <c r="D23" s="4" t="n"/>
    </row>
    <row r="24" ht="15" customHeight="1">
      <c r="A24" s="12" t="inlineStr">
        <is>
          <t>• Net worth value = PV of future cash income at portfolio discount rate.</t>
        </is>
      </c>
      <c r="B24" s="3" t="n"/>
      <c r="C24" s="3" t="n"/>
      <c r="D24" s="4" t="n"/>
    </row>
    <row r="25" ht="30" customHeight="1">
      <c r="A25" s="12" t="inlineStr">
        <is>
          <t>• Annuity death benefits per configured Annuity Death Benefits matrix; decline to $0 over time.</t>
        </is>
      </c>
      <c r="B25" s="3" t="n"/>
      <c r="C25" s="3" t="n"/>
      <c r="D25" s="4" t="n"/>
    </row>
    <row r="26"/>
    <row r="27" ht="15" customHeight="1">
      <c r="A27" s="13" t="inlineStr">
        <is>
          <t>Monte Carlo Setup</t>
        </is>
      </c>
      <c r="B27" s="3" t="n"/>
      <c r="C27" s="3" t="n"/>
      <c r="D27" s="4" t="n"/>
    </row>
    <row r="28" ht="30" customHeight="1">
      <c r="A28" s="12" t="inlineStr">
        <is>
          <t>• Regime/fat-tail simulations use configured arithmetic return and volatility; non-static glide paths reduce both expected return and volatility over time.</t>
        </is>
      </c>
      <c r="B28" s="3" t="n"/>
      <c r="C28" s="3" t="n"/>
      <c r="D28" s="4" t="n"/>
    </row>
    <row r="29" ht="30" customHeight="1">
      <c r="A29" s="12" t="inlineStr">
        <is>
          <t>• Success = no unfunded annual spending gap and liquid retirement assets remain above the configured floor in every projected year.</t>
        </is>
      </c>
      <c r="B29" s="3" t="n"/>
      <c r="C29" s="3" t="n"/>
      <c r="D29" s="4" t="n"/>
    </row>
    <row r="30" ht="30" customHeight="1">
      <c r="A30" s="12" t="inlineStr">
        <is>
          <t>• 3A. Monte Carlo reports both arithmetic and geometric sampled returns plus P5/P25/P50/P75/P95 bands.</t>
        </is>
      </c>
      <c r="B30" s="3" t="n"/>
      <c r="C30" s="3" t="n"/>
      <c r="D30" s="4" t="n"/>
    </row>
    <row r="31"/>
    <row r="32" ht="15" customHeight="1">
      <c r="A32" s="13" t="inlineStr">
        <is>
          <t>Re-Run Instructions</t>
        </is>
      </c>
      <c r="B32" s="3" t="n"/>
      <c r="C32" s="3" t="n"/>
      <c r="D32" s="4" t="n"/>
    </row>
    <row r="33" ht="30" customHeight="1">
      <c r="A33" s="12" t="inlineStr">
        <is>
          <t>• 1. Edit the split client_*.csv files (UTF-8 encoding required — no CP1252 special chars).</t>
        </is>
      </c>
      <c r="B33" s="3" t="n"/>
      <c r="C33" s="3" t="n"/>
      <c r="D33" s="4" t="n"/>
    </row>
    <row r="34" ht="15" customHeight="1">
      <c r="A34" s="12" t="inlineStr">
        <is>
          <t>• 2. Ensure Python 3.9+, openpyxl, numpy, scipy, requests are installed.</t>
        </is>
      </c>
      <c r="B34" s="3" t="n"/>
      <c r="C34" s="3" t="n"/>
      <c r="D34" s="4" t="n"/>
    </row>
    <row r="35" ht="15" customHeight="1">
      <c r="A35" s="12" t="inlineStr">
        <is>
          <t>• 3. Run: python build_workbook.py</t>
        </is>
      </c>
      <c r="B35" s="3" t="n"/>
      <c r="C35" s="3" t="n"/>
      <c r="D35" s="4" t="n"/>
    </row>
    <row r="36" ht="15" customHeight="1">
      <c r="A36" s="12" t="inlineStr">
        <is>
          <t>• 4. Output file: retirement_plan.xlsx in same directory.</t>
        </is>
      </c>
      <c r="B36" s="3" t="n"/>
      <c r="C36" s="3" t="n"/>
      <c r="D36" s="4" t="n"/>
    </row>
    <row r="37" ht="30" customHeight="1">
      <c r="A37" s="12" t="inlineStr">
        <is>
          <t>• 5. Review Quality Control sheet (4D. Quality Control) — all checks should be PASS.</t>
        </is>
      </c>
      <c r="B37" s="3" t="n"/>
      <c r="C37" s="3" t="n"/>
      <c r="D37" s="4" t="n"/>
    </row>
    <row r="38" ht="30" customHeight="1">
      <c r="A38" s="12" t="inlineStr">
        <is>
          <t>• 6. Update ETF prices by re-running the script (live prices fetched at build time).</t>
        </is>
      </c>
      <c r="B38" s="3" t="n"/>
      <c r="C38" s="3" t="n"/>
      <c r="D38" s="4" t="n"/>
    </row>
    <row r="39" ht="30" customHeight="1">
      <c r="A39" s="12" t="inlineStr">
        <is>
          <t>• 7. Annual review cadence: rebuild each January; update DOB-based calculations auto-update.</t>
        </is>
      </c>
      <c r="B39" s="3" t="n"/>
      <c r="C39" s="3" t="n"/>
      <c r="D39" s="4" t="n"/>
    </row>
    <row r="40"/>
    <row r="41" ht="15" customHeight="1">
      <c r="A41" s="13" t="inlineStr">
        <is>
          <t>Key Editable Variables in CSV</t>
        </is>
      </c>
      <c r="B41" s="3" t="n"/>
      <c r="C41" s="3" t="n"/>
      <c r="D41" s="4" t="n"/>
    </row>
    <row r="42" ht="15" customHeight="1">
      <c r="A42" s="12" t="inlineStr">
        <is>
          <t>• Economic Assumptions: inflation, returns, bracket inflator</t>
        </is>
      </c>
      <c r="B42" s="3" t="n"/>
      <c r="C42" s="3" t="n"/>
      <c r="D42" s="4" t="n"/>
    </row>
    <row r="43" ht="15" customHeight="1">
      <c r="A43" s="12" t="inlineStr">
        <is>
          <t>• Household: DOBs, mortality ages (extend or shorten plan horizon)</t>
        </is>
      </c>
      <c r="B43" s="3" t="n"/>
      <c r="C43" s="3" t="n"/>
      <c r="D43" s="4" t="n"/>
    </row>
    <row r="44" ht="15" customHeight="1">
      <c r="A44" s="12" t="inlineStr">
        <is>
          <t>• Cashflow: spending, earned income, mortgage, lump events</t>
        </is>
      </c>
      <c r="B44" s="3" t="n"/>
      <c r="C44" s="3" t="n"/>
      <c r="D44" s="4" t="n"/>
    </row>
    <row r="45" ht="15" customHeight="1">
      <c r="A45" s="12" t="inlineStr">
        <is>
          <t>• Optional Functions: toggle sheets ON/OFF as needed</t>
        </is>
      </c>
      <c r="B45" s="3" t="n"/>
      <c r="C45" s="3" t="n"/>
      <c r="D45" s="4" t="n"/>
    </row>
    <row r="46" ht="15" customHeight="1">
      <c r="A46" s="12" t="inlineStr">
        <is>
          <t>• Forced Actions: hard-code any prior-year Roth conversions</t>
        </is>
      </c>
      <c r="B46" s="3" t="n"/>
      <c r="C46" s="3" t="n"/>
      <c r="D46" s="4" t="n"/>
    </row>
    <row r="47"/>
    <row r="48"/>
    <row r="49" ht="15" customHeight="1">
      <c r="A49" s="17" t="inlineStr">
        <is>
          <t>Illustration vs Recommendation</t>
        </is>
      </c>
      <c r="B49" s="3" t="n"/>
      <c r="C49" s="3" t="n"/>
      <c r="D49" s="4" t="n"/>
    </row>
    <row r="50">
      <c r="A50" s="33" t="inlineStr"/>
      <c r="B50" s="3" t="n"/>
      <c r="C50" s="3" t="n"/>
      <c r="D50" s="4" t="n"/>
    </row>
    <row r="51" ht="15" customHeight="1">
      <c r="A51" s="12" t="inlineStr">
        <is>
          <t>Advisor-ready status</t>
        </is>
      </c>
      <c r="B51" s="12" t="inlineStr">
        <is>
          <t>BLOCKED</t>
        </is>
      </c>
    </row>
    <row r="52"/>
    <row r="53" ht="15" customHeight="1">
      <c r="A53" s="13" t="inlineStr">
        <is>
          <t>Tax-Year Constants Provenance</t>
        </is>
      </c>
      <c r="B53" s="3" t="n"/>
      <c r="C53" s="3" t="n"/>
      <c r="D53" s="4" t="n"/>
    </row>
    <row r="54" ht="15" customHeight="1">
      <c r="A54" s="10" t="inlineStr">
        <is>
          <t>Constant Group</t>
        </is>
      </c>
      <c r="B54" s="10" t="inlineStr">
        <is>
          <t>Tax Year</t>
        </is>
      </c>
      <c r="C54" s="10" t="inlineStr">
        <is>
          <t>Source</t>
        </is>
      </c>
      <c r="D54" s="10" t="inlineStr">
        <is>
          <t>Last reviewed / status</t>
        </is>
      </c>
    </row>
    <row r="55" ht="45" customHeight="1">
      <c r="A55" s="12" t="inlineStr">
        <is>
          <t>Federal Brackets</t>
        </is>
      </c>
      <c r="B55" s="12" t="n">
        <v>2025</v>
      </c>
      <c r="C55" s="12" t="inlineStr">
        <is>
          <t>v10 local dated tax-law dataset; no embedded fallback required for new code</t>
        </is>
      </c>
      <c r="D55" s="12" t="inlineStr">
        <is>
          <t>See tax-law dashboard</t>
        </is>
      </c>
    </row>
    <row r="56" ht="45" customHeight="1">
      <c r="A56" s="12" t="inlineStr">
        <is>
          <t>Irmaa Tiers</t>
        </is>
      </c>
      <c r="B56" s="12" t="n">
        <v>2025</v>
      </c>
      <c r="C56" s="12" t="inlineStr">
        <is>
          <t>v10 local dated tax-law dataset; no embedded fallback required for new code</t>
        </is>
      </c>
      <c r="D56" s="12" t="inlineStr">
        <is>
          <t>See tax-law dashboard</t>
        </is>
      </c>
    </row>
    <row r="57" ht="45" customHeight="1">
      <c r="A57" s="12" t="inlineStr">
        <is>
          <t>Ltcg Brackets</t>
        </is>
      </c>
      <c r="B57" s="12" t="n">
        <v>2025</v>
      </c>
      <c r="C57" s="12" t="inlineStr">
        <is>
          <t>v10 local dated tax-law dataset; no embedded fallback required for new code</t>
        </is>
      </c>
      <c r="D57" s="12" t="inlineStr">
        <is>
          <t>See tax-law dashboard</t>
        </is>
      </c>
    </row>
    <row r="58" ht="45" customHeight="1">
      <c r="A58" s="12" t="inlineStr">
        <is>
          <t>Niit Threshold</t>
        </is>
      </c>
      <c r="B58" s="12" t="n">
        <v>2026</v>
      </c>
      <c r="C58" s="12" t="inlineStr">
        <is>
          <t>v10 local dated tax-law dataset; no embedded fallback required for new code</t>
        </is>
      </c>
      <c r="D58" s="12" t="inlineStr">
        <is>
          <t>See tax-law dashboard</t>
        </is>
      </c>
    </row>
    <row r="59" ht="45" customHeight="1">
      <c r="A59" s="12" t="inlineStr">
        <is>
          <t>Salt Schedule</t>
        </is>
      </c>
      <c r="B59" s="12" t="n">
        <v>2026</v>
      </c>
      <c r="C59" s="12" t="inlineStr">
        <is>
          <t>v10 local dated tax-law dataset; no embedded fallback required for new code</t>
        </is>
      </c>
      <c r="D59" s="12" t="inlineStr">
        <is>
          <t>See tax-law dashboard</t>
        </is>
      </c>
    </row>
    <row r="60" ht="45" customHeight="1">
      <c r="A60" s="12" t="inlineStr">
        <is>
          <t>Ss Wage Base</t>
        </is>
      </c>
      <c r="B60" s="12" t="n">
        <v>2025</v>
      </c>
      <c r="C60" s="12" t="inlineStr">
        <is>
          <t>v10 local dated tax-law dataset; no embedded fallback required for new code</t>
        </is>
      </c>
      <c r="D60" s="12" t="inlineStr">
        <is>
          <t>See tax-law dashboard</t>
        </is>
      </c>
    </row>
    <row r="61" ht="45" customHeight="1">
      <c r="A61" s="12" t="inlineStr">
        <is>
          <t>Standard Deduction</t>
        </is>
      </c>
      <c r="B61" s="12" t="n">
        <v>2025</v>
      </c>
      <c r="C61" s="12" t="inlineStr">
        <is>
          <t>v10 local dated tax-law dataset; no embedded fallback required for new code</t>
        </is>
      </c>
      <c r="D61" s="12" t="inlineStr">
        <is>
          <t>See tax-law dashboard</t>
        </is>
      </c>
    </row>
    <row r="62" ht="45" customHeight="1">
      <c r="A62" s="12" t="inlineStr">
        <is>
          <t>Standard Deduction Over65</t>
        </is>
      </c>
      <c r="B62" s="12" t="n">
        <v>2025</v>
      </c>
      <c r="C62" s="12" t="inlineStr">
        <is>
          <t>v10 local dated tax-law dataset; no embedded fallback required for new code</t>
        </is>
      </c>
      <c r="D62" s="12" t="inlineStr">
        <is>
          <t>See tax-law dashboard</t>
        </is>
      </c>
    </row>
    <row r="63"/>
    <row r="64" ht="30" customHeight="1">
      <c r="A64" s="12" t="inlineStr">
        <is>
          <t>Filing status: MFJ  |  Survivor filing: Single  |  Roth policy: fill_to_bracket  |  Cascade: Trust → Roth → IRA → Home</t>
        </is>
      </c>
      <c r="B64" s="3" t="n"/>
      <c r="C64" s="3" t="n"/>
      <c r="D64" s="4" t="n"/>
    </row>
  </sheetData>
  <mergeCells count="44">
    <mergeCell ref="A5:D5"/>
    <mergeCell ref="A17:D17"/>
    <mergeCell ref="A23:D23"/>
    <mergeCell ref="A8:D8"/>
    <mergeCell ref="A22:D22"/>
    <mergeCell ref="A53:D53"/>
    <mergeCell ref="A35:D35"/>
    <mergeCell ref="A4:D4"/>
    <mergeCell ref="A20:D20"/>
    <mergeCell ref="A38:D38"/>
    <mergeCell ref="A29:D29"/>
    <mergeCell ref="A43:D43"/>
    <mergeCell ref="A10:D10"/>
    <mergeCell ref="A28:D28"/>
    <mergeCell ref="A13:D13"/>
    <mergeCell ref="A44:D44"/>
    <mergeCell ref="A34:D34"/>
    <mergeCell ref="A30:D30"/>
    <mergeCell ref="A39:D39"/>
    <mergeCell ref="A15:D15"/>
    <mergeCell ref="A64:D64"/>
    <mergeCell ref="A24:D24"/>
    <mergeCell ref="A11:D11"/>
    <mergeCell ref="A49:D49"/>
    <mergeCell ref="A36:D36"/>
    <mergeCell ref="A45:D45"/>
    <mergeCell ref="A6:D6"/>
    <mergeCell ref="A7:D7"/>
    <mergeCell ref="A25:D25"/>
    <mergeCell ref="A41:D41"/>
    <mergeCell ref="A16:D16"/>
    <mergeCell ref="A46:D46"/>
    <mergeCell ref="A37:D37"/>
    <mergeCell ref="A18:D18"/>
    <mergeCell ref="A27:D27"/>
    <mergeCell ref="A12:D12"/>
    <mergeCell ref="A50:D50"/>
    <mergeCell ref="A1:F1"/>
    <mergeCell ref="A3:D3"/>
    <mergeCell ref="A21:D21"/>
    <mergeCell ref="A33:D33"/>
    <mergeCell ref="A42:D42"/>
    <mergeCell ref="A32:D32"/>
    <mergeCell ref="A14:D14"/>
  </mergeCells>
  <pageMargins left="0.75" right="0.75" top="1" bottom="1" header="0.5" footer="0.5"/>
</worksheet>
</file>

<file path=xl/worksheets/sheet30.xml><?xml version="1.0" encoding="utf-8"?>
<worksheet xmlns="http://schemas.openxmlformats.org/spreadsheetml/2006/main">
  <sheetPr>
    <tabColor rgb="00B45F06"/>
    <outlinePr summaryBelow="1" summaryRight="1"/>
    <pageSetUpPr/>
  </sheetPr>
  <dimension ref="A1:D24"/>
  <sheetViews>
    <sheetView showGridLines="0" workbookViewId="0">
      <selection activeCell="A1" sqref="A1"/>
    </sheetView>
  </sheetViews>
  <sheetFormatPr baseColWidth="8" defaultRowHeight="15"/>
  <cols>
    <col width="18" customWidth="1" min="1" max="1"/>
    <col width="27.9" customWidth="1" min="2" max="2"/>
    <col width="14" customWidth="1" min="3" max="3"/>
    <col width="14" customWidth="1" min="4" max="4"/>
  </cols>
  <sheetData>
    <row r="1" ht="18" customHeight="1">
      <c r="A1" s="9" t="inlineStr">
        <is>
          <t>GLOSSARY OF TERMS</t>
        </is>
      </c>
    </row>
    <row r="2" ht="18" customHeight="1">
      <c r="A2" s="13" t="inlineStr">
        <is>
          <t>Term</t>
        </is>
      </c>
      <c r="B2" s="13" t="inlineStr">
        <is>
          <t>Definition</t>
        </is>
      </c>
      <c r="C2" s="3" t="n"/>
      <c r="D2" s="4" t="n"/>
    </row>
    <row r="3" ht="30" customHeight="1">
      <c r="A3" s="11" t="inlineStr">
        <is>
          <t>AGI</t>
        </is>
      </c>
      <c r="B3" s="12" t="inlineStr">
        <is>
          <t>Adjusted Gross Income — gross income minus above-the-line deductions</t>
        </is>
      </c>
      <c r="C3" s="3" t="n"/>
      <c r="D3" s="4" t="n"/>
    </row>
    <row r="4" ht="30" customHeight="1">
      <c r="A4" s="11" t="inlineStr">
        <is>
          <t>Basis</t>
        </is>
      </c>
      <c r="B4" s="12" t="inlineStr">
        <is>
          <t>The original cost of an asset used to determine capital gain or loss</t>
        </is>
      </c>
      <c r="C4" s="3" t="n"/>
      <c r="D4" s="4" t="n"/>
    </row>
    <row r="5" ht="30" customHeight="1">
      <c r="A5" s="11" t="inlineStr">
        <is>
          <t>Credit-Shelter Trust</t>
        </is>
      </c>
      <c r="B5" s="12" t="inlineStr">
        <is>
          <t>A trust designed to use a decedent's estate tax exemption</t>
        </is>
      </c>
      <c r="C5" s="3" t="n"/>
      <c r="D5" s="4" t="n"/>
    </row>
    <row r="6" ht="30" customHeight="1">
      <c r="A6" s="11" t="inlineStr">
        <is>
          <t>DAF</t>
        </is>
      </c>
      <c r="B6" s="12" t="inlineStr">
        <is>
          <t>Donor Advised Fund — charitable giving vehicle allowing immediate deduction with delayed grant-making</t>
        </is>
      </c>
      <c r="C6" s="3" t="n"/>
      <c r="D6" s="4" t="n"/>
    </row>
    <row r="7" ht="30" customHeight="1">
      <c r="A7" s="11" t="inlineStr">
        <is>
          <t>ILIT</t>
        </is>
      </c>
      <c r="B7" s="12" t="inlineStr">
        <is>
          <t>Irrevocable Life Insurance Trust — removes life insurance proceeds from the taxable estate</t>
        </is>
      </c>
      <c r="C7" s="3" t="n"/>
      <c r="D7" s="4" t="n"/>
    </row>
    <row r="8" ht="30" customHeight="1">
      <c r="A8" s="11" t="inlineStr">
        <is>
          <t>IRMAA</t>
        </is>
      </c>
      <c r="B8" s="12" t="inlineStr">
        <is>
          <t>Income-Related Monthly Adjustment Amount — Medicare premium surcharge for high earners</t>
        </is>
      </c>
      <c r="C8" s="3" t="n"/>
      <c r="D8" s="4" t="n"/>
    </row>
    <row r="9" ht="30" customHeight="1">
      <c r="A9" s="11" t="inlineStr">
        <is>
          <t>J&amp;S (Joint-and-Survivor)</t>
        </is>
      </c>
      <c r="B9" s="12" t="inlineStr">
        <is>
          <t>Annuity feature paying a reduced benefit to a surviving spouse</t>
        </is>
      </c>
      <c r="C9" s="3" t="n"/>
      <c r="D9" s="4" t="n"/>
    </row>
    <row r="10" ht="30" customHeight="1">
      <c r="A10" s="11" t="inlineStr">
        <is>
          <t>LTCG</t>
        </is>
      </c>
      <c r="B10" s="12" t="inlineStr">
        <is>
          <t>Long-Term Capital Gain — gain on assets held more than one year, taxed at preferential rates</t>
        </is>
      </c>
      <c r="C10" s="3" t="n"/>
      <c r="D10" s="4" t="n"/>
    </row>
    <row r="11" ht="30" customHeight="1">
      <c r="A11" s="11" t="inlineStr">
        <is>
          <t>MAGI</t>
        </is>
      </c>
      <c r="B11" s="12" t="inlineStr">
        <is>
          <t>Modified Adjusted Gross Income — AGI with certain deductions added back</t>
        </is>
      </c>
      <c r="C11" s="3" t="n"/>
      <c r="D11" s="4" t="n"/>
    </row>
    <row r="12" ht="30" customHeight="1">
      <c r="A12" s="11" t="inlineStr">
        <is>
          <t>Monte Carlo</t>
        </is>
      </c>
      <c r="B12" s="12" t="inlineStr">
        <is>
          <t>Statistical simulation using random scenarios to model range of outcomes</t>
        </is>
      </c>
      <c r="C12" s="3" t="n"/>
      <c r="D12" s="4" t="n"/>
    </row>
    <row r="13" ht="30" customHeight="1">
      <c r="A13" s="11" t="inlineStr">
        <is>
          <t>NIIT</t>
        </is>
      </c>
      <c r="B13" s="12" t="inlineStr">
        <is>
          <t>Net Investment Income Tax — 3.8% surtax on investment income above MAGI thresholds</t>
        </is>
      </c>
      <c r="C13" s="3" t="n"/>
      <c r="D13" s="4" t="n"/>
    </row>
    <row r="14" ht="30" customHeight="1">
      <c r="A14" s="11" t="inlineStr">
        <is>
          <t>Percentile Band</t>
        </is>
      </c>
      <c r="B14" s="12" t="inlineStr">
        <is>
          <t>The value at or below which a given percentage of simulation results fall</t>
        </is>
      </c>
      <c r="C14" s="3" t="n"/>
      <c r="D14" s="4" t="n"/>
    </row>
    <row r="15" ht="30" customHeight="1">
      <c r="A15" s="11" t="inlineStr">
        <is>
          <t>QCD</t>
        </is>
      </c>
      <c r="B15" s="12" t="inlineStr">
        <is>
          <t>Qualified Charitable Distribution — IRA distribution sent directly to charity, excluded from AGI</t>
        </is>
      </c>
      <c r="C15" s="3" t="n"/>
      <c r="D15" s="4" t="n"/>
    </row>
    <row r="16" ht="30" customHeight="1">
      <c r="A16" s="11" t="inlineStr">
        <is>
          <t>QTIP</t>
        </is>
      </c>
      <c r="B16" s="12" t="inlineStr">
        <is>
          <t>Qualified Terminable Interest Property trust — provides income to surviving spouse</t>
        </is>
      </c>
      <c r="C16" s="3" t="n"/>
      <c r="D16" s="4" t="n"/>
    </row>
    <row r="17" ht="30" customHeight="1">
      <c r="A17" s="11" t="inlineStr">
        <is>
          <t>RMD</t>
        </is>
      </c>
      <c r="B17" s="12" t="inlineStr">
        <is>
          <t>Required Minimum Distribution — mandatory annual withdrawals from tax-deferred accounts starting at age 75</t>
        </is>
      </c>
      <c r="C17" s="3" t="n"/>
      <c r="D17" s="4" t="n"/>
    </row>
    <row r="18" ht="30" customHeight="1">
      <c r="A18" s="11" t="inlineStr">
        <is>
          <t>Roth Conversion</t>
        </is>
      </c>
      <c r="B18" s="12" t="inlineStr">
        <is>
          <t>Transfer from a pre-tax IRA to a Roth IRA, triggering tax in the conversion year</t>
        </is>
      </c>
      <c r="C18" s="3" t="n"/>
      <c r="D18" s="4" t="n"/>
    </row>
    <row r="19" ht="30" customHeight="1">
      <c r="A19" s="11" t="inlineStr">
        <is>
          <t>SALT Cap</t>
        </is>
      </c>
      <c r="B19" s="12" t="inlineStr">
        <is>
          <t>State and Local Tax deduction cap — schedule sourced from tax_data.py</t>
        </is>
      </c>
      <c r="C19" s="3" t="n"/>
      <c r="D19" s="4" t="n"/>
    </row>
    <row r="20" ht="30" customHeight="1">
      <c r="A20" s="11" t="inlineStr">
        <is>
          <t>Sequence-of-Returns Risk</t>
        </is>
      </c>
      <c r="B20" s="12" t="inlineStr">
        <is>
          <t>Risk that poor investment returns early in retirement permanently impair the portfolio</t>
        </is>
      </c>
      <c r="C20" s="3" t="n"/>
      <c r="D20" s="4" t="n"/>
    </row>
    <row r="21" ht="30" customHeight="1">
      <c r="A21" s="11" t="inlineStr">
        <is>
          <t>Spousal Rollover</t>
        </is>
      </c>
      <c r="B21" s="12" t="inlineStr">
        <is>
          <t>Surviving spouse inherits deceased spouse's IRA as their own, deferring RMDs to their own age</t>
        </is>
      </c>
      <c r="C21" s="3" t="n"/>
      <c r="D21" s="4" t="n"/>
    </row>
    <row r="22" ht="30" customHeight="1">
      <c r="A22" s="11" t="inlineStr">
        <is>
          <t>Standard Deduction</t>
        </is>
      </c>
      <c r="B22" s="12" t="inlineStr">
        <is>
          <t>Tax-reference-year MFJ base plus over-65 add-ons; inflated annually</t>
        </is>
      </c>
      <c r="C22" s="3" t="n"/>
      <c r="D22" s="4" t="n"/>
    </row>
    <row r="23" ht="30" customHeight="1">
      <c r="A23" s="11" t="inlineStr">
        <is>
          <t>Step-Up in Basis</t>
        </is>
      </c>
      <c r="B23" s="12" t="inlineStr">
        <is>
          <t>Reset of asset cost basis to fair market value at death for non-retirement assets</t>
        </is>
      </c>
      <c r="C23" s="3" t="n"/>
      <c r="D23" s="4" t="n"/>
    </row>
    <row r="24" ht="30" customHeight="1">
      <c r="A24" s="11" t="inlineStr">
        <is>
          <t>§121 Exclusion</t>
        </is>
      </c>
      <c r="B24" s="12" t="inlineStr">
        <is>
          <t>Up to $500,000 (MFJ) of home sale gain excluded from federal income tax</t>
        </is>
      </c>
      <c r="C24" s="3" t="n"/>
      <c r="D24" s="4" t="n"/>
    </row>
  </sheetData>
  <mergeCells count="24">
    <mergeCell ref="B11:D11"/>
    <mergeCell ref="B14:D14"/>
    <mergeCell ref="B23:D23"/>
    <mergeCell ref="B8:D8"/>
    <mergeCell ref="B17:D17"/>
    <mergeCell ref="B13:D13"/>
    <mergeCell ref="B10:D10"/>
    <mergeCell ref="B19:D19"/>
    <mergeCell ref="B9:D9"/>
    <mergeCell ref="B15:D15"/>
    <mergeCell ref="B6:D6"/>
    <mergeCell ref="B24:D24"/>
    <mergeCell ref="B20:D20"/>
    <mergeCell ref="A1:D1"/>
    <mergeCell ref="B5:D5"/>
    <mergeCell ref="B4:D4"/>
    <mergeCell ref="B7:D7"/>
    <mergeCell ref="B16:D16"/>
    <mergeCell ref="B3:D3"/>
    <mergeCell ref="B22:D22"/>
    <mergeCell ref="B18:D18"/>
    <mergeCell ref="B21:D21"/>
    <mergeCell ref="B12:D12"/>
    <mergeCell ref="B2:D2"/>
  </mergeCells>
  <pageMargins left="0.75" right="0.75" top="1" bottom="1" header="0.5" footer="0.5"/>
</worksheet>
</file>

<file path=xl/worksheets/sheet31.xml><?xml version="1.0" encoding="utf-8"?>
<worksheet xmlns="http://schemas.openxmlformats.org/spreadsheetml/2006/main">
  <sheetPr>
    <tabColor rgb="004472C4"/>
    <outlinePr summaryBelow="1" summaryRight="1"/>
    <pageSetUpPr/>
  </sheetPr>
  <dimension ref="A1:H37"/>
  <sheetViews>
    <sheetView showGridLines="0" workbookViewId="0">
      <selection activeCell="A1" sqref="A1"/>
    </sheetView>
  </sheetViews>
  <sheetFormatPr baseColWidth="8" defaultRowHeight="15"/>
  <cols>
    <col width="43" customWidth="1" min="1" max="1"/>
    <col width="50" customWidth="1" min="2" max="2"/>
    <col width="12" customWidth="1" min="3" max="3"/>
    <col width="14" customWidth="1" min="4" max="4"/>
    <col width="16" customWidth="1" min="5" max="5"/>
    <col width="15" customWidth="1" min="6" max="6"/>
  </cols>
  <sheetData>
    <row r="1" ht="22" customHeight="1">
      <c r="A1" s="216" t="inlineStr">
        <is>
          <t>WHAT-IF SCENARIO ANALYSIS</t>
        </is>
      </c>
    </row>
    <row r="2"/>
    <row r="3">
      <c r="A3" s="217" t="inlineStr">
        <is>
          <t>Deterministic Scenarios</t>
        </is>
      </c>
      <c r="B3" s="3" t="n"/>
      <c r="C3" s="3" t="n"/>
      <c r="D3" s="3" t="n"/>
      <c r="E3" s="3" t="n"/>
      <c r="F3" s="4" t="n"/>
    </row>
    <row r="4">
      <c r="A4" s="98" t="inlineStr">
        <is>
          <t>Scenario</t>
        </is>
      </c>
      <c r="B4" s="98" t="inlineStr">
        <is>
          <t>Assumption Change</t>
        </is>
      </c>
      <c r="C4" s="98" t="inlineStr">
        <is>
          <t>Ending NW</t>
        </is>
      </c>
      <c r="D4" s="98" t="inlineStr">
        <is>
          <t>Lifetime Tax</t>
        </is>
      </c>
      <c r="E4" s="98" t="inlineStr">
        <is>
          <t>Plan Survives?</t>
        </is>
      </c>
      <c r="F4" s="98" t="inlineStr">
        <is>
          <t>Delta vs Base</t>
        </is>
      </c>
    </row>
    <row r="5">
      <c r="A5" s="33" t="inlineStr">
        <is>
          <t>Base Case</t>
        </is>
      </c>
      <c r="B5" s="33" t="inlineStr">
        <is>
          <t>As modeled</t>
        </is>
      </c>
      <c r="C5" s="108" t="n">
        <v>4805659.30177631</v>
      </c>
      <c r="D5" s="108" t="n">
        <v>768150.4215334217</v>
      </c>
      <c r="E5" s="218" t="inlineStr">
        <is>
          <t>YES</t>
        </is>
      </c>
      <c r="F5" s="108" t="n">
        <v>0</v>
      </c>
    </row>
    <row r="6">
      <c r="A6" s="33" t="inlineStr">
        <is>
          <t>Allocation — User Defined</t>
        </is>
      </c>
      <c r="B6" s="33" t="inlineStr">
        <is>
          <t>Use user-specified target_pct allocation; implied return 7.22%, volatility 14.02%, geometric approx 6.24%</t>
        </is>
      </c>
      <c r="C6" s="108" t="n">
        <v>7664790.857629132</v>
      </c>
      <c r="D6" s="108" t="n">
        <v>786864.0877162288</v>
      </c>
      <c r="E6" s="218" t="inlineStr">
        <is>
          <t>YES</t>
        </is>
      </c>
      <c r="F6" s="108" t="n">
        <v>2859131.555852822</v>
      </c>
    </row>
    <row r="7">
      <c r="A7" s="33" t="inlineStr">
        <is>
          <t>Allocation — Optimizer Defined</t>
        </is>
      </c>
      <c r="B7" s="33" t="inlineStr">
        <is>
          <t>Use optimizer allocation recommendation; implied return 6.96%, volatility 12.93%, geometric approx 6.13%</t>
        </is>
      </c>
      <c r="C7" s="108" t="n">
        <v>6955940.727097352</v>
      </c>
      <c r="D7" s="108" t="n">
        <v>780242.5009941492</v>
      </c>
      <c r="E7" s="218" t="inlineStr">
        <is>
          <t>YES</t>
        </is>
      </c>
      <c r="F7" s="108" t="n">
        <v>2150281.425321042</v>
      </c>
    </row>
    <row r="8">
      <c r="A8" s="33" t="inlineStr">
        <is>
          <t>Retire Later (2029)</t>
        </is>
      </c>
      <c r="B8" s="33" t="inlineStr">
        <is>
          <t>earn_end 2029 vs 2027; +2 yrs @ 0.0% growth, $50,000 salary</t>
        </is>
      </c>
      <c r="C8" s="108" t="n">
        <v>8541231.650288291</v>
      </c>
      <c r="D8" s="108" t="n">
        <v>1625648.312468454</v>
      </c>
      <c r="E8" s="218" t="inlineStr">
        <is>
          <t>YES</t>
        </is>
      </c>
      <c r="F8" s="108" t="n">
        <v>3735572.348511981</v>
      </c>
    </row>
    <row r="9">
      <c r="A9" s="33" t="inlineStr">
        <is>
          <t>Spend 19% More</t>
        </is>
      </c>
      <c r="B9" s="33" t="inlineStr">
        <is>
          <t>$184,990/yr vs $154,158 base</t>
        </is>
      </c>
      <c r="C9" s="108" t="n">
        <v>3390274.137803574</v>
      </c>
      <c r="D9" s="108" t="n">
        <v>743729.3563032049</v>
      </c>
      <c r="E9" s="218" t="inlineStr">
        <is>
          <t>YES</t>
        </is>
      </c>
      <c r="F9" s="108" t="n">
        <v>-1415385.163972736</v>
      </c>
    </row>
    <row r="10">
      <c r="A10" s="33" t="inlineStr">
        <is>
          <t>Sell Home 2045</t>
        </is>
      </c>
      <c r="B10" s="33" t="inlineStr">
        <is>
          <t>Gross $2,302,353 · basis $800,000 · net $2,055,711 → Member_2_Trust</t>
        </is>
      </c>
      <c r="C10" s="108" t="n">
        <v>6271347.138395101</v>
      </c>
      <c r="D10" s="108" t="n">
        <v>999746.7767858548</v>
      </c>
      <c r="E10" s="218" t="inlineStr">
        <is>
          <t>YES</t>
        </is>
      </c>
      <c r="F10" s="108" t="n">
        <v>1465687.83661879</v>
      </c>
    </row>
    <row r="11">
      <c r="A11" s="33" t="inlineStr">
        <is>
          <t>High Inflation 4.5%</t>
        </is>
      </c>
      <c r="B11" s="33" t="inlineStr">
        <is>
          <t>Inflation 4.5% vs 2.5%</t>
        </is>
      </c>
      <c r="C11" s="108" t="n">
        <v>3390274.137803574</v>
      </c>
      <c r="D11" s="108" t="n">
        <v>745769.1688007538</v>
      </c>
      <c r="E11" s="218" t="inlineStr">
        <is>
          <t>YES</t>
        </is>
      </c>
      <c r="F11" s="108" t="n">
        <v>-1415385.163972736</v>
      </c>
    </row>
    <row r="12">
      <c r="A12" s="33" t="inlineStr">
        <is>
          <t>Low Return 4.0%</t>
        </is>
      </c>
      <c r="B12" s="33" t="inlineStr">
        <is>
          <t>Portfolio return 4.0% vs 6.0%</t>
        </is>
      </c>
      <c r="C12" s="108" t="n">
        <v>3388951.097803574</v>
      </c>
      <c r="D12" s="108" t="n">
        <v>747272.4323943078</v>
      </c>
      <c r="E12" s="218" t="inlineStr">
        <is>
          <t>YES</t>
        </is>
      </c>
      <c r="F12" s="108" t="n">
        <v>-1416708.203972736</v>
      </c>
    </row>
    <row r="13">
      <c r="A13" s="33" t="inlineStr">
        <is>
          <t>PDIA Div 4.5%</t>
        </is>
      </c>
      <c r="B13" s="33" t="inlineStr">
        <is>
          <t>All annuity dividends at 4.5% (vs illustrated 5.50-5.75%). Annuity income at age 80: $104,395 vs $117,223 base</t>
        </is>
      </c>
      <c r="C13" s="108" t="n">
        <v>4165953.938766125</v>
      </c>
      <c r="D13" s="108" t="n">
        <v>705282.1332923037</v>
      </c>
      <c r="E13" s="218" t="inlineStr">
        <is>
          <t>YES</t>
        </is>
      </c>
      <c r="F13" s="108" t="n">
        <v>-639705.3630101853</v>
      </c>
    </row>
    <row r="14">
      <c r="A14" s="33" t="inlineStr">
        <is>
          <t>PDIA 50/50 Split</t>
        </is>
      </c>
      <c r="B14" s="33" t="inlineStr">
        <is>
          <t>50% cash / 50% reinvest (vs 80/20). Less cash now, more income growth later. Annuity income at age 80: $116,475 vs $117,223 base</t>
        </is>
      </c>
      <c r="C14" s="108" t="n">
        <v>4713949.932730898</v>
      </c>
      <c r="D14" s="108" t="n">
        <v>801046.4083935326</v>
      </c>
      <c r="E14" s="218" t="inlineStr">
        <is>
          <t>YES</t>
        </is>
      </c>
      <c r="F14" s="108" t="n">
        <v>-91709.36904541217</v>
      </c>
    </row>
    <row r="15">
      <c r="A15" s="33" t="inlineStr">
        <is>
          <t>COMBINED Stress Test</t>
        </is>
      </c>
      <c r="B15" s="33" t="inlineStr">
        <is>
          <t>Stacked: sell home, low return, pdia low div</t>
        </is>
      </c>
      <c r="C15" s="108" t="n">
        <v>2369868.981186907</v>
      </c>
      <c r="D15" s="108" t="n">
        <v>925385.3912707943</v>
      </c>
      <c r="E15" s="218" t="inlineStr">
        <is>
          <t>YES</t>
        </is>
      </c>
      <c r="F15" s="108" t="n">
        <v>-2435790.320589404</v>
      </c>
    </row>
    <row r="16"/>
    <row r="17"/>
    <row r="18">
      <c r="A18" s="219" t="inlineStr">
        <is>
          <t>Sell Home Scenario Detail — 2045</t>
        </is>
      </c>
      <c r="B18" s="3" t="n"/>
      <c r="C18" s="3" t="n"/>
      <c r="D18" s="3" t="n"/>
      <c r="E18" s="3" t="n"/>
      <c r="F18" s="4" t="n"/>
    </row>
    <row r="19">
      <c r="A19" s="33" t="inlineStr">
        <is>
          <t>Projected Home Value at 2045</t>
        </is>
      </c>
      <c r="B19" s="108" t="n">
        <v>2302353.447690235</v>
      </c>
    </row>
    <row r="20">
      <c r="A20" s="33" t="inlineStr">
        <is>
          <t>Projected Sale Price</t>
        </is>
      </c>
      <c r="B20" s="108" t="n">
        <v>2302353.447690235</v>
      </c>
    </row>
    <row r="21">
      <c r="A21" s="33" t="inlineStr">
        <is>
          <t>Less: Selling Costs (6%)</t>
        </is>
      </c>
      <c r="B21" s="108" t="n">
        <v>138141.2068614141</v>
      </c>
    </row>
    <row r="22">
      <c r="A22" s="33" t="inlineStr">
        <is>
          <t>Cost Basis (purchase + improvements)</t>
        </is>
      </c>
      <c r="B22" s="108" t="n">
        <v>800000</v>
      </c>
    </row>
    <row r="23">
      <c r="A23" s="33" t="inlineStr">
        <is>
          <t>Capital Gain (net of selling costs)</t>
        </is>
      </c>
      <c r="B23" s="108" t="n">
        <v>1364212.240828821</v>
      </c>
    </row>
    <row r="24">
      <c r="A24" s="33" t="inlineStr">
        <is>
          <t>§121 Exclusion (MFJ)</t>
        </is>
      </c>
      <c r="B24" s="108" t="n">
        <v>500000</v>
      </c>
    </row>
    <row r="25">
      <c r="A25" s="33" t="inlineStr">
        <is>
          <t>Taxable Capital Gain</t>
        </is>
      </c>
      <c r="B25" s="108" t="n">
        <v>864212.2408288205</v>
      </c>
    </row>
    <row r="26">
      <c r="A26" s="33" t="inlineStr">
        <is>
          <t>LTCG Tax (bracketed 0/15/20% + NIIT)</t>
        </is>
      </c>
      <c r="B26" s="108" t="n">
        <v>108500.7900668073</v>
      </c>
    </row>
    <row r="27">
      <c r="A27" s="33" t="inlineStr">
        <is>
          <t>Remaining Mortgage at Sale</t>
        </is>
      </c>
      <c r="B27" s="108" t="n">
        <v>0</v>
      </c>
    </row>
    <row r="28">
      <c r="A28" s="33" t="inlineStr">
        <is>
          <t>Net Proceeds</t>
        </is>
      </c>
      <c r="B28" s="136" t="n">
        <v>2055711.450762013</v>
      </c>
    </row>
    <row r="29">
      <c r="A29" s="33" t="inlineStr">
        <is>
          <t>Deposited to: Member_2_Trust (basis-free)</t>
        </is>
      </c>
    </row>
    <row r="30"/>
    <row r="31"/>
    <row r="32">
      <c r="A32" s="220" t="inlineStr">
        <is>
          <t>Spending Reduction Analysis</t>
        </is>
      </c>
      <c r="B32" s="3" t="n"/>
      <c r="C32" s="3" t="n"/>
      <c r="D32" s="3" t="n"/>
      <c r="E32" s="3" t="n"/>
      <c r="F32" s="4" t="n"/>
    </row>
    <row r="33">
      <c r="A33" s="33" t="inlineStr">
        <is>
          <t>Current Base Spending</t>
        </is>
      </c>
      <c r="B33" s="108" t="n">
        <v>154158</v>
      </c>
    </row>
    <row r="34">
      <c r="A34" s="33" t="inlineStr">
        <is>
          <t>Reduced Spending (−10%)</t>
        </is>
      </c>
      <c r="B34" s="108" t="n">
        <v>138742.2</v>
      </c>
    </row>
    <row r="35">
      <c r="A35" s="33" t="inlineStr">
        <is>
          <t>Terminal NW with Reduction</t>
        </is>
      </c>
      <c r="B35" s="108" t="n">
        <v>6549750.044658856</v>
      </c>
    </row>
    <row r="36">
      <c r="A36" s="221" t="inlineStr">
        <is>
          <t>Increase in Terminal NW</t>
        </is>
      </c>
      <c r="B36" s="136" t="n">
        <v>1744090.742882546</v>
      </c>
    </row>
    <row r="37">
      <c r="A37" s="33" t="inlineStr">
        <is>
          <t>A 10% spending reduction ($15,416/yr) adds $1,744,091 to terminal net worth.</t>
        </is>
      </c>
    </row>
  </sheetData>
  <mergeCells count="4">
    <mergeCell ref="A3:F3"/>
    <mergeCell ref="A18:F18"/>
    <mergeCell ref="A32:F32"/>
    <mergeCell ref="A1:H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AX219"/>
  <sheetViews>
    <sheetView showGridLines="0" workbookViewId="0">
      <selection activeCell="A1" sqref="A1"/>
    </sheetView>
  </sheetViews>
  <sheetFormatPr baseColWidth="8" defaultRowHeight="15"/>
  <cols>
    <col width="7"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2" customWidth="1" min="10" max="10"/>
    <col width="7"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2" customWidth="1" min="28" max="28"/>
    <col width="7"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3" max="43"/>
    <col width="14" customWidth="1" min="44" max="44"/>
    <col width="14" customWidth="1" min="45" max="45"/>
    <col width="14" customWidth="1" min="46" max="46"/>
    <col width="14" customWidth="1" min="47" max="47"/>
    <col width="14" customWidth="1" min="48" max="48"/>
    <col width="14" customWidth="1" min="49" max="49"/>
  </cols>
  <sheetData>
    <row r="1" ht="22" customHeight="1">
      <c r="A1" s="222" t="inlineStr">
        <is>
          <t>CHARTS DASHBOARD — Matthew &amp; Patricia  ·  2026–2056</t>
        </is>
      </c>
    </row>
    <row r="2">
      <c r="A2" s="223" t="inlineStr">
        <is>
          <t>Net Worth by Component  ·  2026–2056</t>
        </is>
      </c>
      <c r="K2" s="224" t="inlineStr">
        <is>
          <t>Cash Flow — Income &amp; Portfolio Draws  ·  2026–2056</t>
        </is>
      </c>
      <c r="AC2" s="225" t="inlineStr">
        <is>
          <t>Cash Flow — Spending &amp; Taxes  ·  2026–2056</t>
        </is>
      </c>
      <c r="AQ2" s="226" t="inlineStr">
        <is>
          <t>MC Percentile Bands Data  ·  used by Chart 4</t>
        </is>
      </c>
    </row>
    <row r="3"/>
    <row r="4">
      <c r="A4" s="227" t="inlineStr">
        <is>
          <t>Year</t>
        </is>
      </c>
      <c r="B4" s="227" t="inlineStr">
        <is>
          <t>Annuities &amp; Pension</t>
        </is>
      </c>
      <c r="C4" s="227" t="inlineStr">
        <is>
          <t>Pre-Tax IRA/401k</t>
        </is>
      </c>
      <c r="D4" s="227" t="inlineStr">
        <is>
          <t>Roth</t>
        </is>
      </c>
      <c r="E4" s="227" t="inlineStr">
        <is>
          <t>Trust</t>
        </is>
      </c>
      <c r="F4" s="227" t="inlineStr">
        <is>
          <t>HSA</t>
        </is>
      </c>
      <c r="G4" s="227" t="inlineStr">
        <is>
          <t>Home Equity</t>
        </is>
      </c>
      <c r="H4" s="227" t="inlineStr">
        <is>
          <t>Other Assets</t>
        </is>
      </c>
      <c r="I4" s="228" t="inlineStr">
        <is>
          <t>Total NW</t>
        </is>
      </c>
      <c r="K4" s="227" t="inlineStr">
        <is>
          <t>Year</t>
        </is>
      </c>
      <c r="L4" s="227" t="inlineStr">
        <is>
          <t>Earned Income</t>
        </is>
      </c>
      <c r="M4" s="227" t="inlineStr">
        <is>
          <t>Matthew SS</t>
        </is>
      </c>
      <c r="N4" s="227" t="inlineStr">
        <is>
          <t>Patricia SS</t>
        </is>
      </c>
      <c r="O4" s="227" t="inlineStr">
        <is>
          <t>Pension</t>
        </is>
      </c>
      <c r="P4" s="227" t="inlineStr">
        <is>
          <t>Patricia Single Ann</t>
        </is>
      </c>
      <c r="Q4" s="227" t="inlineStr">
        <is>
          <t>Patricia Joint Ann</t>
        </is>
      </c>
      <c r="R4" s="227" t="inlineStr">
        <is>
          <t>Matthew Single Ann</t>
        </is>
      </c>
      <c r="S4" s="227" t="inlineStr">
        <is>
          <t>Matthew Joint Ann</t>
        </is>
      </c>
      <c r="T4" s="227" t="inlineStr">
        <is>
          <t>Note P+I</t>
        </is>
      </c>
      <c r="U4" s="227" t="inlineStr">
        <is>
          <t>RMD</t>
        </is>
      </c>
      <c r="V4" s="227" t="inlineStr">
        <is>
          <t>Trust Draw</t>
        </is>
      </c>
      <c r="W4" s="227" t="inlineStr">
        <is>
          <t>HSA Draw</t>
        </is>
      </c>
      <c r="X4" s="227" t="inlineStr">
        <is>
          <t>Roth Draw</t>
        </is>
      </c>
      <c r="Y4" s="227" t="inlineStr">
        <is>
          <t>IRA Draw</t>
        </is>
      </c>
      <c r="Z4" s="227" t="inlineStr">
        <is>
          <t>HELOC Draw</t>
        </is>
      </c>
      <c r="AA4" s="229" t="inlineStr">
        <is>
          <t>Σ Income</t>
        </is>
      </c>
      <c r="AC4" s="227" t="inlineStr">
        <is>
          <t>Year</t>
        </is>
      </c>
      <c r="AD4" s="227" t="inlineStr">
        <is>
          <t>Base Spending</t>
        </is>
      </c>
      <c r="AE4" s="227" t="inlineStr">
        <is>
          <t>Housing</t>
        </is>
      </c>
      <c r="AF4" s="227" t="inlineStr">
        <is>
          <t>Wellness</t>
        </is>
      </c>
      <c r="AG4" s="227" t="inlineStr">
        <is>
          <t>Travel</t>
        </is>
      </c>
      <c r="AH4" s="227" t="inlineStr">
        <is>
          <t>Other</t>
        </is>
      </c>
      <c r="AI4" s="227" t="inlineStr">
        <is>
          <t>Federal Tax</t>
        </is>
      </c>
      <c r="AJ4" s="227" t="inlineStr">
        <is>
          <t>State Tax (Il)</t>
        </is>
      </c>
      <c r="AK4" s="227" t="inlineStr">
        <is>
          <t>NIIT</t>
        </is>
      </c>
      <c r="AL4" s="227" t="inlineStr">
        <is>
          <t>Payroll Tax</t>
        </is>
      </c>
      <c r="AM4" s="227" t="inlineStr">
        <is>
          <t>HELOC P&amp;I</t>
        </is>
      </c>
      <c r="AN4" s="230" t="inlineStr">
        <is>
          <t>Σ Spend+Tax</t>
        </is>
      </c>
      <c r="AQ4" s="227" t="inlineStr">
        <is>
          <t>Year</t>
        </is>
      </c>
      <c r="AR4" s="227" t="inlineStr">
        <is>
          <t>P10</t>
        </is>
      </c>
      <c r="AS4" s="227" t="inlineStr">
        <is>
          <t>P25</t>
        </is>
      </c>
      <c r="AT4" s="227" t="inlineStr">
        <is>
          <t>P50 Median</t>
        </is>
      </c>
      <c r="AU4" s="227" t="inlineStr">
        <is>
          <t>P75</t>
        </is>
      </c>
      <c r="AV4" s="227" t="inlineStr">
        <is>
          <t>P90</t>
        </is>
      </c>
    </row>
    <row r="5">
      <c r="A5" s="231" t="n">
        <v>2026</v>
      </c>
      <c r="B5" s="232" t="n">
        <v>1360666</v>
      </c>
      <c r="C5" s="232" t="n">
        <v>1911357</v>
      </c>
      <c r="D5" s="232" t="n">
        <v>361825</v>
      </c>
      <c r="E5" s="232" t="n">
        <v>603017</v>
      </c>
      <c r="F5" s="232" t="n">
        <v>82867</v>
      </c>
      <c r="G5" s="232" t="n">
        <v>1061621</v>
      </c>
      <c r="H5" s="232" t="n">
        <v>547626</v>
      </c>
      <c r="I5" s="233" t="n">
        <v>5928979</v>
      </c>
      <c r="K5" s="231" t="n">
        <v>2026</v>
      </c>
      <c r="L5" s="232" t="n">
        <v>290000</v>
      </c>
      <c r="M5" s="232" t="n">
        <v>0</v>
      </c>
      <c r="N5" s="232" t="n">
        <v>0</v>
      </c>
      <c r="O5" s="232" t="n">
        <v>4512</v>
      </c>
      <c r="P5" s="232" t="n">
        <v>0</v>
      </c>
      <c r="Q5" s="232" t="n">
        <v>0</v>
      </c>
      <c r="R5" s="232" t="n">
        <v>0</v>
      </c>
      <c r="S5" s="232" t="n">
        <v>0</v>
      </c>
      <c r="T5" s="232" t="n">
        <v>100547</v>
      </c>
      <c r="U5" s="232" t="n">
        <v>0</v>
      </c>
      <c r="V5" s="232" t="n">
        <v>0</v>
      </c>
      <c r="W5" s="232" t="n">
        <v>0</v>
      </c>
      <c r="X5" s="232" t="n">
        <v>0</v>
      </c>
      <c r="Y5" s="232" t="n">
        <v>0</v>
      </c>
      <c r="Z5" s="232" t="n">
        <v>0</v>
      </c>
      <c r="AA5" s="233" t="n">
        <v>395059</v>
      </c>
      <c r="AC5" s="231" t="n">
        <v>2026</v>
      </c>
      <c r="AD5" s="232" t="n">
        <v>154158</v>
      </c>
      <c r="AE5" s="232" t="n">
        <v>101612</v>
      </c>
      <c r="AF5" s="232" t="n">
        <v>21760</v>
      </c>
      <c r="AG5" s="232" t="n">
        <v>25000</v>
      </c>
      <c r="AH5" s="232" t="n">
        <v>0</v>
      </c>
      <c r="AI5" s="232" t="n">
        <v>44099</v>
      </c>
      <c r="AJ5" s="232" t="n">
        <v>15726</v>
      </c>
      <c r="AK5" s="232" t="n">
        <v>0</v>
      </c>
      <c r="AL5" s="232" t="n">
        <v>32704</v>
      </c>
      <c r="AM5" s="232" t="n">
        <v>0</v>
      </c>
      <c r="AN5" s="233" t="n">
        <v>395059</v>
      </c>
      <c r="AQ5" s="231" t="n">
        <v>2026</v>
      </c>
      <c r="AR5" s="232" t="n">
        <v>5814473.668157523</v>
      </c>
      <c r="AS5" s="232" t="n">
        <v>5880061.480796587</v>
      </c>
      <c r="AT5" s="232" t="n">
        <v>6035053.657494563</v>
      </c>
      <c r="AU5" s="232" t="n">
        <v>6163624.360221907</v>
      </c>
      <c r="AV5" s="232" t="n">
        <v>6257577.100366883</v>
      </c>
    </row>
    <row r="6">
      <c r="A6" s="234" t="n">
        <v>2027</v>
      </c>
      <c r="B6" s="235" t="n">
        <v>1437523</v>
      </c>
      <c r="C6" s="235" t="n">
        <v>1787540</v>
      </c>
      <c r="D6" s="235" t="n">
        <v>560225</v>
      </c>
      <c r="E6" s="235" t="n">
        <v>333114</v>
      </c>
      <c r="F6" s="235" t="n">
        <v>87839</v>
      </c>
      <c r="G6" s="235" t="n">
        <v>1132406</v>
      </c>
      <c r="H6" s="235" t="n">
        <v>480568</v>
      </c>
      <c r="I6" s="236" t="n">
        <v>5819215</v>
      </c>
      <c r="K6" s="234" t="n">
        <v>2027</v>
      </c>
      <c r="L6" s="235" t="n">
        <v>0</v>
      </c>
      <c r="M6" s="235" t="n">
        <v>0</v>
      </c>
      <c r="N6" s="235" t="n">
        <v>0</v>
      </c>
      <c r="O6" s="235" t="n">
        <v>4512</v>
      </c>
      <c r="P6" s="235" t="n">
        <v>0</v>
      </c>
      <c r="Q6" s="235" t="n">
        <v>0</v>
      </c>
      <c r="R6" s="235" t="n">
        <v>0</v>
      </c>
      <c r="S6" s="235" t="n">
        <v>0</v>
      </c>
      <c r="T6" s="235" t="n">
        <v>91446</v>
      </c>
      <c r="U6" s="235" t="n">
        <v>0</v>
      </c>
      <c r="V6" s="235" t="n">
        <v>282906</v>
      </c>
      <c r="W6" s="235" t="n">
        <v>0</v>
      </c>
      <c r="X6" s="235" t="n">
        <v>0</v>
      </c>
      <c r="Y6" s="235" t="n">
        <v>58309</v>
      </c>
      <c r="Z6" s="235" t="n">
        <v>0</v>
      </c>
      <c r="AA6" s="236" t="n">
        <v>437173</v>
      </c>
      <c r="AC6" s="234" t="n">
        <v>2027</v>
      </c>
      <c r="AD6" s="235" t="n">
        <v>158012</v>
      </c>
      <c r="AE6" s="235" t="n">
        <v>103252</v>
      </c>
      <c r="AF6" s="235" t="n">
        <v>35186</v>
      </c>
      <c r="AG6" s="235" t="n">
        <v>25625</v>
      </c>
      <c r="AH6" s="235" t="n">
        <v>100000</v>
      </c>
      <c r="AI6" s="235" t="n">
        <v>27348</v>
      </c>
      <c r="AJ6" s="235" t="n">
        <v>2171</v>
      </c>
      <c r="AK6" s="235" t="n">
        <v>0</v>
      </c>
      <c r="AL6" s="235" t="n">
        <v>0</v>
      </c>
      <c r="AM6" s="235" t="n">
        <v>0</v>
      </c>
      <c r="AN6" s="236" t="n">
        <v>451594</v>
      </c>
      <c r="AQ6" s="234" t="n">
        <v>2027</v>
      </c>
      <c r="AR6" s="235" t="n">
        <v>5314204.085309448</v>
      </c>
      <c r="AS6" s="235" t="n">
        <v>5709118.729769527</v>
      </c>
      <c r="AT6" s="235" t="n">
        <v>6002878.515099084</v>
      </c>
      <c r="AU6" s="235" t="n">
        <v>6230933.794433613</v>
      </c>
      <c r="AV6" s="235" t="n">
        <v>6523809.252234869</v>
      </c>
    </row>
    <row r="7">
      <c r="A7" s="231" t="n">
        <v>2028</v>
      </c>
      <c r="B7" s="232" t="n">
        <v>1518992</v>
      </c>
      <c r="C7" s="232" t="n">
        <v>1669225</v>
      </c>
      <c r="D7" s="232" t="n">
        <v>756361</v>
      </c>
      <c r="E7" s="232" t="n">
        <v>110218</v>
      </c>
      <c r="F7" s="232" t="n">
        <v>93110</v>
      </c>
      <c r="G7" s="232" t="n">
        <v>1205010</v>
      </c>
      <c r="H7" s="232" t="n">
        <v>413511</v>
      </c>
      <c r="I7" s="233" t="n">
        <v>5766427</v>
      </c>
      <c r="K7" s="231" t="n">
        <v>2028</v>
      </c>
      <c r="L7" s="232" t="n">
        <v>0</v>
      </c>
      <c r="M7" s="232" t="n">
        <v>0</v>
      </c>
      <c r="N7" s="232" t="n">
        <v>0</v>
      </c>
      <c r="O7" s="232" t="n">
        <v>4512</v>
      </c>
      <c r="P7" s="232" t="n">
        <v>0</v>
      </c>
      <c r="Q7" s="232" t="n">
        <v>27611</v>
      </c>
      <c r="R7" s="232" t="n">
        <v>0</v>
      </c>
      <c r="S7" s="232" t="n">
        <v>0</v>
      </c>
      <c r="T7" s="232" t="n">
        <v>86732</v>
      </c>
      <c r="U7" s="232" t="n">
        <v>0</v>
      </c>
      <c r="V7" s="232" t="n">
        <v>227198</v>
      </c>
      <c r="W7" s="232" t="n">
        <v>0</v>
      </c>
      <c r="X7" s="232" t="n">
        <v>0</v>
      </c>
      <c r="Y7" s="232" t="n">
        <v>59476</v>
      </c>
      <c r="Z7" s="232" t="n">
        <v>0</v>
      </c>
      <c r="AA7" s="233" t="n">
        <v>405529</v>
      </c>
      <c r="AC7" s="231" t="n">
        <v>2028</v>
      </c>
      <c r="AD7" s="232" t="n">
        <v>161962</v>
      </c>
      <c r="AE7" s="232" t="n">
        <v>104934</v>
      </c>
      <c r="AF7" s="232" t="n">
        <v>36941</v>
      </c>
      <c r="AG7" s="232" t="n">
        <v>26266</v>
      </c>
      <c r="AH7" s="232" t="n">
        <v>50000</v>
      </c>
      <c r="AI7" s="232" t="n">
        <v>27987</v>
      </c>
      <c r="AJ7" s="232" t="n">
        <v>1678</v>
      </c>
      <c r="AK7" s="232" t="n">
        <v>0</v>
      </c>
      <c r="AL7" s="232" t="n">
        <v>0</v>
      </c>
      <c r="AM7" s="232" t="n">
        <v>0</v>
      </c>
      <c r="AN7" s="233" t="n">
        <v>409768</v>
      </c>
      <c r="AQ7" s="231" t="n">
        <v>2028</v>
      </c>
      <c r="AR7" s="232" t="n">
        <v>5168711.135609849</v>
      </c>
      <c r="AS7" s="232" t="n">
        <v>5511540.552517295</v>
      </c>
      <c r="AT7" s="232" t="n">
        <v>5972430.475901188</v>
      </c>
      <c r="AU7" s="232" t="n">
        <v>6256438.387524625</v>
      </c>
      <c r="AV7" s="232" t="n">
        <v>6797220.350345555</v>
      </c>
    </row>
    <row r="8">
      <c r="A8" s="234" t="n">
        <v>2029</v>
      </c>
      <c r="B8" s="235" t="n">
        <v>1576080</v>
      </c>
      <c r="C8" s="235" t="n">
        <v>1614148</v>
      </c>
      <c r="D8" s="235" t="n">
        <v>889575</v>
      </c>
      <c r="E8" s="235" t="n">
        <v>9503</v>
      </c>
      <c r="F8" s="235" t="n">
        <v>98696</v>
      </c>
      <c r="G8" s="235" t="n">
        <v>1279481</v>
      </c>
      <c r="H8" s="235" t="n">
        <v>346454</v>
      </c>
      <c r="I8" s="236" t="n">
        <v>5813937</v>
      </c>
      <c r="K8" s="234" t="n">
        <v>2029</v>
      </c>
      <c r="L8" s="235" t="n">
        <v>0</v>
      </c>
      <c r="M8" s="235" t="n">
        <v>0</v>
      </c>
      <c r="N8" s="235" t="n">
        <v>0</v>
      </c>
      <c r="O8" s="235" t="n">
        <v>4512</v>
      </c>
      <c r="P8" s="235" t="n">
        <v>4600</v>
      </c>
      <c r="Q8" s="235" t="n">
        <v>27437</v>
      </c>
      <c r="R8" s="235" t="n">
        <v>8123</v>
      </c>
      <c r="S8" s="235" t="n">
        <v>71336</v>
      </c>
      <c r="T8" s="235" t="n">
        <v>82017</v>
      </c>
      <c r="U8" s="235" t="n">
        <v>0</v>
      </c>
      <c r="V8" s="235" t="n">
        <v>101086</v>
      </c>
      <c r="W8" s="235" t="n">
        <v>0</v>
      </c>
      <c r="X8" s="235" t="n">
        <v>0</v>
      </c>
      <c r="Y8" s="235" t="n">
        <v>63584</v>
      </c>
      <c r="Z8" s="235" t="n">
        <v>0</v>
      </c>
      <c r="AA8" s="236" t="n">
        <v>362695</v>
      </c>
      <c r="AC8" s="234" t="n">
        <v>2029</v>
      </c>
      <c r="AD8" s="235" t="n">
        <v>166011</v>
      </c>
      <c r="AE8" s="235" t="n">
        <v>106657</v>
      </c>
      <c r="AF8" s="235" t="n">
        <v>38790</v>
      </c>
      <c r="AG8" s="235" t="n">
        <v>26922</v>
      </c>
      <c r="AH8" s="235" t="n">
        <v>0</v>
      </c>
      <c r="AI8" s="235" t="n">
        <v>29615</v>
      </c>
      <c r="AJ8" s="235" t="n">
        <v>1716</v>
      </c>
      <c r="AK8" s="235" t="n">
        <v>0</v>
      </c>
      <c r="AL8" s="235" t="n">
        <v>0</v>
      </c>
      <c r="AM8" s="235" t="n">
        <v>0</v>
      </c>
      <c r="AN8" s="236" t="n">
        <v>369711</v>
      </c>
      <c r="AQ8" s="234" t="n">
        <v>2029</v>
      </c>
      <c r="AR8" s="235" t="n">
        <v>4967699.734332524</v>
      </c>
      <c r="AS8" s="235" t="n">
        <v>5542672.34167994</v>
      </c>
      <c r="AT8" s="235" t="n">
        <v>6287124.42347296</v>
      </c>
      <c r="AU8" s="235" t="n">
        <v>6648112.253044619</v>
      </c>
      <c r="AV8" s="235" t="n">
        <v>7160972.667369897</v>
      </c>
    </row>
    <row r="9">
      <c r="A9" s="231" t="n">
        <v>2030</v>
      </c>
      <c r="B9" s="232" t="n">
        <v>1547677</v>
      </c>
      <c r="C9" s="232" t="n">
        <v>1491202</v>
      </c>
      <c r="D9" s="232" t="n">
        <v>1041778</v>
      </c>
      <c r="E9" s="232" t="n">
        <v>0</v>
      </c>
      <c r="F9" s="232" t="n">
        <v>104618</v>
      </c>
      <c r="G9" s="232" t="n">
        <v>1355868</v>
      </c>
      <c r="H9" s="232" t="n">
        <v>213396</v>
      </c>
      <c r="I9" s="233" t="n">
        <v>5754539</v>
      </c>
      <c r="K9" s="231" t="n">
        <v>2030</v>
      </c>
      <c r="L9" s="232" t="n">
        <v>0</v>
      </c>
      <c r="M9" s="232" t="n">
        <v>0</v>
      </c>
      <c r="N9" s="232" t="n">
        <v>0</v>
      </c>
      <c r="O9" s="232" t="n">
        <v>4512</v>
      </c>
      <c r="P9" s="232" t="n">
        <v>4583</v>
      </c>
      <c r="Q9" s="232" t="n">
        <v>27268</v>
      </c>
      <c r="R9" s="232" t="n">
        <v>8088</v>
      </c>
      <c r="S9" s="232" t="n">
        <v>70915</v>
      </c>
      <c r="T9" s="232" t="n">
        <v>77303</v>
      </c>
      <c r="U9" s="232" t="n">
        <v>0</v>
      </c>
      <c r="V9" s="232" t="n">
        <v>75503</v>
      </c>
      <c r="W9" s="232" t="n">
        <v>0</v>
      </c>
      <c r="X9" s="232" t="n">
        <v>0</v>
      </c>
      <c r="Y9" s="232" t="n">
        <v>114119</v>
      </c>
      <c r="Z9" s="232" t="n">
        <v>0</v>
      </c>
      <c r="AA9" s="233" t="n">
        <v>382291</v>
      </c>
      <c r="AC9" s="231" t="n">
        <v>2030</v>
      </c>
      <c r="AD9" s="232" t="n">
        <v>170162</v>
      </c>
      <c r="AE9" s="232" t="n">
        <v>108423</v>
      </c>
      <c r="AF9" s="232" t="n">
        <v>40738</v>
      </c>
      <c r="AG9" s="232" t="n">
        <v>27595</v>
      </c>
      <c r="AH9" s="232" t="n">
        <v>0</v>
      </c>
      <c r="AI9" s="232" t="n">
        <v>30272</v>
      </c>
      <c r="AJ9" s="232" t="n">
        <v>1454</v>
      </c>
      <c r="AK9" s="232" t="n">
        <v>0</v>
      </c>
      <c r="AL9" s="232" t="n">
        <v>3647</v>
      </c>
      <c r="AM9" s="232" t="n">
        <v>0</v>
      </c>
      <c r="AN9" s="233" t="n">
        <v>382291</v>
      </c>
      <c r="AQ9" s="231" t="n">
        <v>2030</v>
      </c>
      <c r="AR9" s="232" t="n">
        <v>4739460.198912799</v>
      </c>
      <c r="AS9" s="232" t="n">
        <v>5376481.167552093</v>
      </c>
      <c r="AT9" s="232" t="n">
        <v>6293440.051512727</v>
      </c>
      <c r="AU9" s="232" t="n">
        <v>6840968.897506481</v>
      </c>
      <c r="AV9" s="232" t="n">
        <v>7568042.977264582</v>
      </c>
    </row>
    <row r="10">
      <c r="A10" s="234" t="n">
        <v>2031</v>
      </c>
      <c r="B10" s="235" t="n">
        <v>1518250</v>
      </c>
      <c r="C10" s="235" t="n">
        <v>1390819</v>
      </c>
      <c r="D10" s="235" t="n">
        <v>1170165</v>
      </c>
      <c r="E10" s="235" t="n">
        <v>0</v>
      </c>
      <c r="F10" s="235" t="n">
        <v>99806</v>
      </c>
      <c r="G10" s="235" t="n">
        <v>1434223</v>
      </c>
      <c r="H10" s="235" t="n">
        <v>146339</v>
      </c>
      <c r="I10" s="236" t="n">
        <v>5759602</v>
      </c>
      <c r="K10" s="234" t="n">
        <v>2031</v>
      </c>
      <c r="L10" s="235" t="n">
        <v>0</v>
      </c>
      <c r="M10" s="235" t="n">
        <v>0</v>
      </c>
      <c r="N10" s="235" t="n">
        <v>50088</v>
      </c>
      <c r="O10" s="235" t="n">
        <v>4512</v>
      </c>
      <c r="P10" s="235" t="n">
        <v>4567</v>
      </c>
      <c r="Q10" s="235" t="n">
        <v>27109</v>
      </c>
      <c r="R10" s="235" t="n">
        <v>8055</v>
      </c>
      <c r="S10" s="235" t="n">
        <v>70503</v>
      </c>
      <c r="T10" s="235" t="n">
        <v>72588</v>
      </c>
      <c r="U10" s="235" t="n">
        <v>0</v>
      </c>
      <c r="V10" s="235" t="n">
        <v>0</v>
      </c>
      <c r="W10" s="235" t="n">
        <v>10462</v>
      </c>
      <c r="X10" s="235" t="n">
        <v>0</v>
      </c>
      <c r="Y10" s="235" t="n">
        <v>116957</v>
      </c>
      <c r="Z10" s="235" t="n">
        <v>0</v>
      </c>
      <c r="AA10" s="236" t="n">
        <v>364841</v>
      </c>
      <c r="AC10" s="234" t="n">
        <v>2031</v>
      </c>
      <c r="AD10" s="235" t="n">
        <v>174416</v>
      </c>
      <c r="AE10" s="235" t="n">
        <v>81949</v>
      </c>
      <c r="AF10" s="235" t="n">
        <v>42792</v>
      </c>
      <c r="AG10" s="235" t="n">
        <v>28285</v>
      </c>
      <c r="AH10" s="235" t="n">
        <v>0</v>
      </c>
      <c r="AI10" s="235" t="n">
        <v>30893</v>
      </c>
      <c r="AJ10" s="235" t="n">
        <v>1140</v>
      </c>
      <c r="AK10" s="235" t="n">
        <v>0</v>
      </c>
      <c r="AL10" s="235" t="n">
        <v>5366</v>
      </c>
      <c r="AM10" s="235" t="n">
        <v>0</v>
      </c>
      <c r="AN10" s="236" t="n">
        <v>364841</v>
      </c>
      <c r="AQ10" s="234" t="n">
        <v>2031</v>
      </c>
      <c r="AR10" s="235" t="n">
        <v>4618181.299927661</v>
      </c>
      <c r="AS10" s="235" t="n">
        <v>5489728.213336911</v>
      </c>
      <c r="AT10" s="235" t="n">
        <v>6410204.13456269</v>
      </c>
      <c r="AU10" s="235" t="n">
        <v>7239801.794307431</v>
      </c>
      <c r="AV10" s="235" t="n">
        <v>7621938.186497404</v>
      </c>
    </row>
    <row r="11">
      <c r="A11" s="231" t="n">
        <v>2032</v>
      </c>
      <c r="B11" s="232" t="n">
        <v>1487715</v>
      </c>
      <c r="C11" s="232" t="n">
        <v>1194969</v>
      </c>
      <c r="D11" s="232" t="n">
        <v>1287577</v>
      </c>
      <c r="E11" s="232" t="n">
        <v>0</v>
      </c>
      <c r="F11" s="232" t="n">
        <v>94039</v>
      </c>
      <c r="G11" s="232" t="n">
        <v>1514599</v>
      </c>
      <c r="H11" s="232" t="n">
        <v>79282</v>
      </c>
      <c r="I11" s="233" t="n">
        <v>5658181</v>
      </c>
      <c r="K11" s="231" t="n">
        <v>2032</v>
      </c>
      <c r="L11" s="232" t="n">
        <v>0</v>
      </c>
      <c r="M11" s="232" t="n">
        <v>47549</v>
      </c>
      <c r="N11" s="232" t="n">
        <v>39850</v>
      </c>
      <c r="O11" s="232" t="n">
        <v>4512</v>
      </c>
      <c r="P11" s="232" t="n">
        <v>4552</v>
      </c>
      <c r="Q11" s="232" t="n">
        <v>26960</v>
      </c>
      <c r="R11" s="232" t="n">
        <v>8023</v>
      </c>
      <c r="S11" s="232" t="n">
        <v>70118</v>
      </c>
      <c r="T11" s="232" t="n">
        <v>63730</v>
      </c>
      <c r="U11" s="232" t="n">
        <v>0</v>
      </c>
      <c r="V11" s="232" t="n">
        <v>0</v>
      </c>
      <c r="W11" s="232" t="n">
        <v>11090</v>
      </c>
      <c r="X11" s="232" t="n">
        <v>0</v>
      </c>
      <c r="Y11" s="232" t="n">
        <v>218960</v>
      </c>
      <c r="Z11" s="232" t="n">
        <v>0</v>
      </c>
      <c r="AA11" s="233" t="n">
        <v>495344</v>
      </c>
      <c r="AC11" s="231" t="n">
        <v>2032</v>
      </c>
      <c r="AD11" s="232" t="n">
        <v>178776</v>
      </c>
      <c r="AE11" s="232" t="n">
        <v>83097</v>
      </c>
      <c r="AF11" s="232" t="n">
        <v>44956</v>
      </c>
      <c r="AG11" s="232" t="n">
        <v>28992</v>
      </c>
      <c r="AH11" s="232" t="n">
        <v>100000</v>
      </c>
      <c r="AI11" s="232" t="n">
        <v>31526</v>
      </c>
      <c r="AJ11" s="232" t="n">
        <v>700</v>
      </c>
      <c r="AK11" s="232" t="n">
        <v>0</v>
      </c>
      <c r="AL11" s="232" t="n">
        <v>27297</v>
      </c>
      <c r="AM11" s="232" t="n">
        <v>0</v>
      </c>
      <c r="AN11" s="233" t="n">
        <v>495344</v>
      </c>
      <c r="AQ11" s="231" t="n">
        <v>2032</v>
      </c>
      <c r="AR11" s="232" t="n">
        <v>4297847.00101028</v>
      </c>
      <c r="AS11" s="232" t="n">
        <v>5199701.8788456</v>
      </c>
      <c r="AT11" s="232" t="n">
        <v>6368866.581173988</v>
      </c>
      <c r="AU11" s="232" t="n">
        <v>7228098.984468339</v>
      </c>
      <c r="AV11" s="232" t="n">
        <v>8095810.351781369</v>
      </c>
    </row>
    <row r="12">
      <c r="A12" s="234" t="n">
        <v>2033</v>
      </c>
      <c r="B12" s="235" t="n">
        <v>1455962</v>
      </c>
      <c r="C12" s="235" t="n">
        <v>1104686</v>
      </c>
      <c r="D12" s="235" t="n">
        <v>1418423</v>
      </c>
      <c r="E12" s="235" t="n">
        <v>0</v>
      </c>
      <c r="F12" s="235" t="n">
        <v>87221</v>
      </c>
      <c r="G12" s="235" t="n">
        <v>1597049</v>
      </c>
      <c r="H12" s="235" t="n">
        <v>20000</v>
      </c>
      <c r="I12" s="236" t="n">
        <v>5683341</v>
      </c>
      <c r="K12" s="234" t="n">
        <v>2033</v>
      </c>
      <c r="L12" s="235" t="n">
        <v>0</v>
      </c>
      <c r="M12" s="235" t="n">
        <v>48500</v>
      </c>
      <c r="N12" s="235" t="n">
        <v>40647</v>
      </c>
      <c r="O12" s="235" t="n">
        <v>4512</v>
      </c>
      <c r="P12" s="235" t="n">
        <v>4538</v>
      </c>
      <c r="Q12" s="235" t="n">
        <v>26822</v>
      </c>
      <c r="R12" s="235" t="n">
        <v>7994</v>
      </c>
      <c r="S12" s="235" t="n">
        <v>69759</v>
      </c>
      <c r="T12" s="235" t="n">
        <v>61552</v>
      </c>
      <c r="U12" s="235" t="n">
        <v>0</v>
      </c>
      <c r="V12" s="235" t="n">
        <v>0</v>
      </c>
      <c r="W12" s="235" t="n">
        <v>11755</v>
      </c>
      <c r="X12" s="235" t="n">
        <v>0</v>
      </c>
      <c r="Y12" s="235" t="n">
        <v>102254</v>
      </c>
      <c r="Z12" s="235" t="n">
        <v>0</v>
      </c>
      <c r="AA12" s="236" t="n">
        <v>378333</v>
      </c>
      <c r="AC12" s="234" t="n">
        <v>2033</v>
      </c>
      <c r="AD12" s="235" t="n">
        <v>183245</v>
      </c>
      <c r="AE12" s="235" t="n">
        <v>84275</v>
      </c>
      <c r="AF12" s="235" t="n">
        <v>47237</v>
      </c>
      <c r="AG12" s="235" t="n">
        <v>29717</v>
      </c>
      <c r="AH12" s="235" t="n">
        <v>0</v>
      </c>
      <c r="AI12" s="235" t="n">
        <v>32171</v>
      </c>
      <c r="AJ12" s="235" t="n">
        <v>588</v>
      </c>
      <c r="AK12" s="235" t="n">
        <v>0</v>
      </c>
      <c r="AL12" s="235" t="n">
        <v>1100</v>
      </c>
      <c r="AM12" s="235" t="n">
        <v>0</v>
      </c>
      <c r="AN12" s="236" t="n">
        <v>378333</v>
      </c>
      <c r="AQ12" s="234" t="n">
        <v>2033</v>
      </c>
      <c r="AR12" s="235" t="n">
        <v>4449628.4239555</v>
      </c>
      <c r="AS12" s="235" t="n">
        <v>5164302.940859212</v>
      </c>
      <c r="AT12" s="235" t="n">
        <v>6483415.886812578</v>
      </c>
      <c r="AU12" s="235" t="n">
        <v>7415450.465623025</v>
      </c>
      <c r="AV12" s="235" t="n">
        <v>8817551.90292117</v>
      </c>
    </row>
    <row r="13">
      <c r="A13" s="231" t="n">
        <v>2034</v>
      </c>
      <c r="B13" s="232" t="n">
        <v>1422877</v>
      </c>
      <c r="C13" s="232" t="n">
        <v>909455</v>
      </c>
      <c r="D13" s="232" t="n">
        <v>1563540</v>
      </c>
      <c r="E13" s="232" t="n">
        <v>0</v>
      </c>
      <c r="F13" s="232" t="n">
        <v>79247</v>
      </c>
      <c r="G13" s="232" t="n">
        <v>1681629</v>
      </c>
      <c r="H13" s="232" t="n">
        <v>20000</v>
      </c>
      <c r="I13" s="233" t="n">
        <v>5676748</v>
      </c>
      <c r="K13" s="231" t="n">
        <v>2034</v>
      </c>
      <c r="L13" s="232" t="n">
        <v>0</v>
      </c>
      <c r="M13" s="232" t="n">
        <v>49470</v>
      </c>
      <c r="N13" s="232" t="n">
        <v>41460</v>
      </c>
      <c r="O13" s="232" t="n">
        <v>4512</v>
      </c>
      <c r="P13" s="232" t="n">
        <v>4526</v>
      </c>
      <c r="Q13" s="232" t="n">
        <v>26693</v>
      </c>
      <c r="R13" s="232" t="n">
        <v>7967</v>
      </c>
      <c r="S13" s="232" t="n">
        <v>69423</v>
      </c>
      <c r="T13" s="232" t="n">
        <v>0</v>
      </c>
      <c r="U13" s="232" t="n">
        <v>0</v>
      </c>
      <c r="V13" s="232" t="n">
        <v>0</v>
      </c>
      <c r="W13" s="232" t="n">
        <v>12460</v>
      </c>
      <c r="X13" s="232" t="n">
        <v>0</v>
      </c>
      <c r="Y13" s="232" t="n">
        <v>190094</v>
      </c>
      <c r="Z13" s="232" t="n">
        <v>0</v>
      </c>
      <c r="AA13" s="233" t="n">
        <v>406605</v>
      </c>
      <c r="AC13" s="231" t="n">
        <v>2034</v>
      </c>
      <c r="AD13" s="232" t="n">
        <v>187827</v>
      </c>
      <c r="AE13" s="232" t="n">
        <v>85482</v>
      </c>
      <c r="AF13" s="232" t="n">
        <v>49640</v>
      </c>
      <c r="AG13" s="232" t="n">
        <v>30460</v>
      </c>
      <c r="AH13" s="232" t="n">
        <v>0</v>
      </c>
      <c r="AI13" s="232" t="n">
        <v>32830</v>
      </c>
      <c r="AJ13" s="232" t="n">
        <v>476</v>
      </c>
      <c r="AK13" s="232" t="n">
        <v>0</v>
      </c>
      <c r="AL13" s="232" t="n">
        <v>19890</v>
      </c>
      <c r="AM13" s="232" t="n">
        <v>0</v>
      </c>
      <c r="AN13" s="233" t="n">
        <v>406605</v>
      </c>
      <c r="AQ13" s="231" t="n">
        <v>2034</v>
      </c>
      <c r="AR13" s="232" t="n">
        <v>4300576.701412971</v>
      </c>
      <c r="AS13" s="232" t="n">
        <v>5280869.013351093</v>
      </c>
      <c r="AT13" s="232" t="n">
        <v>6413295.538424076</v>
      </c>
      <c r="AU13" s="232" t="n">
        <v>7264618.112799576</v>
      </c>
      <c r="AV13" s="232" t="n">
        <v>8749765.819369134</v>
      </c>
    </row>
    <row r="14">
      <c r="A14" s="234" t="n">
        <v>2035</v>
      </c>
      <c r="B14" s="235" t="n">
        <v>1388342</v>
      </c>
      <c r="C14" s="235" t="n">
        <v>745108</v>
      </c>
      <c r="D14" s="235" t="n">
        <v>1718119</v>
      </c>
      <c r="E14" s="235" t="n">
        <v>0</v>
      </c>
      <c r="F14" s="235" t="n">
        <v>70001</v>
      </c>
      <c r="G14" s="235" t="n">
        <v>1764562</v>
      </c>
      <c r="H14" s="235" t="n">
        <v>20000</v>
      </c>
      <c r="I14" s="236" t="n">
        <v>5706132</v>
      </c>
      <c r="K14" s="234" t="n">
        <v>2035</v>
      </c>
      <c r="L14" s="235" t="n">
        <v>0</v>
      </c>
      <c r="M14" s="235" t="n">
        <v>50459</v>
      </c>
      <c r="N14" s="235" t="n">
        <v>42289</v>
      </c>
      <c r="O14" s="235" t="n">
        <v>4512</v>
      </c>
      <c r="P14" s="235" t="n">
        <v>4514</v>
      </c>
      <c r="Q14" s="235" t="n">
        <v>29725</v>
      </c>
      <c r="R14" s="235" t="n">
        <v>7941</v>
      </c>
      <c r="S14" s="235" t="n">
        <v>69111</v>
      </c>
      <c r="T14" s="235" t="n">
        <v>0</v>
      </c>
      <c r="U14" s="235" t="n">
        <v>0</v>
      </c>
      <c r="V14" s="235" t="n">
        <v>0</v>
      </c>
      <c r="W14" s="235" t="n">
        <v>13208</v>
      </c>
      <c r="X14" s="235" t="n">
        <v>0</v>
      </c>
      <c r="Y14" s="235" t="n">
        <v>149197</v>
      </c>
      <c r="Z14" s="235" t="n">
        <v>0</v>
      </c>
      <c r="AA14" s="236" t="n">
        <v>370956</v>
      </c>
      <c r="AC14" s="234" t="n">
        <v>2035</v>
      </c>
      <c r="AD14" s="235" t="n">
        <v>192522</v>
      </c>
      <c r="AE14" s="235" t="n">
        <v>50719</v>
      </c>
      <c r="AF14" s="235" t="n">
        <v>52174</v>
      </c>
      <c r="AG14" s="235" t="n">
        <v>31222</v>
      </c>
      <c r="AH14" s="235" t="n">
        <v>0</v>
      </c>
      <c r="AI14" s="235" t="n">
        <v>33501</v>
      </c>
      <c r="AJ14" s="235" t="n">
        <v>475</v>
      </c>
      <c r="AK14" s="235" t="n">
        <v>0</v>
      </c>
      <c r="AL14" s="235" t="n">
        <v>10343</v>
      </c>
      <c r="AM14" s="235" t="n">
        <v>0</v>
      </c>
      <c r="AN14" s="236" t="n">
        <v>370956</v>
      </c>
      <c r="AQ14" s="234" t="n">
        <v>2035</v>
      </c>
      <c r="AR14" s="235" t="n">
        <v>4119116.249126114</v>
      </c>
      <c r="AS14" s="235" t="n">
        <v>5139216.601303103</v>
      </c>
      <c r="AT14" s="235" t="n">
        <v>6630787.613417501</v>
      </c>
      <c r="AU14" s="235" t="n">
        <v>7117206.250369602</v>
      </c>
      <c r="AV14" s="235" t="n">
        <v>8803951.339949168</v>
      </c>
    </row>
    <row r="15">
      <c r="A15" s="231" t="n">
        <v>2036</v>
      </c>
      <c r="B15" s="232" t="n">
        <v>1348892</v>
      </c>
      <c r="C15" s="232" t="n">
        <v>648684</v>
      </c>
      <c r="D15" s="232" t="n">
        <v>1821206</v>
      </c>
      <c r="E15" s="232" t="n">
        <v>0</v>
      </c>
      <c r="F15" s="232" t="n">
        <v>59361</v>
      </c>
      <c r="G15" s="232" t="n">
        <v>1817499</v>
      </c>
      <c r="H15" s="232" t="n">
        <v>20000</v>
      </c>
      <c r="I15" s="233" t="n">
        <v>5715642</v>
      </c>
      <c r="K15" s="231" t="n">
        <v>2036</v>
      </c>
      <c r="L15" s="232" t="n">
        <v>0</v>
      </c>
      <c r="M15" s="232" t="n">
        <v>51468</v>
      </c>
      <c r="N15" s="232" t="n">
        <v>43135</v>
      </c>
      <c r="O15" s="232" t="n">
        <v>4512</v>
      </c>
      <c r="P15" s="232" t="n">
        <v>4809</v>
      </c>
      <c r="Q15" s="232" t="n">
        <v>29362</v>
      </c>
      <c r="R15" s="232" t="n">
        <v>8540</v>
      </c>
      <c r="S15" s="232" t="n">
        <v>76457</v>
      </c>
      <c r="T15" s="232" t="n">
        <v>0</v>
      </c>
      <c r="U15" s="232" t="n">
        <v>0</v>
      </c>
      <c r="V15" s="232" t="n">
        <v>0</v>
      </c>
      <c r="W15" s="232" t="n">
        <v>14000</v>
      </c>
      <c r="X15" s="232" t="n">
        <v>0</v>
      </c>
      <c r="Y15" s="232" t="n">
        <v>133141</v>
      </c>
      <c r="Z15" s="232" t="n">
        <v>0</v>
      </c>
      <c r="AA15" s="233" t="n">
        <v>365424</v>
      </c>
      <c r="AC15" s="231" t="n">
        <v>2036</v>
      </c>
      <c r="AD15" s="232" t="n">
        <v>197335</v>
      </c>
      <c r="AE15" s="232" t="n">
        <v>51987</v>
      </c>
      <c r="AF15" s="232" t="n">
        <v>54844</v>
      </c>
      <c r="AG15" s="232" t="n">
        <v>32002</v>
      </c>
      <c r="AH15" s="232" t="n">
        <v>0</v>
      </c>
      <c r="AI15" s="232" t="n">
        <v>22498</v>
      </c>
      <c r="AJ15" s="232" t="n">
        <v>509</v>
      </c>
      <c r="AK15" s="232" t="n">
        <v>0</v>
      </c>
      <c r="AL15" s="232" t="n">
        <v>6249</v>
      </c>
      <c r="AM15" s="232" t="n">
        <v>0</v>
      </c>
      <c r="AN15" s="233" t="n">
        <v>365424</v>
      </c>
      <c r="AQ15" s="231" t="n">
        <v>2036</v>
      </c>
      <c r="AR15" s="232" t="n">
        <v>3995353.583571774</v>
      </c>
      <c r="AS15" s="232" t="n">
        <v>4804626.886802837</v>
      </c>
      <c r="AT15" s="232" t="n">
        <v>6703165.912679863</v>
      </c>
      <c r="AU15" s="232" t="n">
        <v>7401330.45698223</v>
      </c>
      <c r="AV15" s="232" t="n">
        <v>9930394.092978343</v>
      </c>
    </row>
    <row r="16">
      <c r="A16" s="234" t="n">
        <v>2037</v>
      </c>
      <c r="B16" s="235" t="n">
        <v>1298724</v>
      </c>
      <c r="C16" s="235" t="n">
        <v>536290</v>
      </c>
      <c r="D16" s="235" t="n">
        <v>1930479</v>
      </c>
      <c r="E16" s="235" t="n">
        <v>0</v>
      </c>
      <c r="F16" s="235" t="n">
        <v>47192</v>
      </c>
      <c r="G16" s="235" t="n">
        <v>1872024</v>
      </c>
      <c r="H16" s="235" t="n">
        <v>20000</v>
      </c>
      <c r="I16" s="236" t="n">
        <v>5704709</v>
      </c>
      <c r="K16" s="234" t="n">
        <v>2037</v>
      </c>
      <c r="L16" s="235" t="n">
        <v>0</v>
      </c>
      <c r="M16" s="235" t="n">
        <v>52498</v>
      </c>
      <c r="N16" s="235" t="n">
        <v>43998</v>
      </c>
      <c r="O16" s="235" t="n">
        <v>4512</v>
      </c>
      <c r="P16" s="235" t="n">
        <v>4774</v>
      </c>
      <c r="Q16" s="235" t="n">
        <v>29021</v>
      </c>
      <c r="R16" s="235" t="n">
        <v>8468</v>
      </c>
      <c r="S16" s="235" t="n">
        <v>75577</v>
      </c>
      <c r="T16" s="235" t="n">
        <v>0</v>
      </c>
      <c r="U16" s="235" t="n">
        <v>26369</v>
      </c>
      <c r="V16" s="235" t="n">
        <v>0</v>
      </c>
      <c r="W16" s="235" t="n">
        <v>14840</v>
      </c>
      <c r="X16" s="235" t="n">
        <v>0</v>
      </c>
      <c r="Y16" s="235" t="n">
        <v>116381</v>
      </c>
      <c r="Z16" s="235" t="n">
        <v>0</v>
      </c>
      <c r="AA16" s="236" t="n">
        <v>376438</v>
      </c>
      <c r="AC16" s="234" t="n">
        <v>2037</v>
      </c>
      <c r="AD16" s="235" t="n">
        <v>202269</v>
      </c>
      <c r="AE16" s="235" t="n">
        <v>53286</v>
      </c>
      <c r="AF16" s="235" t="n">
        <v>57659</v>
      </c>
      <c r="AG16" s="235" t="n">
        <v>32802</v>
      </c>
      <c r="AH16" s="235" t="n">
        <v>0</v>
      </c>
      <c r="AI16" s="235" t="n">
        <v>27931</v>
      </c>
      <c r="AJ16" s="235" t="n">
        <v>505</v>
      </c>
      <c r="AK16" s="235" t="n">
        <v>0</v>
      </c>
      <c r="AL16" s="235" t="n">
        <v>1986</v>
      </c>
      <c r="AM16" s="235" t="n">
        <v>0</v>
      </c>
      <c r="AN16" s="236" t="n">
        <v>376438</v>
      </c>
      <c r="AQ16" s="234" t="n">
        <v>2037</v>
      </c>
      <c r="AR16" s="235" t="n">
        <v>3773360.917081494</v>
      </c>
      <c r="AS16" s="235" t="n">
        <v>4355955.052627068</v>
      </c>
      <c r="AT16" s="235" t="n">
        <v>6465837.982713241</v>
      </c>
      <c r="AU16" s="235" t="n">
        <v>7475986.393687157</v>
      </c>
      <c r="AV16" s="235" t="n">
        <v>9729591.082999174</v>
      </c>
    </row>
    <row r="17">
      <c r="A17" s="231" t="n">
        <v>2038</v>
      </c>
      <c r="B17" s="232" t="n">
        <v>1246954</v>
      </c>
      <c r="C17" s="232" t="n">
        <v>406757</v>
      </c>
      <c r="D17" s="232" t="n">
        <v>2046308</v>
      </c>
      <c r="E17" s="232" t="n">
        <v>0</v>
      </c>
      <c r="F17" s="232" t="n">
        <v>33349</v>
      </c>
      <c r="G17" s="232" t="n">
        <v>1928185</v>
      </c>
      <c r="H17" s="232" t="n">
        <v>20000</v>
      </c>
      <c r="I17" s="233" t="n">
        <v>5681553</v>
      </c>
      <c r="K17" s="231" t="n">
        <v>2038</v>
      </c>
      <c r="L17" s="232" t="n">
        <v>0</v>
      </c>
      <c r="M17" s="232" t="n">
        <v>53548</v>
      </c>
      <c r="N17" s="232" t="n">
        <v>44878</v>
      </c>
      <c r="O17" s="232" t="n">
        <v>4512</v>
      </c>
      <c r="P17" s="232" t="n">
        <v>4743</v>
      </c>
      <c r="Q17" s="232" t="n">
        <v>28710</v>
      </c>
      <c r="R17" s="232" t="n">
        <v>8401</v>
      </c>
      <c r="S17" s="232" t="n">
        <v>74750</v>
      </c>
      <c r="T17" s="232" t="n">
        <v>0</v>
      </c>
      <c r="U17" s="232" t="n">
        <v>22628</v>
      </c>
      <c r="V17" s="232" t="n">
        <v>0</v>
      </c>
      <c r="W17" s="232" t="n">
        <v>15731</v>
      </c>
      <c r="X17" s="232" t="n">
        <v>0</v>
      </c>
      <c r="Y17" s="232" t="n">
        <v>129928</v>
      </c>
      <c r="Z17" s="232" t="n">
        <v>0</v>
      </c>
      <c r="AA17" s="233" t="n">
        <v>387829</v>
      </c>
      <c r="AC17" s="231" t="n">
        <v>2038</v>
      </c>
      <c r="AD17" s="232" t="n">
        <v>207325</v>
      </c>
      <c r="AE17" s="232" t="n">
        <v>54619</v>
      </c>
      <c r="AF17" s="232" t="n">
        <v>60626</v>
      </c>
      <c r="AG17" s="232" t="n">
        <v>33622</v>
      </c>
      <c r="AH17" s="232" t="n">
        <v>0</v>
      </c>
      <c r="AI17" s="232" t="n">
        <v>26759</v>
      </c>
      <c r="AJ17" s="232" t="n">
        <v>501</v>
      </c>
      <c r="AK17" s="232" t="n">
        <v>0</v>
      </c>
      <c r="AL17" s="232" t="n">
        <v>4377</v>
      </c>
      <c r="AM17" s="232" t="n">
        <v>0</v>
      </c>
      <c r="AN17" s="233" t="n">
        <v>387829</v>
      </c>
      <c r="AQ17" s="231" t="n">
        <v>2038</v>
      </c>
      <c r="AR17" s="232" t="n">
        <v>3591766.145712847</v>
      </c>
      <c r="AS17" s="232" t="n">
        <v>4256673.930132218</v>
      </c>
      <c r="AT17" s="232" t="n">
        <v>6254235.178533254</v>
      </c>
      <c r="AU17" s="232" t="n">
        <v>7814560.60082127</v>
      </c>
      <c r="AV17" s="232" t="n">
        <v>9859408.006629786</v>
      </c>
    </row>
    <row r="18">
      <c r="A18" s="234" t="n">
        <v>2039</v>
      </c>
      <c r="B18" s="235" t="n">
        <v>1193388</v>
      </c>
      <c r="C18" s="235" t="n">
        <v>258861</v>
      </c>
      <c r="D18" s="235" t="n">
        <v>2169086</v>
      </c>
      <c r="E18" s="235" t="n">
        <v>0</v>
      </c>
      <c r="F18" s="235" t="n">
        <v>17675</v>
      </c>
      <c r="G18" s="235" t="n">
        <v>1986030</v>
      </c>
      <c r="H18" s="235" t="n">
        <v>20000</v>
      </c>
      <c r="I18" s="236" t="n">
        <v>5645040</v>
      </c>
      <c r="K18" s="234" t="n">
        <v>2039</v>
      </c>
      <c r="L18" s="235" t="n">
        <v>0</v>
      </c>
      <c r="M18" s="235" t="n">
        <v>54619</v>
      </c>
      <c r="N18" s="235" t="n">
        <v>45775</v>
      </c>
      <c r="O18" s="235" t="n">
        <v>4512</v>
      </c>
      <c r="P18" s="235" t="n">
        <v>4714</v>
      </c>
      <c r="Q18" s="235" t="n">
        <v>28428</v>
      </c>
      <c r="R18" s="235" t="n">
        <v>8340</v>
      </c>
      <c r="S18" s="235" t="n">
        <v>73998</v>
      </c>
      <c r="T18" s="235" t="n">
        <v>0</v>
      </c>
      <c r="U18" s="235" t="n">
        <v>17762</v>
      </c>
      <c r="V18" s="235" t="n">
        <v>0</v>
      </c>
      <c r="W18" s="235" t="n">
        <v>16675</v>
      </c>
      <c r="X18" s="235" t="n">
        <v>0</v>
      </c>
      <c r="Y18" s="235" t="n">
        <v>144786</v>
      </c>
      <c r="Z18" s="235" t="n">
        <v>0</v>
      </c>
      <c r="AA18" s="236" t="n">
        <v>399609</v>
      </c>
      <c r="AC18" s="234" t="n">
        <v>2039</v>
      </c>
      <c r="AD18" s="235" t="n">
        <v>212509</v>
      </c>
      <c r="AE18" s="235" t="n">
        <v>55984</v>
      </c>
      <c r="AF18" s="235" t="n">
        <v>63754</v>
      </c>
      <c r="AG18" s="235" t="n">
        <v>34463</v>
      </c>
      <c r="AH18" s="235" t="n">
        <v>0</v>
      </c>
      <c r="AI18" s="235" t="n">
        <v>25361</v>
      </c>
      <c r="AJ18" s="235" t="n">
        <v>498</v>
      </c>
      <c r="AK18" s="235" t="n">
        <v>0</v>
      </c>
      <c r="AL18" s="235" t="n">
        <v>7040</v>
      </c>
      <c r="AM18" s="235" t="n">
        <v>0</v>
      </c>
      <c r="AN18" s="236" t="n">
        <v>399609</v>
      </c>
      <c r="AQ18" s="234" t="n">
        <v>2039</v>
      </c>
      <c r="AR18" s="235" t="n">
        <v>3393480.403276864</v>
      </c>
      <c r="AS18" s="235" t="n">
        <v>4067414.404373209</v>
      </c>
      <c r="AT18" s="235" t="n">
        <v>5935231.007008311</v>
      </c>
      <c r="AU18" s="235" t="n">
        <v>7919077.795760878</v>
      </c>
      <c r="AV18" s="235" t="n">
        <v>10283608.3003793</v>
      </c>
    </row>
    <row r="19">
      <c r="A19" s="231" t="n">
        <v>2040</v>
      </c>
      <c r="B19" s="232" t="n">
        <v>1137801</v>
      </c>
      <c r="C19" s="232" t="n">
        <v>91284</v>
      </c>
      <c r="D19" s="232" t="n">
        <v>2299231</v>
      </c>
      <c r="E19" s="232" t="n">
        <v>0</v>
      </c>
      <c r="F19" s="232" t="n">
        <v>0</v>
      </c>
      <c r="G19" s="232" t="n">
        <v>2045611</v>
      </c>
      <c r="H19" s="232" t="n">
        <v>20000</v>
      </c>
      <c r="I19" s="233" t="n">
        <v>5593927</v>
      </c>
      <c r="K19" s="231" t="n">
        <v>2040</v>
      </c>
      <c r="L19" s="232" t="n">
        <v>0</v>
      </c>
      <c r="M19" s="232" t="n">
        <v>55711</v>
      </c>
      <c r="N19" s="232" t="n">
        <v>46691</v>
      </c>
      <c r="O19" s="232" t="n">
        <v>4512</v>
      </c>
      <c r="P19" s="232" t="n">
        <v>4689</v>
      </c>
      <c r="Q19" s="232" t="n">
        <v>28173</v>
      </c>
      <c r="R19" s="232" t="n">
        <v>8284</v>
      </c>
      <c r="S19" s="232" t="n">
        <v>73315</v>
      </c>
      <c r="T19" s="232" t="n">
        <v>0</v>
      </c>
      <c r="U19" s="232" t="n">
        <v>11766</v>
      </c>
      <c r="V19" s="232" t="n">
        <v>0</v>
      </c>
      <c r="W19" s="232" t="n">
        <v>17675</v>
      </c>
      <c r="X19" s="232" t="n">
        <v>0</v>
      </c>
      <c r="Y19" s="232" t="n">
        <v>160978</v>
      </c>
      <c r="Z19" s="232" t="n">
        <v>0</v>
      </c>
      <c r="AA19" s="233" t="n">
        <v>411794</v>
      </c>
      <c r="AC19" s="231" t="n">
        <v>2040</v>
      </c>
      <c r="AD19" s="232" t="n">
        <v>217821</v>
      </c>
      <c r="AE19" s="232" t="n">
        <v>57384</v>
      </c>
      <c r="AF19" s="232" t="n">
        <v>67051</v>
      </c>
      <c r="AG19" s="232" t="n">
        <v>35324</v>
      </c>
      <c r="AH19" s="232" t="n">
        <v>0</v>
      </c>
      <c r="AI19" s="232" t="n">
        <v>23736</v>
      </c>
      <c r="AJ19" s="232" t="n">
        <v>495</v>
      </c>
      <c r="AK19" s="232" t="n">
        <v>0</v>
      </c>
      <c r="AL19" s="232" t="n">
        <v>9983</v>
      </c>
      <c r="AM19" s="232" t="n">
        <v>0</v>
      </c>
      <c r="AN19" s="233" t="n">
        <v>411794</v>
      </c>
      <c r="AQ19" s="231" t="n">
        <v>2040</v>
      </c>
      <c r="AR19" s="232" t="n">
        <v>3203411.980377933</v>
      </c>
      <c r="AS19" s="232" t="n">
        <v>3806951.416379339</v>
      </c>
      <c r="AT19" s="232" t="n">
        <v>5778560.427982239</v>
      </c>
      <c r="AU19" s="232" t="n">
        <v>8203311.565886954</v>
      </c>
      <c r="AV19" s="232" t="n">
        <v>10204290.96795466</v>
      </c>
    </row>
    <row r="20">
      <c r="A20" s="234" t="n">
        <v>2041</v>
      </c>
      <c r="B20" s="235" t="n">
        <v>1079958</v>
      </c>
      <c r="C20" s="235" t="n">
        <v>0</v>
      </c>
      <c r="D20" s="235" t="n">
        <v>2347133</v>
      </c>
      <c r="E20" s="235" t="n">
        <v>0</v>
      </c>
      <c r="F20" s="235" t="n">
        <v>0</v>
      </c>
      <c r="G20" s="235" t="n">
        <v>2106980</v>
      </c>
      <c r="H20" s="235" t="n">
        <v>20000</v>
      </c>
      <c r="I20" s="236" t="n">
        <v>5554071</v>
      </c>
      <c r="K20" s="234" t="n">
        <v>2041</v>
      </c>
      <c r="L20" s="235" t="n">
        <v>0</v>
      </c>
      <c r="M20" s="235" t="n">
        <v>56825</v>
      </c>
      <c r="N20" s="235" t="n">
        <v>47624</v>
      </c>
      <c r="O20" s="235" t="n">
        <v>4512</v>
      </c>
      <c r="P20" s="235" t="n">
        <v>4665</v>
      </c>
      <c r="Q20" s="235" t="n">
        <v>27944</v>
      </c>
      <c r="R20" s="235" t="n">
        <v>8234</v>
      </c>
      <c r="S20" s="235" t="n">
        <v>72697</v>
      </c>
      <c r="T20" s="235" t="n">
        <v>0</v>
      </c>
      <c r="U20" s="235" t="n">
        <v>4326</v>
      </c>
      <c r="V20" s="235" t="n">
        <v>0</v>
      </c>
      <c r="W20" s="235" t="n">
        <v>0</v>
      </c>
      <c r="X20" s="235" t="n">
        <v>84955</v>
      </c>
      <c r="Y20" s="235" t="n">
        <v>86958</v>
      </c>
      <c r="Z20" s="235" t="n">
        <v>0</v>
      </c>
      <c r="AA20" s="236" t="n">
        <v>398740</v>
      </c>
      <c r="AC20" s="234" t="n">
        <v>2041</v>
      </c>
      <c r="AD20" s="235" t="n">
        <v>217821</v>
      </c>
      <c r="AE20" s="235" t="n">
        <v>58818</v>
      </c>
      <c r="AF20" s="235" t="n">
        <v>70527</v>
      </c>
      <c r="AG20" s="235" t="n">
        <v>36207</v>
      </c>
      <c r="AH20" s="235" t="n">
        <v>0</v>
      </c>
      <c r="AI20" s="235" t="n">
        <v>21813</v>
      </c>
      <c r="AJ20" s="235" t="n">
        <v>492</v>
      </c>
      <c r="AK20" s="235" t="n">
        <v>0</v>
      </c>
      <c r="AL20" s="235" t="n">
        <v>0</v>
      </c>
      <c r="AM20" s="235" t="n">
        <v>0</v>
      </c>
      <c r="AN20" s="236" t="n">
        <v>405678</v>
      </c>
      <c r="AQ20" s="234" t="n">
        <v>2041</v>
      </c>
      <c r="AR20" s="235" t="n">
        <v>3206937.838783258</v>
      </c>
      <c r="AS20" s="235" t="n">
        <v>3601338.473885238</v>
      </c>
      <c r="AT20" s="235" t="n">
        <v>5535491.950002891</v>
      </c>
      <c r="AU20" s="235" t="n">
        <v>8620855.949577278</v>
      </c>
      <c r="AV20" s="235" t="n">
        <v>11060623.70966964</v>
      </c>
    </row>
    <row r="21">
      <c r="A21" s="231" t="n">
        <v>2042</v>
      </c>
      <c r="B21" s="232" t="n">
        <v>1019621</v>
      </c>
      <c r="C21" s="232" t="n">
        <v>0</v>
      </c>
      <c r="D21" s="232" t="n">
        <v>2318347</v>
      </c>
      <c r="E21" s="232" t="n">
        <v>0</v>
      </c>
      <c r="F21" s="232" t="n">
        <v>0</v>
      </c>
      <c r="G21" s="232" t="n">
        <v>2170189</v>
      </c>
      <c r="H21" s="232" t="n">
        <v>20000</v>
      </c>
      <c r="I21" s="233" t="n">
        <v>5528157</v>
      </c>
      <c r="K21" s="231" t="n">
        <v>2042</v>
      </c>
      <c r="L21" s="232" t="n">
        <v>0</v>
      </c>
      <c r="M21" s="232" t="n">
        <v>57962</v>
      </c>
      <c r="N21" s="232" t="n">
        <v>48577</v>
      </c>
      <c r="O21" s="232" t="n">
        <v>4512</v>
      </c>
      <c r="P21" s="232" t="n">
        <v>4644</v>
      </c>
      <c r="Q21" s="232" t="n">
        <v>27738</v>
      </c>
      <c r="R21" s="232" t="n">
        <v>8188</v>
      </c>
      <c r="S21" s="232" t="n">
        <v>72141</v>
      </c>
      <c r="T21" s="232" t="n">
        <v>0</v>
      </c>
      <c r="U21" s="232" t="n">
        <v>0</v>
      </c>
      <c r="V21" s="232" t="n">
        <v>0</v>
      </c>
      <c r="W21" s="232" t="n">
        <v>0</v>
      </c>
      <c r="X21" s="232" t="n">
        <v>160013</v>
      </c>
      <c r="Y21" s="232" t="n">
        <v>0</v>
      </c>
      <c r="Z21" s="232" t="n">
        <v>0</v>
      </c>
      <c r="AA21" s="233" t="n">
        <v>383775</v>
      </c>
      <c r="AC21" s="231" t="n">
        <v>2042</v>
      </c>
      <c r="AD21" s="232" t="n">
        <v>217821</v>
      </c>
      <c r="AE21" s="232" t="n">
        <v>60289</v>
      </c>
      <c r="AF21" s="232" t="n">
        <v>74191</v>
      </c>
      <c r="AG21" s="232" t="n">
        <v>37113</v>
      </c>
      <c r="AH21" s="232" t="n">
        <v>0</v>
      </c>
      <c r="AI21" s="232" t="n">
        <v>20593</v>
      </c>
      <c r="AJ21" s="232" t="n">
        <v>489</v>
      </c>
      <c r="AK21" s="232" t="n">
        <v>0</v>
      </c>
      <c r="AL21" s="232" t="n">
        <v>0</v>
      </c>
      <c r="AM21" s="232" t="n">
        <v>0</v>
      </c>
      <c r="AN21" s="233" t="n">
        <v>410496</v>
      </c>
      <c r="AQ21" s="231" t="n">
        <v>2042</v>
      </c>
      <c r="AR21" s="232" t="n">
        <v>3209810.052992561</v>
      </c>
      <c r="AS21" s="232" t="n">
        <v>3415367.9279001</v>
      </c>
      <c r="AT21" s="232" t="n">
        <v>5770031.326019179</v>
      </c>
      <c r="AU21" s="232" t="n">
        <v>8221525.981054017</v>
      </c>
      <c r="AV21" s="232" t="n">
        <v>11005568.01002983</v>
      </c>
    </row>
    <row r="22">
      <c r="A22" s="234" t="n">
        <v>2043</v>
      </c>
      <c r="B22" s="235" t="n">
        <v>956542</v>
      </c>
      <c r="C22" s="235" t="n">
        <v>0</v>
      </c>
      <c r="D22" s="235" t="n">
        <v>2283606</v>
      </c>
      <c r="E22" s="235" t="n">
        <v>0</v>
      </c>
      <c r="F22" s="235" t="n">
        <v>0</v>
      </c>
      <c r="G22" s="235" t="n">
        <v>2235295</v>
      </c>
      <c r="H22" s="235" t="n">
        <v>20000</v>
      </c>
      <c r="I22" s="236" t="n">
        <v>5495443</v>
      </c>
      <c r="K22" s="234" t="n">
        <v>2043</v>
      </c>
      <c r="L22" s="235" t="n">
        <v>0</v>
      </c>
      <c r="M22" s="235" t="n">
        <v>59121</v>
      </c>
      <c r="N22" s="235" t="n">
        <v>49548</v>
      </c>
      <c r="O22" s="235" t="n">
        <v>4512</v>
      </c>
      <c r="P22" s="235" t="n">
        <v>4626</v>
      </c>
      <c r="Q22" s="235" t="n">
        <v>27554</v>
      </c>
      <c r="R22" s="235" t="n">
        <v>8147</v>
      </c>
      <c r="S22" s="235" t="n">
        <v>71642</v>
      </c>
      <c r="T22" s="235" t="n">
        <v>0</v>
      </c>
      <c r="U22" s="235" t="n">
        <v>0</v>
      </c>
      <c r="V22" s="235" t="n">
        <v>0</v>
      </c>
      <c r="W22" s="235" t="n">
        <v>0</v>
      </c>
      <c r="X22" s="235" t="n">
        <v>164001</v>
      </c>
      <c r="Y22" s="235" t="n">
        <v>0</v>
      </c>
      <c r="Z22" s="235" t="n">
        <v>0</v>
      </c>
      <c r="AA22" s="236" t="n">
        <v>389151</v>
      </c>
      <c r="AC22" s="234" t="n">
        <v>2043</v>
      </c>
      <c r="AD22" s="235" t="n">
        <v>217821</v>
      </c>
      <c r="AE22" s="235" t="n">
        <v>61796</v>
      </c>
      <c r="AF22" s="235" t="n">
        <v>78054</v>
      </c>
      <c r="AG22" s="235" t="n">
        <v>38040</v>
      </c>
      <c r="AH22" s="235" t="n">
        <v>0</v>
      </c>
      <c r="AI22" s="235" t="n">
        <v>20342</v>
      </c>
      <c r="AJ22" s="235" t="n">
        <v>487</v>
      </c>
      <c r="AK22" s="235" t="n">
        <v>0</v>
      </c>
      <c r="AL22" s="235" t="n">
        <v>0</v>
      </c>
      <c r="AM22" s="235" t="n">
        <v>0</v>
      </c>
      <c r="AN22" s="236" t="n">
        <v>416540</v>
      </c>
      <c r="AQ22" s="234" t="n">
        <v>2043</v>
      </c>
      <c r="AR22" s="235" t="n">
        <v>3211836.265508729</v>
      </c>
      <c r="AS22" s="235" t="n">
        <v>3229126.10050032</v>
      </c>
      <c r="AT22" s="235" t="n">
        <v>5750966.537789949</v>
      </c>
      <c r="AU22" s="235" t="n">
        <v>8718575.761683479</v>
      </c>
      <c r="AV22" s="235" t="n">
        <v>10150603.92076214</v>
      </c>
    </row>
    <row r="23">
      <c r="A23" s="231" t="n">
        <v>2044</v>
      </c>
      <c r="B23" s="232" t="n">
        <v>890464</v>
      </c>
      <c r="C23" s="232" t="n">
        <v>0</v>
      </c>
      <c r="D23" s="232" t="n">
        <v>2242399</v>
      </c>
      <c r="E23" s="232" t="n">
        <v>0</v>
      </c>
      <c r="F23" s="232" t="n">
        <v>0</v>
      </c>
      <c r="G23" s="232" t="n">
        <v>2302353</v>
      </c>
      <c r="H23" s="232" t="n">
        <v>20000</v>
      </c>
      <c r="I23" s="233" t="n">
        <v>5455216</v>
      </c>
      <c r="K23" s="231" t="n">
        <v>2044</v>
      </c>
      <c r="L23" s="232" t="n">
        <v>0</v>
      </c>
      <c r="M23" s="232" t="n">
        <v>60303</v>
      </c>
      <c r="N23" s="232" t="n">
        <v>50539</v>
      </c>
      <c r="O23" s="232" t="n">
        <v>4512</v>
      </c>
      <c r="P23" s="232" t="n">
        <v>4609</v>
      </c>
      <c r="Q23" s="232" t="n">
        <v>27391</v>
      </c>
      <c r="R23" s="232" t="n">
        <v>8111</v>
      </c>
      <c r="S23" s="232" t="n">
        <v>71197</v>
      </c>
      <c r="T23" s="232" t="n">
        <v>0</v>
      </c>
      <c r="U23" s="232" t="n">
        <v>0</v>
      </c>
      <c r="V23" s="232" t="n">
        <v>0</v>
      </c>
      <c r="W23" s="232" t="n">
        <v>0</v>
      </c>
      <c r="X23" s="232" t="n">
        <v>168135</v>
      </c>
      <c r="Y23" s="232" t="n">
        <v>0</v>
      </c>
      <c r="Z23" s="232" t="n">
        <v>0</v>
      </c>
      <c r="AA23" s="233" t="n">
        <v>394797</v>
      </c>
      <c r="AC23" s="231" t="n">
        <v>2044</v>
      </c>
      <c r="AD23" s="232" t="n">
        <v>217821</v>
      </c>
      <c r="AE23" s="232" t="n">
        <v>63341</v>
      </c>
      <c r="AF23" s="232" t="n">
        <v>82127</v>
      </c>
      <c r="AG23" s="232" t="n">
        <v>38991</v>
      </c>
      <c r="AH23" s="232" t="n">
        <v>0</v>
      </c>
      <c r="AI23" s="232" t="n">
        <v>20107</v>
      </c>
      <c r="AJ23" s="232" t="n">
        <v>485</v>
      </c>
      <c r="AK23" s="232" t="n">
        <v>0</v>
      </c>
      <c r="AL23" s="232" t="n">
        <v>0</v>
      </c>
      <c r="AM23" s="232" t="n">
        <v>0</v>
      </c>
      <c r="AN23" s="233" t="n">
        <v>422872</v>
      </c>
      <c r="AQ23" s="231" t="n">
        <v>2044</v>
      </c>
      <c r="AR23" s="232" t="n">
        <v>3212817.191660102</v>
      </c>
      <c r="AS23" s="232" t="n">
        <v>3212817.191660102</v>
      </c>
      <c r="AT23" s="232" t="n">
        <v>5827284.127675874</v>
      </c>
      <c r="AU23" s="232" t="n">
        <v>7848525.533742258</v>
      </c>
      <c r="AV23" s="232" t="n">
        <v>10148368.9727464</v>
      </c>
    </row>
    <row r="24">
      <c r="A24" s="234" t="n">
        <v>2045</v>
      </c>
      <c r="B24" s="235" t="n">
        <v>821122</v>
      </c>
      <c r="C24" s="235" t="n">
        <v>0</v>
      </c>
      <c r="D24" s="235" t="n">
        <v>2194165</v>
      </c>
      <c r="E24" s="235" t="n">
        <v>0</v>
      </c>
      <c r="F24" s="235" t="n">
        <v>0</v>
      </c>
      <c r="G24" s="235" t="n">
        <v>2371424</v>
      </c>
      <c r="H24" s="235" t="n">
        <v>20000</v>
      </c>
      <c r="I24" s="236" t="n">
        <v>5406711</v>
      </c>
      <c r="K24" s="234" t="n">
        <v>2045</v>
      </c>
      <c r="L24" s="235" t="n">
        <v>0</v>
      </c>
      <c r="M24" s="235" t="n">
        <v>61509</v>
      </c>
      <c r="N24" s="235" t="n">
        <v>51550</v>
      </c>
      <c r="O24" s="235" t="n">
        <v>4512</v>
      </c>
      <c r="P24" s="235" t="n">
        <v>4595</v>
      </c>
      <c r="Q24" s="235" t="n">
        <v>27247</v>
      </c>
      <c r="R24" s="235" t="n">
        <v>8079</v>
      </c>
      <c r="S24" s="235" t="n">
        <v>70802</v>
      </c>
      <c r="T24" s="235" t="n">
        <v>0</v>
      </c>
      <c r="U24" s="235" t="n">
        <v>0</v>
      </c>
      <c r="V24" s="235" t="n">
        <v>0</v>
      </c>
      <c r="W24" s="235" t="n">
        <v>0</v>
      </c>
      <c r="X24" s="235" t="n">
        <v>172432</v>
      </c>
      <c r="Y24" s="235" t="n">
        <v>0</v>
      </c>
      <c r="Z24" s="235" t="n">
        <v>0</v>
      </c>
      <c r="AA24" s="236" t="n">
        <v>400726</v>
      </c>
      <c r="AC24" s="234" t="n">
        <v>2045</v>
      </c>
      <c r="AD24" s="235" t="n">
        <v>217821</v>
      </c>
      <c r="AE24" s="235" t="n">
        <v>64924</v>
      </c>
      <c r="AF24" s="235" t="n">
        <v>86422</v>
      </c>
      <c r="AG24" s="235" t="n">
        <v>39966</v>
      </c>
      <c r="AH24" s="235" t="n">
        <v>0</v>
      </c>
      <c r="AI24" s="235" t="n">
        <v>19886</v>
      </c>
      <c r="AJ24" s="235" t="n">
        <v>483</v>
      </c>
      <c r="AK24" s="235" t="n">
        <v>0</v>
      </c>
      <c r="AL24" s="235" t="n">
        <v>0</v>
      </c>
      <c r="AM24" s="235" t="n">
        <v>0</v>
      </c>
      <c r="AN24" s="236" t="n">
        <v>429502</v>
      </c>
      <c r="AQ24" s="234" t="n">
        <v>2045</v>
      </c>
      <c r="AR24" s="235" t="n">
        <v>3212545.80921576</v>
      </c>
      <c r="AS24" s="235" t="n">
        <v>3212545.80921576</v>
      </c>
      <c r="AT24" s="235" t="n">
        <v>5679527.834489234</v>
      </c>
      <c r="AU24" s="235" t="n">
        <v>8102347.228522372</v>
      </c>
      <c r="AV24" s="235" t="n">
        <v>9893941.378573958</v>
      </c>
    </row>
    <row r="25">
      <c r="A25" s="231" t="n">
        <v>2046</v>
      </c>
      <c r="B25" s="232" t="n">
        <v>748240</v>
      </c>
      <c r="C25" s="232" t="n">
        <v>0</v>
      </c>
      <c r="D25" s="232" t="n">
        <v>2181717</v>
      </c>
      <c r="E25" s="232" t="n">
        <v>0</v>
      </c>
      <c r="F25" s="232" t="n">
        <v>0</v>
      </c>
      <c r="G25" s="232" t="n">
        <v>2442567</v>
      </c>
      <c r="H25" s="232" t="n">
        <v>20000</v>
      </c>
      <c r="I25" s="233" t="n">
        <v>5392524</v>
      </c>
      <c r="K25" s="231" t="n">
        <v>2046</v>
      </c>
      <c r="L25" s="232" t="n">
        <v>0</v>
      </c>
      <c r="M25" s="232" t="n">
        <v>62740</v>
      </c>
      <c r="N25" s="232" t="n">
        <v>52581</v>
      </c>
      <c r="O25" s="232" t="n">
        <v>4512</v>
      </c>
      <c r="P25" s="232" t="n">
        <v>4582</v>
      </c>
      <c r="Q25" s="232" t="n">
        <v>27122</v>
      </c>
      <c r="R25" s="232" t="n">
        <v>8051</v>
      </c>
      <c r="S25" s="232" t="n">
        <v>70454</v>
      </c>
      <c r="T25" s="232" t="n">
        <v>0</v>
      </c>
      <c r="U25" s="232" t="n">
        <v>0</v>
      </c>
      <c r="V25" s="232" t="n">
        <v>0</v>
      </c>
      <c r="W25" s="232" t="n">
        <v>0</v>
      </c>
      <c r="X25" s="232" t="n">
        <v>135941</v>
      </c>
      <c r="Y25" s="232" t="n">
        <v>0</v>
      </c>
      <c r="Z25" s="232" t="n">
        <v>0</v>
      </c>
      <c r="AA25" s="233" t="n">
        <v>365983</v>
      </c>
      <c r="AC25" s="231" t="n">
        <v>2046</v>
      </c>
      <c r="AD25" s="232" t="n">
        <v>217821</v>
      </c>
      <c r="AE25" s="232" t="n">
        <v>66547</v>
      </c>
      <c r="AF25" s="232" t="n">
        <v>90949</v>
      </c>
      <c r="AG25" s="232" t="n">
        <v>0</v>
      </c>
      <c r="AH25" s="232" t="n">
        <v>0</v>
      </c>
      <c r="AI25" s="232" t="n">
        <v>19678</v>
      </c>
      <c r="AJ25" s="232" t="n">
        <v>482</v>
      </c>
      <c r="AK25" s="232" t="n">
        <v>0</v>
      </c>
      <c r="AL25" s="232" t="n">
        <v>0</v>
      </c>
      <c r="AM25" s="232" t="n">
        <v>0</v>
      </c>
      <c r="AN25" s="233" t="n">
        <v>395477</v>
      </c>
      <c r="AQ25" s="231" t="n">
        <v>2046</v>
      </c>
      <c r="AR25" s="232" t="n">
        <v>3210806.515456208</v>
      </c>
      <c r="AS25" s="232" t="n">
        <v>3210806.515456208</v>
      </c>
      <c r="AT25" s="232" t="n">
        <v>5857170.988812502</v>
      </c>
      <c r="AU25" s="232" t="n">
        <v>8326657.982660648</v>
      </c>
      <c r="AV25" s="232" t="n">
        <v>10475709.67930944</v>
      </c>
    </row>
    <row r="26">
      <c r="A26" s="234" t="n">
        <v>2047</v>
      </c>
      <c r="B26" s="235" t="n">
        <v>671530</v>
      </c>
      <c r="C26" s="235" t="n">
        <v>0</v>
      </c>
      <c r="D26" s="235" t="n">
        <v>2156371</v>
      </c>
      <c r="E26" s="235" t="n">
        <v>0</v>
      </c>
      <c r="F26" s="235" t="n">
        <v>0</v>
      </c>
      <c r="G26" s="235" t="n">
        <v>2515844</v>
      </c>
      <c r="H26" s="235" t="n">
        <v>20000</v>
      </c>
      <c r="I26" s="236" t="n">
        <v>5363745</v>
      </c>
      <c r="K26" s="234" t="n">
        <v>2047</v>
      </c>
      <c r="L26" s="235" t="n">
        <v>0</v>
      </c>
      <c r="M26" s="235" t="n">
        <v>63994</v>
      </c>
      <c r="N26" s="235" t="n">
        <v>53633</v>
      </c>
      <c r="O26" s="235" t="n">
        <v>4512</v>
      </c>
      <c r="P26" s="235" t="n">
        <v>3652</v>
      </c>
      <c r="Q26" s="235" t="n">
        <v>17933</v>
      </c>
      <c r="R26" s="235" t="n">
        <v>8026</v>
      </c>
      <c r="S26" s="235" t="n">
        <v>70150</v>
      </c>
      <c r="T26" s="235" t="n">
        <v>0</v>
      </c>
      <c r="U26" s="235" t="n">
        <v>0</v>
      </c>
      <c r="V26" s="235" t="n">
        <v>0</v>
      </c>
      <c r="W26" s="235" t="n">
        <v>0</v>
      </c>
      <c r="X26" s="235" t="n">
        <v>147405</v>
      </c>
      <c r="Y26" s="235" t="n">
        <v>0</v>
      </c>
      <c r="Z26" s="235" t="n">
        <v>0</v>
      </c>
      <c r="AA26" s="236" t="n">
        <v>369305</v>
      </c>
      <c r="AC26" s="234" t="n">
        <v>2047</v>
      </c>
      <c r="AD26" s="235" t="n">
        <v>217821</v>
      </c>
      <c r="AE26" s="235" t="n">
        <v>68211</v>
      </c>
      <c r="AF26" s="235" t="n">
        <v>95723</v>
      </c>
      <c r="AG26" s="235" t="n">
        <v>0</v>
      </c>
      <c r="AH26" s="235" t="n">
        <v>0</v>
      </c>
      <c r="AI26" s="235" t="n">
        <v>17336</v>
      </c>
      <c r="AJ26" s="235" t="n">
        <v>447</v>
      </c>
      <c r="AK26" s="235" t="n">
        <v>0</v>
      </c>
      <c r="AL26" s="235" t="n">
        <v>0</v>
      </c>
      <c r="AM26" s="235" t="n">
        <v>0</v>
      </c>
      <c r="AN26" s="236" t="n">
        <v>399538</v>
      </c>
      <c r="AQ26" s="234" t="n">
        <v>2047</v>
      </c>
      <c r="AR26" s="235" t="n">
        <v>3207374.248848518</v>
      </c>
      <c r="AS26" s="235" t="n">
        <v>3207374.248848518</v>
      </c>
      <c r="AT26" s="235" t="n">
        <v>5927584.505196003</v>
      </c>
      <c r="AU26" s="235" t="n">
        <v>8995633.873985739</v>
      </c>
      <c r="AV26" s="235" t="n">
        <v>11136522.1829644</v>
      </c>
    </row>
    <row r="27">
      <c r="A27" s="231" t="n">
        <v>2048</v>
      </c>
      <c r="B27" s="232" t="n">
        <v>601293</v>
      </c>
      <c r="C27" s="232" t="n">
        <v>0</v>
      </c>
      <c r="D27" s="232" t="n">
        <v>2105462</v>
      </c>
      <c r="E27" s="232" t="n">
        <v>0</v>
      </c>
      <c r="F27" s="232" t="n">
        <v>0</v>
      </c>
      <c r="G27" s="232" t="n">
        <v>2591319</v>
      </c>
      <c r="H27" s="232" t="n">
        <v>20000</v>
      </c>
      <c r="I27" s="233" t="n">
        <v>5318074</v>
      </c>
      <c r="K27" s="231" t="n">
        <v>2048</v>
      </c>
      <c r="L27" s="232" t="n">
        <v>0</v>
      </c>
      <c r="M27" s="232" t="n">
        <v>65274</v>
      </c>
      <c r="N27" s="232" t="n">
        <v>54706</v>
      </c>
      <c r="O27" s="232" t="n">
        <v>4512</v>
      </c>
      <c r="P27" s="232" t="n">
        <v>3680</v>
      </c>
      <c r="Q27" s="232" t="n">
        <v>18208</v>
      </c>
      <c r="R27" s="232" t="n">
        <v>6211</v>
      </c>
      <c r="S27" s="232" t="n">
        <v>47890</v>
      </c>
      <c r="T27" s="232" t="n">
        <v>0</v>
      </c>
      <c r="U27" s="232" t="n">
        <v>0</v>
      </c>
      <c r="V27" s="232" t="n">
        <v>0</v>
      </c>
      <c r="W27" s="232" t="n">
        <v>0</v>
      </c>
      <c r="X27" s="232" t="n">
        <v>170085</v>
      </c>
      <c r="Y27" s="232" t="n">
        <v>0</v>
      </c>
      <c r="Z27" s="232" t="n">
        <v>0</v>
      </c>
      <c r="AA27" s="233" t="n">
        <v>370566</v>
      </c>
      <c r="AC27" s="231" t="n">
        <v>2048</v>
      </c>
      <c r="AD27" s="232" t="n">
        <v>217821</v>
      </c>
      <c r="AE27" s="232" t="n">
        <v>69916</v>
      </c>
      <c r="AF27" s="232" t="n">
        <v>100757</v>
      </c>
      <c r="AG27" s="232" t="n">
        <v>0</v>
      </c>
      <c r="AH27" s="232" t="n">
        <v>0</v>
      </c>
      <c r="AI27" s="232" t="n">
        <v>12683</v>
      </c>
      <c r="AJ27" s="232" t="n">
        <v>377</v>
      </c>
      <c r="AK27" s="232" t="n">
        <v>0</v>
      </c>
      <c r="AL27" s="232" t="n">
        <v>0</v>
      </c>
      <c r="AM27" s="232" t="n">
        <v>0</v>
      </c>
      <c r="AN27" s="233" t="n">
        <v>401554</v>
      </c>
      <c r="AQ27" s="231" t="n">
        <v>2048</v>
      </c>
      <c r="AR27" s="232" t="n">
        <v>3212612.162531917</v>
      </c>
      <c r="AS27" s="232" t="n">
        <v>3212612.162531917</v>
      </c>
      <c r="AT27" s="232" t="n">
        <v>6128090.401577093</v>
      </c>
      <c r="AU27" s="232" t="n">
        <v>9755092.8127703</v>
      </c>
      <c r="AV27" s="232" t="n">
        <v>11359911.73633251</v>
      </c>
    </row>
    <row r="28">
      <c r="A28" s="234" t="n">
        <v>2049</v>
      </c>
      <c r="B28" s="235" t="n">
        <v>552040</v>
      </c>
      <c r="C28" s="235" t="n">
        <v>0</v>
      </c>
      <c r="D28" s="235" t="n">
        <v>2048253</v>
      </c>
      <c r="E28" s="235" t="n">
        <v>0</v>
      </c>
      <c r="F28" s="235" t="n">
        <v>0</v>
      </c>
      <c r="G28" s="235" t="n">
        <v>2669059</v>
      </c>
      <c r="H28" s="235" t="n">
        <v>20000</v>
      </c>
      <c r="I28" s="236" t="n">
        <v>5289352</v>
      </c>
      <c r="K28" s="234" t="n">
        <v>2049</v>
      </c>
      <c r="L28" s="235" t="n">
        <v>0</v>
      </c>
      <c r="M28" s="235" t="n">
        <v>66580</v>
      </c>
      <c r="N28" s="235" t="n">
        <v>55800</v>
      </c>
      <c r="O28" s="235" t="n">
        <v>4512</v>
      </c>
      <c r="P28" s="235" t="n">
        <v>3708</v>
      </c>
      <c r="Q28" s="235" t="n">
        <v>18487</v>
      </c>
      <c r="R28" s="235" t="n">
        <v>6265</v>
      </c>
      <c r="S28" s="235" t="n">
        <v>48555</v>
      </c>
      <c r="T28" s="235" t="n">
        <v>0</v>
      </c>
      <c r="U28" s="235" t="n">
        <v>0</v>
      </c>
      <c r="V28" s="235" t="n">
        <v>0</v>
      </c>
      <c r="W28" s="235" t="n">
        <v>0</v>
      </c>
      <c r="X28" s="235" t="n">
        <v>173148</v>
      </c>
      <c r="Y28" s="235" t="n">
        <v>0</v>
      </c>
      <c r="Z28" s="235" t="n">
        <v>0</v>
      </c>
      <c r="AA28" s="236" t="n">
        <v>377055</v>
      </c>
      <c r="AC28" s="234" t="n">
        <v>2049</v>
      </c>
      <c r="AD28" s="235" t="n">
        <v>217821</v>
      </c>
      <c r="AE28" s="235" t="n">
        <v>71664</v>
      </c>
      <c r="AF28" s="235" t="n">
        <v>106064</v>
      </c>
      <c r="AG28" s="235" t="n">
        <v>0</v>
      </c>
      <c r="AH28" s="235" t="n">
        <v>0</v>
      </c>
      <c r="AI28" s="235" t="n">
        <v>12888</v>
      </c>
      <c r="AJ28" s="235" t="n">
        <v>380</v>
      </c>
      <c r="AK28" s="235" t="n">
        <v>0</v>
      </c>
      <c r="AL28" s="235" t="n">
        <v>0</v>
      </c>
      <c r="AM28" s="235" t="n">
        <v>0</v>
      </c>
      <c r="AN28" s="236" t="n">
        <v>408817</v>
      </c>
      <c r="AQ28" s="234" t="n">
        <v>2049</v>
      </c>
      <c r="AR28" s="235" t="n">
        <v>3241098.995544306</v>
      </c>
      <c r="AS28" s="235" t="n">
        <v>3241098.995544306</v>
      </c>
      <c r="AT28" s="235" t="n">
        <v>6345001.453716057</v>
      </c>
      <c r="AU28" s="235" t="n">
        <v>10095684.95492126</v>
      </c>
      <c r="AV28" s="235" t="n">
        <v>12371012.36398179</v>
      </c>
    </row>
    <row r="29">
      <c r="A29" s="231" t="n">
        <v>2050</v>
      </c>
      <c r="B29" s="232" t="n">
        <v>498744</v>
      </c>
      <c r="C29" s="232" t="n">
        <v>0</v>
      </c>
      <c r="D29" s="232" t="n">
        <v>1984095</v>
      </c>
      <c r="E29" s="232" t="n">
        <v>0</v>
      </c>
      <c r="F29" s="232" t="n">
        <v>0</v>
      </c>
      <c r="G29" s="232" t="n">
        <v>2749130</v>
      </c>
      <c r="H29" s="232" t="n">
        <v>20000</v>
      </c>
      <c r="I29" s="233" t="n">
        <v>5251969</v>
      </c>
      <c r="K29" s="231" t="n">
        <v>2050</v>
      </c>
      <c r="L29" s="232" t="n">
        <v>0</v>
      </c>
      <c r="M29" s="232" t="n">
        <v>67911</v>
      </c>
      <c r="N29" s="232" t="n">
        <v>56916</v>
      </c>
      <c r="O29" s="232" t="n">
        <v>4512</v>
      </c>
      <c r="P29" s="232" t="n">
        <v>3737</v>
      </c>
      <c r="Q29" s="232" t="n">
        <v>18769</v>
      </c>
      <c r="R29" s="232" t="n">
        <v>6320</v>
      </c>
      <c r="S29" s="232" t="n">
        <v>49231</v>
      </c>
      <c r="T29" s="232" t="n">
        <v>0</v>
      </c>
      <c r="U29" s="232" t="n">
        <v>0</v>
      </c>
      <c r="V29" s="232" t="n">
        <v>0</v>
      </c>
      <c r="W29" s="232" t="n">
        <v>0</v>
      </c>
      <c r="X29" s="232" t="n">
        <v>176465</v>
      </c>
      <c r="Y29" s="232" t="n">
        <v>0</v>
      </c>
      <c r="Z29" s="232" t="n">
        <v>0</v>
      </c>
      <c r="AA29" s="233" t="n">
        <v>383861</v>
      </c>
      <c r="AC29" s="231" t="n">
        <v>2050</v>
      </c>
      <c r="AD29" s="232" t="n">
        <v>217821</v>
      </c>
      <c r="AE29" s="232" t="n">
        <v>73456</v>
      </c>
      <c r="AF29" s="232" t="n">
        <v>111661</v>
      </c>
      <c r="AG29" s="232" t="n">
        <v>0</v>
      </c>
      <c r="AH29" s="232" t="n">
        <v>0</v>
      </c>
      <c r="AI29" s="232" t="n">
        <v>13096</v>
      </c>
      <c r="AJ29" s="232" t="n">
        <v>383</v>
      </c>
      <c r="AK29" s="232" t="n">
        <v>0</v>
      </c>
      <c r="AL29" s="232" t="n">
        <v>0</v>
      </c>
      <c r="AM29" s="232" t="n">
        <v>0</v>
      </c>
      <c r="AN29" s="233" t="n">
        <v>416417</v>
      </c>
      <c r="AQ29" s="231" t="n">
        <v>2050</v>
      </c>
      <c r="AR29" s="232" t="n">
        <v>3267874.435484978</v>
      </c>
      <c r="AS29" s="232" t="n">
        <v>3267874.435484978</v>
      </c>
      <c r="AT29" s="232" t="n">
        <v>6687904.053082536</v>
      </c>
      <c r="AU29" s="232" t="n">
        <v>10295333.9351894</v>
      </c>
      <c r="AV29" s="232" t="n">
        <v>11759330.73241344</v>
      </c>
    </row>
    <row r="30">
      <c r="A30" s="234" t="n">
        <v>2051</v>
      </c>
      <c r="B30" s="235" t="n">
        <v>441146</v>
      </c>
      <c r="C30" s="235" t="n">
        <v>0</v>
      </c>
      <c r="D30" s="235" t="n">
        <v>1912286</v>
      </c>
      <c r="E30" s="235" t="n">
        <v>0</v>
      </c>
      <c r="F30" s="235" t="n">
        <v>0</v>
      </c>
      <c r="G30" s="235" t="n">
        <v>2831604</v>
      </c>
      <c r="H30" s="235" t="n">
        <v>20000</v>
      </c>
      <c r="I30" s="236" t="n">
        <v>5205036</v>
      </c>
      <c r="K30" s="234" t="n">
        <v>2051</v>
      </c>
      <c r="L30" s="235" t="n">
        <v>0</v>
      </c>
      <c r="M30" s="235" t="n">
        <v>69270</v>
      </c>
      <c r="N30" s="235" t="n">
        <v>58054</v>
      </c>
      <c r="O30" s="235" t="n">
        <v>4512</v>
      </c>
      <c r="P30" s="235" t="n">
        <v>3766</v>
      </c>
      <c r="Q30" s="235" t="n">
        <v>19054</v>
      </c>
      <c r="R30" s="235" t="n">
        <v>6376</v>
      </c>
      <c r="S30" s="235" t="n">
        <v>49915</v>
      </c>
      <c r="T30" s="235" t="n">
        <v>0</v>
      </c>
      <c r="U30" s="235" t="n">
        <v>0</v>
      </c>
      <c r="V30" s="235" t="n">
        <v>0</v>
      </c>
      <c r="W30" s="235" t="n">
        <v>0</v>
      </c>
      <c r="X30" s="235" t="n">
        <v>180052</v>
      </c>
      <c r="Y30" s="235" t="n">
        <v>0</v>
      </c>
      <c r="Z30" s="235" t="n">
        <v>0</v>
      </c>
      <c r="AA30" s="236" t="n">
        <v>390999</v>
      </c>
      <c r="AC30" s="234" t="n">
        <v>2051</v>
      </c>
      <c r="AD30" s="235" t="n">
        <v>217821</v>
      </c>
      <c r="AE30" s="235" t="n">
        <v>75292</v>
      </c>
      <c r="AF30" s="235" t="n">
        <v>117562</v>
      </c>
      <c r="AG30" s="235" t="n">
        <v>0</v>
      </c>
      <c r="AH30" s="235" t="n">
        <v>0</v>
      </c>
      <c r="AI30" s="235" t="n">
        <v>13307</v>
      </c>
      <c r="AJ30" s="235" t="n">
        <v>387</v>
      </c>
      <c r="AK30" s="235" t="n">
        <v>0</v>
      </c>
      <c r="AL30" s="235" t="n">
        <v>0</v>
      </c>
      <c r="AM30" s="235" t="n">
        <v>0</v>
      </c>
      <c r="AN30" s="236" t="n">
        <v>424369</v>
      </c>
      <c r="AQ30" s="234" t="n">
        <v>2051</v>
      </c>
      <c r="AR30" s="235" t="n">
        <v>3292749.91110467</v>
      </c>
      <c r="AS30" s="235" t="n">
        <v>3292749.91110467</v>
      </c>
      <c r="AT30" s="235" t="n">
        <v>6539342.395619161</v>
      </c>
      <c r="AU30" s="235" t="n">
        <v>10996658.02338165</v>
      </c>
      <c r="AV30" s="235" t="n">
        <v>11728099.41976129</v>
      </c>
    </row>
    <row r="31">
      <c r="A31" s="231" t="n">
        <v>2052</v>
      </c>
      <c r="B31" s="232" t="n">
        <v>378974</v>
      </c>
      <c r="C31" s="232" t="n">
        <v>0</v>
      </c>
      <c r="D31" s="232" t="n">
        <v>1832086</v>
      </c>
      <c r="E31" s="232" t="n">
        <v>0</v>
      </c>
      <c r="F31" s="232" t="n">
        <v>0</v>
      </c>
      <c r="G31" s="232" t="n">
        <v>2916552</v>
      </c>
      <c r="H31" s="232" t="n">
        <v>20000</v>
      </c>
      <c r="I31" s="233" t="n">
        <v>5147612</v>
      </c>
      <c r="K31" s="231" t="n">
        <v>2052</v>
      </c>
      <c r="L31" s="232" t="n">
        <v>0</v>
      </c>
      <c r="M31" s="232" t="n">
        <v>70655</v>
      </c>
      <c r="N31" s="232" t="n">
        <v>59215</v>
      </c>
      <c r="O31" s="232" t="n">
        <v>4512</v>
      </c>
      <c r="P31" s="232" t="n">
        <v>3795</v>
      </c>
      <c r="Q31" s="232" t="n">
        <v>19374</v>
      </c>
      <c r="R31" s="232" t="n">
        <v>6432</v>
      </c>
      <c r="S31" s="232" t="n">
        <v>50606</v>
      </c>
      <c r="T31" s="232" t="n">
        <v>0</v>
      </c>
      <c r="U31" s="232" t="n">
        <v>0</v>
      </c>
      <c r="V31" s="232" t="n">
        <v>0</v>
      </c>
      <c r="W31" s="232" t="n">
        <v>0</v>
      </c>
      <c r="X31" s="232" t="n">
        <v>183903</v>
      </c>
      <c r="Y31" s="232" t="n">
        <v>0</v>
      </c>
      <c r="Z31" s="232" t="n">
        <v>0</v>
      </c>
      <c r="AA31" s="233" t="n">
        <v>398492</v>
      </c>
      <c r="AC31" s="231" t="n">
        <v>2052</v>
      </c>
      <c r="AD31" s="232" t="n">
        <v>217821</v>
      </c>
      <c r="AE31" s="232" t="n">
        <v>77175</v>
      </c>
      <c r="AF31" s="232" t="n">
        <v>123785</v>
      </c>
      <c r="AG31" s="232" t="n">
        <v>0</v>
      </c>
      <c r="AH31" s="232" t="n">
        <v>0</v>
      </c>
      <c r="AI31" s="232" t="n">
        <v>13527</v>
      </c>
      <c r="AJ31" s="232" t="n">
        <v>390</v>
      </c>
      <c r="AK31" s="232" t="n">
        <v>0</v>
      </c>
      <c r="AL31" s="232" t="n">
        <v>0</v>
      </c>
      <c r="AM31" s="232" t="n">
        <v>0</v>
      </c>
      <c r="AN31" s="233" t="n">
        <v>432698</v>
      </c>
      <c r="AQ31" s="231" t="n">
        <v>2052</v>
      </c>
      <c r="AR31" s="232" t="n">
        <v>3315526.45314006</v>
      </c>
      <c r="AS31" s="232" t="n">
        <v>3315526.45314006</v>
      </c>
      <c r="AT31" s="232" t="n">
        <v>6692057.11283935</v>
      </c>
      <c r="AU31" s="232" t="n">
        <v>10450747.542396</v>
      </c>
      <c r="AV31" s="232" t="n">
        <v>11683426.3684673</v>
      </c>
    </row>
    <row r="32">
      <c r="A32" s="234" t="n">
        <v>2053</v>
      </c>
      <c r="B32" s="235" t="n">
        <v>311910</v>
      </c>
      <c r="C32" s="235" t="n">
        <v>0</v>
      </c>
      <c r="D32" s="235" t="n">
        <v>1742770</v>
      </c>
      <c r="E32" s="235" t="n">
        <v>0</v>
      </c>
      <c r="F32" s="235" t="n">
        <v>0</v>
      </c>
      <c r="G32" s="235" t="n">
        <v>3004049</v>
      </c>
      <c r="H32" s="235" t="n">
        <v>20000</v>
      </c>
      <c r="I32" s="236" t="n">
        <v>5078729</v>
      </c>
      <c r="K32" s="234" t="n">
        <v>2053</v>
      </c>
      <c r="L32" s="235" t="n">
        <v>0</v>
      </c>
      <c r="M32" s="235" t="n">
        <v>72068</v>
      </c>
      <c r="N32" s="235" t="n">
        <v>60399</v>
      </c>
      <c r="O32" s="235" t="n">
        <v>4512</v>
      </c>
      <c r="P32" s="235" t="n">
        <v>3827</v>
      </c>
      <c r="Q32" s="235" t="n">
        <v>19733</v>
      </c>
      <c r="R32" s="235" t="n">
        <v>6495</v>
      </c>
      <c r="S32" s="235" t="n">
        <v>51382</v>
      </c>
      <c r="T32" s="235" t="n">
        <v>0</v>
      </c>
      <c r="U32" s="235" t="n">
        <v>0</v>
      </c>
      <c r="V32" s="235" t="n">
        <v>0</v>
      </c>
      <c r="W32" s="235" t="n">
        <v>0</v>
      </c>
      <c r="X32" s="235" t="n">
        <v>187964</v>
      </c>
      <c r="Y32" s="235" t="n">
        <v>0</v>
      </c>
      <c r="Z32" s="235" t="n">
        <v>0</v>
      </c>
      <c r="AA32" s="236" t="n">
        <v>406380</v>
      </c>
      <c r="AC32" s="234" t="n">
        <v>2053</v>
      </c>
      <c r="AD32" s="235" t="n">
        <v>217821</v>
      </c>
      <c r="AE32" s="235" t="n">
        <v>79104</v>
      </c>
      <c r="AF32" s="235" t="n">
        <v>130347</v>
      </c>
      <c r="AG32" s="235" t="n">
        <v>0</v>
      </c>
      <c r="AH32" s="235" t="n">
        <v>0</v>
      </c>
      <c r="AI32" s="235" t="n">
        <v>13775</v>
      </c>
      <c r="AJ32" s="235" t="n">
        <v>393</v>
      </c>
      <c r="AK32" s="235" t="n">
        <v>0</v>
      </c>
      <c r="AL32" s="235" t="n">
        <v>0</v>
      </c>
      <c r="AM32" s="235" t="n">
        <v>0</v>
      </c>
      <c r="AN32" s="236" t="n">
        <v>441440</v>
      </c>
      <c r="AQ32" s="234" t="n">
        <v>2053</v>
      </c>
      <c r="AR32" s="235" t="n">
        <v>3335958.900418749</v>
      </c>
      <c r="AS32" s="235" t="n">
        <v>3335958.900418749</v>
      </c>
      <c r="AT32" s="235" t="n">
        <v>6654596.618239407</v>
      </c>
      <c r="AU32" s="235" t="n">
        <v>11973038.40608312</v>
      </c>
      <c r="AV32" s="235" t="n">
        <v>12614041.99846739</v>
      </c>
    </row>
    <row r="33">
      <c r="A33" s="231" t="n">
        <v>2054</v>
      </c>
      <c r="B33" s="232" t="n">
        <v>239518</v>
      </c>
      <c r="C33" s="232" t="n">
        <v>0</v>
      </c>
      <c r="D33" s="232" t="n">
        <v>1643560</v>
      </c>
      <c r="E33" s="232" t="n">
        <v>0</v>
      </c>
      <c r="F33" s="232" t="n">
        <v>0</v>
      </c>
      <c r="G33" s="232" t="n">
        <v>3094171</v>
      </c>
      <c r="H33" s="232" t="n">
        <v>0</v>
      </c>
      <c r="I33" s="233" t="n">
        <v>4977249</v>
      </c>
      <c r="K33" s="231" t="n">
        <v>2054</v>
      </c>
      <c r="L33" s="232" t="n">
        <v>0</v>
      </c>
      <c r="M33" s="232" t="n">
        <v>73509</v>
      </c>
      <c r="N33" s="232" t="n">
        <v>61607</v>
      </c>
      <c r="O33" s="232" t="n">
        <v>4512</v>
      </c>
      <c r="P33" s="232" t="n">
        <v>3864</v>
      </c>
      <c r="Q33" s="232" t="n">
        <v>20134</v>
      </c>
      <c r="R33" s="232" t="n">
        <v>6566</v>
      </c>
      <c r="S33" s="232" t="n">
        <v>52251</v>
      </c>
      <c r="T33" s="232" t="n">
        <v>0</v>
      </c>
      <c r="U33" s="232" t="n">
        <v>0</v>
      </c>
      <c r="V33" s="232" t="n">
        <v>0</v>
      </c>
      <c r="W33" s="232" t="n">
        <v>0</v>
      </c>
      <c r="X33" s="232" t="n">
        <v>192242</v>
      </c>
      <c r="Y33" s="232" t="n">
        <v>0</v>
      </c>
      <c r="Z33" s="232" t="n">
        <v>0</v>
      </c>
      <c r="AA33" s="233" t="n">
        <v>414685</v>
      </c>
      <c r="AC33" s="231" t="n">
        <v>2054</v>
      </c>
      <c r="AD33" s="232" t="n">
        <v>217821</v>
      </c>
      <c r="AE33" s="232" t="n">
        <v>81082</v>
      </c>
      <c r="AF33" s="232" t="n">
        <v>137267</v>
      </c>
      <c r="AG33" s="232" t="n">
        <v>0</v>
      </c>
      <c r="AH33" s="232" t="n">
        <v>0</v>
      </c>
      <c r="AI33" s="232" t="n">
        <v>14055</v>
      </c>
      <c r="AJ33" s="232" t="n">
        <v>398</v>
      </c>
      <c r="AK33" s="232" t="n">
        <v>0</v>
      </c>
      <c r="AL33" s="232" t="n">
        <v>0</v>
      </c>
      <c r="AM33" s="232" t="n">
        <v>0</v>
      </c>
      <c r="AN33" s="233" t="n">
        <v>450623</v>
      </c>
      <c r="AQ33" s="231" t="n">
        <v>2054</v>
      </c>
      <c r="AR33" s="232" t="n">
        <v>3354888.410047719</v>
      </c>
      <c r="AS33" s="232" t="n">
        <v>3354888.410047719</v>
      </c>
      <c r="AT33" s="232" t="n">
        <v>6736225.708821425</v>
      </c>
      <c r="AU33" s="232" t="n">
        <v>12237484.15340896</v>
      </c>
      <c r="AV33" s="232" t="n">
        <v>14419404.70985948</v>
      </c>
    </row>
    <row r="34">
      <c r="A34" s="234" t="n">
        <v>2055</v>
      </c>
      <c r="B34" s="235" t="n">
        <v>161323</v>
      </c>
      <c r="C34" s="235" t="n">
        <v>0</v>
      </c>
      <c r="D34" s="235" t="n">
        <v>1534546</v>
      </c>
      <c r="E34" s="235" t="n">
        <v>0</v>
      </c>
      <c r="F34" s="235" t="n">
        <v>0</v>
      </c>
      <c r="G34" s="235" t="n">
        <v>3186996</v>
      </c>
      <c r="H34" s="235" t="n">
        <v>0</v>
      </c>
      <c r="I34" s="236" t="n">
        <v>4882865</v>
      </c>
      <c r="K34" s="234" t="n">
        <v>2055</v>
      </c>
      <c r="L34" s="235" t="n">
        <v>0</v>
      </c>
      <c r="M34" s="235" t="n">
        <v>0</v>
      </c>
      <c r="N34" s="235" t="n">
        <v>73509</v>
      </c>
      <c r="O34" s="235" t="n">
        <v>4512</v>
      </c>
      <c r="P34" s="235" t="n">
        <v>3904</v>
      </c>
      <c r="Q34" s="235" t="n">
        <v>20582</v>
      </c>
      <c r="R34" s="235" t="n">
        <v>0</v>
      </c>
      <c r="S34" s="235" t="n">
        <v>53222</v>
      </c>
      <c r="T34" s="235" t="n">
        <v>0</v>
      </c>
      <c r="U34" s="235" t="n">
        <v>0</v>
      </c>
      <c r="V34" s="235" t="n">
        <v>0</v>
      </c>
      <c r="W34" s="235" t="n">
        <v>0</v>
      </c>
      <c r="X34" s="235" t="n">
        <v>195875</v>
      </c>
      <c r="Y34" s="235" t="n">
        <v>0</v>
      </c>
      <c r="Z34" s="235" t="n">
        <v>0</v>
      </c>
      <c r="AA34" s="236" t="n">
        <v>351604</v>
      </c>
      <c r="AC34" s="234" t="n">
        <v>2055</v>
      </c>
      <c r="AD34" s="235" t="n">
        <v>217821</v>
      </c>
      <c r="AE34" s="235" t="n">
        <v>83109</v>
      </c>
      <c r="AF34" s="235" t="n">
        <v>72282</v>
      </c>
      <c r="AG34" s="235" t="n">
        <v>0</v>
      </c>
      <c r="AH34" s="235" t="n">
        <v>0</v>
      </c>
      <c r="AI34" s="235" t="n">
        <v>14826</v>
      </c>
      <c r="AJ34" s="235" t="n">
        <v>402</v>
      </c>
      <c r="AK34" s="235" t="n">
        <v>0</v>
      </c>
      <c r="AL34" s="235" t="n">
        <v>0</v>
      </c>
      <c r="AM34" s="235" t="n">
        <v>0</v>
      </c>
      <c r="AN34" s="236" t="n">
        <v>388440</v>
      </c>
      <c r="AQ34" s="234" t="n">
        <v>2055</v>
      </c>
      <c r="AR34" s="235" t="n">
        <v>3370790.165808729</v>
      </c>
      <c r="AS34" s="235" t="n">
        <v>3370790.165808729</v>
      </c>
      <c r="AT34" s="235" t="n">
        <v>6559217.819551566</v>
      </c>
      <c r="AU34" s="235" t="n">
        <v>11629059.79367873</v>
      </c>
      <c r="AV34" s="235" t="n">
        <v>15746801.53513796</v>
      </c>
    </row>
    <row r="35">
      <c r="A35" s="231" t="n">
        <v>2056</v>
      </c>
      <c r="B35" s="232" t="n">
        <v>83848</v>
      </c>
      <c r="C35" s="232" t="n">
        <v>0</v>
      </c>
      <c r="D35" s="232" t="n">
        <v>1415385</v>
      </c>
      <c r="E35" s="232" t="n">
        <v>0</v>
      </c>
      <c r="F35" s="232" t="n">
        <v>0</v>
      </c>
      <c r="G35" s="232" t="n">
        <v>3282605</v>
      </c>
      <c r="H35" s="232" t="n">
        <v>0</v>
      </c>
      <c r="I35" s="233" t="n">
        <v>4781838</v>
      </c>
      <c r="K35" s="231" t="n">
        <v>2056</v>
      </c>
      <c r="L35" s="232" t="n">
        <v>0</v>
      </c>
      <c r="M35" s="232" t="n">
        <v>0</v>
      </c>
      <c r="N35" s="232" t="n">
        <v>73509</v>
      </c>
      <c r="O35" s="232" t="n">
        <v>4512</v>
      </c>
      <c r="P35" s="232" t="n">
        <v>3950</v>
      </c>
      <c r="Q35" s="232" t="n">
        <v>21080</v>
      </c>
      <c r="R35" s="232" t="n">
        <v>0</v>
      </c>
      <c r="S35" s="232" t="n">
        <v>54306</v>
      </c>
      <c r="T35" s="232" t="n">
        <v>0</v>
      </c>
      <c r="U35" s="232" t="n">
        <v>0</v>
      </c>
      <c r="V35" s="232" t="n">
        <v>0</v>
      </c>
      <c r="W35" s="232" t="n">
        <v>0</v>
      </c>
      <c r="X35" s="232" t="n">
        <v>199277</v>
      </c>
      <c r="Y35" s="232" t="n">
        <v>0</v>
      </c>
      <c r="Z35" s="232" t="n">
        <v>0</v>
      </c>
      <c r="AA35" s="233" t="n">
        <v>356634</v>
      </c>
      <c r="AC35" s="231" t="n">
        <v>2056</v>
      </c>
      <c r="AD35" s="232" t="n">
        <v>217821</v>
      </c>
      <c r="AE35" s="232" t="n">
        <v>85186</v>
      </c>
      <c r="AF35" s="232" t="n">
        <v>76130</v>
      </c>
      <c r="AG35" s="232" t="n">
        <v>0</v>
      </c>
      <c r="AH35" s="232" t="n">
        <v>0</v>
      </c>
      <c r="AI35" s="232" t="n">
        <v>14845</v>
      </c>
      <c r="AJ35" s="232" t="n">
        <v>407</v>
      </c>
      <c r="AK35" s="232" t="n">
        <v>0</v>
      </c>
      <c r="AL35" s="232" t="n">
        <v>0</v>
      </c>
      <c r="AM35" s="232" t="n">
        <v>0</v>
      </c>
      <c r="AN35" s="233" t="n">
        <v>394389</v>
      </c>
      <c r="AQ35" s="231" t="n">
        <v>2056</v>
      </c>
      <c r="AR35" s="232" t="n">
        <v>3390274.137803575</v>
      </c>
      <c r="AS35" s="232" t="n">
        <v>3390274.137803575</v>
      </c>
      <c r="AT35" s="232" t="n">
        <v>6694530.057859042</v>
      </c>
      <c r="AU35" s="232" t="n">
        <v>11301629.69254675</v>
      </c>
      <c r="AV35" s="232" t="n">
        <v>18732108.17536821</v>
      </c>
    </row>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c r="A210" s="221" t="inlineStr">
        <is>
          <t>Asset Class</t>
        </is>
      </c>
      <c r="B210" s="221" t="inlineStr">
        <is>
          <t>Current Portfolio Allocation</t>
        </is>
      </c>
      <c r="D210" s="221" t="inlineStr">
        <is>
          <t>Asset Class</t>
        </is>
      </c>
      <c r="E210" s="221" t="inlineStr">
        <is>
          <t>Target Portfolio Allocation</t>
        </is>
      </c>
    </row>
    <row r="211">
      <c r="A211" s="33" t="inlineStr">
        <is>
          <t>US Large Cap</t>
        </is>
      </c>
      <c r="B211" s="108" t="n">
        <v>1329502.60797</v>
      </c>
      <c r="D211" s="33" t="inlineStr">
        <is>
          <t>US Large Cap</t>
        </is>
      </c>
      <c r="E211" s="108" t="n">
        <v>1190703.60797</v>
      </c>
    </row>
    <row r="212">
      <c r="A212" s="33" t="inlineStr">
        <is>
          <t>International</t>
        </is>
      </c>
      <c r="B212" s="108" t="n">
        <v>897149.1413760001</v>
      </c>
      <c r="D212" s="33" t="inlineStr">
        <is>
          <t>International</t>
        </is>
      </c>
      <c r="E212" s="108" t="n">
        <v>680402.1413760001</v>
      </c>
    </row>
    <row r="213">
      <c r="A213" s="33" t="inlineStr">
        <is>
          <t>US Small Cap</t>
        </is>
      </c>
      <c r="B213" s="108" t="n">
        <v>310315.117414</v>
      </c>
      <c r="D213" s="33" t="inlineStr">
        <is>
          <t>US Small Cap</t>
        </is>
      </c>
      <c r="E213" s="108" t="n">
        <v>170100.237414</v>
      </c>
    </row>
    <row r="214">
      <c r="A214" s="33" t="inlineStr">
        <is>
          <t>Commodities</t>
        </is>
      </c>
      <c r="B214" s="108" t="n">
        <v>166714.35</v>
      </c>
      <c r="D214" s="33" t="inlineStr">
        <is>
          <t>Commodities</t>
        </is>
      </c>
      <c r="E214" s="108" t="n">
        <v>170100.35</v>
      </c>
    </row>
    <row r="215">
      <c r="A215" s="33" t="inlineStr">
        <is>
          <t>Cash</t>
        </is>
      </c>
      <c r="B215" s="108" t="n">
        <v>17926.75</v>
      </c>
      <c r="D215" s="33" t="inlineStr">
        <is>
          <t>Cash</t>
        </is>
      </c>
      <c r="E215" s="108" t="n">
        <v>170100.75</v>
      </c>
    </row>
    <row r="216">
      <c r="A216" s="33" t="inlineStr">
        <is>
          <t>Fixed Income (Non-Liquid)</t>
        </is>
      </c>
      <c r="B216" s="108" t="n">
        <v>1274327.16356137</v>
      </c>
      <c r="D216" s="33" t="inlineStr">
        <is>
          <t>Emerging Markets</t>
        </is>
      </c>
      <c r="E216" s="108" t="n">
        <v>170101</v>
      </c>
    </row>
    <row r="217">
      <c r="A217" s="33" t="inlineStr">
        <is>
          <t>Real Estate (Non-Liquid)</t>
        </is>
      </c>
      <c r="B217" s="108" t="n">
        <v>1313000</v>
      </c>
      <c r="D217" s="33" t="inlineStr">
        <is>
          <t>US Mid Cap</t>
        </is>
      </c>
      <c r="E217" s="108" t="n">
        <v>170100</v>
      </c>
    </row>
    <row r="218">
      <c r="D218" s="33" t="inlineStr">
        <is>
          <t>Fixed Income (Non-Liquid)</t>
        </is>
      </c>
      <c r="E218" s="108" t="n">
        <v>1274327.16356137</v>
      </c>
    </row>
    <row r="219">
      <c r="D219" s="33" t="inlineStr">
        <is>
          <t>Real Estate (Non-Liquid)</t>
        </is>
      </c>
      <c r="E219" s="108" t="n">
        <v>1313000</v>
      </c>
    </row>
  </sheetData>
  <mergeCells count="5">
    <mergeCell ref="A2:I2"/>
    <mergeCell ref="AC2:AN2"/>
    <mergeCell ref="A1:AX1"/>
    <mergeCell ref="K2:AA2"/>
    <mergeCell ref="AQ2:AV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2026-07-01T17:19:56Z</dcterms:created>
  <dcterms:modified xmlns:dcterms="http://purl.org/dc/terms/" xmlns:xsi="http://www.w3.org/2001/XMLSchema-instance" xsi:type="dcterms:W3CDTF">2026-07-01T17:20:03Z</dcterms:modified>
</cp:coreProperties>
</file>