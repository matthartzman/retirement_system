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s" sheetId="1" state="visible" r:id="rId1"/>
    <sheet xmlns:r="http://schemas.openxmlformats.org/officeDocument/2006/relationships" name="1A. Executive Summary" sheetId="2" state="visible" r:id="rId2"/>
    <sheet xmlns:r="http://schemas.openxmlformats.org/officeDocument/2006/relationships" name="1B. Net Worth" sheetId="3" state="visible" r:id="rId3"/>
    <sheet xmlns:r="http://schemas.openxmlformats.org/officeDocument/2006/relationships" name="1C. Cash Flow" sheetId="4" state="visible" r:id="rId4"/>
    <sheet xmlns:r="http://schemas.openxmlformats.org/officeDocument/2006/relationships" name="1D. Balance Sheet" sheetId="5" state="visible" r:id="rId5"/>
    <sheet xmlns:r="http://schemas.openxmlformats.org/officeDocument/2006/relationships" name="1E. Charts" sheetId="6" state="visible" r:id="rId6"/>
    <sheet xmlns:r="http://schemas.openxmlformats.org/officeDocument/2006/relationships" name="1F. Lifetime Taxes" sheetId="7" state="visible" r:id="rId7"/>
    <sheet xmlns:r="http://schemas.openxmlformats.org/officeDocument/2006/relationships" name="1G. Core Spending" sheetId="8" state="visible" r:id="rId8"/>
    <sheet xmlns:r="http://schemas.openxmlformats.org/officeDocument/2006/relationships" name="1H. Spending Summary" sheetId="9" state="visible" r:id="rId9"/>
    <sheet xmlns:r="http://schemas.openxmlformats.org/officeDocument/2006/relationships" name="2. Optimizers" sheetId="10" state="visible" r:id="rId10"/>
    <sheet xmlns:r="http://schemas.openxmlformats.org/officeDocument/2006/relationships" name="2A. Roth Conversion" sheetId="11" state="visible" r:id="rId11"/>
    <sheet xmlns:r="http://schemas.openxmlformats.org/officeDocument/2006/relationships" name="2B. Asset Allocation" sheetId="12" state="visible" r:id="rId12"/>
    <sheet xmlns:r="http://schemas.openxmlformats.org/officeDocument/2006/relationships" name="2C. State Residency" sheetId="13" state="visible" r:id="rId13"/>
    <sheet xmlns:r="http://schemas.openxmlformats.org/officeDocument/2006/relationships" name="2D. Social Security" sheetId="14" state="visible" r:id="rId14"/>
    <sheet xmlns:r="http://schemas.openxmlformats.org/officeDocument/2006/relationships" name="2E. S-Corp vs LLC" sheetId="15" state="visible" r:id="rId15"/>
    <sheet xmlns:r="http://schemas.openxmlformats.org/officeDocument/2006/relationships" name="2F. Charitable Giving" sheetId="16" state="visible" r:id="rId16"/>
    <sheet xmlns:r="http://schemas.openxmlformats.org/officeDocument/2006/relationships" name="2G. Estate &amp; Legacy Planning" sheetId="17" state="visible" r:id="rId17"/>
    <sheet xmlns:r="http://schemas.openxmlformats.org/officeDocument/2006/relationships" name="2H. Planning Levers" sheetId="18" state="visible" r:id="rId18"/>
    <sheet xmlns:r="http://schemas.openxmlformats.org/officeDocument/2006/relationships" name="3. Risk &amp; Stress Tests" sheetId="19" state="visible" r:id="rId19"/>
    <sheet xmlns:r="http://schemas.openxmlformats.org/officeDocument/2006/relationships" name="3A. Monte Carlo" sheetId="20" state="visible" r:id="rId20"/>
    <sheet xmlns:r="http://schemas.openxmlformats.org/officeDocument/2006/relationships" name="3B. Survivor" sheetId="21" state="visible" r:id="rId21"/>
    <sheet xmlns:r="http://schemas.openxmlformats.org/officeDocument/2006/relationships" name="3C. LTC + Life Insurance" sheetId="22" state="visible" r:id="rId22"/>
    <sheet xmlns:r="http://schemas.openxmlformats.org/officeDocument/2006/relationships" name="4. System" sheetId="23" state="visible" r:id="rId23"/>
    <sheet xmlns:r="http://schemas.openxmlformats.org/officeDocument/2006/relationships" name="4A. Plan Data" sheetId="24" state="visible" r:id="rId24"/>
    <sheet xmlns:r="http://schemas.openxmlformats.org/officeDocument/2006/relationships" name="4B. Assumptions" sheetId="25" state="visible" r:id="rId25"/>
    <sheet xmlns:r="http://schemas.openxmlformats.org/officeDocument/2006/relationships" name="4C. Account Reconciliation" sheetId="26" state="visible" r:id="rId26"/>
    <sheet xmlns:r="http://schemas.openxmlformats.org/officeDocument/2006/relationships" name="4D. Quality Control" sheetId="27" state="visible" r:id="rId27"/>
    <sheet xmlns:r="http://schemas.openxmlformats.org/officeDocument/2006/relationships" name="4E. RMD Audit" sheetId="28" state="visible" r:id="rId28"/>
    <sheet xmlns:r="http://schemas.openxmlformats.org/officeDocument/2006/relationships" name="4F. Methodology" sheetId="29" state="visible" r:id="rId29"/>
    <sheet xmlns:r="http://schemas.openxmlformats.org/officeDocument/2006/relationships" name="4G. Glossary" sheetId="30" state="visible" r:id="rId30"/>
    <sheet xmlns:r="http://schemas.openxmlformats.org/officeDocument/2006/relationships" name="16. Scenario Analysis" sheetId="31" state="hidden" r:id="rId31"/>
    <sheet xmlns:r="http://schemas.openxmlformats.org/officeDocument/2006/relationships" name="_Chart Dashboard Data" sheetId="32" state="hidden" r:id="rId32"/>
  </sheets>
  <definedNames>
    <definedName name="_xlnm._FilterDatabase" localSheetId="25" hidden="1">'4C. Account Reconciliation'!$A$4:$Q$314</definedName>
  </definedNames>
  <calcPr calcId="124519" fullCalcOnLoad="1"/>
</workbook>
</file>

<file path=xl/styles.xml><?xml version="1.0" encoding="utf-8"?>
<styleSheet xmlns="http://schemas.openxmlformats.org/spreadsheetml/2006/main">
  <numFmts count="5">
    <numFmt numFmtId="164" formatCode="$#,##0;($#,##0);&quot;-&quot;"/>
    <numFmt numFmtId="165" formatCode="0.0%"/>
    <numFmt numFmtId="166" formatCode="$#,##0"/>
    <numFmt numFmtId="167" formatCode="#,##0.000"/>
    <numFmt numFmtId="168" formatCode="+0.0%;-0.0%"/>
  </numFmts>
  <fonts count="26">
    <font>
      <name val="Calibri"/>
      <family val="2"/>
      <color theme="1"/>
      <sz val="11"/>
      <scheme val="minor"/>
    </font>
    <font>
      <name val="Arial"/>
      <b val="1"/>
      <color rgb="00FFFFFF"/>
      <sz val="13"/>
    </font>
    <font>
      <name val="Arial"/>
      <b val="1"/>
      <color rgb="00FFFFFF"/>
      <sz val="11"/>
    </font>
    <font>
      <name val="Arial"/>
      <b val="1"/>
      <color rgb="00000000"/>
      <sz val="10"/>
    </font>
    <font>
      <name val="Arial"/>
      <color rgb="00000000"/>
      <sz val="10"/>
    </font>
    <font>
      <name val="Arial"/>
      <color rgb="000000FF"/>
      <sz val="10"/>
    </font>
    <font>
      <name val="Arial"/>
      <b val="1"/>
      <color rgb="00FFFFFF"/>
      <sz val="10"/>
    </font>
    <font>
      <name val="Arial"/>
      <color rgb="00C55A11"/>
      <sz val="10"/>
    </font>
    <font>
      <name val="Arial"/>
      <i val="1"/>
      <color rgb="00C55A11"/>
      <sz val="10"/>
    </font>
    <font>
      <name val="Arial"/>
      <b val="1"/>
      <color rgb="00000000"/>
      <sz val="11"/>
    </font>
    <font>
      <name val="Arial"/>
      <b val="1"/>
      <color rgb="00FFFFFF"/>
      <sz val="9"/>
    </font>
    <font>
      <name val="Arial"/>
      <b val="1"/>
      <color rgb="00000000"/>
      <sz val="9"/>
    </font>
    <font>
      <name val="Arial"/>
      <b val="1"/>
      <color rgb="00FFFFFF"/>
      <sz val="14"/>
    </font>
    <font>
      <name val="Arial"/>
      <i val="1"/>
      <color rgb="00666666"/>
      <sz val="10"/>
    </font>
    <font>
      <name val="Arial"/>
      <b val="1"/>
      <color rgb="00FFFFFF"/>
      <sz val="12"/>
    </font>
    <font>
      <name val="Arial"/>
      <sz val="10"/>
    </font>
    <font>
      <name val="Arial"/>
      <b val="1"/>
      <sz val="10"/>
    </font>
    <font>
      <name val="Arial"/>
      <b val="1"/>
      <color rgb="00FFFFFF"/>
      <sz val="8"/>
    </font>
    <font>
      <name val="Arial"/>
      <color rgb="00888888"/>
      <sz val="10"/>
    </font>
    <font>
      <name val="Arial"/>
      <color rgb="00C00000"/>
      <sz val="10"/>
    </font>
    <font>
      <name val="Arial"/>
      <b val="1"/>
      <color rgb="00C00000"/>
      <sz val="10"/>
    </font>
    <font>
      <name val="Arial"/>
      <color rgb="00666666"/>
      <sz val="10"/>
    </font>
    <font>
      <name val="Arial"/>
      <color rgb="00000000"/>
      <sz val="9"/>
    </font>
    <font>
      <name val="Arial"/>
      <b val="1"/>
      <color rgb="00375623"/>
      <sz val="10"/>
    </font>
    <font>
      <name val="Arial"/>
      <color rgb="00595959"/>
      <sz val="10"/>
    </font>
    <font>
      <name val="Arial"/>
      <color rgb="000563C1"/>
      <sz val="10"/>
    </font>
  </fonts>
  <fills count="28">
    <fill>
      <patternFill/>
    </fill>
    <fill>
      <patternFill patternType="gray125"/>
    </fill>
    <fill>
      <patternFill patternType="solid">
        <fgColor rgb="001F3864"/>
      </patternFill>
    </fill>
    <fill>
      <patternFill patternType="solid">
        <fgColor rgb="002E75B6"/>
      </patternFill>
    </fill>
    <fill>
      <patternFill patternType="solid">
        <fgColor rgb="00D9D9D9"/>
      </patternFill>
    </fill>
    <fill>
      <patternFill patternType="solid">
        <fgColor rgb="00F2F2F2"/>
      </patternFill>
    </fill>
    <fill>
      <patternFill patternType="solid">
        <fgColor rgb="00C55A11"/>
      </patternFill>
    </fill>
    <fill>
      <patternFill patternType="solid">
        <fgColor rgb="00595959"/>
      </patternFill>
    </fill>
    <fill>
      <patternFill patternType="solid">
        <fgColor rgb="00FFFF00"/>
      </patternFill>
    </fill>
    <fill>
      <patternFill patternType="solid">
        <fgColor rgb="00EAF2FF"/>
      </patternFill>
    </fill>
    <fill>
      <patternFill patternType="solid">
        <fgColor rgb="00FFF2CC"/>
      </patternFill>
    </fill>
    <fill>
      <patternFill patternType="solid">
        <fgColor rgb="00FCE4D6"/>
      </patternFill>
    </fill>
    <fill>
      <patternFill patternType="solid">
        <fgColor rgb="00E2EFDA"/>
      </patternFill>
    </fill>
    <fill>
      <patternFill patternType="solid">
        <fgColor rgb="00375623"/>
      </patternFill>
    </fill>
    <fill>
      <patternFill patternType="solid">
        <fgColor rgb="007030A0"/>
      </patternFill>
    </fill>
    <fill>
      <patternFill patternType="solid">
        <fgColor rgb="00FFC000"/>
      </patternFill>
    </fill>
    <fill>
      <patternFill patternType="solid">
        <fgColor rgb="00C00000"/>
      </patternFill>
    </fill>
    <fill>
      <patternFill patternType="solid">
        <fgColor rgb="00F4F5F7"/>
      </patternFill>
    </fill>
    <fill>
      <patternFill patternType="solid">
        <fgColor rgb="00C6EFCE"/>
      </patternFill>
    </fill>
    <fill>
      <patternFill patternType="solid">
        <fgColor rgb="00FFEB9C"/>
      </patternFill>
    </fill>
    <fill>
      <patternFill patternType="solid">
        <fgColor rgb="00EDE7F6"/>
      </patternFill>
    </fill>
    <fill>
      <patternFill patternType="solid">
        <fgColor rgb="00FFC7CE"/>
      </patternFill>
    </fill>
    <fill>
      <patternFill patternType="solid">
        <fgColor rgb="00BDD7EE"/>
      </patternFill>
    </fill>
    <fill>
      <patternFill patternType="solid">
        <fgColor rgb="00EAF2F8"/>
      </patternFill>
    </fill>
    <fill>
      <patternFill patternType="solid">
        <fgColor rgb="00F0F4FA"/>
      </patternFill>
    </fill>
    <fill>
      <patternFill patternType="solid">
        <fgColor rgb="00FFF3E0"/>
      </patternFill>
    </fill>
    <fill>
      <patternFill patternType="solid">
        <fgColor rgb="00D6E4F0"/>
      </patternFill>
    </fill>
    <fill>
      <patternFill patternType="solid">
        <fgColor rgb="00B45F0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2">
    <xf numFmtId="0" fontId="0" fillId="0" borderId="0" pivotButton="0" quotePrefix="0" xfId="0"/>
    <xf numFmtId="0" fontId="1" fillId="3" borderId="0"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2" fillId="7" borderId="1" applyAlignment="1" pivotButton="0" quotePrefix="0" xfId="0">
      <alignment horizontal="center" vertical="top" wrapText="1"/>
    </xf>
    <xf numFmtId="0" fontId="3" fillId="23" borderId="1" applyAlignment="1" pivotButton="0" quotePrefix="0" xfId="0">
      <alignment horizontal="left" vertical="top" wrapText="1"/>
    </xf>
    <xf numFmtId="0" fontId="25" fillId="0" borderId="1" applyAlignment="1" pivotButton="0" quotePrefix="0" xfId="0">
      <alignment vertical="top" wrapText="1"/>
    </xf>
    <xf numFmtId="0" fontId="13" fillId="0" borderId="1" applyAlignment="1" pivotButton="0" quotePrefix="0" xfId="0">
      <alignment horizontal="left" vertical="top" wrapText="1"/>
    </xf>
    <xf numFmtId="0" fontId="1" fillId="2" borderId="0" applyAlignment="1" pivotButton="0" quotePrefix="0" xfId="0">
      <alignment horizontal="left" vertical="top" wrapText="1"/>
    </xf>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2" fillId="2" borderId="1" applyAlignment="1" pivotButton="0" quotePrefix="0" xfId="0">
      <alignment horizontal="center" vertical="top" wrapText="1"/>
    </xf>
    <xf numFmtId="164" fontId="3" fillId="5" borderId="1" applyAlignment="1" pivotButton="0" quotePrefix="0" xfId="0">
      <alignment horizontal="left" vertical="top" wrapText="1"/>
    </xf>
    <xf numFmtId="165" fontId="3"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center" vertical="top" wrapText="1"/>
    </xf>
    <xf numFmtId="0" fontId="3" fillId="0" borderId="1" applyAlignment="1" pivotButton="0" quotePrefix="0" xfId="0">
      <alignment horizontal="center" vertical="top" wrapText="1"/>
    </xf>
    <xf numFmtId="0" fontId="4" fillId="5" borderId="1" applyAlignment="1" pivotButton="0" quotePrefix="0" xfId="0">
      <alignment horizontal="left" vertical="top" wrapText="1"/>
    </xf>
    <xf numFmtId="0" fontId="2" fillId="13" borderId="1" applyAlignment="1" pivotButton="0" quotePrefix="0" xfId="0">
      <alignment horizontal="center" vertical="top" wrapText="1"/>
    </xf>
    <xf numFmtId="0" fontId="2" fillId="14" borderId="1" applyAlignment="1" pivotButton="0" quotePrefix="0" xfId="0">
      <alignment horizontal="center" vertical="top" wrapText="1"/>
    </xf>
    <xf numFmtId="0" fontId="9" fillId="15" borderId="1" applyAlignment="1" pivotButton="0" quotePrefix="0" xfId="0">
      <alignment horizontal="center" vertical="top" wrapText="1"/>
    </xf>
    <xf numFmtId="0" fontId="10" fillId="7" borderId="1" applyAlignment="1" pivotButton="0" quotePrefix="0" xfId="0">
      <alignment horizontal="center" vertical="top" wrapText="1"/>
    </xf>
    <xf numFmtId="0" fontId="11" fillId="4" borderId="1" applyAlignment="1" pivotButton="0" quotePrefix="0" xfId="0">
      <alignment horizontal="center" vertical="top" wrapText="1"/>
    </xf>
    <xf numFmtId="1" fontId="4" fillId="0" borderId="1" applyAlignment="1" pivotButton="0" quotePrefix="0" xfId="0">
      <alignment horizontal="center" vertical="top" wrapText="1"/>
    </xf>
    <xf numFmtId="1" fontId="4" fillId="0" borderId="1" applyAlignment="1" pivotButton="0" quotePrefix="0" xfId="0">
      <alignment horizontal="center" vertical="center"/>
    </xf>
    <xf numFmtId="164" fontId="4" fillId="0" borderId="1" applyAlignment="1" pivotButton="0" quotePrefix="0" xfId="0">
      <alignment horizontal="right" vertical="center"/>
    </xf>
    <xf numFmtId="164" fontId="3" fillId="4" borderId="1" applyAlignment="1" pivotButton="0" quotePrefix="0" xfId="0">
      <alignment horizontal="right" vertical="center"/>
    </xf>
    <xf numFmtId="165" fontId="4" fillId="0" borderId="1" applyAlignment="1" pivotButton="0" quotePrefix="0" xfId="0">
      <alignment horizontal="right" vertical="center"/>
    </xf>
    <xf numFmtId="164" fontId="3" fillId="4" borderId="1" applyAlignment="1" pivotButton="0" quotePrefix="0" xfId="0">
      <alignment horizontal="right" vertical="top" wrapText="1"/>
    </xf>
    <xf numFmtId="165" fontId="3" fillId="4" borderId="1" applyAlignment="1" pivotButton="0" quotePrefix="0" xfId="0">
      <alignment horizontal="right" vertical="top" wrapText="1"/>
    </xf>
    <xf numFmtId="0" fontId="2" fillId="16" borderId="1" applyAlignment="1" pivotButton="0" quotePrefix="0" xfId="0">
      <alignment horizontal="center" vertical="top" wrapText="1"/>
    </xf>
    <xf numFmtId="0" fontId="4" fillId="0" borderId="1" applyAlignment="1" pivotButton="0" quotePrefix="0" xfId="0">
      <alignment horizontal="left" vertical="center"/>
    </xf>
    <xf numFmtId="0" fontId="4" fillId="4" borderId="1" applyAlignment="1" pivotButton="0" quotePrefix="0" xfId="0">
      <alignment horizontal="left" vertical="center"/>
    </xf>
    <xf numFmtId="0" fontId="6" fillId="2" borderId="1" applyAlignment="1" pivotButton="0" quotePrefix="0" xfId="0">
      <alignment horizontal="left" vertical="top" wrapText="1"/>
    </xf>
    <xf numFmtId="164" fontId="6" fillId="2" borderId="1" applyAlignment="1" pivotButton="0" quotePrefix="0" xfId="0">
      <alignment horizontal="right" vertical="center"/>
    </xf>
    <xf numFmtId="0" fontId="12" fillId="2" borderId="0" applyAlignment="1" pivotButton="0" quotePrefix="0" xfId="0">
      <alignment horizontal="left" vertical="top" wrapText="1"/>
    </xf>
    <xf numFmtId="0" fontId="13" fillId="0" borderId="0" applyAlignment="1" pivotButton="0" quotePrefix="0" xfId="0">
      <alignment vertical="top" wrapText="1"/>
    </xf>
    <xf numFmtId="0" fontId="10" fillId="2" borderId="1" applyAlignment="1" pivotButton="0" quotePrefix="0" xfId="0">
      <alignment horizontal="center" vertical="top" wrapText="1"/>
    </xf>
    <xf numFmtId="164" fontId="4" fillId="0" borderId="1" applyAlignment="1" pivotButton="0" quotePrefix="0" xfId="0">
      <alignment horizontal="center" vertical="center"/>
    </xf>
    <xf numFmtId="0" fontId="4" fillId="0" borderId="1" applyAlignment="1" pivotButton="0" quotePrefix="0" xfId="0">
      <alignment horizontal="center" vertical="top" wrapText="1"/>
    </xf>
    <xf numFmtId="164" fontId="6" fillId="2" borderId="1" applyAlignment="1" pivotButton="0" quotePrefix="0" xfId="0">
      <alignment horizontal="left" vertical="top" wrapText="1"/>
    </xf>
    <xf numFmtId="0" fontId="1" fillId="16" borderId="0" applyAlignment="1" pivotButton="0" quotePrefix="0" xfId="0">
      <alignment horizontal="left" vertical="top" wrapText="1"/>
    </xf>
    <xf numFmtId="0" fontId="3" fillId="23" borderId="0" applyAlignment="1" pivotButton="0" quotePrefix="0" xfId="0">
      <alignment horizontal="left" vertical="top" wrapText="1"/>
    </xf>
    <xf numFmtId="164" fontId="3" fillId="23" borderId="0" applyAlignment="1" pivotButton="0" quotePrefix="0" xfId="0">
      <alignment horizontal="right" vertical="top" wrapText="1"/>
    </xf>
    <xf numFmtId="164" fontId="3" fillId="23" borderId="0" applyAlignment="1" pivotButton="0" quotePrefix="0" xfId="0">
      <alignment horizontal="right" vertical="center"/>
    </xf>
    <xf numFmtId="164" fontId="20" fillId="23" borderId="0" applyAlignment="1" pivotButton="0" quotePrefix="0" xfId="0">
      <alignment horizontal="right" vertical="center"/>
    </xf>
    <xf numFmtId="0" fontId="3" fillId="24" borderId="1" applyAlignment="1" pivotButton="0" quotePrefix="0" xfId="0">
      <alignment horizontal="left" vertical="top" wrapText="1"/>
    </xf>
    <xf numFmtId="164" fontId="3" fillId="24" borderId="1" applyAlignment="1" pivotButton="0" quotePrefix="0" xfId="0">
      <alignment horizontal="right" vertical="top" wrapText="1"/>
    </xf>
    <xf numFmtId="165" fontId="3" fillId="24" borderId="1" applyAlignment="1" pivotButton="0" quotePrefix="0" xfId="0">
      <alignment horizontal="right" vertical="top" wrapText="1"/>
    </xf>
    <xf numFmtId="0" fontId="3" fillId="24" borderId="1" applyAlignment="1" pivotButton="0" quotePrefix="0" xfId="0">
      <alignment horizontal="right" vertical="center"/>
    </xf>
    <xf numFmtId="0" fontId="1" fillId="6" borderId="0" applyAlignment="1" pivotButton="0" quotePrefix="0" xfId="0">
      <alignment horizontal="left" vertical="top" wrapText="1"/>
    </xf>
    <xf numFmtId="0" fontId="24" fillId="0" borderId="0" applyAlignment="1" pivotButton="0" quotePrefix="0" xfId="0">
      <alignment horizontal="left" vertical="top" wrapText="1"/>
    </xf>
    <xf numFmtId="0" fontId="3" fillId="25" borderId="1" applyAlignment="1" pivotButton="0" quotePrefix="0" xfId="0">
      <alignment horizontal="left" vertical="top" wrapText="1"/>
    </xf>
    <xf numFmtId="164" fontId="3" fillId="25" borderId="1" applyAlignment="1" pivotButton="0" quotePrefix="0" xfId="0">
      <alignment horizontal="right" vertical="center"/>
    </xf>
    <xf numFmtId="0" fontId="4" fillId="25" borderId="1" applyAlignment="1" pivotButton="0" quotePrefix="0" xfId="0">
      <alignment horizontal="left" vertical="center"/>
    </xf>
    <xf numFmtId="0" fontId="3" fillId="26" borderId="1" applyAlignment="1" pivotButton="0" quotePrefix="0" xfId="0">
      <alignment horizontal="left" vertical="top" wrapText="1"/>
    </xf>
    <xf numFmtId="164" fontId="3" fillId="26" borderId="1" applyAlignment="1" pivotButton="0" quotePrefix="0" xfId="0">
      <alignment horizontal="right" vertical="top" wrapText="1"/>
    </xf>
    <xf numFmtId="0" fontId="3" fillId="26" borderId="1" applyAlignment="1" pivotButton="0" quotePrefix="0" xfId="0">
      <alignment horizontal="right" vertical="center"/>
    </xf>
    <xf numFmtId="165" fontId="3" fillId="26" borderId="1" applyAlignment="1" pivotButton="0" quotePrefix="0" xfId="0">
      <alignment horizontal="right" vertical="top" wrapText="1"/>
    </xf>
    <xf numFmtId="164" fontId="3" fillId="23" borderId="1" applyAlignment="1" pivotButton="0" quotePrefix="0" xfId="0">
      <alignment horizontal="right" vertical="top" wrapText="1"/>
    </xf>
    <xf numFmtId="0" fontId="3" fillId="23" borderId="1" applyAlignment="1" pivotButton="0" quotePrefix="0" xfId="0">
      <alignment horizontal="right" vertical="center"/>
    </xf>
    <xf numFmtId="165" fontId="3" fillId="23" borderId="1" applyAlignment="1" pivotButton="0" quotePrefix="0" xfId="0">
      <alignment horizontal="right" vertical="top" wrapText="1"/>
    </xf>
    <xf numFmtId="0" fontId="4" fillId="0" borderId="1" applyAlignment="1" pivotButton="0" quotePrefix="0" xfId="0">
      <alignment horizontal="right" vertical="center"/>
    </xf>
    <xf numFmtId="164" fontId="20" fillId="26" borderId="1" applyAlignment="1" pivotButton="0" quotePrefix="0" xfId="0">
      <alignment horizontal="right" vertical="top" wrapText="1"/>
    </xf>
    <xf numFmtId="164" fontId="20" fillId="23" borderId="1" applyAlignment="1" pivotButton="0" quotePrefix="0" xfId="0">
      <alignment horizontal="right" vertical="top" wrapText="1"/>
    </xf>
    <xf numFmtId="164" fontId="19" fillId="0" borderId="1" applyAlignment="1" pivotButton="0" quotePrefix="0" xfId="0">
      <alignment horizontal="right" vertical="center"/>
    </xf>
    <xf numFmtId="164" fontId="20" fillId="4" borderId="1" applyAlignment="1" pivotButton="0" quotePrefix="0" xfId="0">
      <alignment horizontal="right" vertical="top" wrapText="1"/>
    </xf>
    <xf numFmtId="0" fontId="1" fillId="14" borderId="0" applyAlignment="1" pivotButton="0" quotePrefix="0" xfId="0">
      <alignment horizontal="left" vertical="top" wrapText="1"/>
    </xf>
    <xf numFmtId="165" fontId="4" fillId="0" borderId="1" applyAlignment="1" pivotButton="0" quotePrefix="0" xfId="0">
      <alignment horizontal="left" vertical="top" wrapText="1"/>
    </xf>
    <xf numFmtId="0" fontId="17" fillId="7" borderId="1" applyAlignment="1" pivotButton="0" quotePrefix="0" xfId="0">
      <alignment horizontal="center" vertical="top" wrapText="1"/>
    </xf>
    <xf numFmtId="0" fontId="17" fillId="2" borderId="1" applyAlignment="1" pivotButton="0" quotePrefix="0" xfId="0">
      <alignment horizontal="center" vertical="top" wrapText="1"/>
    </xf>
    <xf numFmtId="1" fontId="4" fillId="0" borderId="1" applyAlignment="1" pivotButton="0" quotePrefix="0" xfId="0">
      <alignment horizontal="right" vertical="top" wrapText="1"/>
    </xf>
    <xf numFmtId="0" fontId="4" fillId="10" borderId="1" applyAlignment="1" pivotButton="0" quotePrefix="0" xfId="0">
      <alignment horizontal="left" vertical="top" wrapText="1"/>
    </xf>
    <xf numFmtId="0" fontId="4" fillId="12" borderId="1" applyAlignment="1" pivotButton="0" quotePrefix="0" xfId="0">
      <alignment horizontal="left" vertical="top" wrapText="1"/>
    </xf>
    <xf numFmtId="0" fontId="4" fillId="11" borderId="1" applyAlignment="1" pivotButton="0" quotePrefix="0" xfId="0">
      <alignment horizontal="left" vertical="top" wrapText="1"/>
    </xf>
    <xf numFmtId="164" fontId="3" fillId="4" borderId="1" applyAlignment="1" pivotButton="0" quotePrefix="0" xfId="0">
      <alignment horizontal="left" vertical="top" wrapText="1"/>
    </xf>
    <xf numFmtId="0" fontId="3" fillId="9" borderId="1" applyAlignment="1" pivotButton="0" quotePrefix="0" xfId="0">
      <alignment horizontal="left" vertical="top" wrapText="1"/>
    </xf>
    <xf numFmtId="164" fontId="4" fillId="0" borderId="1" applyAlignment="1" pivotButton="0" quotePrefix="0" xfId="0">
      <alignment horizontal="right" vertical="top" wrapText="1"/>
    </xf>
    <xf numFmtId="165" fontId="4" fillId="0" borderId="1" applyAlignment="1" pivotButton="0" quotePrefix="0" xfId="0">
      <alignment horizontal="right" vertical="top" wrapText="1"/>
    </xf>
    <xf numFmtId="164" fontId="4" fillId="12" borderId="1" applyAlignment="1" pivotButton="0" quotePrefix="0" xfId="0">
      <alignment horizontal="right" vertical="top" wrapText="1"/>
    </xf>
    <xf numFmtId="165" fontId="4" fillId="12" borderId="1" applyAlignment="1" pivotButton="0" quotePrefix="0" xfId="0">
      <alignment horizontal="right" vertical="top" wrapText="1"/>
    </xf>
    <xf numFmtId="164" fontId="3" fillId="0" borderId="1" applyAlignment="1" pivotButton="0" quotePrefix="0" xfId="0">
      <alignment horizontal="right" vertical="top" wrapText="1"/>
    </xf>
    <xf numFmtId="165" fontId="3" fillId="0" borderId="1" applyAlignment="1" pivotButton="0" quotePrefix="0" xfId="0">
      <alignment horizontal="right" vertical="top" wrapText="1"/>
    </xf>
    <xf numFmtId="0" fontId="6" fillId="7" borderId="1" applyAlignment="1" pivotButton="0" quotePrefix="0" xfId="0">
      <alignment horizontal="left" vertical="top" wrapText="1"/>
    </xf>
    <xf numFmtId="0" fontId="7" fillId="0" borderId="1" applyAlignment="1" pivotButton="0" quotePrefix="0" xfId="0">
      <alignment horizontal="left" vertical="top" wrapText="1"/>
    </xf>
    <xf numFmtId="165" fontId="4" fillId="9" borderId="1" applyAlignment="1" pivotButton="0" quotePrefix="0" xfId="0">
      <alignment horizontal="right" vertical="top" wrapText="1"/>
    </xf>
    <xf numFmtId="165" fontId="8" fillId="0" borderId="1" applyAlignment="1" pivotButton="0" quotePrefix="0" xfId="0">
      <alignment horizontal="right" vertical="top" wrapText="1"/>
    </xf>
    <xf numFmtId="165" fontId="8" fillId="9" borderId="1" applyAlignment="1" pivotButton="0" quotePrefix="0" xfId="0">
      <alignment horizontal="right" vertical="top" wrapText="1"/>
    </xf>
    <xf numFmtId="165" fontId="4" fillId="11" borderId="1" applyAlignment="1" pivotButton="0" quotePrefix="0" xfId="0">
      <alignment horizontal="right" vertical="top" wrapText="1"/>
    </xf>
    <xf numFmtId="165" fontId="3" fillId="0" borderId="1" applyAlignment="1" pivotButton="0" quotePrefix="0" xfId="0">
      <alignment horizontal="left" vertical="top" wrapText="1"/>
    </xf>
    <xf numFmtId="0" fontId="3" fillId="12" borderId="1" applyAlignment="1" pivotButton="0" quotePrefix="0" xfId="0">
      <alignment horizontal="left" vertical="top" wrapText="1"/>
    </xf>
    <xf numFmtId="164" fontId="3" fillId="12" borderId="1" applyAlignment="1" pivotButton="0" quotePrefix="0" xfId="0">
      <alignment horizontal="right" vertical="top" wrapText="1"/>
    </xf>
    <xf numFmtId="167" fontId="4" fillId="0" borderId="1" applyAlignment="1" pivotButton="0" quotePrefix="0" xfId="0">
      <alignment horizontal="right" vertical="top" wrapText="1"/>
    </xf>
    <xf numFmtId="0" fontId="3" fillId="11" borderId="1" applyAlignment="1" pivotButton="0" quotePrefix="0" xfId="0">
      <alignment horizontal="left" vertical="top" wrapText="1"/>
    </xf>
    <xf numFmtId="4" fontId="4" fillId="0" borderId="1" applyAlignment="1" pivotButton="0" quotePrefix="0" xfId="0">
      <alignment horizontal="right" vertical="top" wrapText="1"/>
    </xf>
    <xf numFmtId="0" fontId="4" fillId="4" borderId="1" applyAlignment="1" pivotButton="0" quotePrefix="0" xfId="0">
      <alignment horizontal="left" vertical="top" wrapText="1"/>
    </xf>
    <xf numFmtId="0" fontId="2" fillId="7" borderId="1" applyAlignment="1" pivotButton="0" quotePrefix="0" xfId="0">
      <alignment horizontal="center" vertical="center" wrapText="1"/>
    </xf>
    <xf numFmtId="0" fontId="4" fillId="0" borderId="1" applyAlignment="1" pivotButton="0" quotePrefix="0" xfId="0">
      <alignment horizontal="center" vertical="center"/>
    </xf>
    <xf numFmtId="168" fontId="4" fillId="11" borderId="1" applyAlignment="1" pivotButton="0" quotePrefix="0" xfId="0">
      <alignment horizontal="right" vertical="top" wrapText="1"/>
    </xf>
    <xf numFmtId="168" fontId="4" fillId="0" borderId="1" applyAlignment="1" pivotButton="0" quotePrefix="0" xfId="0">
      <alignment horizontal="right" vertical="top" wrapText="1"/>
    </xf>
    <xf numFmtId="0" fontId="1" fillId="2" borderId="1" applyAlignment="1" pivotButton="0" quotePrefix="0" xfId="0">
      <alignment horizontal="left" vertical="top" wrapText="1"/>
    </xf>
    <xf numFmtId="164" fontId="4" fillId="0" borderId="1" applyAlignment="1" pivotButton="0" quotePrefix="0" xfId="0">
      <alignment horizontal="left" vertical="top" wrapText="1"/>
    </xf>
    <xf numFmtId="0" fontId="4" fillId="0" borderId="1" applyAlignment="1" pivotButton="0" quotePrefix="0" xfId="0">
      <alignment horizontal="right" vertical="top" wrapText="1"/>
    </xf>
    <xf numFmtId="164" fontId="3" fillId="0" borderId="1" applyAlignment="1" pivotButton="0" quotePrefix="0" xfId="0">
      <alignment horizontal="left" vertical="top" wrapText="1"/>
    </xf>
    <xf numFmtId="164" fontId="23" fillId="0" borderId="1" applyAlignment="1" pivotButton="0" quotePrefix="0" xfId="0">
      <alignment horizontal="left" vertical="top" wrapText="1"/>
    </xf>
    <xf numFmtId="0" fontId="18" fillId="0" borderId="1" applyAlignment="1" pivotButton="0" quotePrefix="0" xfId="0">
      <alignment horizontal="left" vertical="top" wrapText="1"/>
    </xf>
    <xf numFmtId="164" fontId="4" fillId="0" borderId="1" applyAlignment="1" pivotButton="0" quotePrefix="0" xfId="0">
      <alignment horizontal="left" vertical="center"/>
    </xf>
    <xf numFmtId="164" fontId="4" fillId="12" borderId="1" applyAlignment="1" pivotButton="0" quotePrefix="0" xfId="0">
      <alignment horizontal="left" vertical="center"/>
    </xf>
    <xf numFmtId="164" fontId="19" fillId="12" borderId="1" applyAlignment="1" pivotButton="0" quotePrefix="0" xfId="0">
      <alignment horizontal="left" vertical="top" wrapText="1"/>
    </xf>
    <xf numFmtId="164" fontId="4" fillId="12" borderId="1" applyAlignment="1" pivotButton="0" quotePrefix="0" xfId="0">
      <alignment horizontal="left" vertical="top" wrapText="1"/>
    </xf>
    <xf numFmtId="0" fontId="4" fillId="17" borderId="1" applyAlignment="1" pivotButton="0" quotePrefix="0" xfId="0">
      <alignment horizontal="left" vertical="top" wrapText="1"/>
    </xf>
    <xf numFmtId="164" fontId="4" fillId="17"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164" fontId="3" fillId="11" borderId="1" applyAlignment="1" pivotButton="0" quotePrefix="0" xfId="0">
      <alignment horizontal="left" vertical="top" wrapText="1"/>
    </xf>
    <xf numFmtId="0" fontId="20" fillId="11" borderId="1" applyAlignment="1" pivotButton="0" quotePrefix="0" xfId="0">
      <alignment horizontal="left" vertical="top" wrapText="1"/>
    </xf>
    <xf numFmtId="0" fontId="3" fillId="17" borderId="1" applyAlignment="1" pivotButton="0" quotePrefix="0" xfId="0">
      <alignment horizontal="left" vertical="top" wrapText="1"/>
    </xf>
    <xf numFmtId="0" fontId="3" fillId="18" borderId="1" applyAlignment="1" pivotButton="0" quotePrefix="0" xfId="0">
      <alignment horizontal="left" vertical="top" wrapText="1"/>
    </xf>
    <xf numFmtId="0" fontId="21" fillId="0" borderId="1" applyAlignment="1" pivotButton="0" quotePrefix="0" xfId="0">
      <alignment horizontal="left" vertical="top" wrapText="1"/>
    </xf>
    <xf numFmtId="0" fontId="3" fillId="20" borderId="1" applyAlignment="1" pivotButton="0" quotePrefix="0" xfId="0">
      <alignment horizontal="left" vertical="top" wrapText="1"/>
    </xf>
    <xf numFmtId="3" fontId="4" fillId="0" borderId="1" applyAlignment="1" pivotButton="0" quotePrefix="0" xfId="0">
      <alignment horizontal="left" vertical="top" wrapText="1"/>
    </xf>
    <xf numFmtId="164" fontId="5" fillId="8" borderId="1" applyAlignment="1" pivotButton="0" quotePrefix="0" xfId="0">
      <alignment horizontal="left" vertical="center"/>
    </xf>
    <xf numFmtId="0" fontId="4" fillId="0" borderId="1" applyAlignment="1" pivotButton="0" quotePrefix="0" xfId="0">
      <alignment vertical="top" wrapText="1"/>
    </xf>
    <xf numFmtId="3" fontId="5" fillId="8" borderId="1" applyAlignment="1" pivotButton="0" quotePrefix="0" xfId="0">
      <alignment horizontal="left" vertical="center"/>
    </xf>
    <xf numFmtId="0" fontId="4" fillId="0" borderId="0" applyAlignment="1" pivotButton="0" quotePrefix="0" xfId="0">
      <alignment horizontal="left" vertical="top" wrapText="1"/>
    </xf>
    <xf numFmtId="0" fontId="3" fillId="11" borderId="1" applyAlignment="1" pivotButton="0" quotePrefix="0" xfId="0">
      <alignment horizontal="center" vertical="top" wrapText="1"/>
    </xf>
    <xf numFmtId="0" fontId="3" fillId="12" borderId="1" applyAlignment="1" pivotButton="0" quotePrefix="0" xfId="0">
      <alignment horizontal="center" vertical="top" wrapText="1"/>
    </xf>
    <xf numFmtId="0" fontId="1" fillId="13" borderId="0" applyAlignment="1" pivotButton="0" quotePrefix="0" xfId="0">
      <alignment horizontal="left" vertical="top" wrapText="1"/>
    </xf>
    <xf numFmtId="0" fontId="4" fillId="4" borderId="1" applyAlignment="1" pivotButton="0" quotePrefix="0" xfId="0">
      <alignment horizontal="center" vertical="top" wrapText="1"/>
    </xf>
    <xf numFmtId="164" fontId="4" fillId="4" borderId="1" applyAlignment="1" pivotButton="0" quotePrefix="0" xfId="0">
      <alignment horizontal="right" vertical="top" wrapText="1"/>
    </xf>
    <xf numFmtId="0" fontId="3" fillId="5" borderId="1" applyAlignment="1" pivotButton="0" quotePrefix="0" xfId="0">
      <alignment horizontal="center" vertical="top" wrapText="1"/>
    </xf>
    <xf numFmtId="164" fontId="3" fillId="5" borderId="1" applyAlignment="1" pivotButton="0" quotePrefix="0" xfId="0">
      <alignment horizontal="right" vertical="top" wrapText="1"/>
    </xf>
    <xf numFmtId="164" fontId="4" fillId="5" borderId="1" applyAlignment="1" pivotButton="0" quotePrefix="0" xfId="0">
      <alignment horizontal="right" vertical="top" wrapText="1"/>
    </xf>
    <xf numFmtId="1" fontId="4" fillId="0" borderId="1" applyAlignment="1" pivotButton="0" quotePrefix="0" xfId="0">
      <alignment horizontal="left" vertical="top" wrapText="1"/>
    </xf>
    <xf numFmtId="164" fontId="3" fillId="0" borderId="1" applyAlignment="1" pivotButton="0" quotePrefix="0" xfId="0">
      <alignment horizontal="left" vertical="center"/>
    </xf>
    <xf numFmtId="165" fontId="4" fillId="0" borderId="1" applyAlignment="1" pivotButton="0" quotePrefix="0" xfId="0">
      <alignment horizontal="left" vertical="center"/>
    </xf>
    <xf numFmtId="1" fontId="4" fillId="4" borderId="1" applyAlignment="1" pivotButton="0" quotePrefix="0" xfId="0">
      <alignment horizontal="left" vertical="top" wrapText="1"/>
    </xf>
    <xf numFmtId="164" fontId="4" fillId="4" borderId="1" applyAlignment="1" pivotButton="0" quotePrefix="0" xfId="0">
      <alignment horizontal="left" vertical="top" wrapText="1"/>
    </xf>
    <xf numFmtId="165" fontId="4" fillId="4" borderId="1" applyAlignment="1" pivotButton="0" quotePrefix="0" xfId="0">
      <alignment horizontal="left" vertical="top" wrapText="1"/>
    </xf>
    <xf numFmtId="1" fontId="4" fillId="11" borderId="1" applyAlignment="1" pivotButton="0" quotePrefix="0" xfId="0">
      <alignment horizontal="left" vertical="top" wrapText="1"/>
    </xf>
    <xf numFmtId="164" fontId="4" fillId="11" borderId="1" applyAlignment="1" pivotButton="0" quotePrefix="0" xfId="0">
      <alignment horizontal="left" vertical="top" wrapText="1"/>
    </xf>
    <xf numFmtId="165" fontId="4" fillId="11" borderId="1" applyAlignment="1" pivotButton="0" quotePrefix="0" xfId="0">
      <alignment horizontal="left" vertical="top" wrapText="1"/>
    </xf>
    <xf numFmtId="164" fontId="4" fillId="11" borderId="1" applyAlignment="1" pivotButton="0" quotePrefix="0" xfId="0">
      <alignment horizontal="right" vertical="top" wrapText="1"/>
    </xf>
    <xf numFmtId="164" fontId="3" fillId="11" borderId="1" applyAlignment="1" pivotButton="0" quotePrefix="0" xfId="0">
      <alignment horizontal="right" vertical="top" wrapText="1"/>
    </xf>
    <xf numFmtId="165" fontId="3" fillId="11" borderId="1" applyAlignment="1" pivotButton="0" quotePrefix="0" xfId="0">
      <alignment horizontal="right" vertical="top" wrapText="1"/>
    </xf>
    <xf numFmtId="0" fontId="3" fillId="10" borderId="1" applyAlignment="1" pivotButton="0" quotePrefix="0" xfId="0">
      <alignment horizontal="left" vertical="top" wrapText="1"/>
    </xf>
    <xf numFmtId="165" fontId="4" fillId="10" borderId="1" applyAlignment="1" pivotButton="0" quotePrefix="0" xfId="0">
      <alignment horizontal="right" vertical="top" wrapText="1"/>
    </xf>
    <xf numFmtId="164" fontId="4" fillId="10" borderId="1" applyAlignment="1" pivotButton="0" quotePrefix="0" xfId="0">
      <alignment horizontal="right" vertical="top" wrapText="1"/>
    </xf>
    <xf numFmtId="164" fontId="3" fillId="10" borderId="1" applyAlignment="1" pivotButton="0" quotePrefix="0" xfId="0">
      <alignment horizontal="right" vertical="top" wrapText="1"/>
    </xf>
    <xf numFmtId="165" fontId="3" fillId="10" borderId="1" applyAlignment="1" pivotButton="0" quotePrefix="0" xfId="0">
      <alignment horizontal="right" vertical="top" wrapText="1"/>
    </xf>
    <xf numFmtId="165" fontId="4" fillId="17" borderId="1" applyAlignment="1" pivotButton="0" quotePrefix="0" xfId="0">
      <alignment horizontal="right" vertical="top" wrapText="1"/>
    </xf>
    <xf numFmtId="164" fontId="4" fillId="17" borderId="1" applyAlignment="1" pivotButton="0" quotePrefix="0" xfId="0">
      <alignment horizontal="right" vertical="top" wrapText="1"/>
    </xf>
    <xf numFmtId="164" fontId="3" fillId="17" borderId="1" applyAlignment="1" pivotButton="0" quotePrefix="0" xfId="0">
      <alignment horizontal="right" vertical="top" wrapText="1"/>
    </xf>
    <xf numFmtId="165" fontId="3" fillId="17" borderId="1" applyAlignment="1" pivotButton="0" quotePrefix="0" xfId="0">
      <alignment horizontal="right" vertical="top" wrapText="1"/>
    </xf>
    <xf numFmtId="165" fontId="3" fillId="12" borderId="1" applyAlignment="1" pivotButton="0" quotePrefix="0" xfId="0">
      <alignment horizontal="right" vertical="top" wrapText="1"/>
    </xf>
    <xf numFmtId="165" fontId="4" fillId="18" borderId="1" applyAlignment="1" pivotButton="0" quotePrefix="0" xfId="0">
      <alignment horizontal="right" vertical="top" wrapText="1"/>
    </xf>
    <xf numFmtId="164" fontId="4" fillId="18" borderId="1" applyAlignment="1" pivotButton="0" quotePrefix="0" xfId="0">
      <alignment horizontal="right" vertical="top" wrapText="1"/>
    </xf>
    <xf numFmtId="164" fontId="3" fillId="18" borderId="1" applyAlignment="1" pivotButton="0" quotePrefix="0" xfId="0">
      <alignment horizontal="right" vertical="top" wrapText="1"/>
    </xf>
    <xf numFmtId="165" fontId="3" fillId="18" borderId="1" applyAlignment="1" pivotButton="0" quotePrefix="0" xfId="0">
      <alignment horizontal="right" vertical="top" wrapText="1"/>
    </xf>
    <xf numFmtId="0" fontId="3" fillId="7" borderId="1" applyAlignment="1" pivotButton="0" quotePrefix="0" xfId="0">
      <alignment horizontal="center" vertical="top" wrapText="1"/>
    </xf>
    <xf numFmtId="165" fontId="4" fillId="21" borderId="1" applyAlignment="1" pivotButton="0" quotePrefix="0" xfId="0">
      <alignment horizontal="right" vertical="top" wrapText="1"/>
    </xf>
    <xf numFmtId="0" fontId="3" fillId="4" borderId="1" applyAlignment="1" pivotButton="0" quotePrefix="0" xfId="0">
      <alignment horizontal="center" vertical="top" wrapText="1"/>
    </xf>
    <xf numFmtId="165" fontId="3" fillId="22" borderId="1" applyAlignment="1" pivotButton="0" quotePrefix="0" xfId="0">
      <alignment horizontal="right" vertical="top" wrapText="1"/>
    </xf>
    <xf numFmtId="165" fontId="4" fillId="19" borderId="1" applyAlignment="1" pivotButton="0" quotePrefix="0" xfId="0">
      <alignment horizontal="right" vertical="top" wrapText="1"/>
    </xf>
    <xf numFmtId="0" fontId="4" fillId="22" borderId="1" applyAlignment="1" pivotButton="0" quotePrefix="0" xfId="0">
      <alignment horizontal="right" vertical="center"/>
    </xf>
    <xf numFmtId="0" fontId="4" fillId="18" borderId="1" applyAlignment="1" pivotButton="0" quotePrefix="0" xfId="0">
      <alignment horizontal="right" vertical="center"/>
    </xf>
    <xf numFmtId="0" fontId="4" fillId="19" borderId="1" applyAlignment="1" pivotButton="0" quotePrefix="0" xfId="0">
      <alignment horizontal="right" vertical="center"/>
    </xf>
    <xf numFmtId="0" fontId="4" fillId="21" borderId="1" applyAlignment="1" pivotButton="0" quotePrefix="0" xfId="0">
      <alignment horizontal="right" vertical="center"/>
    </xf>
    <xf numFmtId="1" fontId="4" fillId="0" borderId="1" applyAlignment="1" pivotButton="0" quotePrefix="0" xfId="0">
      <alignment horizontal="left" vertical="center"/>
    </xf>
    <xf numFmtId="164" fontId="3" fillId="12" borderId="1" applyAlignment="1" pivotButton="0" quotePrefix="0" xfId="0">
      <alignment horizontal="left" vertical="center"/>
    </xf>
    <xf numFmtId="164" fontId="3" fillId="11" borderId="1" applyAlignment="1" pivotButton="0" quotePrefix="0" xfId="0">
      <alignment horizontal="left" vertical="center"/>
    </xf>
    <xf numFmtId="164" fontId="4" fillId="11" borderId="1" applyAlignment="1" pivotButton="0" quotePrefix="0" xfId="0">
      <alignment horizontal="left" vertical="center"/>
    </xf>
    <xf numFmtId="0" fontId="1" fillId="27" borderId="0" applyAlignment="1" pivotButton="0" quotePrefix="0" xfId="0">
      <alignment horizontal="left" vertical="top" wrapText="1"/>
    </xf>
    <xf numFmtId="0" fontId="5" fillId="8" borderId="1" applyAlignment="1" pivotButton="0" quotePrefix="0" xfId="0">
      <alignment vertical="top" wrapText="1"/>
    </xf>
    <xf numFmtId="165" fontId="5" fillId="8" borderId="1" applyAlignment="1" pivotButton="0" quotePrefix="0" xfId="0">
      <alignment vertical="top" wrapText="1"/>
    </xf>
    <xf numFmtId="1" fontId="5" fillId="8" borderId="1" applyAlignment="1" pivotButton="0" quotePrefix="0" xfId="0">
      <alignment vertical="top" wrapText="1"/>
    </xf>
    <xf numFmtId="166" fontId="5" fillId="8" borderId="1" applyAlignment="1" pivotButton="0" quotePrefix="0" xfId="0">
      <alignment vertical="top" wrapText="1"/>
    </xf>
    <xf numFmtId="0" fontId="10" fillId="13" borderId="1" applyAlignment="1" pivotButton="0" quotePrefix="0" xfId="0">
      <alignment horizontal="center" vertical="top" wrapText="1"/>
    </xf>
    <xf numFmtId="0" fontId="6" fillId="27" borderId="0" applyAlignment="1" pivotButton="0" quotePrefix="0" xfId="0">
      <alignment horizontal="left" vertical="top" wrapText="1"/>
    </xf>
    <xf numFmtId="0" fontId="10" fillId="3" borderId="1" applyAlignment="1" pivotButton="0" quotePrefix="0" xfId="0">
      <alignment horizontal="center" vertical="top" wrapText="1"/>
    </xf>
    <xf numFmtId="0" fontId="10" fillId="6" borderId="1" applyAlignment="1" pivotButton="0" quotePrefix="0" xfId="0">
      <alignment horizontal="center" vertical="top" wrapText="1"/>
    </xf>
    <xf numFmtId="1" fontId="22" fillId="0" borderId="1" applyAlignment="1" pivotButton="0" quotePrefix="0" xfId="0">
      <alignment horizontal="right" vertical="center"/>
    </xf>
    <xf numFmtId="1" fontId="22" fillId="0" borderId="1" applyAlignment="1" pivotButton="0" quotePrefix="0" xfId="0">
      <alignment horizontal="right" vertical="top" wrapText="1"/>
    </xf>
    <xf numFmtId="0" fontId="22" fillId="0" borderId="1" applyAlignment="1" pivotButton="0" quotePrefix="0" xfId="0">
      <alignment horizontal="center" vertical="top" wrapText="1"/>
    </xf>
    <xf numFmtId="164" fontId="22" fillId="0" borderId="1" applyAlignment="1" pivotButton="0" quotePrefix="0" xfId="0">
      <alignment horizontal="right" vertical="center"/>
    </xf>
    <xf numFmtId="164" fontId="11" fillId="0" borderId="1" applyAlignment="1" pivotButton="0" quotePrefix="0" xfId="0">
      <alignment horizontal="right" vertical="center"/>
    </xf>
    <xf numFmtId="0" fontId="22" fillId="4" borderId="1" applyAlignment="1" pivotButton="0" quotePrefix="0" xfId="0">
      <alignment horizontal="center" vertical="top" wrapText="1"/>
    </xf>
    <xf numFmtId="165" fontId="22" fillId="0" borderId="1" applyAlignment="1" pivotButton="0" quotePrefix="0" xfId="0">
      <alignment horizontal="right" vertical="center"/>
    </xf>
    <xf numFmtId="164" fontId="22" fillId="4" borderId="1" applyAlignment="1" pivotButton="0" quotePrefix="0" xfId="0">
      <alignment horizontal="right" vertical="center"/>
    </xf>
    <xf numFmtId="165" fontId="11" fillId="0" borderId="1" applyAlignment="1" pivotButton="0" quotePrefix="0" xfId="0">
      <alignment horizontal="right" vertical="center"/>
    </xf>
    <xf numFmtId="0" fontId="22" fillId="12" borderId="1" applyAlignment="1" pivotButton="0" quotePrefix="0" xfId="0">
      <alignment horizontal="center" vertical="top" wrapText="1"/>
    </xf>
    <xf numFmtId="0" fontId="22" fillId="0" borderId="1" applyAlignment="1" pivotButton="0" quotePrefix="0" xfId="0">
      <alignment horizontal="center" vertical="center"/>
    </xf>
    <xf numFmtId="1" fontId="22" fillId="19" borderId="1" applyAlignment="1" pivotButton="0" quotePrefix="0" xfId="0">
      <alignment horizontal="right" vertical="top" wrapText="1"/>
    </xf>
    <xf numFmtId="0" fontId="22" fillId="19" borderId="1" applyAlignment="1" pivotButton="0" quotePrefix="0" xfId="0">
      <alignment horizontal="center" vertical="top" wrapText="1"/>
    </xf>
    <xf numFmtId="164" fontId="22" fillId="19" borderId="1" applyAlignment="1" pivotButton="0" quotePrefix="0" xfId="0">
      <alignment horizontal="right" vertical="top" wrapText="1"/>
    </xf>
    <xf numFmtId="164" fontId="11" fillId="19" borderId="1" applyAlignment="1" pivotButton="0" quotePrefix="0" xfId="0">
      <alignment horizontal="right" vertical="top" wrapText="1"/>
    </xf>
    <xf numFmtId="165" fontId="22" fillId="19" borderId="1" applyAlignment="1" pivotButton="0" quotePrefix="0" xfId="0">
      <alignment horizontal="right" vertical="center"/>
    </xf>
    <xf numFmtId="164" fontId="22" fillId="4" borderId="1" applyAlignment="1" pivotButton="0" quotePrefix="0" xfId="0">
      <alignment horizontal="right" vertical="top" wrapText="1"/>
    </xf>
    <xf numFmtId="165" fontId="11" fillId="19" borderId="1" applyAlignment="1" pivotButton="0" quotePrefix="0" xfId="0">
      <alignment horizontal="right" vertical="center"/>
    </xf>
    <xf numFmtId="1" fontId="22" fillId="4" borderId="1" applyAlignment="1" pivotButton="0" quotePrefix="0" xfId="0">
      <alignment horizontal="right" vertical="top" wrapText="1"/>
    </xf>
    <xf numFmtId="164" fontId="11" fillId="4" borderId="1" applyAlignment="1" pivotButton="0" quotePrefix="0" xfId="0">
      <alignment horizontal="right" vertical="top" wrapText="1"/>
    </xf>
    <xf numFmtId="165" fontId="22" fillId="4" borderId="1" applyAlignment="1" pivotButton="0" quotePrefix="0" xfId="0">
      <alignment horizontal="right" vertical="center"/>
    </xf>
    <xf numFmtId="165" fontId="11" fillId="4" borderId="1" applyAlignment="1" pivotButton="0" quotePrefix="0" xfId="0">
      <alignment horizontal="right" vertical="center"/>
    </xf>
    <xf numFmtId="0" fontId="22" fillId="4" borderId="1" applyAlignment="1" pivotButton="0" quotePrefix="0" xfId="0">
      <alignment horizontal="center" vertical="center"/>
    </xf>
    <xf numFmtId="0" fontId="0" fillId="12" borderId="1" pivotButton="0" quotePrefix="0" xfId="0"/>
    <xf numFmtId="0" fontId="0" fillId="0" borderId="0" applyAlignment="1" pivotButton="0" quotePrefix="0" xfId="0">
      <alignment vertical="top" wrapText="1"/>
    </xf>
    <xf numFmtId="0" fontId="0" fillId="11" borderId="1" pivotButton="0" quotePrefix="0" xfId="0"/>
    <xf numFmtId="0" fontId="0" fillId="19" borderId="1" pivotButton="0" quotePrefix="0" xfId="0"/>
    <xf numFmtId="0" fontId="0" fillId="4" borderId="1" pivotButton="0" quotePrefix="0" xfId="0"/>
    <xf numFmtId="0" fontId="1" fillId="2" borderId="0" applyAlignment="1" pivotButton="0" quotePrefix="0" xfId="0">
      <alignment horizontal="left" vertical="center"/>
    </xf>
    <xf numFmtId="0" fontId="2" fillId="2" borderId="1" applyAlignment="1" pivotButton="0" quotePrefix="0" xfId="0">
      <alignment horizontal="center" vertical="center" wrapText="1"/>
    </xf>
    <xf numFmtId="0" fontId="4" fillId="12" borderId="1" applyAlignment="1" pivotButton="0" quotePrefix="0" xfId="0">
      <alignment horizontal="left" vertical="center"/>
    </xf>
    <xf numFmtId="0" fontId="2" fillId="3" borderId="1" applyAlignment="1" pivotButton="0" quotePrefix="0" xfId="0">
      <alignment horizontal="center" vertical="center" wrapText="1"/>
    </xf>
    <xf numFmtId="0" fontId="2" fillId="13" borderId="1" applyAlignment="1" pivotButton="0" quotePrefix="0" xfId="0">
      <alignment horizontal="center" vertical="center" wrapText="1"/>
    </xf>
    <xf numFmtId="0" fontId="3" fillId="0" borderId="1" applyAlignment="1" pivotButton="0" quotePrefix="0" xfId="0">
      <alignment horizontal="left" vertical="center"/>
    </xf>
    <xf numFmtId="0" fontId="14" fillId="2" borderId="0" applyAlignment="1" pivotButton="0" quotePrefix="0" xfId="0">
      <alignment horizontal="left" vertical="center"/>
    </xf>
    <xf numFmtId="0" fontId="2" fillId="3" borderId="0" applyAlignment="1" pivotButton="0" quotePrefix="0" xfId="0">
      <alignment horizontal="left" vertical="center"/>
    </xf>
    <xf numFmtId="0" fontId="2" fillId="13" borderId="0" applyAlignment="1" pivotButton="0" quotePrefix="0" xfId="0">
      <alignment horizontal="left" vertical="center"/>
    </xf>
    <xf numFmtId="0" fontId="2" fillId="16" borderId="0" applyAlignment="1" pivotButton="0" quotePrefix="0" xfId="0">
      <alignment horizontal="left" vertical="center"/>
    </xf>
    <xf numFmtId="0" fontId="2" fillId="14" borderId="0" applyAlignment="1" pivotButton="0" quotePrefix="0" xfId="0">
      <alignment horizontal="left" vertical="center"/>
    </xf>
    <xf numFmtId="0" fontId="6" fillId="7"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6" borderId="1" applyAlignment="1" pivotButton="0" quotePrefix="0" xfId="0">
      <alignment horizontal="center" vertical="center" wrapText="1"/>
    </xf>
    <xf numFmtId="1" fontId="15" fillId="5" borderId="1" applyAlignment="1" pivotButton="0" quotePrefix="0" xfId="0">
      <alignment horizontal="right" vertical="center"/>
    </xf>
    <xf numFmtId="164" fontId="15" fillId="5" borderId="1" applyAlignment="1" pivotButton="0" quotePrefix="0" xfId="0">
      <alignment horizontal="right" vertical="center"/>
    </xf>
    <xf numFmtId="164" fontId="16" fillId="5" borderId="1" applyAlignment="1" pivotButton="0" quotePrefix="0" xfId="0">
      <alignment horizontal="right" vertical="center"/>
    </xf>
    <xf numFmtId="1" fontId="15" fillId="0" borderId="1" applyAlignment="1" pivotButton="0" quotePrefix="0" xfId="0">
      <alignment horizontal="right" vertical="center"/>
    </xf>
    <xf numFmtId="164" fontId="15" fillId="0" borderId="1" applyAlignment="1" pivotButton="0" quotePrefix="0" xfId="0">
      <alignment horizontal="right" vertical="center"/>
    </xf>
    <xf numFmtId="164" fontId="16"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Net Worth by Component  ·  2026–2056</a:t>
            </a:r>
          </a:p>
        </rich>
      </tx>
    </title>
    <plotArea>
      <barChart>
        <barDir val="col"/>
        <grouping val="stacked"/>
        <ser>
          <idx val="0"/>
          <order val="0"/>
          <tx>
            <v>Annuities &amp; Pension</v>
          </tx>
          <spPr>
            <a:solidFill xmlns:a="http://schemas.openxmlformats.org/drawingml/2006/main">
              <a:srgbClr val="2E75B6"/>
            </a:solidFill>
            <a:ln xmlns:a="http://schemas.openxmlformats.org/drawingml/2006/main">
              <a:prstDash val="solid"/>
            </a:ln>
          </spPr>
          <cat>
            <numRef>
              <f>'_Chart Dashboard Data'!$A$5:$A$35</f>
            </numRef>
          </cat>
          <val>
            <numRef>
              <f>'_Chart Dashboard Data'!$B$5:$B$35</f>
            </numRef>
          </val>
        </ser>
        <ser>
          <idx val="1"/>
          <order val="1"/>
          <tx>
            <v>Pre-Tax IRA/401k</v>
          </tx>
          <spPr>
            <a:solidFill xmlns:a="http://schemas.openxmlformats.org/drawingml/2006/main">
              <a:srgbClr val="C55A11"/>
            </a:solidFill>
            <a:ln xmlns:a="http://schemas.openxmlformats.org/drawingml/2006/main">
              <a:prstDash val="solid"/>
            </a:ln>
          </spPr>
          <cat>
            <numRef>
              <f>'_Chart Dashboard Data'!$A$5:$A$35</f>
            </numRef>
          </cat>
          <val>
            <numRef>
              <f>'_Chart Dashboard Data'!$C$5:$C$35</f>
            </numRef>
          </val>
        </ser>
        <ser>
          <idx val="2"/>
          <order val="2"/>
          <tx>
            <v>Roth</v>
          </tx>
          <spPr>
            <a:solidFill xmlns:a="http://schemas.openxmlformats.org/drawingml/2006/main">
              <a:srgbClr val="0891B2"/>
            </a:solidFill>
            <a:ln xmlns:a="http://schemas.openxmlformats.org/drawingml/2006/main">
              <a:prstDash val="solid"/>
            </a:ln>
          </spPr>
          <cat>
            <numRef>
              <f>'_Chart Dashboard Data'!$A$5:$A$35</f>
            </numRef>
          </cat>
          <val>
            <numRef>
              <f>'_Chart Dashboard Data'!$D$5:$D$35</f>
            </numRef>
          </val>
        </ser>
        <ser>
          <idx val="3"/>
          <order val="3"/>
          <tx>
            <v>Trust</v>
          </tx>
          <spPr>
            <a:solidFill xmlns:a="http://schemas.openxmlformats.org/drawingml/2006/main">
              <a:srgbClr val="5A3E85"/>
            </a:solidFill>
            <a:ln xmlns:a="http://schemas.openxmlformats.org/drawingml/2006/main">
              <a:prstDash val="solid"/>
            </a:ln>
          </spPr>
          <cat>
            <numRef>
              <f>'_Chart Dashboard Data'!$A$5:$A$35</f>
            </numRef>
          </cat>
          <val>
            <numRef>
              <f>'_Chart Dashboard Data'!$E$5:$E$35</f>
            </numRef>
          </val>
        </ser>
        <ser>
          <idx val="4"/>
          <order val="4"/>
          <tx>
            <v>HSA</v>
          </tx>
          <spPr>
            <a:solidFill xmlns:a="http://schemas.openxmlformats.org/drawingml/2006/main">
              <a:srgbClr val="C9A84C"/>
            </a:solidFill>
            <a:ln xmlns:a="http://schemas.openxmlformats.org/drawingml/2006/main">
              <a:prstDash val="solid"/>
            </a:ln>
          </spPr>
          <cat>
            <numRef>
              <f>'_Chart Dashboard Data'!$A$5:$A$35</f>
            </numRef>
          </cat>
          <val>
            <numRef>
              <f>'_Chart Dashboard Data'!$F$5:$F$35</f>
            </numRef>
          </val>
        </ser>
        <ser>
          <idx val="5"/>
          <order val="5"/>
          <tx>
            <v>Home Equity</v>
          </tx>
          <spPr>
            <a:solidFill xmlns:a="http://schemas.openxmlformats.org/drawingml/2006/main">
              <a:srgbClr val="16A34A"/>
            </a:solidFill>
            <a:ln xmlns:a="http://schemas.openxmlformats.org/drawingml/2006/main">
              <a:prstDash val="solid"/>
            </a:ln>
          </spPr>
          <cat>
            <numRef>
              <f>'_Chart Dashboard Data'!$A$5:$A$35</f>
            </numRef>
          </cat>
          <val>
            <numRef>
              <f>'_Chart Dashboard Data'!$G$5:$G$35</f>
            </numRef>
          </val>
        </ser>
        <ser>
          <idx val="6"/>
          <order val="6"/>
          <tx>
            <v>Other Assets</v>
          </tx>
          <spPr>
            <a:solidFill xmlns:a="http://schemas.openxmlformats.org/drawingml/2006/main">
              <a:srgbClr val="6B7280"/>
            </a:solidFill>
            <a:ln xmlns:a="http://schemas.openxmlformats.org/drawingml/2006/main">
              <a:prstDash val="solid"/>
            </a:ln>
          </spPr>
          <cat>
            <numRef>
              <f>'_Chart Dashboard Data'!$A$5:$A$35</f>
            </numRef>
          </cat>
          <val>
            <numRef>
              <f>'_Chart Dashboard Data'!$H$5:$H$35</f>
            </numRef>
          </val>
        </ser>
        <gapWidth val="20"/>
        <overlap val="100"/>
        <axId val="10"/>
        <axId val="100"/>
      </barChart>
      <catAx>
        <axId val="10"/>
        <scaling>
          <orientation val="minMax"/>
        </scaling>
        <delete val="0"/>
        <axPos val="l"/>
        <numFmt formatCode="0" sourceLinked="0"/>
        <majorTickMark val="none"/>
        <minorTickMark val="none"/>
        <tickLblPos val="low"/>
        <crossAx val="100"/>
        <lblOffset val="100"/>
      </catAx>
      <valAx>
        <axId val="100"/>
        <scaling>
          <orientation val="minMax"/>
        </scaling>
        <delete val="0"/>
        <axPos val="l"/>
        <majorGridlines/>
        <numFmt formatCode="$#,##0,,&quot;M&quot;" sourceLinked="0"/>
        <majorTickMark val="none"/>
        <minorTickMark val="none"/>
        <tickLblPos val="nextTo"/>
        <crossAx val="10"/>
      </valAx>
    </plotArea>
    <legend>
      <legendPos val="r"/>
      <overlay val="0"/>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Cash Flow — Income &amp; Portfolio Draws  ·  2026–2056</a:t>
            </a:r>
          </a:p>
        </rich>
      </tx>
    </title>
    <plotArea>
      <barChart>
        <barDir val="col"/>
        <grouping val="stacked"/>
        <ser>
          <idx val="0"/>
          <order val="0"/>
          <tx>
            <v>Earned Income</v>
          </tx>
          <spPr>
            <a:solidFill xmlns:a="http://schemas.openxmlformats.org/drawingml/2006/main">
              <a:srgbClr val="1F3864"/>
            </a:solidFill>
            <a:ln xmlns:a="http://schemas.openxmlformats.org/drawingml/2006/main">
              <a:prstDash val="solid"/>
            </a:ln>
          </spPr>
          <cat>
            <numRef>
              <f>'_Chart Dashboard Data'!$K$5:$K$35</f>
            </numRef>
          </cat>
          <val>
            <numRef>
              <f>'_Chart Dashboard Data'!$L$5:$L$35</f>
            </numRef>
          </val>
        </ser>
        <ser>
          <idx val="1"/>
          <order val="1"/>
          <tx>
            <v>Matthew SS</v>
          </tx>
          <spPr>
            <a:solidFill xmlns:a="http://schemas.openxmlformats.org/drawingml/2006/main">
              <a:srgbClr val="2E75B6"/>
            </a:solidFill>
            <a:ln xmlns:a="http://schemas.openxmlformats.org/drawingml/2006/main">
              <a:prstDash val="solid"/>
            </a:ln>
          </spPr>
          <cat>
            <numRef>
              <f>'_Chart Dashboard Data'!$K$5:$K$35</f>
            </numRef>
          </cat>
          <val>
            <numRef>
              <f>'_Chart Dashboard Data'!$M$5:$M$35</f>
            </numRef>
          </val>
        </ser>
        <ser>
          <idx val="2"/>
          <order val="2"/>
          <tx>
            <v>Patricia SS</v>
          </tx>
          <spPr>
            <a:solidFill xmlns:a="http://schemas.openxmlformats.org/drawingml/2006/main">
              <a:srgbClr val="3D9AB8"/>
            </a:solidFill>
            <a:ln xmlns:a="http://schemas.openxmlformats.org/drawingml/2006/main">
              <a:prstDash val="solid"/>
            </a:ln>
          </spPr>
          <cat>
            <numRef>
              <f>'_Chart Dashboard Data'!$K$5:$K$35</f>
            </numRef>
          </cat>
          <val>
            <numRef>
              <f>'_Chart Dashboard Data'!$N$5:$N$35</f>
            </numRef>
          </val>
        </ser>
        <ser>
          <idx val="3"/>
          <order val="3"/>
          <tx>
            <v>Pension</v>
          </tx>
          <spPr>
            <a:solidFill xmlns:a="http://schemas.openxmlformats.org/drawingml/2006/main">
              <a:srgbClr val="C9A84C"/>
            </a:solidFill>
            <a:ln xmlns:a="http://schemas.openxmlformats.org/drawingml/2006/main">
              <a:prstDash val="solid"/>
            </a:ln>
          </spPr>
          <cat>
            <numRef>
              <f>'_Chart Dashboard Data'!$K$5:$K$35</f>
            </numRef>
          </cat>
          <val>
            <numRef>
              <f>'_Chart Dashboard Data'!$O$5:$O$35</f>
            </numRef>
          </val>
        </ser>
        <ser>
          <idx val="4"/>
          <order val="4"/>
          <tx>
            <v>Patricia Single Ann</v>
          </tx>
          <spPr>
            <a:solidFill xmlns:a="http://schemas.openxmlformats.org/drawingml/2006/main">
              <a:srgbClr val="2D6A4F"/>
            </a:solidFill>
            <a:ln xmlns:a="http://schemas.openxmlformats.org/drawingml/2006/main">
              <a:prstDash val="solid"/>
            </a:ln>
          </spPr>
          <cat>
            <numRef>
              <f>'_Chart Dashboard Data'!$K$5:$K$35</f>
            </numRef>
          </cat>
          <val>
            <numRef>
              <f>'_Chart Dashboard Data'!$P$5:$P$35</f>
            </numRef>
          </val>
        </ser>
        <ser>
          <idx val="5"/>
          <order val="5"/>
          <tx>
            <v>Patricia Joint Ann</v>
          </tx>
          <spPr>
            <a:solidFill xmlns:a="http://schemas.openxmlformats.org/drawingml/2006/main">
              <a:srgbClr val="40916C"/>
            </a:solidFill>
            <a:ln xmlns:a="http://schemas.openxmlformats.org/drawingml/2006/main">
              <a:prstDash val="solid"/>
            </a:ln>
          </spPr>
          <cat>
            <numRef>
              <f>'_Chart Dashboard Data'!$K$5:$K$35</f>
            </numRef>
          </cat>
          <val>
            <numRef>
              <f>'_Chart Dashboard Data'!$Q$5:$Q$35</f>
            </numRef>
          </val>
        </ser>
        <ser>
          <idx val="6"/>
          <order val="6"/>
          <tx>
            <v>Matthew Single Ann</v>
          </tx>
          <spPr>
            <a:solidFill xmlns:a="http://schemas.openxmlformats.org/drawingml/2006/main">
              <a:srgbClr val="C55A11"/>
            </a:solidFill>
            <a:ln xmlns:a="http://schemas.openxmlformats.org/drawingml/2006/main">
              <a:prstDash val="solid"/>
            </a:ln>
          </spPr>
          <cat>
            <numRef>
              <f>'_Chart Dashboard Data'!$K$5:$K$35</f>
            </numRef>
          </cat>
          <val>
            <numRef>
              <f>'_Chart Dashboard Data'!$R$5:$R$35</f>
            </numRef>
          </val>
        </ser>
        <ser>
          <idx val="7"/>
          <order val="7"/>
          <tx>
            <v>Matthew Joint Ann</v>
          </tx>
          <spPr>
            <a:solidFill xmlns:a="http://schemas.openxmlformats.org/drawingml/2006/main">
              <a:srgbClr val="E07540"/>
            </a:solidFill>
            <a:ln xmlns:a="http://schemas.openxmlformats.org/drawingml/2006/main">
              <a:prstDash val="solid"/>
            </a:ln>
          </spPr>
          <cat>
            <numRef>
              <f>'_Chart Dashboard Data'!$K$5:$K$35</f>
            </numRef>
          </cat>
          <val>
            <numRef>
              <f>'_Chart Dashboard Data'!$S$5:$S$35</f>
            </numRef>
          </val>
        </ser>
        <ser>
          <idx val="8"/>
          <order val="8"/>
          <tx>
            <v>Note P+I</v>
          </tx>
          <spPr>
            <a:solidFill xmlns:a="http://schemas.openxmlformats.org/drawingml/2006/main">
              <a:srgbClr val="5A3E85"/>
            </a:solidFill>
            <a:ln xmlns:a="http://schemas.openxmlformats.org/drawingml/2006/main">
              <a:prstDash val="solid"/>
            </a:ln>
          </spPr>
          <cat>
            <numRef>
              <f>'_Chart Dashboard Data'!$K$5:$K$35</f>
            </numRef>
          </cat>
          <val>
            <numRef>
              <f>'_Chart Dashboard Data'!$T$5:$T$35</f>
            </numRef>
          </val>
        </ser>
        <ser>
          <idx val="9"/>
          <order val="9"/>
          <tx>
            <v>RMD</v>
          </tx>
          <spPr>
            <a:solidFill xmlns:a="http://schemas.openxmlformats.org/drawingml/2006/main">
              <a:srgbClr val="9B2335"/>
            </a:solidFill>
            <a:ln xmlns:a="http://schemas.openxmlformats.org/drawingml/2006/main">
              <a:prstDash val="solid"/>
            </a:ln>
          </spPr>
          <cat>
            <numRef>
              <f>'_Chart Dashboard Data'!$K$5:$K$35</f>
            </numRef>
          </cat>
          <val>
            <numRef>
              <f>'_Chart Dashboard Data'!$U$5:$U$35</f>
            </numRef>
          </val>
        </ser>
        <ser>
          <idx val="10"/>
          <order val="10"/>
          <tx>
            <v>Trust Draw</v>
          </tx>
          <spPr>
            <a:solidFill xmlns:a="http://schemas.openxmlformats.org/drawingml/2006/main">
              <a:srgbClr val="7B3F9E"/>
            </a:solidFill>
            <a:ln xmlns:a="http://schemas.openxmlformats.org/drawingml/2006/main">
              <a:prstDash val="solid"/>
            </a:ln>
          </spPr>
          <cat>
            <numRef>
              <f>'_Chart Dashboard Data'!$K$5:$K$35</f>
            </numRef>
          </cat>
          <val>
            <numRef>
              <f>'_Chart Dashboard Data'!$V$5:$V$35</f>
            </numRef>
          </val>
        </ser>
        <ser>
          <idx val="11"/>
          <order val="11"/>
          <tx>
            <v>HSA Draw</v>
          </tx>
          <spPr>
            <a:solidFill xmlns:a="http://schemas.openxmlformats.org/drawingml/2006/main">
              <a:srgbClr val="1B7A9E"/>
            </a:solidFill>
            <a:ln xmlns:a="http://schemas.openxmlformats.org/drawingml/2006/main">
              <a:prstDash val="solid"/>
            </a:ln>
          </spPr>
          <cat>
            <numRef>
              <f>'_Chart Dashboard Data'!$K$5:$K$35</f>
            </numRef>
          </cat>
          <val>
            <numRef>
              <f>'_Chart Dashboard Data'!$W$5:$W$35</f>
            </numRef>
          </val>
        </ser>
        <ser>
          <idx val="12"/>
          <order val="12"/>
          <tx>
            <v>Roth Draw</v>
          </tx>
          <spPr>
            <a:solidFill xmlns:a="http://schemas.openxmlformats.org/drawingml/2006/main">
              <a:srgbClr val="156041"/>
            </a:solidFill>
            <a:ln xmlns:a="http://schemas.openxmlformats.org/drawingml/2006/main">
              <a:prstDash val="solid"/>
            </a:ln>
          </spPr>
          <cat>
            <numRef>
              <f>'_Chart Dashboard Data'!$K$5:$K$35</f>
            </numRef>
          </cat>
          <val>
            <numRef>
              <f>'_Chart Dashboard Data'!$X$5:$X$35</f>
            </numRef>
          </val>
        </ser>
        <ser>
          <idx val="13"/>
          <order val="13"/>
          <tx>
            <v>IRA Draw</v>
          </tx>
          <spPr>
            <a:solidFill xmlns:a="http://schemas.openxmlformats.org/drawingml/2006/main">
              <a:srgbClr val="B85C00"/>
            </a:solidFill>
            <a:ln xmlns:a="http://schemas.openxmlformats.org/drawingml/2006/main">
              <a:prstDash val="solid"/>
            </a:ln>
          </spPr>
          <cat>
            <numRef>
              <f>'_Chart Dashboard Data'!$K$5:$K$35</f>
            </numRef>
          </cat>
          <val>
            <numRef>
              <f>'_Chart Dashboard Data'!$Y$5:$Y$35</f>
            </numRef>
          </val>
        </ser>
        <ser>
          <idx val="14"/>
          <order val="14"/>
          <tx>
            <v>HELOC Draw</v>
          </tx>
          <spPr>
            <a:solidFill xmlns:a="http://schemas.openxmlformats.org/drawingml/2006/main">
              <a:srgbClr val="8B5E3C"/>
            </a:solidFill>
            <a:ln xmlns:a="http://schemas.openxmlformats.org/drawingml/2006/main">
              <a:prstDash val="solid"/>
            </a:ln>
          </spPr>
          <cat>
            <numRef>
              <f>'_Chart Dashboard Data'!$K$5:$K$35</f>
            </numRef>
          </cat>
          <val>
            <numRef>
              <f>'_Chart Dashboard Data'!$Z$5:$Z$35</f>
            </numRef>
          </val>
        </ser>
        <gapWidth val="20"/>
        <overlap val="100"/>
        <axId val="10"/>
        <axId val="100"/>
      </barChart>
      <catAx>
        <axId val="10"/>
        <scaling>
          <orientation val="minMax"/>
        </scaling>
        <delete val="0"/>
        <axPos val="l"/>
        <numFmt formatCode="0" sourceLinked="0"/>
        <majorTickMark val="none"/>
        <minorTickMark val="none"/>
        <tickLblPos val="low"/>
        <crossAx val="100"/>
        <lblOffset val="100"/>
      </catAx>
      <valAx>
        <axId val="100"/>
        <scaling>
          <orientation val="minMax"/>
          <max val="600000"/>
          <min val="0"/>
        </scaling>
        <delete val="0"/>
        <axPos val="l"/>
        <majorGridlines/>
        <numFmt formatCode="$#,##0,&quot;K&quot;" sourceLinked="0"/>
        <majorTickMark val="none"/>
        <minorTickMark val="none"/>
        <tickLblPos val="nextTo"/>
        <crossAx val="10"/>
        <majorUnit val="100000"/>
      </valAx>
    </plotArea>
    <legend>
      <legendPos val="r"/>
      <overlay val="0"/>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Cash Flow — Spending &amp; Taxes  ·  2026–2056</a:t>
            </a:r>
          </a:p>
        </rich>
      </tx>
    </title>
    <plotArea>
      <barChart>
        <barDir val="col"/>
        <grouping val="stacked"/>
        <ser>
          <idx val="0"/>
          <order val="0"/>
          <tx>
            <v>Base Spending</v>
          </tx>
          <spPr>
            <a:solidFill xmlns:a="http://schemas.openxmlformats.org/drawingml/2006/main">
              <a:srgbClr val="1F3864"/>
            </a:solidFill>
            <a:ln xmlns:a="http://schemas.openxmlformats.org/drawingml/2006/main">
              <a:prstDash val="solid"/>
            </a:ln>
          </spPr>
          <cat>
            <numRef>
              <f>'_Chart Dashboard Data'!$AC$5:$AC$35</f>
            </numRef>
          </cat>
          <val>
            <numRef>
              <f>'_Chart Dashboard Data'!$AD$5:$AD$35</f>
            </numRef>
          </val>
        </ser>
        <ser>
          <idx val="1"/>
          <order val="1"/>
          <tx>
            <v>Housing</v>
          </tx>
          <spPr>
            <a:solidFill xmlns:a="http://schemas.openxmlformats.org/drawingml/2006/main">
              <a:srgbClr val="2E75B6"/>
            </a:solidFill>
            <a:ln xmlns:a="http://schemas.openxmlformats.org/drawingml/2006/main">
              <a:prstDash val="solid"/>
            </a:ln>
          </spPr>
          <cat>
            <numRef>
              <f>'_Chart Dashboard Data'!$AC$5:$AC$35</f>
            </numRef>
          </cat>
          <val>
            <numRef>
              <f>'_Chart Dashboard Data'!$AE$5:$AE$35</f>
            </numRef>
          </val>
        </ser>
        <ser>
          <idx val="2"/>
          <order val="2"/>
          <tx>
            <v>Wellness</v>
          </tx>
          <spPr>
            <a:solidFill xmlns:a="http://schemas.openxmlformats.org/drawingml/2006/main">
              <a:srgbClr val="C55A11"/>
            </a:solidFill>
            <a:ln xmlns:a="http://schemas.openxmlformats.org/drawingml/2006/main">
              <a:prstDash val="solid"/>
            </a:ln>
          </spPr>
          <cat>
            <numRef>
              <f>'_Chart Dashboard Data'!$AC$5:$AC$35</f>
            </numRef>
          </cat>
          <val>
            <numRef>
              <f>'_Chart Dashboard Data'!$AF$5:$AF$35</f>
            </numRef>
          </val>
        </ser>
        <ser>
          <idx val="3"/>
          <order val="3"/>
          <tx>
            <v>Travel</v>
          </tx>
          <spPr>
            <a:solidFill xmlns:a="http://schemas.openxmlformats.org/drawingml/2006/main">
              <a:srgbClr val="C9A84C"/>
            </a:solidFill>
            <a:ln xmlns:a="http://schemas.openxmlformats.org/drawingml/2006/main">
              <a:prstDash val="solid"/>
            </a:ln>
          </spPr>
          <cat>
            <numRef>
              <f>'_Chart Dashboard Data'!$AC$5:$AC$35</f>
            </numRef>
          </cat>
          <val>
            <numRef>
              <f>'_Chart Dashboard Data'!$AG$5:$AG$35</f>
            </numRef>
          </val>
        </ser>
        <ser>
          <idx val="4"/>
          <order val="4"/>
          <tx>
            <v>Other</v>
          </tx>
          <spPr>
            <a:solidFill xmlns:a="http://schemas.openxmlformats.org/drawingml/2006/main">
              <a:srgbClr val="059669"/>
            </a:solidFill>
            <a:ln xmlns:a="http://schemas.openxmlformats.org/drawingml/2006/main">
              <a:prstDash val="solid"/>
            </a:ln>
          </spPr>
          <cat>
            <numRef>
              <f>'_Chart Dashboard Data'!$AC$5:$AC$35</f>
            </numRef>
          </cat>
          <val>
            <numRef>
              <f>'_Chart Dashboard Data'!$AH$5:$AH$35</f>
            </numRef>
          </val>
        </ser>
        <ser>
          <idx val="5"/>
          <order val="5"/>
          <tx>
            <v>Federal Tax</v>
          </tx>
          <spPr>
            <a:solidFill xmlns:a="http://schemas.openxmlformats.org/drawingml/2006/main">
              <a:srgbClr val="9B2335"/>
            </a:solidFill>
            <a:ln xmlns:a="http://schemas.openxmlformats.org/drawingml/2006/main">
              <a:prstDash val="solid"/>
            </a:ln>
          </spPr>
          <cat>
            <numRef>
              <f>'_Chart Dashboard Data'!$AC$5:$AC$35</f>
            </numRef>
          </cat>
          <val>
            <numRef>
              <f>'_Chart Dashboard Data'!$AI$5:$AI$35</f>
            </numRef>
          </val>
        </ser>
        <ser>
          <idx val="6"/>
          <order val="6"/>
          <tx>
            <v>State Tax (Il)</v>
          </tx>
          <spPr>
            <a:solidFill xmlns:a="http://schemas.openxmlformats.org/drawingml/2006/main">
              <a:srgbClr val="C5384E"/>
            </a:solidFill>
            <a:ln xmlns:a="http://schemas.openxmlformats.org/drawingml/2006/main">
              <a:prstDash val="solid"/>
            </a:ln>
          </spPr>
          <cat>
            <numRef>
              <f>'_Chart Dashboard Data'!$AC$5:$AC$35</f>
            </numRef>
          </cat>
          <val>
            <numRef>
              <f>'_Chart Dashboard Data'!$AJ$5:$AJ$35</f>
            </numRef>
          </val>
        </ser>
        <ser>
          <idx val="7"/>
          <order val="7"/>
          <tx>
            <v>NIIT</v>
          </tx>
          <spPr>
            <a:solidFill xmlns:a="http://schemas.openxmlformats.org/drawingml/2006/main">
              <a:srgbClr val="E07595"/>
            </a:solidFill>
            <a:ln xmlns:a="http://schemas.openxmlformats.org/drawingml/2006/main">
              <a:prstDash val="solid"/>
            </a:ln>
          </spPr>
          <cat>
            <numRef>
              <f>'_Chart Dashboard Data'!$AC$5:$AC$35</f>
            </numRef>
          </cat>
          <val>
            <numRef>
              <f>'_Chart Dashboard Data'!$AK$5:$AK$35</f>
            </numRef>
          </val>
        </ser>
        <ser>
          <idx val="8"/>
          <order val="8"/>
          <tx>
            <v>Payroll Tax</v>
          </tx>
          <spPr>
            <a:solidFill xmlns:a="http://schemas.openxmlformats.org/drawingml/2006/main">
              <a:srgbClr val="595959"/>
            </a:solidFill>
            <a:ln xmlns:a="http://schemas.openxmlformats.org/drawingml/2006/main">
              <a:prstDash val="solid"/>
            </a:ln>
          </spPr>
          <cat>
            <numRef>
              <f>'_Chart Dashboard Data'!$AC$5:$AC$35</f>
            </numRef>
          </cat>
          <val>
            <numRef>
              <f>'_Chart Dashboard Data'!$AL$5:$AL$35</f>
            </numRef>
          </val>
        </ser>
        <ser>
          <idx val="9"/>
          <order val="9"/>
          <tx>
            <v>HELOC P&amp;I</v>
          </tx>
          <spPr>
            <a:solidFill xmlns:a="http://schemas.openxmlformats.org/drawingml/2006/main">
              <a:srgbClr val="2D6A8F"/>
            </a:solidFill>
            <a:ln xmlns:a="http://schemas.openxmlformats.org/drawingml/2006/main">
              <a:prstDash val="solid"/>
            </a:ln>
          </spPr>
          <cat>
            <numRef>
              <f>'_Chart Dashboard Data'!$AC$5:$AC$35</f>
            </numRef>
          </cat>
          <val>
            <numRef>
              <f>'_Chart Dashboard Data'!$AM$5:$AM$35</f>
            </numRef>
          </val>
        </ser>
        <gapWidth val="20"/>
        <overlap val="100"/>
        <axId val="10"/>
        <axId val="100"/>
      </barChart>
      <catAx>
        <axId val="10"/>
        <scaling>
          <orientation val="minMax"/>
        </scaling>
        <delete val="0"/>
        <axPos val="l"/>
        <numFmt formatCode="0" sourceLinked="0"/>
        <majorTickMark val="none"/>
        <minorTickMark val="none"/>
        <tickLblPos val="low"/>
        <crossAx val="100"/>
        <lblOffset val="100"/>
      </catAx>
      <valAx>
        <axId val="100"/>
        <scaling>
          <orientation val="minMax"/>
          <max val="600000"/>
          <min val="0"/>
        </scaling>
        <delete val="0"/>
        <axPos val="l"/>
        <majorGridlines/>
        <numFmt formatCode="$#,##0,&quot;K&quot;" sourceLinked="0"/>
        <majorTickMark val="none"/>
        <minorTickMark val="none"/>
        <tickLblPos val="nextTo"/>
        <crossAx val="10"/>
        <majorUnit val="100000"/>
      </valAx>
    </plotArea>
    <legend>
      <legendPos val="r"/>
      <overlay val="0"/>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Net Worth Percentile Bands  ·  Monte Carlo Sims  ·  Plan Horizon</a:t>
            </a:r>
          </a:p>
        </rich>
      </tx>
    </title>
    <plotArea>
      <lineChart>
        <grouping val="standard"/>
        <ser>
          <idx val="0"/>
          <order val="0"/>
          <tx>
            <v>P10</v>
          </tx>
          <spPr>
            <a:solidFill xmlns:a="http://schemas.openxmlformats.org/drawingml/2006/main">
              <a:srgbClr val="9B2335"/>
            </a:solidFill>
            <a:ln xmlns:a="http://schemas.openxmlformats.org/drawingml/2006/main">
              <a:prstDash val="solid"/>
            </a:ln>
          </spPr>
          <marker>
            <symbol val="none"/>
            <spPr>
              <a:ln xmlns:a="http://schemas.openxmlformats.org/drawingml/2006/main">
                <a:prstDash val="solid"/>
              </a:ln>
            </spPr>
          </marker>
          <cat>
            <numRef>
              <f>'_Chart Dashboard Data'!$AQ$5:$AQ$35</f>
            </numRef>
          </cat>
          <val>
            <numRef>
              <f>'_Chart Dashboard Data'!$AR$5:$AR$35</f>
            </numRef>
          </val>
        </ser>
        <ser>
          <idx val="1"/>
          <order val="1"/>
          <tx>
            <v>P25</v>
          </tx>
          <spPr>
            <a:solidFill xmlns:a="http://schemas.openxmlformats.org/drawingml/2006/main">
              <a:srgbClr val="C55A11"/>
            </a:solidFill>
            <a:ln xmlns:a="http://schemas.openxmlformats.org/drawingml/2006/main">
              <a:prstDash val="solid"/>
            </a:ln>
          </spPr>
          <marker>
            <symbol val="none"/>
            <spPr>
              <a:ln xmlns:a="http://schemas.openxmlformats.org/drawingml/2006/main">
                <a:prstDash val="solid"/>
              </a:ln>
            </spPr>
          </marker>
          <cat>
            <numRef>
              <f>'_Chart Dashboard Data'!$AQ$5:$AQ$35</f>
            </numRef>
          </cat>
          <val>
            <numRef>
              <f>'_Chart Dashboard Data'!$AS$5:$AS$35</f>
            </numRef>
          </val>
        </ser>
        <ser>
          <idx val="2"/>
          <order val="2"/>
          <tx>
            <v>P50 Median</v>
          </tx>
          <spPr>
            <a:solidFill xmlns:a="http://schemas.openxmlformats.org/drawingml/2006/main">
              <a:srgbClr val="2D6A4F"/>
            </a:solidFill>
            <a:ln xmlns:a="http://schemas.openxmlformats.org/drawingml/2006/main">
              <a:prstDash val="solid"/>
            </a:ln>
          </spPr>
          <marker>
            <symbol val="none"/>
            <spPr>
              <a:ln xmlns:a="http://schemas.openxmlformats.org/drawingml/2006/main">
                <a:prstDash val="solid"/>
              </a:ln>
            </spPr>
          </marker>
          <cat>
            <numRef>
              <f>'_Chart Dashboard Data'!$AQ$5:$AQ$35</f>
            </numRef>
          </cat>
          <val>
            <numRef>
              <f>'_Chart Dashboard Data'!$AT$5:$AT$35</f>
            </numRef>
          </val>
        </ser>
        <ser>
          <idx val="3"/>
          <order val="3"/>
          <tx>
            <v>P75</v>
          </tx>
          <spPr>
            <a:solidFill xmlns:a="http://schemas.openxmlformats.org/drawingml/2006/main">
              <a:srgbClr val="2E75B6"/>
            </a:solidFill>
            <a:ln xmlns:a="http://schemas.openxmlformats.org/drawingml/2006/main">
              <a:prstDash val="solid"/>
            </a:ln>
          </spPr>
          <marker>
            <symbol val="none"/>
            <spPr>
              <a:ln xmlns:a="http://schemas.openxmlformats.org/drawingml/2006/main">
                <a:prstDash val="solid"/>
              </a:ln>
            </spPr>
          </marker>
          <cat>
            <numRef>
              <f>'_Chart Dashboard Data'!$AQ$5:$AQ$35</f>
            </numRef>
          </cat>
          <val>
            <numRef>
              <f>'_Chart Dashboard Data'!$AU$5:$AU$35</f>
            </numRef>
          </val>
        </ser>
        <ser>
          <idx val="4"/>
          <order val="4"/>
          <tx>
            <v>P90</v>
          </tx>
          <spPr>
            <a:solidFill xmlns:a="http://schemas.openxmlformats.org/drawingml/2006/main">
              <a:srgbClr val="1F3864"/>
            </a:solidFill>
            <a:ln xmlns:a="http://schemas.openxmlformats.org/drawingml/2006/main">
              <a:prstDash val="solid"/>
            </a:ln>
          </spPr>
          <marker>
            <symbol val="none"/>
            <spPr>
              <a:ln xmlns:a="http://schemas.openxmlformats.org/drawingml/2006/main">
                <a:prstDash val="solid"/>
              </a:ln>
            </spPr>
          </marker>
          <cat>
            <numRef>
              <f>'_Chart Dashboard Data'!$AQ$5:$AQ$35</f>
            </numRef>
          </cat>
          <val>
            <numRef>
              <f>'_Chart Dashboard Data'!$AV$5:$AV$35</f>
            </numRef>
          </val>
        </ser>
        <axId val="10"/>
        <axId val="100"/>
      </lineChart>
      <catAx>
        <axId val="10"/>
        <scaling>
          <orientation val="minMax"/>
        </scaling>
        <axPos val="l"/>
        <numFmt formatCode="0" sourceLinked="0"/>
        <majorTickMark val="none"/>
        <minorTickMark val="none"/>
        <tickLblPos val="low"/>
        <crossAx val="100"/>
        <lblOffset val="100"/>
      </catAx>
      <valAx>
        <axId val="100"/>
        <scaling>
          <orientation val="minMax"/>
        </scaling>
        <delete val="0"/>
        <axPos val="l"/>
        <majorGridlines/>
        <numFmt formatCode="$#,##0,,&quot;M&quot;" sourceLinked="0"/>
        <majorTickMark val="none"/>
        <minorTickMark val="none"/>
        <crossAx val="10"/>
      </valAx>
    </plotArea>
    <legend>
      <legendPos val="r"/>
      <overlay val="0"/>
    </legend>
    <plotVisOnly val="0"/>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Current Portfolio Allocation</a:t>
            </a:r>
          </a:p>
        </rich>
      </tx>
    </title>
    <plotArea>
      <pieChart>
        <varyColors val="1"/>
        <ser>
          <idx val="0"/>
          <order val="0"/>
          <spPr>
            <a:ln xmlns:a="http://schemas.openxmlformats.org/drawingml/2006/main">
              <a:prstDash val="solid"/>
            </a:ln>
          </spPr>
          <dPt>
            <idx val="0"/>
            <spPr>
              <a:solidFill xmlns:a="http://schemas.openxmlformats.org/drawingml/2006/main">
                <a:srgbClr val="2D6A4F"/>
              </a:solidFill>
              <a:ln xmlns:a="http://schemas.openxmlformats.org/drawingml/2006/main">
                <a:prstDash val="solid"/>
              </a:ln>
            </spPr>
          </dPt>
          <dPt>
            <idx val="1"/>
            <spPr>
              <a:solidFill xmlns:a="http://schemas.openxmlformats.org/drawingml/2006/main">
                <a:srgbClr val="40916C"/>
              </a:solidFill>
              <a:ln xmlns:a="http://schemas.openxmlformats.org/drawingml/2006/main">
                <a:prstDash val="solid"/>
              </a:ln>
            </spPr>
          </dPt>
          <dPt>
            <idx val="2"/>
            <spPr>
              <a:solidFill xmlns:a="http://schemas.openxmlformats.org/drawingml/2006/main">
                <a:srgbClr val="74C69D"/>
              </a:solidFill>
              <a:ln xmlns:a="http://schemas.openxmlformats.org/drawingml/2006/main">
                <a:prstDash val="solid"/>
              </a:ln>
            </spPr>
          </dPt>
          <dPt>
            <idx val="3"/>
            <spPr>
              <a:solidFill xmlns:a="http://schemas.openxmlformats.org/drawingml/2006/main">
                <a:srgbClr val="B7E4C7"/>
              </a:solidFill>
              <a:ln xmlns:a="http://schemas.openxmlformats.org/drawingml/2006/main">
                <a:prstDash val="solid"/>
              </a:ln>
            </spPr>
          </dPt>
          <dPt>
            <idx val="4"/>
            <spPr>
              <a:solidFill xmlns:a="http://schemas.openxmlformats.org/drawingml/2006/main">
                <a:srgbClr val="BC6C25"/>
              </a:solidFill>
              <a:ln xmlns:a="http://schemas.openxmlformats.org/drawingml/2006/main">
                <a:prstDash val="solid"/>
              </a:ln>
            </spPr>
          </dPt>
          <dPt>
            <idx val="5"/>
            <spPr>
              <a:solidFill xmlns:a="http://schemas.openxmlformats.org/drawingml/2006/main">
                <a:srgbClr val="74C69D"/>
              </a:solidFill>
              <a:ln xmlns:a="http://schemas.openxmlformats.org/drawingml/2006/main">
                <a:prstDash val="solid"/>
              </a:ln>
            </spPr>
          </dPt>
          <dPt>
            <idx val="6"/>
            <spPr>
              <a:solidFill xmlns:a="http://schemas.openxmlformats.org/drawingml/2006/main">
                <a:srgbClr val="B7E4C7"/>
              </a:solidFill>
              <a:ln xmlns:a="http://schemas.openxmlformats.org/drawingml/2006/main">
                <a:prstDash val="solid"/>
              </a:ln>
            </spPr>
          </dPt>
          <cat>
            <strRef>
              <f>'_Chart Dashboard Data'!$A$211:$A$217</f>
              <strCache>
                <ptCount val="7"/>
                <pt idx="0">
                  <v>US Large Cap</v>
                </pt>
                <pt idx="1">
                  <v>International</v>
                </pt>
                <pt idx="2">
                  <v>US Small Cap</v>
                </pt>
                <pt idx="3">
                  <v>Commodities</v>
                </pt>
                <pt idx="4">
                  <v>Cash</v>
                </pt>
                <pt idx="5">
                  <v>Fixed Income (Non-Liquid)</v>
                </pt>
                <pt idx="6">
                  <v>Real Estate (Non-Liquid)</v>
                </pt>
              </strCache>
            </strRef>
          </cat>
          <val>
            <numRef>
              <f>'_Chart Dashboard Data'!$B$211:$B$217</f>
              <numCache>
                <ptCount val="7"/>
                <pt idx="0">
                  <v>1357238.41112</v>
                </pt>
                <pt idx="1">
                  <v>910327.1116479998</v>
                </pt>
                <pt idx="2">
                  <v>309683.143654</v>
                </pt>
                <pt idx="3">
                  <v>166714.35</v>
                </pt>
                <pt idx="4">
                  <v>19984.61</v>
                </pt>
                <pt idx="5">
                  <v>1274327.16356137</v>
                </pt>
                <pt idx="6">
                  <v>1313000</v>
                </pt>
              </numCache>
            </numRef>
          </val>
        </ser>
        <dLbls>
          <showLegendKey val="0"/>
          <showVal val="0"/>
          <showCatName val="1"/>
          <showSerName val="0"/>
          <showPercent val="1"/>
          <showLeaderLines val="1"/>
        </dLbls>
        <firstSliceAng val="0"/>
      </pieChart>
    </plotArea>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Target Portfolio Allocation</a:t>
            </a:r>
          </a:p>
        </rich>
      </tx>
    </title>
    <plotArea>
      <pieChart>
        <varyColors val="1"/>
        <ser>
          <idx val="0"/>
          <order val="0"/>
          <spPr>
            <a:ln xmlns:a="http://schemas.openxmlformats.org/drawingml/2006/main">
              <a:prstDash val="solid"/>
            </a:ln>
          </spPr>
          <dPt>
            <idx val="0"/>
            <spPr>
              <a:solidFill xmlns:a="http://schemas.openxmlformats.org/drawingml/2006/main">
                <a:srgbClr val="2D6A4F"/>
              </a:solidFill>
              <a:ln xmlns:a="http://schemas.openxmlformats.org/drawingml/2006/main">
                <a:prstDash val="solid"/>
              </a:ln>
            </spPr>
          </dPt>
          <dPt>
            <idx val="1"/>
            <spPr>
              <a:solidFill xmlns:a="http://schemas.openxmlformats.org/drawingml/2006/main">
                <a:srgbClr val="40916C"/>
              </a:solidFill>
              <a:ln xmlns:a="http://schemas.openxmlformats.org/drawingml/2006/main">
                <a:prstDash val="solid"/>
              </a:ln>
            </spPr>
          </dPt>
          <dPt>
            <idx val="2"/>
            <spPr>
              <a:solidFill xmlns:a="http://schemas.openxmlformats.org/drawingml/2006/main">
                <a:srgbClr val="74C69D"/>
              </a:solidFill>
              <a:ln xmlns:a="http://schemas.openxmlformats.org/drawingml/2006/main">
                <a:prstDash val="solid"/>
              </a:ln>
            </spPr>
          </dPt>
          <dPt>
            <idx val="3"/>
            <spPr>
              <a:solidFill xmlns:a="http://schemas.openxmlformats.org/drawingml/2006/main">
                <a:srgbClr val="B7E4C7"/>
              </a:solidFill>
              <a:ln xmlns:a="http://schemas.openxmlformats.org/drawingml/2006/main">
                <a:prstDash val="solid"/>
              </a:ln>
            </spPr>
          </dPt>
          <dPt>
            <idx val="4"/>
            <spPr>
              <a:solidFill xmlns:a="http://schemas.openxmlformats.org/drawingml/2006/main">
                <a:srgbClr val="BC6C25"/>
              </a:solidFill>
              <a:ln xmlns:a="http://schemas.openxmlformats.org/drawingml/2006/main">
                <a:prstDash val="solid"/>
              </a:ln>
            </spPr>
          </dPt>
          <dPt>
            <idx val="5"/>
            <spPr>
              <a:solidFill xmlns:a="http://schemas.openxmlformats.org/drawingml/2006/main">
                <a:srgbClr val="023E8A"/>
              </a:solidFill>
              <a:ln xmlns:a="http://schemas.openxmlformats.org/drawingml/2006/main">
                <a:prstDash val="solid"/>
              </a:ln>
            </spPr>
          </dPt>
          <dPt>
            <idx val="6"/>
            <spPr>
              <a:solidFill xmlns:a="http://schemas.openxmlformats.org/drawingml/2006/main">
                <a:srgbClr val="40916C"/>
              </a:solidFill>
              <a:ln xmlns:a="http://schemas.openxmlformats.org/drawingml/2006/main">
                <a:prstDash val="solid"/>
              </a:ln>
            </spPr>
          </dPt>
          <dPt>
            <idx val="7"/>
            <spPr>
              <a:solidFill xmlns:a="http://schemas.openxmlformats.org/drawingml/2006/main">
                <a:srgbClr val="74C69D"/>
              </a:solidFill>
              <a:ln xmlns:a="http://schemas.openxmlformats.org/drawingml/2006/main">
                <a:prstDash val="solid"/>
              </a:ln>
            </spPr>
          </dPt>
          <dPt>
            <idx val="8"/>
            <spPr>
              <a:solidFill xmlns:a="http://schemas.openxmlformats.org/drawingml/2006/main">
                <a:srgbClr val="B7E4C7"/>
              </a:solidFill>
              <a:ln xmlns:a="http://schemas.openxmlformats.org/drawingml/2006/main">
                <a:prstDash val="solid"/>
              </a:ln>
            </spPr>
          </dPt>
          <cat>
            <strRef>
              <f>'_Chart Dashboard Data'!$D$211:$D$219</f>
              <strCache>
                <ptCount val="9"/>
                <pt idx="0">
                  <v>US Large Cap</v>
                </pt>
                <pt idx="1">
                  <v>International</v>
                </pt>
                <pt idx="2">
                  <v>US Small Cap</v>
                </pt>
                <pt idx="3">
                  <v>Commodities</v>
                </pt>
                <pt idx="4">
                  <v>Cash</v>
                </pt>
                <pt idx="5">
                  <v>Emerging Markets</v>
                </pt>
                <pt idx="6">
                  <v>US Mid Cap</v>
                </pt>
                <pt idx="7">
                  <v>Fixed Income (Non-Liquid)</v>
                </pt>
                <pt idx="8">
                  <v>Real Estate (Non-Liquid)</v>
                </pt>
              </strCache>
            </strRef>
          </cat>
          <val>
            <numRef>
              <f>'_Chart Dashboard Data'!$E$211:$E$219</f>
              <numCache>
                <ptCount val="9"/>
                <pt idx="0">
                  <v>1209226.55896</v>
                </pt>
                <pt idx="1">
                  <v>690987.1116479998</v>
                </pt>
                <pt idx="2">
                  <v>172747.143654</v>
                </pt>
                <pt idx="3">
                  <v>172746.35</v>
                </pt>
                <pt idx="4">
                  <v>172746.61</v>
                </pt>
                <pt idx="5">
                  <v>172747</v>
                </pt>
                <pt idx="6">
                  <v>172747</v>
                </pt>
                <pt idx="7">
                  <v>1274327.16356137</v>
                </pt>
                <pt idx="8">
                  <v>1313000</v>
                </pt>
              </numCache>
            </numRef>
          </val>
        </ser>
        <dLbls>
          <showLegendKey val="0"/>
          <showVal val="0"/>
          <showCatName val="1"/>
          <showSerName val="0"/>
          <showPercent val="1"/>
          <showLeaderLines val="1"/>
        </dLbls>
        <firstSliceAng val="0"/>
      </pieChart>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3</row>
      <rowOff>0</rowOff>
    </from>
    <ext cx="1080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41</row>
      <rowOff>0</rowOff>
    </from>
    <ext cx="10800000" cy="64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1080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117</row>
      <rowOff>0</rowOff>
    </from>
    <ext cx="10800000" cy="64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155</row>
      <rowOff>0</rowOff>
    </from>
    <ext cx="7920000" cy="100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11</col>
      <colOff>0</colOff>
      <row>155</row>
      <rowOff>0</rowOff>
    </from>
    <ext cx="7920000" cy="100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A. Executive Summary'!A1" TargetMode="External" Id="rId1"/><Relationship Type="http://schemas.openxmlformats.org/officeDocument/2006/relationships/hyperlink" Target="#'1B. Net Worth'!A1" TargetMode="External" Id="rId2"/><Relationship Type="http://schemas.openxmlformats.org/officeDocument/2006/relationships/hyperlink" Target="#'1C. Cash Flow'!A1" TargetMode="External" Id="rId3"/><Relationship Type="http://schemas.openxmlformats.org/officeDocument/2006/relationships/hyperlink" Target="#'1D. Balance Sheet'!A1" TargetMode="External" Id="rId4"/><Relationship Type="http://schemas.openxmlformats.org/officeDocument/2006/relationships/hyperlink" Target="#'1E. Charts'!A1" TargetMode="External" Id="rId5"/><Relationship Type="http://schemas.openxmlformats.org/officeDocument/2006/relationships/hyperlink" Target="#'1F. Lifetime Taxes'!A1" TargetMode="External" Id="rId6"/><Relationship Type="http://schemas.openxmlformats.org/officeDocument/2006/relationships/hyperlink" Target="#'1G. Core Spending'!A1" TargetMode="External" Id="rId7"/><Relationship Type="http://schemas.openxmlformats.org/officeDocument/2006/relationships/hyperlink" Target="#'1H. Spending Summary'!A1" TargetMode="External" Id="rId8"/></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2A. Roth Conversion'!A1" TargetMode="External" Id="rId1"/><Relationship Type="http://schemas.openxmlformats.org/officeDocument/2006/relationships/hyperlink" Target="#'2B. Asset Allocation'!A1" TargetMode="External" Id="rId2"/><Relationship Type="http://schemas.openxmlformats.org/officeDocument/2006/relationships/hyperlink" Target="#'2C. State Residency'!A1" TargetMode="External" Id="rId3"/><Relationship Type="http://schemas.openxmlformats.org/officeDocument/2006/relationships/hyperlink" Target="#'2D. Social Security'!A1" TargetMode="External" Id="rId4"/><Relationship Type="http://schemas.openxmlformats.org/officeDocument/2006/relationships/hyperlink" Target="#'2E. S-Corp vs LLC'!A1" TargetMode="External" Id="rId5"/><Relationship Type="http://schemas.openxmlformats.org/officeDocument/2006/relationships/hyperlink" Target="#'2F. Charitable Giving'!A1" TargetMode="External" Id="rId6"/><Relationship Type="http://schemas.openxmlformats.org/officeDocument/2006/relationships/hyperlink" Target="#'2G. Estate &amp; Legacy Planning'!A1" TargetMode="External" Id="rId7"/><Relationship Type="http://schemas.openxmlformats.org/officeDocument/2006/relationships/hyperlink" Target="#'2H. Planning Levers'!A1" TargetMode="External" Id="rId8"/></Relationships>
</file>

<file path=xl/worksheets/_rels/sheet19.xml.rels><Relationships xmlns="http://schemas.openxmlformats.org/package/2006/relationships"><Relationship Type="http://schemas.openxmlformats.org/officeDocument/2006/relationships/hyperlink" Target="#'3A. Monte Carlo'!A1" TargetMode="External" Id="rId1"/><Relationship Type="http://schemas.openxmlformats.org/officeDocument/2006/relationships/hyperlink" Target="#'3B. Survivor'!A1" TargetMode="External" Id="rId2"/><Relationship Type="http://schemas.openxmlformats.org/officeDocument/2006/relationships/hyperlink" Target="#'3C. LTC + Life Insurance'!A1" TargetMode="External" Id="rId3"/></Relationships>
</file>

<file path=xl/worksheets/_rels/sheet23.xml.rels><Relationships xmlns="http://schemas.openxmlformats.org/package/2006/relationships"><Relationship Type="http://schemas.openxmlformats.org/officeDocument/2006/relationships/hyperlink" Target="#'4A. Plan Data'!A1" TargetMode="External" Id="rId1"/><Relationship Type="http://schemas.openxmlformats.org/officeDocument/2006/relationships/hyperlink" Target="#'4B. Assumptions'!A1" TargetMode="External" Id="rId2"/><Relationship Type="http://schemas.openxmlformats.org/officeDocument/2006/relationships/hyperlink" Target="#'4C. Account Reconciliation'!A1" TargetMode="External" Id="rId3"/><Relationship Type="http://schemas.openxmlformats.org/officeDocument/2006/relationships/hyperlink" Target="#'4D. Quality Control'!A1" TargetMode="External" Id="rId4"/><Relationship Type="http://schemas.openxmlformats.org/officeDocument/2006/relationships/hyperlink" Target="#'4E. RMD Audit'!A1" TargetMode="External" Id="rId5"/><Relationship Type="http://schemas.openxmlformats.org/officeDocument/2006/relationships/hyperlink" Target="#'4F. Methodology'!A1" TargetMode="External" Id="rId6"/><Relationship Type="http://schemas.openxmlformats.org/officeDocument/2006/relationships/hyperlink" Target="#'4G. Glossary'!A1" TargetMode="External" Id="rId7"/></Relationships>
</file>

<file path=xl/worksheets/sheet1.xml><?xml version="1.0" encoding="utf-8"?>
<worksheet xmlns="http://schemas.openxmlformats.org/spreadsheetml/2006/main">
  <sheetPr>
    <tabColor rgb="002E75B6"/>
    <outlinePr summaryBelow="1" summaryRight="1"/>
    <pageSetUpPr/>
  </sheetPr>
  <dimension ref="A1:H15"/>
  <sheetViews>
    <sheetView showGridLines="0" workbookViewId="0">
      <selection activeCell="A1" sqref="A1"/>
    </sheetView>
  </sheetViews>
  <sheetFormatPr baseColWidth="8" defaultRowHeight="15"/>
  <cols>
    <col width="12" customWidth="1" min="1" max="1"/>
    <col width="14" customWidth="1" min="2" max="2"/>
    <col width="20" customWidth="1" min="3" max="3"/>
    <col width="14" customWidth="1" min="4" max="4"/>
    <col width="14" customWidth="1" min="5" max="5"/>
    <col width="14" customWidth="1" min="6" max="6"/>
    <col width="14" customWidth="1" min="7" max="7"/>
    <col width="14" customWidth="1" min="8" max="8"/>
  </cols>
  <sheetData>
    <row r="1" ht="18" customHeight="1">
      <c r="A1" s="1" t="inlineStr">
        <is>
          <t>1. REPORTS</t>
        </is>
      </c>
    </row>
    <row r="2" ht="20" customHeight="1"/>
    <row r="3" ht="15" customHeight="1">
      <c r="A3" s="2" t="inlineStr">
        <is>
          <t>Read-only plan reports and advisor-review outputs.</t>
        </is>
      </c>
      <c r="B3" s="3" t="n"/>
      <c r="C3" s="3" t="n"/>
      <c r="D3" s="3" t="n"/>
      <c r="E3" s="3" t="n"/>
      <c r="F3" s="3" t="n"/>
      <c r="G3" s="3" t="n"/>
      <c r="H3" s="4" t="n"/>
    </row>
    <row r="4" ht="20" customHeight="1"/>
    <row r="5" ht="15" customHeight="1">
      <c r="A5" s="5" t="inlineStr">
        <is>
          <t>Workbook area</t>
        </is>
      </c>
      <c r="B5" s="4" t="n"/>
      <c r="C5" s="5" t="inlineStr">
        <is>
          <t>Included sheets</t>
        </is>
      </c>
      <c r="D5" s="3" t="n"/>
      <c r="E5" s="3" t="n"/>
      <c r="F5" s="3" t="n"/>
      <c r="G5" s="4" t="n"/>
    </row>
    <row r="6" ht="15" customHeight="1">
      <c r="A6" s="6" t="inlineStr">
        <is>
          <t>1. Reports</t>
        </is>
      </c>
      <c r="B6" s="4" t="n"/>
      <c r="C6" s="7" t="inlineStr">
        <is>
          <t>1A. Executive Summary</t>
        </is>
      </c>
      <c r="D6" s="3" t="n"/>
      <c r="E6" s="3" t="n"/>
      <c r="F6" s="3" t="n"/>
      <c r="G6" s="4" t="n"/>
    </row>
    <row r="7" ht="15" customHeight="1">
      <c r="C7" s="7" t="inlineStr">
        <is>
          <t>1B. Net Worth</t>
        </is>
      </c>
      <c r="D7" s="3" t="n"/>
      <c r="E7" s="3" t="n"/>
      <c r="F7" s="3" t="n"/>
      <c r="G7" s="4" t="n"/>
    </row>
    <row r="8" ht="15" customHeight="1">
      <c r="C8" s="7" t="inlineStr">
        <is>
          <t>1C. Cash Flow</t>
        </is>
      </c>
      <c r="D8" s="3" t="n"/>
      <c r="E8" s="3" t="n"/>
      <c r="F8" s="3" t="n"/>
      <c r="G8" s="4" t="n"/>
    </row>
    <row r="9" ht="15" customHeight="1">
      <c r="C9" s="7" t="inlineStr">
        <is>
          <t>1D. Balance Sheet</t>
        </is>
      </c>
      <c r="D9" s="3" t="n"/>
      <c r="E9" s="3" t="n"/>
      <c r="F9" s="3" t="n"/>
      <c r="G9" s="4" t="n"/>
    </row>
    <row r="10" ht="15" customHeight="1">
      <c r="C10" s="7" t="inlineStr">
        <is>
          <t>1E. Charts</t>
        </is>
      </c>
      <c r="D10" s="3" t="n"/>
      <c r="E10" s="3" t="n"/>
      <c r="F10" s="3" t="n"/>
      <c r="G10" s="4" t="n"/>
    </row>
    <row r="11" ht="15" customHeight="1">
      <c r="C11" s="7" t="inlineStr">
        <is>
          <t>1F. Lifetime Taxes</t>
        </is>
      </c>
      <c r="D11" s="3" t="n"/>
      <c r="E11" s="3" t="n"/>
      <c r="F11" s="3" t="n"/>
      <c r="G11" s="4" t="n"/>
    </row>
    <row r="12" ht="15" customHeight="1">
      <c r="C12" s="7" t="inlineStr">
        <is>
          <t>1G. Core Spending</t>
        </is>
      </c>
      <c r="D12" s="3" t="n"/>
      <c r="E12" s="3" t="n"/>
      <c r="F12" s="3" t="n"/>
      <c r="G12" s="4" t="n"/>
    </row>
    <row r="13" ht="15" customHeight="1">
      <c r="C13" s="7" t="inlineStr">
        <is>
          <t>1H. Spending Summary</t>
        </is>
      </c>
      <c r="D13" s="3" t="n"/>
      <c r="E13" s="3" t="n"/>
      <c r="F13" s="3" t="n"/>
      <c r="G13" s="4" t="n"/>
    </row>
    <row r="14" ht="20" customHeight="1"/>
    <row r="15" ht="30" customHeight="1">
      <c r="A15" s="8" t="inlineStr">
        <is>
          <t>This workbook is an output/reporting surface. Edit plan data in the app database; use CSV only for import/export utilities.</t>
        </is>
      </c>
      <c r="B15" s="3" t="n"/>
      <c r="C15" s="3" t="n"/>
      <c r="D15" s="3" t="n"/>
      <c r="E15" s="3" t="n"/>
      <c r="F15" s="3" t="n"/>
      <c r="G15" s="3" t="n"/>
      <c r="H15" s="4" t="n"/>
    </row>
    <row r="16" ht="20" customHeight="1"/>
  </sheetData>
  <mergeCells count="14">
    <mergeCell ref="A3:H3"/>
    <mergeCell ref="C7:G7"/>
    <mergeCell ref="C12:G12"/>
    <mergeCell ref="A15:H15"/>
    <mergeCell ref="C6:G6"/>
    <mergeCell ref="C10:G10"/>
    <mergeCell ref="A5:B5"/>
    <mergeCell ref="C11:G11"/>
    <mergeCell ref="C5:G5"/>
    <mergeCell ref="A1:H1"/>
    <mergeCell ref="C13:G13"/>
    <mergeCell ref="C8:G8"/>
    <mergeCell ref="C9:G9"/>
    <mergeCell ref="A6:B6"/>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65"/>
  <sheetViews>
    <sheetView showGridLines="0" workbookViewId="0">
      <selection activeCell="A1" sqref="A1"/>
    </sheetView>
  </sheetViews>
  <sheetFormatPr baseColWidth="8" defaultRowHeight="15"/>
  <cols>
    <col width="15.9" customWidth="1" min="1" max="1"/>
    <col width="16.7" customWidth="1" min="2" max="2"/>
    <col width="16.7" customWidth="1" min="3" max="3"/>
    <col width="15" customWidth="1" min="4" max="4"/>
    <col width="16.7" customWidth="1" min="5" max="5"/>
    <col width="15.9" customWidth="1" min="6" max="6"/>
    <col width="10.6" customWidth="1" min="7" max="7"/>
    <col width="10.6" customWidth="1" min="8" max="8"/>
  </cols>
  <sheetData>
    <row r="1" ht="18" customHeight="1">
      <c r="A1" s="9" t="inlineStr">
        <is>
          <t>EXECUTIVE SUMMARY — Matthew &amp; Patricia Family</t>
        </is>
      </c>
    </row>
    <row r="2" ht="18" customHeight="1">
      <c r="A2" s="10" t="inlineStr">
        <is>
          <t>Plan Overview</t>
        </is>
      </c>
      <c r="B2" s="3" t="n"/>
      <c r="C2" s="3" t="n"/>
      <c r="D2" s="3" t="n"/>
      <c r="E2" s="3" t="n"/>
      <c r="F2" s="4" t="n"/>
    </row>
    <row r="3" ht="15" customHeight="1">
      <c r="A3" s="11" t="inlineStr">
        <is>
          <t>Plan Prepared</t>
        </is>
      </c>
      <c r="B3" s="12" t="inlineStr">
        <is>
          <t>2026-07-03</t>
        </is>
      </c>
      <c r="C3" s="3" t="n"/>
      <c r="D3" s="3" t="n"/>
      <c r="E3" s="3" t="n"/>
      <c r="F3" s="4" t="n"/>
    </row>
    <row r="4" ht="15" customHeight="1">
      <c r="A4" s="11" t="inlineStr">
        <is>
          <t>Clients</t>
        </is>
      </c>
      <c r="B4" s="12" t="inlineStr">
        <is>
          <t>Matthew (DOB: 1962) &amp; Patricia (DOB: 1961)</t>
        </is>
      </c>
      <c r="C4" s="3" t="n"/>
      <c r="D4" s="3" t="n"/>
      <c r="E4" s="3" t="n"/>
      <c r="F4" s="4" t="n"/>
    </row>
    <row r="5" ht="15" customHeight="1">
      <c r="A5" s="11" t="inlineStr">
        <is>
          <t>Residence State</t>
        </is>
      </c>
      <c r="B5" s="12" t="inlineStr">
        <is>
          <t>Illinois</t>
        </is>
      </c>
      <c r="C5" s="3" t="n"/>
      <c r="D5" s="3" t="n"/>
      <c r="E5" s="3" t="n"/>
      <c r="F5" s="4" t="n"/>
    </row>
    <row r="6" ht="15" customHeight="1">
      <c r="A6" s="11" t="inlineStr">
        <is>
          <t>Plan Horizon</t>
        </is>
      </c>
      <c r="B6" s="12" t="inlineStr">
        <is>
          <t>2026 – 2056</t>
        </is>
      </c>
      <c r="C6" s="3" t="n"/>
      <c r="D6" s="3" t="n"/>
      <c r="E6" s="3" t="n"/>
      <c r="F6" s="4" t="n"/>
    </row>
    <row r="7" ht="30" customHeight="1">
      <c r="A7" s="11" t="inlineStr">
        <is>
          <t>Statutory Version</t>
        </is>
      </c>
      <c r="B7" s="12" t="inlineStr">
        <is>
          <t>OBBBA (One Big Beautiful Bill Act), signed July 4 2025</t>
        </is>
      </c>
      <c r="C7" s="3" t="n"/>
      <c r="D7" s="3" t="n"/>
      <c r="E7" s="3" t="n"/>
      <c r="F7" s="4" t="n"/>
    </row>
    <row r="8" ht="30" customHeight="1">
      <c r="A8" s="11" t="inlineStr">
        <is>
          <t>Workbook Pricing Source</t>
        </is>
      </c>
      <c r="B8" s="12" t="inlineStr">
        <is>
          <t>CACHE — as of 07/03/2026 11:32 AM</t>
        </is>
      </c>
      <c r="C8" s="3" t="n"/>
      <c r="D8" s="3" t="n"/>
      <c r="E8" s="3" t="n"/>
      <c r="F8" s="4" t="n"/>
    </row>
    <row r="9"/>
    <row r="10" ht="15" customHeight="1">
      <c r="A10" s="13" t="inlineStr">
        <is>
          <t>Headline Numbers</t>
        </is>
      </c>
      <c r="B10" s="3" t="n"/>
      <c r="C10" s="3" t="n"/>
      <c r="D10" s="3" t="n"/>
      <c r="E10" s="3" t="n"/>
      <c r="F10" s="4" t="n"/>
    </row>
    <row r="11" ht="30" customHeight="1">
      <c r="A11" s="11" t="inlineStr">
        <is>
          <t>Starting Net Worth (Y0)</t>
        </is>
      </c>
      <c r="B11" s="14" t="n">
        <v>5681276.772454808</v>
      </c>
      <c r="C11" s="3" t="n"/>
      <c r="D11" s="3" t="n"/>
      <c r="E11" s="3" t="n"/>
      <c r="F11" s="4" t="n"/>
    </row>
    <row r="12" ht="30" customHeight="1">
      <c r="A12" s="11" t="inlineStr">
        <is>
          <t>Terminal Net Worth (Yn)</t>
        </is>
      </c>
      <c r="B12" s="14" t="n">
        <v>6103848.09961433</v>
      </c>
      <c r="C12" s="3" t="n"/>
      <c r="D12" s="3" t="n"/>
      <c r="E12" s="3" t="n"/>
      <c r="F12" s="4" t="n"/>
    </row>
    <row r="13" ht="45" customHeight="1">
      <c r="A13" s="11" t="inlineStr">
        <is>
          <t>Lifetime Federal Tax (estimated)</t>
        </is>
      </c>
      <c r="B13" s="14" t="n">
        <v>904151.7922334222</v>
      </c>
      <c r="C13" s="3" t="n"/>
      <c r="D13" s="3" t="n"/>
      <c r="E13" s="3" t="n"/>
      <c r="F13" s="4" t="n"/>
    </row>
    <row r="14" ht="30" customHeight="1">
      <c r="A14" s="11" t="inlineStr">
        <is>
          <t>Plan Success Rate (Monte Carlo)</t>
        </is>
      </c>
      <c r="B14" s="15" t="n">
        <v>0.67</v>
      </c>
      <c r="C14" s="3" t="n"/>
      <c r="D14" s="3" t="n"/>
      <c r="E14" s="3" t="n"/>
      <c r="F14" s="4" t="n"/>
    </row>
    <row r="15" ht="30" customHeight="1">
      <c r="A15" s="11" t="inlineStr">
        <is>
          <t>Model Risk Rating</t>
        </is>
      </c>
      <c r="B15" s="16" t="inlineStr">
        <is>
          <t>APPROXIMATE_VECTORIZED_MC</t>
        </is>
      </c>
      <c r="C15" s="3" t="n"/>
      <c r="D15" s="3" t="n"/>
      <c r="E15" s="3" t="n"/>
      <c r="F15" s="4" t="n"/>
    </row>
    <row r="16" ht="30" customHeight="1">
      <c r="A16" s="11" t="inlineStr">
        <is>
          <t>Advisor-ready status</t>
        </is>
      </c>
      <c r="B16" s="16" t="inlineStr">
        <is>
          <t>BLOCKED</t>
        </is>
      </c>
      <c r="C16" s="3" t="n"/>
      <c r="D16" s="3" t="n"/>
      <c r="E16" s="3" t="n"/>
      <c r="F16" s="4" t="n"/>
    </row>
    <row r="17" ht="30" customHeight="1">
      <c r="A17" s="11" t="inlineStr">
        <is>
          <t>MC Success 95% CI Low</t>
        </is>
      </c>
      <c r="B17" s="15" t="n">
        <v>0.6402538859604785</v>
      </c>
      <c r="C17" s="3" t="n"/>
      <c r="D17" s="3" t="n"/>
      <c r="E17" s="3" t="n"/>
      <c r="F17" s="4" t="n"/>
    </row>
    <row r="18" ht="30" customHeight="1">
      <c r="A18" s="11" t="inlineStr">
        <is>
          <t>MC Success 95% CI High</t>
        </is>
      </c>
      <c r="B18" s="15" t="n">
        <v>0.6984449685201488</v>
      </c>
      <c r="C18" s="3" t="n"/>
      <c r="D18" s="3" t="n"/>
      <c r="E18" s="3" t="n"/>
      <c r="F18" s="4" t="n"/>
    </row>
    <row r="19" ht="45" customHeight="1">
      <c r="A19" s="11" t="inlineStr">
        <is>
          <t>Estimated Tax Saved — Roth Strategy</t>
        </is>
      </c>
      <c r="B19" s="14" t="n">
        <v>286909.4900027743</v>
      </c>
      <c r="C19" s="3" t="n"/>
      <c r="D19" s="3" t="n"/>
      <c r="E19" s="3" t="n"/>
      <c r="F19" s="4" t="n"/>
    </row>
    <row r="20" ht="30" customHeight="1">
      <c r="A20" s="11" t="inlineStr">
        <is>
          <t>Recommended SS Claim Age</t>
        </is>
      </c>
      <c r="B20" s="16" t="n">
        <v>70</v>
      </c>
      <c r="C20" s="3" t="n"/>
      <c r="D20" s="3" t="n"/>
      <c r="E20" s="3" t="n"/>
      <c r="F20" s="4" t="n"/>
    </row>
    <row r="21"/>
    <row r="22" ht="15" customHeight="1">
      <c r="A22" s="17" t="inlineStr">
        <is>
          <t>Priority Recommendations &amp; Action Items</t>
        </is>
      </c>
      <c r="B22" s="3" t="n"/>
      <c r="C22" s="3" t="n"/>
      <c r="D22" s="3" t="n"/>
      <c r="E22" s="3" t="n"/>
      <c r="F22" s="4" t="n"/>
    </row>
    <row r="23" ht="30" customHeight="1">
      <c r="A23" s="5" t="inlineStr">
        <is>
          <t>#</t>
        </is>
      </c>
      <c r="B23" s="5" t="inlineStr">
        <is>
          <t>Recommendation</t>
        </is>
      </c>
      <c r="C23" s="5" t="inlineStr">
        <is>
          <t>Rationale</t>
        </is>
      </c>
      <c r="D23" s="5" t="inlineStr">
        <is>
          <t>Est. Cost ($/yr)</t>
        </is>
      </c>
      <c r="E23" s="5" t="inlineStr">
        <is>
          <t>Est. Value ($/yr)</t>
        </is>
      </c>
      <c r="F23" s="5" t="inlineStr">
        <is>
          <t>Source Sheet</t>
        </is>
      </c>
    </row>
    <row r="24" ht="90" customHeight="1">
      <c r="A24" s="18" t="n">
        <v>1</v>
      </c>
      <c r="B24" s="12" t="inlineStr">
        <is>
          <t>Claim Social Security at Age 70</t>
        </is>
      </c>
      <c r="C24" s="12" t="inlineStr">
        <is>
          <t>Maximizes benefit by 32% vs age 67; break-even ~12 yrs; survivor gets 100% of higher benefit</t>
        </is>
      </c>
      <c r="D24" s="12" t="inlineStr">
        <is>
          <t>$0</t>
        </is>
      </c>
      <c r="E24" s="12" t="inlineStr">
        <is>
          <t>~$9,700/yr incremental vs age 67</t>
        </is>
      </c>
      <c r="F24" s="12" t="inlineStr">
        <is>
          <t>2D. Social Security</t>
        </is>
      </c>
    </row>
    <row r="25" ht="90" customHeight="1">
      <c r="A25" s="18" t="n">
        <v>2</v>
      </c>
      <c r="B25" s="12" t="inlineStr">
        <is>
          <t>Roth conversions through the configured conversion window</t>
        </is>
      </c>
      <c r="C25" s="12" t="inlineStr">
        <is>
          <t>Use the selected Roth strategy from 2A. Roth Conversion; forced conversions are separated from voluntary optimizer choices.</t>
        </is>
      </c>
      <c r="D25" s="12" t="inlineStr">
        <is>
          <t>Tax cost depends on selected strategy</t>
        </is>
      </c>
      <c r="E25" s="12" t="inlineStr">
        <is>
          <t>Compare candidate scores, lifetime tax, terminal value, and legacy/estate components on 2A. Roth Conversion</t>
        </is>
      </c>
      <c r="F25" s="12" t="inlineStr">
        <is>
          <t>2A. Roth Conversion</t>
        </is>
      </c>
    </row>
    <row r="26" ht="90" customHeight="1">
      <c r="A26" s="18" t="n">
        <v>3</v>
      </c>
      <c r="B26" s="12" t="inlineStr">
        <is>
          <t>Credit Shelter Trust at First Death</t>
        </is>
      </c>
      <c r="C26" s="12" t="inlineStr">
        <is>
          <t>Preserves IL $4M exemption at first death; assets bypass survivor estate for IL tax purposes</t>
        </is>
      </c>
      <c r="D26" s="12" t="inlineStr">
        <is>
          <t>$2,500–$5,000 (legal)</t>
        </is>
      </c>
      <c r="E26" s="12" t="inlineStr">
        <is>
          <t>~$320K IL estate tax avoided on $4M (8% avg rate)</t>
        </is>
      </c>
      <c r="F26" s="12" t="inlineStr">
        <is>
          <t>2G. Estate &amp; Legacy Planning</t>
        </is>
      </c>
    </row>
    <row r="27" ht="90" customHeight="1">
      <c r="A27" s="18" t="n">
        <v>4</v>
      </c>
      <c r="B27" s="12" t="inlineStr">
        <is>
          <t>DAF contribution in the highest-income planning year</t>
        </is>
      </c>
      <c r="C27" s="12" t="inlineStr">
        <is>
          <t>Fund DAF in high-income year; claim deduction while SALT still elevated; grant out over 2027-2035</t>
        </is>
      </c>
      <c r="D27" s="12" t="inlineStr">
        <is>
          <t>$0 (charitable intent)</t>
        </is>
      </c>
      <c r="E27" s="12" t="inlineStr">
        <is>
          <t>~$9,600 tax deduction at 24% marginal rate</t>
        </is>
      </c>
      <c r="F27" s="12" t="inlineStr">
        <is>
          <t>2F. Charitable Giving</t>
        </is>
      </c>
    </row>
    <row r="28" ht="90" customHeight="1">
      <c r="A28" s="18" t="n">
        <v>5</v>
      </c>
      <c r="B28" s="12" t="inlineStr">
        <is>
          <t>Hybrid Life/LTC Policy — Start 2027</t>
        </is>
      </c>
      <c r="C28" s="12" t="inlineStr">
        <is>
          <t>Face value $250K–$500K covers facility care risk; avoids $113K–$213K annual deficit in worst case</t>
        </is>
      </c>
      <c r="D28" s="12" t="inlineStr">
        <is>
          <t>$8,000–$15,000/yr premiums</t>
        </is>
      </c>
      <c r="E28" s="12" t="inlineStr">
        <is>
          <t>Protects $500K–$2M of estate from LTC depletion</t>
        </is>
      </c>
      <c r="F28" s="12" t="inlineStr">
        <is>
          <t>3C. LTC + Life Insurance</t>
        </is>
      </c>
    </row>
    <row r="29" ht="90" customHeight="1">
      <c r="A29" s="18" t="n">
        <v>6</v>
      </c>
      <c r="B29" s="12" t="inlineStr">
        <is>
          <t>S-Corporation vs LLC (Current: S-Corp)</t>
        </is>
      </c>
      <c r="C29" s="12" t="inlineStr">
        <is>
          <t>S-Corp reasonable salary $80K on $290K income saves ~$30K SE tax minus $2,500 admin cost</t>
        </is>
      </c>
      <c r="D29" s="12" t="inlineStr">
        <is>
          <t>$2,500/yr admin cost</t>
        </is>
      </c>
      <c r="E29" s="12" t="inlineStr">
        <is>
          <t>~$27,500/yr net SE tax savings</t>
        </is>
      </c>
      <c r="F29" s="12" t="inlineStr">
        <is>
          <t>2E. S-Corp vs LLC</t>
        </is>
      </c>
    </row>
    <row r="30" ht="90" customHeight="1">
      <c r="A30" s="18" t="n">
        <v>7</v>
      </c>
      <c r="B30" s="12" t="inlineStr">
        <is>
          <t>QTIP Trust to Manage Annuity Post-First-Death</t>
        </is>
      </c>
      <c r="C30" s="12" t="inlineStr">
        <is>
          <t>Annuity income flows to QTIP for survivor benefit; controls ultimate disposition to heirs</t>
        </is>
      </c>
      <c r="D30" s="12" t="inlineStr">
        <is>
          <t>$3,000–$5,000 (legal)</t>
        </is>
      </c>
      <c r="E30" s="12" t="inlineStr">
        <is>
          <t>Qualifies for marital deduction; defers estate tax</t>
        </is>
      </c>
      <c r="F30" s="12" t="inlineStr">
        <is>
          <t>2G. Estate &amp; Legacy Planning</t>
        </is>
      </c>
    </row>
    <row r="31" ht="75" customHeight="1">
      <c r="A31" s="18" t="n">
        <v>8</v>
      </c>
      <c r="B31" s="12" t="inlineStr">
        <is>
          <t>Set Reserve Requirement by Year Range</t>
        </is>
      </c>
      <c r="C31" s="12" t="inlineStr">
        <is>
          <t>Use start year, end year, and years of expenses to retain; default is 0 years</t>
        </is>
      </c>
      <c r="D31" s="12" t="inlineStr">
        <is>
          <t>$0 (allocation only)</t>
        </is>
      </c>
      <c r="E31" s="12" t="inlineStr">
        <is>
          <t>Can reduce sequence-of-returns risk when a reserve is intentionally selected</t>
        </is>
      </c>
      <c r="F31" s="12" t="inlineStr">
        <is>
          <t>1C. Cash Flow</t>
        </is>
      </c>
    </row>
    <row r="32" ht="90" customHeight="1">
      <c r="A32" s="18" t="n">
        <v>9</v>
      </c>
      <c r="B32" s="12" t="inlineStr">
        <is>
          <t>Illinois Residency Review</t>
        </is>
      </c>
      <c r="C32" s="12" t="inlineStr">
        <is>
          <t>Moving to FL/TX saves $0 income tax (IL exempts retirement income) but saves IL estate tax</t>
        </is>
      </c>
      <c r="D32" s="12" t="inlineStr">
        <is>
          <t>Relocation costs</t>
        </is>
      </c>
      <c r="E32" s="12" t="inlineStr">
        <is>
          <t>~$320K IL estate tax if estate &gt; $4M; no income tax savings</t>
        </is>
      </c>
      <c r="F32" s="12" t="inlineStr">
        <is>
          <t>2C. State Residency</t>
        </is>
      </c>
    </row>
    <row r="33"/>
    <row r="34" ht="15" customHeight="1">
      <c r="A34" s="11" t="inlineStr">
        <is>
          <t>Release Notes</t>
        </is>
      </c>
      <c r="B34" s="3" t="n"/>
      <c r="C34" s="3" t="n"/>
      <c r="D34" s="3" t="n"/>
      <c r="E34" s="3" t="n"/>
      <c r="F34" s="4" t="n"/>
    </row>
    <row r="35" ht="15" customHeight="1">
      <c r="A35" s="19" t="inlineStr">
        <is>
          <t>Built: 2026-07-03</t>
        </is>
      </c>
      <c r="B35" s="3" t="n"/>
      <c r="C35" s="3" t="n"/>
      <c r="D35" s="3" t="n"/>
      <c r="E35" s="3" t="n"/>
      <c r="F35" s="4" t="n"/>
    </row>
    <row r="36" ht="60" customHeight="1">
      <c r="A36" s="19" t="inlineStr">
        <is>
          <t>Workbook pricing source: CACHE — as of 07/03/2026 11:32 AM. Cached quotes were used as of 07/03/2026 11:32 AM; cache TTL is 24.0 hours. CACHE mode checks the cache before calling live providers; the cache is still valid until 07/04/2026 11:32 AM. Ticker-level source counts: cash: 1, fresh_cache_24h_from_yahoo: 7.</t>
        </is>
      </c>
      <c r="B36" s="3" t="n"/>
      <c r="C36" s="3" t="n"/>
      <c r="D36" s="3" t="n"/>
      <c r="E36" s="3" t="n"/>
      <c r="F36" s="4" t="n"/>
    </row>
    <row r="37" ht="30" customHeight="1">
      <c r="A37" s="19" t="inlineStr">
        <is>
          <t>Law assumptions are data-driven in tax_data.py / tax_constants.csv; see Methodology for tax-year provenance.</t>
        </is>
      </c>
      <c r="B37" s="3" t="n"/>
      <c r="C37" s="3" t="n"/>
      <c r="D37" s="3" t="n"/>
      <c r="E37" s="3" t="n"/>
      <c r="F37" s="4" t="n"/>
    </row>
    <row r="38" ht="30" customHeight="1">
      <c r="A38" s="19" t="inlineStr">
        <is>
          <t>Annuity Model: Age-86 principal recovery; 20% dividends reinvested, 80% cash; flat guaranteed payment continues post-recovery</t>
        </is>
      </c>
      <c r="B38" s="3" t="n"/>
      <c r="C38" s="3" t="n"/>
      <c r="D38" s="3" t="n"/>
      <c r="E38" s="3" t="n"/>
      <c r="F38" s="4" t="n"/>
    </row>
    <row r="39" ht="30" customHeight="1">
      <c r="A39" s="19" t="inlineStr">
        <is>
          <t>Auto Depreciation: Straight-line over 7 years (App setting: Other Assets &gt; Autos &gt; depreciation_years)</t>
        </is>
      </c>
      <c r="B39" s="3" t="n"/>
      <c r="C39" s="3" t="n"/>
      <c r="D39" s="3" t="n"/>
      <c r="E39" s="3" t="n"/>
      <c r="F39" s="4" t="n"/>
    </row>
    <row r="40" ht="30" customHeight="1">
      <c r="A40" s="19" t="inlineStr">
        <is>
          <t>Live ETF prices use FMP → Yahoo → Alpha Vantage → Stooq → cache → cost basis; ticker-level pricing source is shown on holdings reports.</t>
        </is>
      </c>
      <c r="B40" s="3" t="n"/>
      <c r="C40" s="3" t="n"/>
      <c r="D40" s="3" t="n"/>
      <c r="E40" s="3" t="n"/>
      <c r="F40" s="4" t="n"/>
    </row>
    <row r="41"/>
    <row r="42"/>
    <row r="43" ht="15" customHeight="1">
      <c r="A43" s="9" t="inlineStr">
        <is>
          <t>RETIREMENT STRATEGY &amp; INVESTMENT POLICY STATEMENT</t>
        </is>
      </c>
    </row>
    <row r="44"/>
    <row r="45" ht="15" customHeight="1">
      <c r="A45" s="13" t="inlineStr">
        <is>
          <t>WITHDRAWAL SEQUENCE STRATEGY</t>
        </is>
      </c>
      <c r="B45" s="3" t="n"/>
      <c r="C45" s="3" t="n"/>
      <c r="D45" s="3" t="n"/>
      <c r="E45" s="3" t="n"/>
      <c r="F45" s="4" t="n"/>
    </row>
    <row r="46" ht="45" customHeight="1">
      <c r="A46" s="11" t="inlineStr">
        <is>
          <t>Phase 1: Pre-SS / Pre-RMD</t>
        </is>
      </c>
      <c r="B46" s="12" t="inlineStr">
        <is>
          <t>Draw from: RMDs (mandatory), Trust headroom above liquidity buffer, Roth (tax-free). Defer IRA withdrawals. Execute Roth conversions only under the selected strategy and configured guardrails.</t>
        </is>
      </c>
      <c r="C46" s="3" t="n"/>
      <c r="D46" s="3" t="n"/>
      <c r="E46" s="3" t="n"/>
      <c r="F46" s="4" t="n"/>
    </row>
    <row r="47" ht="30" customHeight="1">
      <c r="A47" s="11" t="inlineStr">
        <is>
          <t>Phase 2: Post-SS / Pre-RMD</t>
        </is>
      </c>
      <c r="B47" s="12" t="inlineStr">
        <is>
          <t>Social Security begins. Reduce taxable draws. Continue Roth conversions through the configured window.</t>
        </is>
      </c>
      <c r="C47" s="3" t="n"/>
      <c r="D47" s="3" t="n"/>
      <c r="E47" s="3" t="n"/>
      <c r="F47" s="4" t="n"/>
    </row>
    <row r="48" ht="30" customHeight="1">
      <c r="A48" s="11" t="inlineStr">
        <is>
          <t>Phase 3: RMD Era (2037+)</t>
        </is>
      </c>
      <c r="B48" s="12" t="inlineStr">
        <is>
          <t>RMDs from IRAs drive income. Supplement with SS, annuities, Trust. Use QCDs for charitable giving to reduce AGI.</t>
        </is>
      </c>
      <c r="C48" s="3" t="n"/>
      <c r="D48" s="3" t="n"/>
      <c r="E48" s="3" t="n"/>
      <c r="F48" s="4" t="n"/>
    </row>
    <row r="49"/>
    <row r="50" ht="15" customHeight="1">
      <c r="A50" s="13" t="inlineStr">
        <is>
          <t>INVESTMENT POLICY STATEMENT</t>
        </is>
      </c>
      <c r="B50" s="3" t="n"/>
      <c r="C50" s="3" t="n"/>
      <c r="D50" s="3" t="n"/>
      <c r="E50" s="3" t="n"/>
      <c r="F50" s="4" t="n"/>
    </row>
    <row r="51" ht="30" customHeight="1">
      <c r="A51" s="11" t="inlineStr">
        <is>
          <t>Return Objective</t>
        </is>
      </c>
      <c r="B51" s="12" t="inlineStr">
        <is>
          <t>6.0% nominal; ~3.5% real</t>
        </is>
      </c>
      <c r="C51" s="3" t="n"/>
      <c r="D51" s="3" t="n"/>
      <c r="E51" s="3" t="n"/>
      <c r="F51" s="4" t="n"/>
    </row>
    <row r="52" ht="15" customHeight="1">
      <c r="A52" s="11" t="inlineStr">
        <is>
          <t>Risk Tolerance</t>
        </is>
      </c>
      <c r="B52" s="12" t="inlineStr">
        <is>
          <t>Moderate-aggressive; long horizon and annuity income reduce sequence risk</t>
        </is>
      </c>
      <c r="C52" s="3" t="n"/>
      <c r="D52" s="3" t="n"/>
      <c r="E52" s="3" t="n"/>
      <c r="F52" s="4" t="n"/>
    </row>
    <row r="53" ht="30" customHeight="1">
      <c r="A53" s="11" t="inlineStr">
        <is>
          <t>Asset Allocation Target</t>
        </is>
      </c>
      <c r="B53" s="12" t="inlineStr">
        <is>
          <t>35% US Large | 10% US Small | 25% Intl Dev | 5% Intl Emg | 10% Commodities | 10% Cash | 5% Other</t>
        </is>
      </c>
      <c r="C53" s="3" t="n"/>
      <c r="D53" s="3" t="n"/>
      <c r="E53" s="3" t="n"/>
      <c r="F53" s="4" t="n"/>
    </row>
    <row r="54" ht="15" customHeight="1">
      <c r="A54" s="11" t="inlineStr">
        <is>
          <t>Rebalancing</t>
        </is>
      </c>
      <c r="B54" s="12" t="inlineStr">
        <is>
          <t>Annual review; rebalance when any bucket drifts &gt;±5 percentage points</t>
        </is>
      </c>
      <c r="C54" s="3" t="n"/>
      <c r="D54" s="3" t="n"/>
      <c r="E54" s="3" t="n"/>
      <c r="F54" s="4" t="n"/>
    </row>
    <row r="55" ht="30" customHeight="1">
      <c r="A55" s="11" t="inlineStr">
        <is>
          <t>Asset Location</t>
        </is>
      </c>
      <c r="B55" s="12" t="inlineStr">
        <is>
          <t>Bonds/REIT/Commodities → IRA; High-growth small-cap → Roth; Tax-efficient equity → Trust</t>
        </is>
      </c>
      <c r="C55" s="3" t="n"/>
      <c r="D55" s="3" t="n"/>
      <c r="E55" s="3" t="n"/>
      <c r="F55" s="4" t="n"/>
    </row>
    <row r="56"/>
    <row r="57" ht="15" customHeight="1">
      <c r="A57" s="13" t="inlineStr">
        <is>
          <t>KEY RISKS &amp; MITIGATIONS</t>
        </is>
      </c>
      <c r="B57" s="3" t="n"/>
      <c r="C57" s="3" t="n"/>
      <c r="D57" s="3" t="n"/>
      <c r="E57" s="3" t="n"/>
      <c r="F57" s="4" t="n"/>
    </row>
    <row r="58" ht="15" customHeight="1">
      <c r="A58" s="11" t="inlineStr">
        <is>
          <t>Longevity Risk</t>
        </is>
      </c>
      <c r="B58" s="12" t="inlineStr">
        <is>
          <t>Modeled to age 92/95; annuities provide floor income for life</t>
        </is>
      </c>
      <c r="C58" s="3" t="n"/>
      <c r="D58" s="3" t="n"/>
      <c r="E58" s="3" t="n"/>
      <c r="F58" s="4" t="n"/>
    </row>
    <row r="59" ht="30" customHeight="1">
      <c r="A59" s="11" t="inlineStr">
        <is>
          <t>Sequence-of-Returns</t>
        </is>
      </c>
      <c r="B59" s="12" t="inlineStr">
        <is>
          <t>configurable reserve requirement can retain selected years of expenses; default is 0</t>
        </is>
      </c>
      <c r="C59" s="3" t="n"/>
      <c r="D59" s="3" t="n"/>
      <c r="E59" s="3" t="n"/>
      <c r="F59" s="4" t="n"/>
    </row>
    <row r="60" ht="30" customHeight="1">
      <c r="A60" s="11" t="inlineStr">
        <is>
          <t>Long-Term Care</t>
        </is>
      </c>
      <c r="B60" s="12" t="inlineStr">
        <is>
          <t>LTC stress test on 3C. LTC + Life Insurance; no LTC policy in force — consider hybrid life/LTC</t>
        </is>
      </c>
      <c r="C60" s="3" t="n"/>
      <c r="D60" s="3" t="n"/>
      <c r="E60" s="3" t="n"/>
      <c r="F60" s="4" t="n"/>
    </row>
    <row r="61" ht="15" customHeight="1">
      <c r="A61" s="11" t="inlineStr">
        <is>
          <t>Premature Death</t>
        </is>
      </c>
      <c r="B61" s="12" t="inlineStr">
        <is>
          <t>Survivor analysis on 3B. Survivor; joint annuities continue at 100% J&amp;S</t>
        </is>
      </c>
      <c r="C61" s="3" t="n"/>
      <c r="D61" s="3" t="n"/>
      <c r="E61" s="3" t="n"/>
      <c r="F61" s="4" t="n"/>
    </row>
    <row r="62" ht="30" customHeight="1">
      <c r="A62" s="11" t="inlineStr">
        <is>
          <t>Inflation Regime</t>
        </is>
      </c>
      <c r="B62" s="12" t="inlineStr">
        <is>
          <t>Base case 2.5%; stress test at 4.5% on Scenario Analysis</t>
        </is>
      </c>
      <c r="C62" s="3" t="n"/>
      <c r="D62" s="3" t="n"/>
      <c r="E62" s="3" t="n"/>
      <c r="F62" s="4" t="n"/>
    </row>
    <row r="63" ht="30" customHeight="1">
      <c r="A63" s="11" t="inlineStr">
        <is>
          <t>Illinois Residency</t>
        </is>
      </c>
      <c r="B63" s="12" t="inlineStr">
        <is>
          <t>Estate exposure above $4M IL exemption; see 2C. State Residency &amp; 2G. Estate &amp; Legacy Planning</t>
        </is>
      </c>
      <c r="C63" s="3" t="n"/>
      <c r="D63" s="3" t="n"/>
      <c r="E63" s="3" t="n"/>
      <c r="F63" s="4" t="n"/>
    </row>
    <row r="64" ht="30" customHeight="1">
      <c r="A64" s="11" t="inlineStr">
        <is>
          <t>Concentrated/Illiquid Holdings</t>
        </is>
      </c>
      <c r="B64" s="12" t="inlineStr">
        <is>
          <t>Startup equity $66K at 2%/yr — illiquid; annuity death benefits decline to $0 by 2042</t>
        </is>
      </c>
      <c r="C64" s="3" t="n"/>
      <c r="D64" s="3" t="n"/>
      <c r="E64" s="3" t="n"/>
      <c r="F64" s="4" t="n"/>
    </row>
    <row r="65"/>
  </sheetData>
  <mergeCells count="46">
    <mergeCell ref="B4:F4"/>
    <mergeCell ref="B7:F7"/>
    <mergeCell ref="B47:F47"/>
    <mergeCell ref="B16:F16"/>
    <mergeCell ref="B54:F54"/>
    <mergeCell ref="B62:F62"/>
    <mergeCell ref="A37:F37"/>
    <mergeCell ref="B3:F3"/>
    <mergeCell ref="B59:F59"/>
    <mergeCell ref="B46:F46"/>
    <mergeCell ref="A50:F50"/>
    <mergeCell ref="B18:F18"/>
    <mergeCell ref="B58:F58"/>
    <mergeCell ref="B52:F52"/>
    <mergeCell ref="A57:F57"/>
    <mergeCell ref="A2:F2"/>
    <mergeCell ref="B12:F12"/>
    <mergeCell ref="B48:F48"/>
    <mergeCell ref="B11:F11"/>
    <mergeCell ref="B60:F60"/>
    <mergeCell ref="A22:F22"/>
    <mergeCell ref="B61:F61"/>
    <mergeCell ref="A35:F35"/>
    <mergeCell ref="B14:F14"/>
    <mergeCell ref="B8:F8"/>
    <mergeCell ref="B17:F17"/>
    <mergeCell ref="B13:F13"/>
    <mergeCell ref="A38:F38"/>
    <mergeCell ref="B53:F53"/>
    <mergeCell ref="A10:F10"/>
    <mergeCell ref="B19:F19"/>
    <mergeCell ref="A34:F34"/>
    <mergeCell ref="A40:F40"/>
    <mergeCell ref="A39:F39"/>
    <mergeCell ref="B55:F55"/>
    <mergeCell ref="B6:F6"/>
    <mergeCell ref="A36:F36"/>
    <mergeCell ref="B20:F20"/>
    <mergeCell ref="B15:F15"/>
    <mergeCell ref="B64:F64"/>
    <mergeCell ref="A1:F1"/>
    <mergeCell ref="A43:H43"/>
    <mergeCell ref="A45:F45"/>
    <mergeCell ref="B5:F5"/>
    <mergeCell ref="B51:F51"/>
    <mergeCell ref="B63:F63"/>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B43"/>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outlineLevel="1" width="9.4" customWidth="1" min="2" max="2"/>
    <col outlineLevel="1" width="9.4" customWidth="1" min="3" max="3"/>
    <col outlineLevel="1" width="9.4" customWidth="1" min="4" max="4"/>
    <col outlineLevel="1" width="9.4" customWidth="1" min="5" max="5"/>
    <col outlineLevel="1" width="9.4" customWidth="1" min="6" max="6"/>
    <col outlineLevel="1" width="9.4" customWidth="1" min="7" max="7"/>
    <col outlineLevel="1" width="9.4" customWidth="1" min="8" max="8"/>
    <col width="9.4" customWidth="1" min="9" max="9"/>
    <col outlineLevel="1" width="9.4" customWidth="1" min="10" max="10"/>
    <col outlineLevel="1" width="9.4" customWidth="1" min="11" max="11"/>
    <col outlineLevel="1" width="9.4" customWidth="1" min="12" max="12"/>
    <col width="9.4" customWidth="1" min="13" max="13"/>
    <col outlineLevel="1" width="9.4" customWidth="1" min="14" max="14"/>
    <col outlineLevel="1" width="9.4" customWidth="1" min="15" max="15"/>
    <col width="9.4" customWidth="1" min="16" max="16"/>
    <col outlineLevel="1" width="9.4" customWidth="1" min="17" max="17"/>
    <col outlineLevel="1" width="9.4" customWidth="1" min="18" max="18"/>
    <col width="9.4" customWidth="1" min="19" max="19"/>
    <col width="9.4" customWidth="1" min="20" max="20"/>
    <col outlineLevel="1" width="9.4" customWidth="1" min="21" max="21"/>
    <col outlineLevel="1" width="9.4" customWidth="1" min="22" max="22"/>
    <col outlineLevel="1" width="9.4" customWidth="1" min="23" max="23"/>
    <col outlineLevel="1" width="9.4" customWidth="1" min="24" max="24"/>
    <col outlineLevel="1" width="9.4" customWidth="1" min="25" max="25"/>
    <col outlineLevel="1" width="9.4" customWidth="1" min="26" max="26"/>
    <col width="9.4" customWidth="1" min="27" max="27"/>
    <col width="9.4" customWidth="1" min="28" max="28"/>
  </cols>
  <sheetData>
    <row r="1" ht="18" customHeight="1">
      <c r="A1" s="5" t="inlineStr">
        <is>
          <t>Identifiers</t>
        </is>
      </c>
      <c r="B1" s="3" t="n"/>
      <c r="C1" s="4" t="n"/>
      <c r="D1" s="10" t="inlineStr">
        <is>
          <t>ANNUITIES &amp; PENSION</t>
        </is>
      </c>
      <c r="E1" s="3" t="n"/>
      <c r="F1" s="3" t="n"/>
      <c r="G1" s="3" t="n"/>
      <c r="H1" s="3" t="n"/>
      <c r="I1" s="4" t="n"/>
      <c r="J1" s="17" t="inlineStr">
        <is>
          <t>PRE-TAX (IRA / 401k)</t>
        </is>
      </c>
      <c r="K1" s="3" t="n"/>
      <c r="L1" s="3" t="n"/>
      <c r="M1" s="4" t="n"/>
      <c r="N1" s="20" t="inlineStr">
        <is>
          <t>ROTH</t>
        </is>
      </c>
      <c r="O1" s="3" t="n"/>
      <c r="P1" s="4" t="n"/>
      <c r="Q1" s="21" t="inlineStr">
        <is>
          <t>TRUSTS</t>
        </is>
      </c>
      <c r="R1" s="3" t="n"/>
      <c r="S1" s="4" t="n"/>
      <c r="T1" s="22" t="inlineStr">
        <is>
          <t>HSA</t>
        </is>
      </c>
      <c r="U1" s="5" t="inlineStr">
        <is>
          <t>OTHER ASSETS</t>
        </is>
      </c>
      <c r="V1" s="3" t="n"/>
      <c r="W1" s="3" t="n"/>
      <c r="X1" s="3" t="n"/>
      <c r="Y1" s="3" t="n"/>
      <c r="Z1" s="3" t="n"/>
      <c r="AA1" s="4" t="n"/>
      <c r="AB1" s="13" t="inlineStr">
        <is>
          <t>TOTAL</t>
        </is>
      </c>
    </row>
    <row r="2" ht="54" customHeight="1">
      <c r="A2" s="23" t="inlineStr">
        <is>
          <t>Year</t>
        </is>
      </c>
      <c r="B2" s="23" t="inlineStr">
        <is>
          <t>Matthew Age</t>
        </is>
      </c>
      <c r="C2" s="23" t="inlineStr">
        <is>
          <t>Patricia Age</t>
        </is>
      </c>
      <c r="D2" s="23" t="inlineStr">
        <is>
          <t>Pension PV</t>
        </is>
      </c>
      <c r="E2" s="23" t="inlineStr">
        <is>
          <t>Patricia Single PV</t>
        </is>
      </c>
      <c r="F2" s="23" t="inlineStr">
        <is>
          <t>Patricia Joint PV</t>
        </is>
      </c>
      <c r="G2" s="23" t="inlineStr">
        <is>
          <t>Matthew Single PV</t>
        </is>
      </c>
      <c r="H2" s="23" t="inlineStr">
        <is>
          <t>Matthew Joint PV</t>
        </is>
      </c>
      <c r="I2" s="24" t="inlineStr">
        <is>
          <t>Σ Ann</t>
        </is>
      </c>
      <c r="J2" s="23" t="inlineStr">
        <is>
          <t>Matthew IRA</t>
        </is>
      </c>
      <c r="K2" s="23" t="inlineStr">
        <is>
          <t>Matthew 401k</t>
        </is>
      </c>
      <c r="L2" s="23" t="inlineStr">
        <is>
          <t>Patricia IRA</t>
        </is>
      </c>
      <c r="M2" s="24" t="inlineStr">
        <is>
          <t>Σ PreTax</t>
        </is>
      </c>
      <c r="N2" s="23" t="inlineStr">
        <is>
          <t>Matthew Roth</t>
        </is>
      </c>
      <c r="O2" s="23" t="inlineStr">
        <is>
          <t>Patricia Roth</t>
        </is>
      </c>
      <c r="P2" s="24" t="inlineStr">
        <is>
          <t>Σ Roth</t>
        </is>
      </c>
      <c r="Q2" s="23" t="inlineStr">
        <is>
          <t>Matthew Trust</t>
        </is>
      </c>
      <c r="R2" s="23" t="inlineStr">
        <is>
          <t>Patricia Trust</t>
        </is>
      </c>
      <c r="S2" s="24" t="inlineStr">
        <is>
          <t>Σ Trust</t>
        </is>
      </c>
      <c r="T2" s="23" t="inlineStr">
        <is>
          <t>Matthew HSA</t>
        </is>
      </c>
      <c r="U2" s="23" t="inlineStr">
        <is>
          <t>Home Equity</t>
        </is>
      </c>
      <c r="V2" s="23" t="inlineStr">
        <is>
          <t>Next Housing Equity</t>
        </is>
      </c>
      <c r="W2" s="23" t="inlineStr">
        <is>
          <t>Startup</t>
        </is>
      </c>
      <c r="X2" s="23" t="inlineStr">
        <is>
          <t>Autos</t>
        </is>
      </c>
      <c r="Y2" s="23" t="inlineStr">
        <is>
          <t>Note</t>
        </is>
      </c>
      <c r="Z2" s="23" t="inlineStr">
        <is>
          <t>Cash</t>
        </is>
      </c>
      <c r="AA2" s="24" t="inlineStr">
        <is>
          <t>Σ Other</t>
        </is>
      </c>
      <c r="AB2" s="24" t="inlineStr">
        <is>
          <t>TOTAL NW</t>
        </is>
      </c>
    </row>
    <row r="3" ht="15" customHeight="1">
      <c r="A3" s="25" t="n">
        <v>2026</v>
      </c>
      <c r="B3" s="26" t="n">
        <v>64</v>
      </c>
      <c r="C3" s="26" t="n">
        <v>65</v>
      </c>
      <c r="D3" s="27" t="n">
        <v>66618.91815552025</v>
      </c>
      <c r="E3" s="27" t="n">
        <v>53198.32320054132</v>
      </c>
      <c r="F3" s="27" t="n">
        <v>336263.3497205881</v>
      </c>
      <c r="G3" s="27" t="n">
        <v>91417.59968588264</v>
      </c>
      <c r="H3" s="27" t="n">
        <v>813167.6252691793</v>
      </c>
      <c r="I3" s="28" t="n">
        <v>1360665.816031712</v>
      </c>
      <c r="J3" s="27" t="n">
        <v>1371312.796834697</v>
      </c>
      <c r="K3" s="27" t="n">
        <v>27634.22558934677</v>
      </c>
      <c r="L3" s="27" t="n">
        <v>345846.0533732587</v>
      </c>
      <c r="M3" s="28" t="n">
        <v>1744793.075797302</v>
      </c>
      <c r="N3" s="27" t="n">
        <v>142433.6146766635</v>
      </c>
      <c r="O3" s="27" t="n">
        <v>340871.9533756516</v>
      </c>
      <c r="P3" s="28" t="n">
        <v>483305.5680523152</v>
      </c>
      <c r="Q3" s="27" t="n">
        <v>155567.7390767829</v>
      </c>
      <c r="R3" s="27" t="n">
        <v>249615.8145924133</v>
      </c>
      <c r="S3" s="28" t="n">
        <v>405183.5536691962</v>
      </c>
      <c r="T3" s="27" t="n">
        <v>78082.4731899976</v>
      </c>
      <c r="U3" s="27" t="n">
        <v>1061620.66</v>
      </c>
      <c r="V3" s="27" t="n">
        <v>0</v>
      </c>
      <c r="W3" s="27" t="n">
        <v>66000</v>
      </c>
      <c r="X3" s="27" t="n">
        <v>46654.28571428572</v>
      </c>
      <c r="Y3" s="27" t="n">
        <v>414971.34</v>
      </c>
      <c r="Z3" s="27" t="n">
        <v>20000</v>
      </c>
      <c r="AA3" s="28" t="n">
        <v>1609246.285714286</v>
      </c>
      <c r="AB3" s="28" t="n">
        <v>5681276.772454808</v>
      </c>
    </row>
    <row r="4" ht="15" customHeight="1">
      <c r="A4" s="25" t="n">
        <v>2027</v>
      </c>
      <c r="B4" s="26" t="n">
        <v>65</v>
      </c>
      <c r="C4" s="26" t="n">
        <v>66</v>
      </c>
      <c r="D4" s="27" t="n">
        <v>65833.33324485147</v>
      </c>
      <c r="E4" s="27" t="n">
        <v>56390.22259257379</v>
      </c>
      <c r="F4" s="27" t="n">
        <v>356439.1507038235</v>
      </c>
      <c r="G4" s="27" t="n">
        <v>96902.65566703565</v>
      </c>
      <c r="H4" s="27" t="n">
        <v>861957.6827853301</v>
      </c>
      <c r="I4" s="28" t="n">
        <v>1437523.044993615</v>
      </c>
      <c r="J4" s="27" t="n">
        <v>1453591.54049594</v>
      </c>
      <c r="K4" s="27" t="n">
        <v>29292.27863806845</v>
      </c>
      <c r="L4" s="27" t="n">
        <v>123946.4009275645</v>
      </c>
      <c r="M4" s="28" t="n">
        <v>1606830.220061573</v>
      </c>
      <c r="N4" s="27" t="n">
        <v>150979.6315572633</v>
      </c>
      <c r="O4" s="27" t="n">
        <v>603974.6841671314</v>
      </c>
      <c r="P4" s="28" t="n">
        <v>754954.3157243947</v>
      </c>
      <c r="Q4" s="27" t="n">
        <v>35072.01662363516</v>
      </c>
      <c r="R4" s="27" t="n">
        <v>56464.9267842454</v>
      </c>
      <c r="S4" s="28" t="n">
        <v>91536.94340788055</v>
      </c>
      <c r="T4" s="27" t="n">
        <v>82767.42158139746</v>
      </c>
      <c r="U4" s="27" t="n">
        <v>1132406.050134</v>
      </c>
      <c r="V4" s="27" t="n">
        <v>0</v>
      </c>
      <c r="W4" s="27" t="n">
        <v>66000</v>
      </c>
      <c r="X4" s="27" t="n">
        <v>38878.57142857143</v>
      </c>
      <c r="Y4" s="27" t="n">
        <v>355689.72</v>
      </c>
      <c r="Z4" s="27" t="n">
        <v>20000</v>
      </c>
      <c r="AA4" s="28" t="n">
        <v>1612974.341562571</v>
      </c>
      <c r="AB4" s="28" t="n">
        <v>5586586.287331431</v>
      </c>
    </row>
    <row r="5" ht="15" customHeight="1">
      <c r="A5" s="25" t="n">
        <v>2028</v>
      </c>
      <c r="B5" s="26" t="n">
        <v>66</v>
      </c>
      <c r="C5" s="26" t="n">
        <v>67</v>
      </c>
      <c r="D5" s="27" t="n">
        <v>65000.61323954256</v>
      </c>
      <c r="E5" s="27" t="n">
        <v>59773.63594812822</v>
      </c>
      <c r="F5" s="27" t="n">
        <v>377825.4997460528</v>
      </c>
      <c r="G5" s="27" t="n">
        <v>102716.8150070578</v>
      </c>
      <c r="H5" s="27" t="n">
        <v>913675.1437524499</v>
      </c>
      <c r="I5" s="28" t="n">
        <v>1518991.707693231</v>
      </c>
      <c r="J5" s="27" t="n">
        <v>1233528.006942952</v>
      </c>
      <c r="K5" s="27" t="n">
        <v>0</v>
      </c>
      <c r="L5" s="27" t="n">
        <v>0</v>
      </c>
      <c r="M5" s="28" t="n">
        <v>1233528.006942952</v>
      </c>
      <c r="N5" s="27" t="n">
        <v>259204.150562964</v>
      </c>
      <c r="O5" s="27" t="n">
        <v>771596.3502003776</v>
      </c>
      <c r="P5" s="28" t="n">
        <v>1030800.500763342</v>
      </c>
      <c r="Q5" s="27" t="n">
        <v>0</v>
      </c>
      <c r="R5" s="27" t="n">
        <v>0</v>
      </c>
      <c r="S5" s="28" t="n">
        <v>0</v>
      </c>
      <c r="T5" s="27" t="n">
        <v>87733.46687628131</v>
      </c>
      <c r="U5" s="27" t="n">
        <v>1205009.843701667</v>
      </c>
      <c r="V5" s="27" t="n">
        <v>0</v>
      </c>
      <c r="W5" s="27" t="n">
        <v>66000</v>
      </c>
      <c r="X5" s="27" t="n">
        <v>31102.85714285714</v>
      </c>
      <c r="Y5" s="27" t="n">
        <v>296408.1</v>
      </c>
      <c r="Z5" s="27" t="n">
        <v>20000</v>
      </c>
      <c r="AA5" s="28" t="n">
        <v>1618520.800844524</v>
      </c>
      <c r="AB5" s="28" t="n">
        <v>5489574.483120331</v>
      </c>
    </row>
    <row r="6" ht="15" customHeight="1">
      <c r="A6" s="25" t="n">
        <v>2029</v>
      </c>
      <c r="B6" s="26" t="n">
        <v>67</v>
      </c>
      <c r="C6" s="26" t="n">
        <v>68</v>
      </c>
      <c r="D6" s="27" t="n">
        <v>64117.93003391512</v>
      </c>
      <c r="E6" s="27" t="n">
        <v>63360.05410501592</v>
      </c>
      <c r="F6" s="27" t="n">
        <v>371226.8956586745</v>
      </c>
      <c r="G6" s="27" t="n">
        <v>108879.8239074812</v>
      </c>
      <c r="H6" s="27" t="n">
        <v>968495.6523775969</v>
      </c>
      <c r="I6" s="28" t="n">
        <v>1576080.356082684</v>
      </c>
      <c r="J6" s="27" t="n">
        <v>968288.2612224719</v>
      </c>
      <c r="K6" s="27" t="n">
        <v>0</v>
      </c>
      <c r="L6" s="27" t="n">
        <v>0</v>
      </c>
      <c r="M6" s="28" t="n">
        <v>968288.2612224719</v>
      </c>
      <c r="N6" s="27" t="n">
        <v>429156.7150936004</v>
      </c>
      <c r="O6" s="27" t="n">
        <v>817892.1312124003</v>
      </c>
      <c r="P6" s="28" t="n">
        <v>1247048.846306001</v>
      </c>
      <c r="Q6" s="27" t="n">
        <v>0</v>
      </c>
      <c r="R6" s="27" t="n">
        <v>0</v>
      </c>
      <c r="S6" s="28" t="n">
        <v>0</v>
      </c>
      <c r="T6" s="27" t="n">
        <v>92997.47488885818</v>
      </c>
      <c r="U6" s="27" t="n">
        <v>1279480.52015643</v>
      </c>
      <c r="V6" s="27" t="n">
        <v>0</v>
      </c>
      <c r="W6" s="27" t="n">
        <v>66000</v>
      </c>
      <c r="X6" s="27" t="n">
        <v>23327.14285714286</v>
      </c>
      <c r="Y6" s="27" t="n">
        <v>237126.48</v>
      </c>
      <c r="Z6" s="27" t="n">
        <v>20000</v>
      </c>
      <c r="AA6" s="28" t="n">
        <v>1625934.143013573</v>
      </c>
      <c r="AB6" s="28" t="n">
        <v>5510349.081513587</v>
      </c>
    </row>
    <row r="7" ht="15" customHeight="1">
      <c r="A7" s="25" t="n">
        <v>2030</v>
      </c>
      <c r="B7" s="26" t="n">
        <v>68</v>
      </c>
      <c r="C7" s="26" t="n">
        <v>69</v>
      </c>
      <c r="D7" s="27" t="n">
        <v>63182.28583595002</v>
      </c>
      <c r="E7" s="27" t="n">
        <v>62285.9043810567</v>
      </c>
      <c r="F7" s="27" t="n">
        <v>364416.9410685535</v>
      </c>
      <c r="G7" s="27" t="n">
        <v>106802.7216534661</v>
      </c>
      <c r="H7" s="27" t="n">
        <v>950988.7713654771</v>
      </c>
      <c r="I7" s="28" t="n">
        <v>1547676.624304503</v>
      </c>
      <c r="J7" s="27" t="n">
        <v>749921.4817017267</v>
      </c>
      <c r="K7" s="27" t="n">
        <v>0</v>
      </c>
      <c r="L7" s="27" t="n">
        <v>0</v>
      </c>
      <c r="M7" s="28" t="n">
        <v>749921.4817017267</v>
      </c>
      <c r="N7" s="27" t="n">
        <v>619521.4503862578</v>
      </c>
      <c r="O7" s="27" t="n">
        <v>866965.6590851443</v>
      </c>
      <c r="P7" s="28" t="n">
        <v>1486487.109471402</v>
      </c>
      <c r="Q7" s="27" t="n">
        <v>0</v>
      </c>
      <c r="R7" s="27" t="n">
        <v>0</v>
      </c>
      <c r="S7" s="28" t="n">
        <v>0</v>
      </c>
      <c r="T7" s="27" t="n">
        <v>98577.32338218967</v>
      </c>
      <c r="U7" s="27" t="n">
        <v>1355867.892489596</v>
      </c>
      <c r="V7" s="27" t="n">
        <v>0</v>
      </c>
      <c r="W7" s="27" t="n">
        <v>0</v>
      </c>
      <c r="X7" s="27" t="n">
        <v>15551.42857142857</v>
      </c>
      <c r="Y7" s="27" t="n">
        <v>177844.86</v>
      </c>
      <c r="Z7" s="27" t="n">
        <v>20000</v>
      </c>
      <c r="AA7" s="28" t="n">
        <v>1569264.181061025</v>
      </c>
      <c r="AB7" s="28" t="n">
        <v>5451926.719920847</v>
      </c>
    </row>
    <row r="8" ht="15" customHeight="1">
      <c r="A8" s="25" t="n">
        <v>2031</v>
      </c>
      <c r="B8" s="26" t="n">
        <v>69</v>
      </c>
      <c r="C8" s="26" t="n">
        <v>70</v>
      </c>
      <c r="D8" s="27" t="n">
        <v>62190.50298610703</v>
      </c>
      <c r="E8" s="27" t="n">
        <v>61165.23542846116</v>
      </c>
      <c r="F8" s="27" t="n">
        <v>357378.3408019627</v>
      </c>
      <c r="G8" s="27" t="n">
        <v>104637.4551728652</v>
      </c>
      <c r="H8" s="27" t="n">
        <v>932878.5945026301</v>
      </c>
      <c r="I8" s="28" t="n">
        <v>1518250.128892026</v>
      </c>
      <c r="J8" s="27" t="n">
        <v>562257.0724691423</v>
      </c>
      <c r="K8" s="27" t="n">
        <v>0</v>
      </c>
      <c r="L8" s="27" t="n">
        <v>0</v>
      </c>
      <c r="M8" s="28" t="n">
        <v>562257.0724691423</v>
      </c>
      <c r="N8" s="27" t="n">
        <v>789475.9775045302</v>
      </c>
      <c r="O8" s="27" t="n">
        <v>918983.598630253</v>
      </c>
      <c r="P8" s="28" t="n">
        <v>1708459.576134783</v>
      </c>
      <c r="Q8" s="27" t="n">
        <v>0</v>
      </c>
      <c r="R8" s="27" t="n">
        <v>0</v>
      </c>
      <c r="S8" s="28" t="n">
        <v>0</v>
      </c>
      <c r="T8" s="27" t="n">
        <v>94042.76650660895</v>
      </c>
      <c r="U8" s="27" t="n">
        <v>1434223.144831653</v>
      </c>
      <c r="V8" s="27" t="n">
        <v>0</v>
      </c>
      <c r="W8" s="27" t="n">
        <v>0</v>
      </c>
      <c r="X8" s="27" t="n">
        <v>7775.71428571429</v>
      </c>
      <c r="Y8" s="27" t="n">
        <v>118563.24</v>
      </c>
      <c r="Z8" s="27" t="n">
        <v>20000</v>
      </c>
      <c r="AA8" s="28" t="n">
        <v>1580562.099117368</v>
      </c>
      <c r="AB8" s="28" t="n">
        <v>5463571.643119927</v>
      </c>
    </row>
    <row r="9" ht="15" customHeight="1">
      <c r="A9" s="25" t="n">
        <v>2032</v>
      </c>
      <c r="B9" s="26" t="n">
        <v>70</v>
      </c>
      <c r="C9" s="26" t="n">
        <v>71</v>
      </c>
      <c r="D9" s="27" t="n">
        <v>61139.21316527345</v>
      </c>
      <c r="E9" s="27" t="n">
        <v>59994.1085892038</v>
      </c>
      <c r="F9" s="27" t="n">
        <v>350085.859215982</v>
      </c>
      <c r="G9" s="27" t="n">
        <v>102377.8230643673</v>
      </c>
      <c r="H9" s="27" t="n">
        <v>914117.7461127625</v>
      </c>
      <c r="I9" s="28" t="n">
        <v>1487714.750147589</v>
      </c>
      <c r="J9" s="27" t="n">
        <v>270531.9245150437</v>
      </c>
      <c r="K9" s="27" t="n">
        <v>0</v>
      </c>
      <c r="L9" s="27" t="n">
        <v>0</v>
      </c>
      <c r="M9" s="28" t="n">
        <v>270531.9245150437</v>
      </c>
      <c r="N9" s="27" t="n">
        <v>952287.5356146707</v>
      </c>
      <c r="O9" s="27" t="n">
        <v>974122.6145480681</v>
      </c>
      <c r="P9" s="28" t="n">
        <v>1926410.150162739</v>
      </c>
      <c r="Q9" s="27" t="n">
        <v>0</v>
      </c>
      <c r="R9" s="27" t="n">
        <v>0</v>
      </c>
      <c r="S9" s="28" t="n">
        <v>0</v>
      </c>
      <c r="T9" s="27" t="n">
        <v>88609.18444178267</v>
      </c>
      <c r="U9" s="27" t="n">
        <v>1514598.871133763</v>
      </c>
      <c r="V9" s="27" t="n">
        <v>0</v>
      </c>
      <c r="W9" s="27" t="n">
        <v>0</v>
      </c>
      <c r="X9" s="27" t="n">
        <v>0</v>
      </c>
      <c r="Y9" s="27" t="n">
        <v>59281.62000000005</v>
      </c>
      <c r="Z9" s="27" t="n">
        <v>20000</v>
      </c>
      <c r="AA9" s="28" t="n">
        <v>1593880.491133763</v>
      </c>
      <c r="AB9" s="28" t="n">
        <v>5367146.500400918</v>
      </c>
    </row>
    <row r="10" ht="15" customHeight="1">
      <c r="A10" s="25" t="n">
        <v>2033</v>
      </c>
      <c r="B10" s="26" t="n">
        <v>71</v>
      </c>
      <c r="C10" s="26" t="n">
        <v>72</v>
      </c>
      <c r="D10" s="27" t="n">
        <v>60024.84595518986</v>
      </c>
      <c r="E10" s="27" t="n">
        <v>58768.39505489624</v>
      </c>
      <c r="F10" s="27" t="n">
        <v>342513.209904483</v>
      </c>
      <c r="G10" s="27" t="n">
        <v>100015.8881671982</v>
      </c>
      <c r="H10" s="27" t="n">
        <v>894639.2858028286</v>
      </c>
      <c r="I10" s="28" t="n">
        <v>1455961.624884596</v>
      </c>
      <c r="J10" s="27" t="n">
        <v>81362.27163218954</v>
      </c>
      <c r="K10" s="27" t="n">
        <v>0</v>
      </c>
      <c r="L10" s="27" t="n">
        <v>0</v>
      </c>
      <c r="M10" s="28" t="n">
        <v>81362.27163218954</v>
      </c>
      <c r="N10" s="27" t="n">
        <v>1132621.640893326</v>
      </c>
      <c r="O10" s="27" t="n">
        <v>1032569.971420952</v>
      </c>
      <c r="P10" s="28" t="n">
        <v>2165191.612314278</v>
      </c>
      <c r="Q10" s="27" t="n">
        <v>0</v>
      </c>
      <c r="R10" s="27" t="n">
        <v>0</v>
      </c>
      <c r="S10" s="28" t="n">
        <v>0</v>
      </c>
      <c r="T10" s="27" t="n">
        <v>82185.01856975342</v>
      </c>
      <c r="U10" s="27" t="n">
        <v>1597049.114960884</v>
      </c>
      <c r="V10" s="27" t="n">
        <v>0</v>
      </c>
      <c r="W10" s="27" t="n">
        <v>0</v>
      </c>
      <c r="X10" s="27" t="n">
        <v>0</v>
      </c>
      <c r="Y10" s="27" t="n">
        <v>0</v>
      </c>
      <c r="Z10" s="27" t="n">
        <v>20000</v>
      </c>
      <c r="AA10" s="28" t="n">
        <v>1617049.114960884</v>
      </c>
      <c r="AB10" s="28" t="n">
        <v>5401749.642361701</v>
      </c>
    </row>
    <row r="11" ht="15" customHeight="1">
      <c r="A11" s="25" t="n">
        <v>2034</v>
      </c>
      <c r="B11" s="26" t="n">
        <v>72</v>
      </c>
      <c r="C11" s="26" t="n">
        <v>73</v>
      </c>
      <c r="D11" s="27" t="n">
        <v>58843.61671250126</v>
      </c>
      <c r="E11" s="27" t="n">
        <v>57483.7628664997</v>
      </c>
      <c r="F11" s="27" t="n">
        <v>334632.9766816331</v>
      </c>
      <c r="G11" s="27" t="n">
        <v>97543.32863311704</v>
      </c>
      <c r="H11" s="27" t="n">
        <v>874373.3792993439</v>
      </c>
      <c r="I11" s="28" t="n">
        <v>1422877.064193095</v>
      </c>
      <c r="J11" s="27" t="n">
        <v>0</v>
      </c>
      <c r="K11" s="27" t="n">
        <v>0</v>
      </c>
      <c r="L11" s="27" t="n">
        <v>0</v>
      </c>
      <c r="M11" s="28" t="n">
        <v>0</v>
      </c>
      <c r="N11" s="27" t="n">
        <v>1219776.848730423</v>
      </c>
      <c r="O11" s="27" t="n">
        <v>1037497.229442931</v>
      </c>
      <c r="P11" s="28" t="n">
        <v>2257274.078173354</v>
      </c>
      <c r="Q11" s="27" t="n">
        <v>0</v>
      </c>
      <c r="R11" s="27" t="n">
        <v>0</v>
      </c>
      <c r="S11" s="28" t="n">
        <v>0</v>
      </c>
      <c r="T11" s="27" t="n">
        <v>74670.95972909025</v>
      </c>
      <c r="U11" s="27" t="n">
        <v>1681629.410428911</v>
      </c>
      <c r="V11" s="27" t="n">
        <v>0</v>
      </c>
      <c r="W11" s="27" t="n">
        <v>0</v>
      </c>
      <c r="X11" s="27" t="n">
        <v>0</v>
      </c>
      <c r="Y11" s="27" t="n">
        <v>0</v>
      </c>
      <c r="Z11" s="27" t="n">
        <v>20000</v>
      </c>
      <c r="AA11" s="28" t="n">
        <v>1701629.410428911</v>
      </c>
      <c r="AB11" s="28" t="n">
        <v>5456451.512524451</v>
      </c>
    </row>
    <row r="12" ht="15" customHeight="1">
      <c r="A12" s="25" t="n">
        <v>2035</v>
      </c>
      <c r="B12" s="26" t="n">
        <v>73</v>
      </c>
      <c r="C12" s="26" t="n">
        <v>74</v>
      </c>
      <c r="D12" s="27" t="n">
        <v>57591.51371525133</v>
      </c>
      <c r="E12" s="27" t="n">
        <v>56135.66318472779</v>
      </c>
      <c r="F12" s="27" t="n">
        <v>326416.5303333333</v>
      </c>
      <c r="G12" s="27" t="n">
        <v>94951.41169007332</v>
      </c>
      <c r="H12" s="27" t="n">
        <v>853247.0861259641</v>
      </c>
      <c r="I12" s="28" t="n">
        <v>1388342.20504935</v>
      </c>
      <c r="J12" s="27" t="n">
        <v>0</v>
      </c>
      <c r="K12" s="27" t="n">
        <v>0</v>
      </c>
      <c r="L12" s="27" t="n">
        <v>0</v>
      </c>
      <c r="M12" s="28" t="n">
        <v>0</v>
      </c>
      <c r="N12" s="27" t="n">
        <v>1255073.881077539</v>
      </c>
      <c r="O12" s="27" t="n">
        <v>1067519.584192332</v>
      </c>
      <c r="P12" s="28" t="n">
        <v>2322593.465269872</v>
      </c>
      <c r="Q12" s="27" t="n">
        <v>0</v>
      </c>
      <c r="R12" s="27" t="n">
        <v>0</v>
      </c>
      <c r="S12" s="28" t="n">
        <v>0</v>
      </c>
      <c r="T12" s="27" t="n">
        <v>65959.34776069639</v>
      </c>
      <c r="U12" s="27" t="n">
        <v>1764562.206078832</v>
      </c>
      <c r="V12" s="27" t="n">
        <v>0</v>
      </c>
      <c r="W12" s="27" t="n">
        <v>0</v>
      </c>
      <c r="X12" s="27" t="n">
        <v>0</v>
      </c>
      <c r="Y12" s="27" t="n">
        <v>0</v>
      </c>
      <c r="Z12" s="27" t="n">
        <v>20000</v>
      </c>
      <c r="AA12" s="28" t="n">
        <v>1784562.206078832</v>
      </c>
      <c r="AB12" s="28" t="n">
        <v>5561457.22415875</v>
      </c>
    </row>
    <row r="13" ht="15" customHeight="1">
      <c r="A13" s="25" t="n">
        <v>2036</v>
      </c>
      <c r="B13" s="26" t="n">
        <v>74</v>
      </c>
      <c r="C13" s="26" t="n">
        <v>75</v>
      </c>
      <c r="D13" s="27" t="n">
        <v>56264.28453816642</v>
      </c>
      <c r="E13" s="27" t="n">
        <v>54719.31578584022</v>
      </c>
      <c r="F13" s="27" t="n">
        <v>314492.8787819525</v>
      </c>
      <c r="G13" s="27" t="n">
        <v>92230.96593222478</v>
      </c>
      <c r="H13" s="27" t="n">
        <v>831184.1357746096</v>
      </c>
      <c r="I13" s="28" t="n">
        <v>1348891.580812794</v>
      </c>
      <c r="J13" s="27" t="n">
        <v>0</v>
      </c>
      <c r="K13" s="27" t="n">
        <v>0</v>
      </c>
      <c r="L13" s="27" t="n">
        <v>0</v>
      </c>
      <c r="M13" s="28" t="n">
        <v>0</v>
      </c>
      <c r="N13" s="27" t="n">
        <v>1292992.297922252</v>
      </c>
      <c r="O13" s="27" t="n">
        <v>1099771.591977361</v>
      </c>
      <c r="P13" s="28" t="n">
        <v>2392763.889899612</v>
      </c>
      <c r="Q13" s="27" t="n">
        <v>0</v>
      </c>
      <c r="R13" s="27" t="n">
        <v>0</v>
      </c>
      <c r="S13" s="28" t="n">
        <v>0</v>
      </c>
      <c r="T13" s="27" t="n">
        <v>55933.52690107053</v>
      </c>
      <c r="U13" s="27" t="n">
        <v>1817499.072261197</v>
      </c>
      <c r="V13" s="27" t="n">
        <v>0</v>
      </c>
      <c r="W13" s="27" t="n">
        <v>0</v>
      </c>
      <c r="X13" s="27" t="n">
        <v>0</v>
      </c>
      <c r="Y13" s="27" t="n">
        <v>0</v>
      </c>
      <c r="Z13" s="27" t="n">
        <v>20000</v>
      </c>
      <c r="AA13" s="28" t="n">
        <v>1837499.072261197</v>
      </c>
      <c r="AB13" s="28" t="n">
        <v>5635088.069874674</v>
      </c>
    </row>
    <row r="14" ht="15" customHeight="1">
      <c r="A14" s="25" t="n">
        <v>2037</v>
      </c>
      <c r="B14" s="26" t="n">
        <v>75</v>
      </c>
      <c r="C14" s="26" t="n">
        <v>76</v>
      </c>
      <c r="D14" s="27" t="n">
        <v>54857.4216104564</v>
      </c>
      <c r="E14" s="27" t="n">
        <v>52905.12416331562</v>
      </c>
      <c r="F14" s="27" t="n">
        <v>302238.6619587352</v>
      </c>
      <c r="G14" s="27" t="n">
        <v>88712.30810107483</v>
      </c>
      <c r="H14" s="27" t="n">
        <v>800010.8510977313</v>
      </c>
      <c r="I14" s="28" t="n">
        <v>1298724.366931313</v>
      </c>
      <c r="J14" s="27" t="n">
        <v>0</v>
      </c>
      <c r="K14" s="27" t="n">
        <v>0</v>
      </c>
      <c r="L14" s="27" t="n">
        <v>0</v>
      </c>
      <c r="M14" s="28" t="n">
        <v>0</v>
      </c>
      <c r="N14" s="27" t="n">
        <v>1330701.081481521</v>
      </c>
      <c r="O14" s="27" t="n">
        <v>1131845.293416378</v>
      </c>
      <c r="P14" s="28" t="n">
        <v>2462546.374897899</v>
      </c>
      <c r="Q14" s="27" t="n">
        <v>1.511455543027415e-11</v>
      </c>
      <c r="R14" s="27" t="n">
        <v>0</v>
      </c>
      <c r="S14" s="28" t="n">
        <v>1.511455543027415e-11</v>
      </c>
      <c r="T14" s="27" t="n">
        <v>44467.15388635107</v>
      </c>
      <c r="U14" s="27" t="n">
        <v>1872024.044429033</v>
      </c>
      <c r="V14" s="27" t="n">
        <v>0</v>
      </c>
      <c r="W14" s="27" t="n">
        <v>0</v>
      </c>
      <c r="X14" s="27" t="n">
        <v>0</v>
      </c>
      <c r="Y14" s="27" t="n">
        <v>0</v>
      </c>
      <c r="Z14" s="27" t="n">
        <v>20000</v>
      </c>
      <c r="AA14" s="28" t="n">
        <v>1892024.044429033</v>
      </c>
      <c r="AB14" s="28" t="n">
        <v>5697761.940144598</v>
      </c>
    </row>
    <row r="15" ht="15" customHeight="1">
      <c r="A15" s="25" t="n">
        <v>2038</v>
      </c>
      <c r="B15" s="26" t="n">
        <v>76</v>
      </c>
      <c r="C15" s="26" t="n">
        <v>77</v>
      </c>
      <c r="D15" s="27" t="n">
        <v>53366.14690708379</v>
      </c>
      <c r="E15" s="27" t="n">
        <v>51018.7049119949</v>
      </c>
      <c r="F15" s="27" t="n">
        <v>289611.1118012883</v>
      </c>
      <c r="G15" s="27" t="n">
        <v>85058.56064549639</v>
      </c>
      <c r="H15" s="27" t="n">
        <v>767899.4912733997</v>
      </c>
      <c r="I15" s="28" t="n">
        <v>1246954.015539263</v>
      </c>
      <c r="J15" s="27" t="n">
        <v>0</v>
      </c>
      <c r="K15" s="27" t="n">
        <v>0</v>
      </c>
      <c r="L15" s="27" t="n">
        <v>0</v>
      </c>
      <c r="M15" s="28" t="n">
        <v>0</v>
      </c>
      <c r="N15" s="27" t="n">
        <v>1366871.769379751</v>
      </c>
      <c r="O15" s="27" t="n">
        <v>1162610.747376681</v>
      </c>
      <c r="P15" s="28" t="n">
        <v>2529482.516756432</v>
      </c>
      <c r="Q15" s="27" t="n">
        <v>0</v>
      </c>
      <c r="R15" s="27" t="n">
        <v>0</v>
      </c>
      <c r="S15" s="28" t="n">
        <v>0</v>
      </c>
      <c r="T15" s="27" t="n">
        <v>31423.45541302142</v>
      </c>
      <c r="U15" s="27" t="n">
        <v>1928184.765761904</v>
      </c>
      <c r="V15" s="27" t="n">
        <v>0</v>
      </c>
      <c r="W15" s="27" t="n">
        <v>0</v>
      </c>
      <c r="X15" s="27" t="n">
        <v>0</v>
      </c>
      <c r="Y15" s="27" t="n">
        <v>0</v>
      </c>
      <c r="Z15" s="27" t="n">
        <v>20000</v>
      </c>
      <c r="AA15" s="28" t="n">
        <v>1948184.765761904</v>
      </c>
      <c r="AB15" s="28" t="n">
        <v>5756044.753470621</v>
      </c>
    </row>
    <row r="16" ht="15" customHeight="1">
      <c r="A16" s="25" t="n">
        <v>2039</v>
      </c>
      <c r="B16" s="26" t="n">
        <v>77</v>
      </c>
      <c r="C16" s="26" t="n">
        <v>78</v>
      </c>
      <c r="D16" s="27" t="n">
        <v>51785.39572150882</v>
      </c>
      <c r="E16" s="27" t="n">
        <v>49052.42822598031</v>
      </c>
      <c r="F16" s="27" t="n">
        <v>276555.2555387937</v>
      </c>
      <c r="G16" s="27" t="n">
        <v>81257.08742988744</v>
      </c>
      <c r="H16" s="27" t="n">
        <v>734738.2130163426</v>
      </c>
      <c r="I16" s="28" t="n">
        <v>1193388.379932513</v>
      </c>
      <c r="J16" s="27" t="n">
        <v>0</v>
      </c>
      <c r="K16" s="27" t="n">
        <v>0</v>
      </c>
      <c r="L16" s="27" t="n">
        <v>0</v>
      </c>
      <c r="M16" s="28" t="n">
        <v>0</v>
      </c>
      <c r="N16" s="27" t="n">
        <v>1401342.634352339</v>
      </c>
      <c r="O16" s="27" t="n">
        <v>1191930.394607882</v>
      </c>
      <c r="P16" s="28" t="n">
        <v>2593273.028960221</v>
      </c>
      <c r="Q16" s="27" t="n">
        <v>0</v>
      </c>
      <c r="R16" s="27" t="n">
        <v>0</v>
      </c>
      <c r="S16" s="28" t="n">
        <v>0</v>
      </c>
      <c r="T16" s="27" t="n">
        <v>16654.43136890135</v>
      </c>
      <c r="U16" s="27" t="n">
        <v>1986030.308734762</v>
      </c>
      <c r="V16" s="27" t="n">
        <v>0</v>
      </c>
      <c r="W16" s="27" t="n">
        <v>0</v>
      </c>
      <c r="X16" s="27" t="n">
        <v>0</v>
      </c>
      <c r="Y16" s="27" t="n">
        <v>0</v>
      </c>
      <c r="Z16" s="27" t="n">
        <v>20000</v>
      </c>
      <c r="AA16" s="28" t="n">
        <v>2006030.308734762</v>
      </c>
      <c r="AB16" s="28" t="n">
        <v>5809346.148996397</v>
      </c>
    </row>
    <row r="17" ht="15" customHeight="1">
      <c r="A17" s="25" t="n">
        <v>2040</v>
      </c>
      <c r="B17" s="26" t="n">
        <v>78</v>
      </c>
      <c r="C17" s="26" t="n">
        <v>79</v>
      </c>
      <c r="D17" s="27" t="n">
        <v>50109.79946479935</v>
      </c>
      <c r="E17" s="27" t="n">
        <v>46998.41160468414</v>
      </c>
      <c r="F17" s="27" t="n">
        <v>263014.8487843646</v>
      </c>
      <c r="G17" s="27" t="n">
        <v>77292.58999078862</v>
      </c>
      <c r="H17" s="27" t="n">
        <v>700385.1125364907</v>
      </c>
      <c r="I17" s="28" t="n">
        <v>1137800.762381127</v>
      </c>
      <c r="J17" s="27" t="n">
        <v>0</v>
      </c>
      <c r="K17" s="27" t="n">
        <v>0</v>
      </c>
      <c r="L17" s="27" t="n">
        <v>0</v>
      </c>
      <c r="M17" s="28" t="n">
        <v>0</v>
      </c>
      <c r="N17" s="27" t="n">
        <v>1433934.274376907</v>
      </c>
      <c r="O17" s="27" t="n">
        <v>1219651.642362079</v>
      </c>
      <c r="P17" s="28" t="n">
        <v>2653585.916738986</v>
      </c>
      <c r="Q17" s="27" t="n">
        <v>0</v>
      </c>
      <c r="R17" s="27" t="n">
        <v>0</v>
      </c>
      <c r="S17" s="28" t="n">
        <v>0</v>
      </c>
      <c r="T17" s="27" t="n">
        <v>0</v>
      </c>
      <c r="U17" s="27" t="n">
        <v>2045611.217996805</v>
      </c>
      <c r="V17" s="27" t="n">
        <v>0</v>
      </c>
      <c r="W17" s="27" t="n">
        <v>0</v>
      </c>
      <c r="X17" s="27" t="n">
        <v>0</v>
      </c>
      <c r="Y17" s="27" t="n">
        <v>0</v>
      </c>
      <c r="Z17" s="27" t="n">
        <v>20000</v>
      </c>
      <c r="AA17" s="28" t="n">
        <v>2065611.217996805</v>
      </c>
      <c r="AB17" s="28" t="n">
        <v>5856997.897116918</v>
      </c>
    </row>
    <row r="18" ht="15" customHeight="1">
      <c r="A18" s="25" t="n">
        <v>2041</v>
      </c>
      <c r="B18" s="26" t="n">
        <v>79</v>
      </c>
      <c r="C18" s="26" t="n">
        <v>80</v>
      </c>
      <c r="D18" s="27" t="n">
        <v>48333.66743268732</v>
      </c>
      <c r="E18" s="27" t="n">
        <v>44848.49355749129</v>
      </c>
      <c r="F18" s="27" t="n">
        <v>248932.1892145007</v>
      </c>
      <c r="G18" s="27" t="n">
        <v>73149.25235182216</v>
      </c>
      <c r="H18" s="27" t="n">
        <v>664694.6816900476</v>
      </c>
      <c r="I18" s="28" t="n">
        <v>1079958.284246549</v>
      </c>
      <c r="J18" s="27" t="n">
        <v>0</v>
      </c>
      <c r="K18" s="27" t="n">
        <v>0</v>
      </c>
      <c r="L18" s="27" t="n">
        <v>0</v>
      </c>
      <c r="M18" s="28" t="n">
        <v>0</v>
      </c>
      <c r="N18" s="27" t="n">
        <v>1456947.841063942</v>
      </c>
      <c r="O18" s="27" t="n">
        <v>1239226.133960481</v>
      </c>
      <c r="P18" s="28" t="n">
        <v>2696173.975024424</v>
      </c>
      <c r="Q18" s="27" t="n">
        <v>0</v>
      </c>
      <c r="R18" s="27" t="n">
        <v>0</v>
      </c>
      <c r="S18" s="28" t="n">
        <v>0</v>
      </c>
      <c r="T18" s="27" t="n">
        <v>0</v>
      </c>
      <c r="U18" s="27" t="n">
        <v>2106979.554536709</v>
      </c>
      <c r="V18" s="27" t="n">
        <v>0</v>
      </c>
      <c r="W18" s="27" t="n">
        <v>0</v>
      </c>
      <c r="X18" s="27" t="n">
        <v>0</v>
      </c>
      <c r="Y18" s="27" t="n">
        <v>0</v>
      </c>
      <c r="Z18" s="27" t="n">
        <v>20000</v>
      </c>
      <c r="AA18" s="28" t="n">
        <v>2126979.554536709</v>
      </c>
      <c r="AB18" s="28" t="n">
        <v>5903111.813807681</v>
      </c>
    </row>
    <row r="19" ht="15" customHeight="1">
      <c r="A19" s="25" t="n">
        <v>2042</v>
      </c>
      <c r="B19" s="26" t="n">
        <v>80</v>
      </c>
      <c r="C19" s="26" t="n">
        <v>81</v>
      </c>
      <c r="D19" s="27" t="n">
        <v>46450.96747864856</v>
      </c>
      <c r="E19" s="27" t="n">
        <v>42594.20629324421</v>
      </c>
      <c r="F19" s="27" t="n">
        <v>234247.9246283964</v>
      </c>
      <c r="G19" s="27" t="n">
        <v>68810.6882371939</v>
      </c>
      <c r="H19" s="27" t="n">
        <v>627517.3251822682</v>
      </c>
      <c r="I19" s="28" t="n">
        <v>1019621.111819751</v>
      </c>
      <c r="J19" s="27" t="n">
        <v>0</v>
      </c>
      <c r="K19" s="27" t="n">
        <v>0</v>
      </c>
      <c r="L19" s="27" t="n">
        <v>0</v>
      </c>
      <c r="M19" s="28" t="n">
        <v>0</v>
      </c>
      <c r="N19" s="27" t="n">
        <v>1479285.721835527</v>
      </c>
      <c r="O19" s="27" t="n">
        <v>1258225.912023385</v>
      </c>
      <c r="P19" s="28" t="n">
        <v>2737511.633858912</v>
      </c>
      <c r="Q19" s="27" t="n">
        <v>0</v>
      </c>
      <c r="R19" s="27" t="n">
        <v>0</v>
      </c>
      <c r="S19" s="28" t="n">
        <v>0</v>
      </c>
      <c r="T19" s="27" t="n">
        <v>0</v>
      </c>
      <c r="U19" s="27" t="n">
        <v>2170188.94117281</v>
      </c>
      <c r="V19" s="27" t="n">
        <v>0</v>
      </c>
      <c r="W19" s="27" t="n">
        <v>0</v>
      </c>
      <c r="X19" s="27" t="n">
        <v>0</v>
      </c>
      <c r="Y19" s="27" t="n">
        <v>0</v>
      </c>
      <c r="Z19" s="27" t="n">
        <v>20000</v>
      </c>
      <c r="AA19" s="28" t="n">
        <v>2190188.94117281</v>
      </c>
      <c r="AB19" s="28" t="n">
        <v>5947321.686851474</v>
      </c>
    </row>
    <row r="20" ht="15" customHeight="1">
      <c r="A20" s="25" t="n">
        <v>2043</v>
      </c>
      <c r="B20" s="26" t="n">
        <v>81</v>
      </c>
      <c r="C20" s="26" t="n">
        <v>82</v>
      </c>
      <c r="D20" s="27" t="n">
        <v>44455.30552736748</v>
      </c>
      <c r="E20" s="27" t="n">
        <v>40226.74730644998</v>
      </c>
      <c r="F20" s="27" t="n">
        <v>218900.8547812045</v>
      </c>
      <c r="G20" s="27" t="n">
        <v>64259.88621623179</v>
      </c>
      <c r="H20" s="27" t="n">
        <v>588698.8622694813</v>
      </c>
      <c r="I20" s="28" t="n">
        <v>956541.6561007351</v>
      </c>
      <c r="J20" s="27" t="n">
        <v>0</v>
      </c>
      <c r="K20" s="27" t="n">
        <v>0</v>
      </c>
      <c r="L20" s="27" t="n">
        <v>0</v>
      </c>
      <c r="M20" s="28" t="n">
        <v>0</v>
      </c>
      <c r="N20" s="27" t="n">
        <v>1500836.225746727</v>
      </c>
      <c r="O20" s="27" t="n">
        <v>1276555.976349693</v>
      </c>
      <c r="P20" s="28" t="n">
        <v>2777392.20209642</v>
      </c>
      <c r="Q20" s="27" t="n">
        <v>0</v>
      </c>
      <c r="R20" s="27" t="n">
        <v>0</v>
      </c>
      <c r="S20" s="28" t="n">
        <v>0</v>
      </c>
      <c r="T20" s="27" t="n">
        <v>0</v>
      </c>
      <c r="U20" s="27" t="n">
        <v>2235294.609407994</v>
      </c>
      <c r="V20" s="27" t="n">
        <v>0</v>
      </c>
      <c r="W20" s="27" t="n">
        <v>0</v>
      </c>
      <c r="X20" s="27" t="n">
        <v>0</v>
      </c>
      <c r="Y20" s="27" t="n">
        <v>0</v>
      </c>
      <c r="Z20" s="27" t="n">
        <v>20000</v>
      </c>
      <c r="AA20" s="28" t="n">
        <v>2255294.609407994</v>
      </c>
      <c r="AB20" s="28" t="n">
        <v>5989228.467605149</v>
      </c>
    </row>
    <row r="21" ht="15" customHeight="1">
      <c r="A21" s="25" t="n">
        <v>2044</v>
      </c>
      <c r="B21" s="26" t="n">
        <v>82</v>
      </c>
      <c r="C21" s="26" t="n">
        <v>83</v>
      </c>
      <c r="D21" s="27" t="n">
        <v>42339.90385900953</v>
      </c>
      <c r="E21" s="27" t="n">
        <v>37736.94976809845</v>
      </c>
      <c r="F21" s="27" t="n">
        <v>202827.7263616039</v>
      </c>
      <c r="G21" s="27" t="n">
        <v>59479.15260174183</v>
      </c>
      <c r="H21" s="27" t="n">
        <v>548080.0113794138</v>
      </c>
      <c r="I21" s="28" t="n">
        <v>890463.7439698675</v>
      </c>
      <c r="J21" s="27" t="n">
        <v>0</v>
      </c>
      <c r="K21" s="27" t="n">
        <v>0</v>
      </c>
      <c r="L21" s="27" t="n">
        <v>0</v>
      </c>
      <c r="M21" s="28" t="n">
        <v>0</v>
      </c>
      <c r="N21" s="27" t="n">
        <v>1521472.191257391</v>
      </c>
      <c r="O21" s="27" t="n">
        <v>1294108.168020224</v>
      </c>
      <c r="P21" s="28" t="n">
        <v>2815580.359277616</v>
      </c>
      <c r="Q21" s="27" t="n">
        <v>0</v>
      </c>
      <c r="R21" s="27" t="n">
        <v>0</v>
      </c>
      <c r="S21" s="28" t="n">
        <v>0</v>
      </c>
      <c r="T21" s="27" t="n">
        <v>0</v>
      </c>
      <c r="U21" s="27" t="n">
        <v>2302353.447690234</v>
      </c>
      <c r="V21" s="27" t="n">
        <v>0</v>
      </c>
      <c r="W21" s="27" t="n">
        <v>0</v>
      </c>
      <c r="X21" s="27" t="n">
        <v>0</v>
      </c>
      <c r="Y21" s="27" t="n">
        <v>0</v>
      </c>
      <c r="Z21" s="27" t="n">
        <v>20000</v>
      </c>
      <c r="AA21" s="28" t="n">
        <v>2322353.447690234</v>
      </c>
      <c r="AB21" s="28" t="n">
        <v>6028397.550937718</v>
      </c>
    </row>
    <row r="22" ht="15" customHeight="1">
      <c r="A22" s="25" t="n">
        <v>2045</v>
      </c>
      <c r="B22" s="26" t="n">
        <v>83</v>
      </c>
      <c r="C22" s="26" t="n">
        <v>84</v>
      </c>
      <c r="D22" s="27" t="n">
        <v>40097.5780905501</v>
      </c>
      <c r="E22" s="27" t="n">
        <v>35115.25162467014</v>
      </c>
      <c r="F22" s="27" t="n">
        <v>185963.0204582641</v>
      </c>
      <c r="G22" s="27" t="n">
        <v>54450.05191681857</v>
      </c>
      <c r="H22" s="27" t="n">
        <v>505495.8560045158</v>
      </c>
      <c r="I22" s="28" t="n">
        <v>821121.7580948187</v>
      </c>
      <c r="J22" s="27" t="n">
        <v>0</v>
      </c>
      <c r="K22" s="27" t="n">
        <v>0</v>
      </c>
      <c r="L22" s="27" t="n">
        <v>0</v>
      </c>
      <c r="M22" s="28" t="n">
        <v>0</v>
      </c>
      <c r="N22" s="27" t="n">
        <v>1541049.849863108</v>
      </c>
      <c r="O22" s="27" t="n">
        <v>1310760.202844095</v>
      </c>
      <c r="P22" s="28" t="n">
        <v>2851810.052707202</v>
      </c>
      <c r="Q22" s="27" t="n">
        <v>1.511455543027415e-11</v>
      </c>
      <c r="R22" s="27" t="n">
        <v>0</v>
      </c>
      <c r="S22" s="28" t="n">
        <v>1.511455543027415e-11</v>
      </c>
      <c r="T22" s="27" t="n">
        <v>0</v>
      </c>
      <c r="U22" s="27" t="n">
        <v>2371424.051120941</v>
      </c>
      <c r="V22" s="27" t="n">
        <v>0</v>
      </c>
      <c r="W22" s="27" t="n">
        <v>0</v>
      </c>
      <c r="X22" s="27" t="n">
        <v>0</v>
      </c>
      <c r="Y22" s="27" t="n">
        <v>0</v>
      </c>
      <c r="Z22" s="27" t="n">
        <v>20000</v>
      </c>
      <c r="AA22" s="28" t="n">
        <v>2391424.051120941</v>
      </c>
      <c r="AB22" s="28" t="n">
        <v>6064355.861922963</v>
      </c>
    </row>
    <row r="23" ht="15" customHeight="1">
      <c r="A23" s="25" t="n">
        <v>2046</v>
      </c>
      <c r="B23" s="26" t="n">
        <v>84</v>
      </c>
      <c r="C23" s="26" t="n">
        <v>85</v>
      </c>
      <c r="D23" s="27" t="n">
        <v>37720.71277598311</v>
      </c>
      <c r="E23" s="27" t="n">
        <v>32351.66330428823</v>
      </c>
      <c r="F23" s="27" t="n">
        <v>168238.7318319445</v>
      </c>
      <c r="G23" s="27" t="n">
        <v>49153.34473600145</v>
      </c>
      <c r="H23" s="27" t="n">
        <v>460775.2901534218</v>
      </c>
      <c r="I23" s="28" t="n">
        <v>748239.742801639</v>
      </c>
      <c r="J23" s="27" t="n">
        <v>0</v>
      </c>
      <c r="K23" s="27" t="n">
        <v>0</v>
      </c>
      <c r="L23" s="27" t="n">
        <v>0</v>
      </c>
      <c r="M23" s="28" t="n">
        <v>0</v>
      </c>
      <c r="N23" s="27" t="n">
        <v>1559407.595486408</v>
      </c>
      <c r="O23" s="27" t="n">
        <v>1326374.624648227</v>
      </c>
      <c r="P23" s="28" t="n">
        <v>2885782.220134635</v>
      </c>
      <c r="Q23" s="27" t="n">
        <v>0</v>
      </c>
      <c r="R23" s="27" t="n">
        <v>0</v>
      </c>
      <c r="S23" s="28" t="n">
        <v>0</v>
      </c>
      <c r="T23" s="27" t="n">
        <v>0</v>
      </c>
      <c r="U23" s="27" t="n">
        <v>2442566.772654569</v>
      </c>
      <c r="V23" s="27" t="n">
        <v>0</v>
      </c>
      <c r="W23" s="27" t="n">
        <v>0</v>
      </c>
      <c r="X23" s="27" t="n">
        <v>0</v>
      </c>
      <c r="Y23" s="27" t="n">
        <v>0</v>
      </c>
      <c r="Z23" s="27" t="n">
        <v>20000</v>
      </c>
      <c r="AA23" s="28" t="n">
        <v>2462566.772654569</v>
      </c>
      <c r="AB23" s="28" t="n">
        <v>6096588.735590843</v>
      </c>
    </row>
    <row r="24" ht="15" customHeight="1">
      <c r="A24" s="25" t="n">
        <v>2047</v>
      </c>
      <c r="B24" s="26" t="n">
        <v>85</v>
      </c>
      <c r="C24" s="26" t="n">
        <v>86</v>
      </c>
      <c r="D24" s="27" t="n">
        <v>35201.2355425421</v>
      </c>
      <c r="E24" s="27" t="n">
        <v>29435.73392401355</v>
      </c>
      <c r="F24" s="27" t="n">
        <v>149584.1392799129</v>
      </c>
      <c r="G24" s="27" t="n">
        <v>43568.92269728665</v>
      </c>
      <c r="H24" s="27" t="n">
        <v>413740.4415705569</v>
      </c>
      <c r="I24" s="28" t="n">
        <v>671530.4730143121</v>
      </c>
      <c r="J24" s="27" t="n">
        <v>0</v>
      </c>
      <c r="K24" s="27" t="n">
        <v>0</v>
      </c>
      <c r="L24" s="27" t="n">
        <v>0</v>
      </c>
      <c r="M24" s="28" t="n">
        <v>0</v>
      </c>
      <c r="N24" s="27" t="n">
        <v>1571886.308676539</v>
      </c>
      <c r="O24" s="27" t="n">
        <v>1336988.558151924</v>
      </c>
      <c r="P24" s="28" t="n">
        <v>2908874.866828462</v>
      </c>
      <c r="Q24" s="27" t="n">
        <v>0</v>
      </c>
      <c r="R24" s="27" t="n">
        <v>0</v>
      </c>
      <c r="S24" s="28" t="n">
        <v>0</v>
      </c>
      <c r="T24" s="27" t="n">
        <v>0</v>
      </c>
      <c r="U24" s="27" t="n">
        <v>2515843.775834206</v>
      </c>
      <c r="V24" s="27" t="n">
        <v>0</v>
      </c>
      <c r="W24" s="27" t="n">
        <v>0</v>
      </c>
      <c r="X24" s="27" t="n">
        <v>0</v>
      </c>
      <c r="Y24" s="27" t="n">
        <v>0</v>
      </c>
      <c r="Z24" s="27" t="n">
        <v>20000</v>
      </c>
      <c r="AA24" s="28" t="n">
        <v>2535843.775834206</v>
      </c>
      <c r="AB24" s="28" t="n">
        <v>6116249.11567698</v>
      </c>
    </row>
    <row r="25" ht="15" customHeight="1">
      <c r="A25" s="25" t="n">
        <v>2048</v>
      </c>
      <c r="B25" s="26" t="n">
        <v>86</v>
      </c>
      <c r="C25" s="26" t="n">
        <v>87</v>
      </c>
      <c r="D25" s="27" t="n">
        <v>32530.58967509462</v>
      </c>
      <c r="E25" s="27" t="n">
        <v>27330.46560985206</v>
      </c>
      <c r="F25" s="27" t="n">
        <v>139550.2068132623</v>
      </c>
      <c r="G25" s="27" t="n">
        <v>37675.74047145784</v>
      </c>
      <c r="H25" s="27" t="n">
        <v>364206.0708530178</v>
      </c>
      <c r="I25" s="28" t="n">
        <v>601293.0734226846</v>
      </c>
      <c r="J25" s="27" t="n">
        <v>0</v>
      </c>
      <c r="K25" s="27" t="n">
        <v>0</v>
      </c>
      <c r="L25" s="27" t="n">
        <v>0</v>
      </c>
      <c r="M25" s="28" t="n">
        <v>0</v>
      </c>
      <c r="N25" s="27" t="n">
        <v>1571698.530123576</v>
      </c>
      <c r="O25" s="27" t="n">
        <v>1336828.840635847</v>
      </c>
      <c r="P25" s="28" t="n">
        <v>2908527.370759423</v>
      </c>
      <c r="Q25" s="27" t="n">
        <v>0</v>
      </c>
      <c r="R25" s="27" t="n">
        <v>0</v>
      </c>
      <c r="S25" s="28" t="n">
        <v>0</v>
      </c>
      <c r="T25" s="27" t="n">
        <v>0</v>
      </c>
      <c r="U25" s="27" t="n">
        <v>2591319.089109233</v>
      </c>
      <c r="V25" s="27" t="n">
        <v>0</v>
      </c>
      <c r="W25" s="27" t="n">
        <v>0</v>
      </c>
      <c r="X25" s="27" t="n">
        <v>0</v>
      </c>
      <c r="Y25" s="27" t="n">
        <v>0</v>
      </c>
      <c r="Z25" s="27" t="n">
        <v>20000</v>
      </c>
      <c r="AA25" s="28" t="n">
        <v>2611319.089109233</v>
      </c>
      <c r="AB25" s="28" t="n">
        <v>6121139.533291341</v>
      </c>
    </row>
    <row r="26" ht="15" customHeight="1">
      <c r="A26" s="25" t="n">
        <v>2049</v>
      </c>
      <c r="B26" s="26" t="n">
        <v>87</v>
      </c>
      <c r="C26" s="26" t="n">
        <v>88</v>
      </c>
      <c r="D26" s="27" t="n">
        <v>29699.7050556003</v>
      </c>
      <c r="E26" s="27" t="n">
        <v>25069.41921772394</v>
      </c>
      <c r="F26" s="27" t="n">
        <v>128623.0930245084</v>
      </c>
      <c r="G26" s="27" t="n">
        <v>33353.14153178348</v>
      </c>
      <c r="H26" s="27" t="n">
        <v>335294.9749321799</v>
      </c>
      <c r="I26" s="28" t="n">
        <v>552040.3337617961</v>
      </c>
      <c r="J26" s="27" t="n">
        <v>0</v>
      </c>
      <c r="K26" s="27" t="n">
        <v>0</v>
      </c>
      <c r="L26" s="27" t="n">
        <v>0</v>
      </c>
      <c r="M26" s="28" t="n">
        <v>0</v>
      </c>
      <c r="N26" s="27" t="n">
        <v>1569310.280777474</v>
      </c>
      <c r="O26" s="27" t="n">
        <v>1334797.48376727</v>
      </c>
      <c r="P26" s="28" t="n">
        <v>2904107.764544744</v>
      </c>
      <c r="Q26" s="27" t="n">
        <v>0</v>
      </c>
      <c r="R26" s="27" t="n">
        <v>0</v>
      </c>
      <c r="S26" s="28" t="n">
        <v>0</v>
      </c>
      <c r="T26" s="27" t="n">
        <v>0</v>
      </c>
      <c r="U26" s="27" t="n">
        <v>2669058.66178251</v>
      </c>
      <c r="V26" s="27" t="n">
        <v>0</v>
      </c>
      <c r="W26" s="27" t="n">
        <v>0</v>
      </c>
      <c r="X26" s="27" t="n">
        <v>0</v>
      </c>
      <c r="Y26" s="27" t="n">
        <v>0</v>
      </c>
      <c r="Z26" s="27" t="n">
        <v>20000</v>
      </c>
      <c r="AA26" s="28" t="n">
        <v>2689058.66178251</v>
      </c>
      <c r="AB26" s="28" t="n">
        <v>6145206.76008905</v>
      </c>
    </row>
    <row r="27" ht="15" customHeight="1">
      <c r="A27" s="25" t="n">
        <v>2050</v>
      </c>
      <c r="B27" s="26" t="n">
        <v>88</v>
      </c>
      <c r="C27" s="26" t="n">
        <v>89</v>
      </c>
      <c r="D27" s="27" t="n">
        <v>26698.96735893632</v>
      </c>
      <c r="E27" s="27" t="n">
        <v>22642.79030658142</v>
      </c>
      <c r="F27" s="27" t="n">
        <v>116744.6834533062</v>
      </c>
      <c r="G27" s="27" t="n">
        <v>28713.66939444178</v>
      </c>
      <c r="H27" s="27" t="n">
        <v>303943.9033357269</v>
      </c>
      <c r="I27" s="28" t="n">
        <v>498744.0138489926</v>
      </c>
      <c r="J27" s="27" t="n">
        <v>0</v>
      </c>
      <c r="K27" s="27" t="n">
        <v>0</v>
      </c>
      <c r="L27" s="27" t="n">
        <v>0</v>
      </c>
      <c r="M27" s="28" t="n">
        <v>0</v>
      </c>
      <c r="N27" s="27" t="n">
        <v>1564433.596448665</v>
      </c>
      <c r="O27" s="27" t="n">
        <v>1330649.555820225</v>
      </c>
      <c r="P27" s="28" t="n">
        <v>2895083.15226889</v>
      </c>
      <c r="Q27" s="27" t="n">
        <v>0</v>
      </c>
      <c r="R27" s="27" t="n">
        <v>0</v>
      </c>
      <c r="S27" s="28" t="n">
        <v>0</v>
      </c>
      <c r="T27" s="27" t="n">
        <v>0</v>
      </c>
      <c r="U27" s="27" t="n">
        <v>2749130.421635985</v>
      </c>
      <c r="V27" s="27" t="n">
        <v>0</v>
      </c>
      <c r="W27" s="27" t="n">
        <v>0</v>
      </c>
      <c r="X27" s="27" t="n">
        <v>0</v>
      </c>
      <c r="Y27" s="27" t="n">
        <v>0</v>
      </c>
      <c r="Z27" s="27" t="n">
        <v>20000</v>
      </c>
      <c r="AA27" s="28" t="n">
        <v>2769130.421635985</v>
      </c>
      <c r="AB27" s="28" t="n">
        <v>6162957.587753868</v>
      </c>
    </row>
    <row r="28" ht="15" customHeight="1">
      <c r="A28" s="25" t="n">
        <v>2051</v>
      </c>
      <c r="B28" s="26" t="n">
        <v>89</v>
      </c>
      <c r="C28" s="26" t="n">
        <v>90</v>
      </c>
      <c r="D28" s="27" t="n">
        <v>23518.1854004725</v>
      </c>
      <c r="E28" s="27" t="n">
        <v>20040.26992859006</v>
      </c>
      <c r="F28" s="27" t="n">
        <v>103854.2044907696</v>
      </c>
      <c r="G28" s="27" t="n">
        <v>23737.41801095103</v>
      </c>
      <c r="H28" s="27" t="n">
        <v>269995.498988822</v>
      </c>
      <c r="I28" s="28" t="n">
        <v>441145.5768196052</v>
      </c>
      <c r="J28" s="27" t="n">
        <v>0</v>
      </c>
      <c r="K28" s="27" t="n">
        <v>0</v>
      </c>
      <c r="L28" s="27" t="n">
        <v>0</v>
      </c>
      <c r="M28" s="28" t="n">
        <v>0</v>
      </c>
      <c r="N28" s="27" t="n">
        <v>1556752.816393715</v>
      </c>
      <c r="O28" s="27" t="n">
        <v>1324116.567400855</v>
      </c>
      <c r="P28" s="28" t="n">
        <v>2880869.383794569</v>
      </c>
      <c r="Q28" s="27" t="n">
        <v>0</v>
      </c>
      <c r="R28" s="27" t="n">
        <v>0</v>
      </c>
      <c r="S28" s="28" t="n">
        <v>0</v>
      </c>
      <c r="T28" s="27" t="n">
        <v>0</v>
      </c>
      <c r="U28" s="27" t="n">
        <v>2831604.334285065</v>
      </c>
      <c r="V28" s="27" t="n">
        <v>0</v>
      </c>
      <c r="W28" s="27" t="n">
        <v>0</v>
      </c>
      <c r="X28" s="27" t="n">
        <v>0</v>
      </c>
      <c r="Y28" s="27" t="n">
        <v>0</v>
      </c>
      <c r="Z28" s="27" t="n">
        <v>20000</v>
      </c>
      <c r="AA28" s="28" t="n">
        <v>2851604.334285065</v>
      </c>
      <c r="AB28" s="28" t="n">
        <v>6173619.294899239</v>
      </c>
    </row>
    <row r="29" ht="15" customHeight="1">
      <c r="A29" s="25" t="n">
        <v>2052</v>
      </c>
      <c r="B29" s="26" t="n">
        <v>90</v>
      </c>
      <c r="C29" s="26" t="n">
        <v>91</v>
      </c>
      <c r="D29" s="27" t="n">
        <v>20146.55652450085</v>
      </c>
      <c r="E29" s="27" t="n">
        <v>17251.00839035763</v>
      </c>
      <c r="F29" s="27" t="n">
        <v>89888.00485076271</v>
      </c>
      <c r="G29" s="27" t="n">
        <v>18403.45049006846</v>
      </c>
      <c r="H29" s="27" t="n">
        <v>233284.9685707547</v>
      </c>
      <c r="I29" s="28" t="n">
        <v>378973.9888264444</v>
      </c>
      <c r="J29" s="27" t="n">
        <v>0</v>
      </c>
      <c r="K29" s="27" t="n">
        <v>0</v>
      </c>
      <c r="L29" s="27" t="n">
        <v>0</v>
      </c>
      <c r="M29" s="28" t="n">
        <v>0</v>
      </c>
      <c r="N29" s="27" t="n">
        <v>1545937.177335285</v>
      </c>
      <c r="O29" s="27" t="n">
        <v>1314917.183456607</v>
      </c>
      <c r="P29" s="28" t="n">
        <v>2860854.360791892</v>
      </c>
      <c r="Q29" s="27" t="n">
        <v>0</v>
      </c>
      <c r="R29" s="27" t="n">
        <v>0</v>
      </c>
      <c r="S29" s="28" t="n">
        <v>0</v>
      </c>
      <c r="T29" s="27" t="n">
        <v>0</v>
      </c>
      <c r="U29" s="27" t="n">
        <v>2916552.464313617</v>
      </c>
      <c r="V29" s="27" t="n">
        <v>0</v>
      </c>
      <c r="W29" s="27" t="n">
        <v>0</v>
      </c>
      <c r="X29" s="27" t="n">
        <v>0</v>
      </c>
      <c r="Y29" s="27" t="n">
        <v>0</v>
      </c>
      <c r="Z29" s="27" t="n">
        <v>20000</v>
      </c>
      <c r="AA29" s="28" t="n">
        <v>2936552.464313617</v>
      </c>
      <c r="AB29" s="28" t="n">
        <v>6176380.813931953</v>
      </c>
    </row>
    <row r="30" ht="15" customHeight="1">
      <c r="A30" s="25" t="n">
        <v>2053</v>
      </c>
      <c r="B30" s="26" t="n">
        <v>91</v>
      </c>
      <c r="C30" s="26" t="n">
        <v>92</v>
      </c>
      <c r="D30" s="27" t="n">
        <v>16572.6299159709</v>
      </c>
      <c r="E30" s="27" t="n">
        <v>14263.57718329032</v>
      </c>
      <c r="F30" s="27" t="n">
        <v>74744.4360214453</v>
      </c>
      <c r="G30" s="27" t="n">
        <v>12689.72559546325</v>
      </c>
      <c r="H30" s="27" t="n">
        <v>193639.4934595543</v>
      </c>
      <c r="I30" s="28" t="n">
        <v>311909.862175724</v>
      </c>
      <c r="J30" s="27" t="n">
        <v>0</v>
      </c>
      <c r="K30" s="27" t="n">
        <v>0</v>
      </c>
      <c r="L30" s="27" t="n">
        <v>0</v>
      </c>
      <c r="M30" s="28" t="n">
        <v>0</v>
      </c>
      <c r="N30" s="27" t="n">
        <v>1531666.627654626</v>
      </c>
      <c r="O30" s="27" t="n">
        <v>1302779.179876918</v>
      </c>
      <c r="P30" s="28" t="n">
        <v>2834445.807531544</v>
      </c>
      <c r="Q30" s="27" t="n">
        <v>0</v>
      </c>
      <c r="R30" s="27" t="n">
        <v>0</v>
      </c>
      <c r="S30" s="28" t="n">
        <v>0</v>
      </c>
      <c r="T30" s="27" t="n">
        <v>0</v>
      </c>
      <c r="U30" s="27" t="n">
        <v>3004049.038243025</v>
      </c>
      <c r="V30" s="27" t="n">
        <v>0</v>
      </c>
      <c r="W30" s="27" t="n">
        <v>0</v>
      </c>
      <c r="X30" s="27" t="n">
        <v>0</v>
      </c>
      <c r="Y30" s="27" t="n">
        <v>0</v>
      </c>
      <c r="Z30" s="27" t="n">
        <v>20000</v>
      </c>
      <c r="AA30" s="28" t="n">
        <v>3024049.038243025</v>
      </c>
      <c r="AB30" s="28" t="n">
        <v>6170404.707950293</v>
      </c>
    </row>
    <row r="31" ht="15" customHeight="1">
      <c r="A31" s="25" t="n">
        <v>2054</v>
      </c>
      <c r="B31" s="26" t="n">
        <v>92</v>
      </c>
      <c r="C31" s="26" t="n">
        <v>93</v>
      </c>
      <c r="D31" s="27" t="n">
        <v>12784.26771092916</v>
      </c>
      <c r="E31" s="27" t="n">
        <v>11062.38017786466</v>
      </c>
      <c r="F31" s="27" t="n">
        <v>58312.03707280431</v>
      </c>
      <c r="G31" s="27" t="n">
        <v>6566.127548158184</v>
      </c>
      <c r="H31" s="27" t="n">
        <v>150793.0881476459</v>
      </c>
      <c r="I31" s="28" t="n">
        <v>239517.9006574022</v>
      </c>
      <c r="J31" s="27" t="n">
        <v>0</v>
      </c>
      <c r="K31" s="27" t="n">
        <v>0</v>
      </c>
      <c r="L31" s="27" t="n">
        <v>0</v>
      </c>
      <c r="M31" s="28" t="n">
        <v>0</v>
      </c>
      <c r="N31" s="27" t="n">
        <v>0</v>
      </c>
      <c r="O31" s="27" t="n">
        <v>2801007.048983314</v>
      </c>
      <c r="P31" s="28" t="n">
        <v>2801007.048983314</v>
      </c>
      <c r="Q31" s="27" t="n">
        <v>0</v>
      </c>
      <c r="R31" s="27" t="n">
        <v>0</v>
      </c>
      <c r="S31" s="28" t="n">
        <v>0</v>
      </c>
      <c r="T31" s="27" t="n">
        <v>0</v>
      </c>
      <c r="U31" s="27" t="n">
        <v>3094170.509390316</v>
      </c>
      <c r="V31" s="27" t="n">
        <v>0</v>
      </c>
      <c r="W31" s="27" t="n">
        <v>0</v>
      </c>
      <c r="X31" s="27" t="n">
        <v>0</v>
      </c>
      <c r="Y31" s="27" t="n">
        <v>0</v>
      </c>
      <c r="Z31" s="27" t="n">
        <v>20000</v>
      </c>
      <c r="AA31" s="28" t="n">
        <v>3114170.509390316</v>
      </c>
      <c r="AB31" s="28" t="n">
        <v>6155895.459031032</v>
      </c>
    </row>
    <row r="32" ht="15" customHeight="1">
      <c r="A32" s="25" t="n">
        <v>2055</v>
      </c>
      <c r="B32" s="26" t="n">
        <v>93</v>
      </c>
      <c r="C32" s="26" t="n">
        <v>94</v>
      </c>
      <c r="D32" s="27" t="n">
        <v>8768.603773584906</v>
      </c>
      <c r="E32" s="27" t="n">
        <v>7630.517632355747</v>
      </c>
      <c r="F32" s="27" t="n">
        <v>40468.60783634771</v>
      </c>
      <c r="G32" s="27" t="n">
        <v>0</v>
      </c>
      <c r="H32" s="27" t="n">
        <v>104454.811894416</v>
      </c>
      <c r="I32" s="28" t="n">
        <v>161322.5411367043</v>
      </c>
      <c r="J32" s="27" t="n">
        <v>0</v>
      </c>
      <c r="K32" s="27" t="n">
        <v>0</v>
      </c>
      <c r="L32" s="27" t="n">
        <v>0</v>
      </c>
      <c r="M32" s="28" t="n">
        <v>0</v>
      </c>
      <c r="N32" s="27" t="n">
        <v>0</v>
      </c>
      <c r="O32" s="27" t="n">
        <v>2760778.429790726</v>
      </c>
      <c r="P32" s="28" t="n">
        <v>2760778.429790726</v>
      </c>
      <c r="Q32" s="27" t="n">
        <v>0</v>
      </c>
      <c r="R32" s="27" t="n">
        <v>0</v>
      </c>
      <c r="S32" s="28" t="n">
        <v>0</v>
      </c>
      <c r="T32" s="27" t="n">
        <v>0</v>
      </c>
      <c r="U32" s="27" t="n">
        <v>3186995.624672025</v>
      </c>
      <c r="V32" s="27" t="n">
        <v>0</v>
      </c>
      <c r="W32" s="27" t="n">
        <v>0</v>
      </c>
      <c r="X32" s="27" t="n">
        <v>0</v>
      </c>
      <c r="Y32" s="27" t="n">
        <v>0</v>
      </c>
      <c r="Z32" s="27" t="n">
        <v>20000</v>
      </c>
      <c r="AA32" s="28" t="n">
        <v>3206995.624672025</v>
      </c>
      <c r="AB32" s="28" t="n">
        <v>6131568.595599456</v>
      </c>
    </row>
    <row r="33" ht="15" customHeight="1">
      <c r="A33" s="25" t="n">
        <v>2056</v>
      </c>
      <c r="B33" s="26" t="n">
        <v>94</v>
      </c>
      <c r="C33" s="26" t="n">
        <v>95</v>
      </c>
      <c r="D33" s="27" t="n">
        <v>4512</v>
      </c>
      <c r="E33" s="27" t="n">
        <v>3949.674637036996</v>
      </c>
      <c r="F33" s="27" t="n">
        <v>21080.19734123627</v>
      </c>
      <c r="G33" s="27" t="n">
        <v>0</v>
      </c>
      <c r="H33" s="27" t="n">
        <v>54306.45241311462</v>
      </c>
      <c r="I33" s="28" t="n">
        <v>83848.32439138788</v>
      </c>
      <c r="J33" s="27" t="n">
        <v>0</v>
      </c>
      <c r="K33" s="27" t="n">
        <v>0</v>
      </c>
      <c r="L33" s="27" t="n">
        <v>0</v>
      </c>
      <c r="M33" s="28" t="n">
        <v>0</v>
      </c>
      <c r="N33" s="27" t="n">
        <v>0</v>
      </c>
      <c r="O33" s="27" t="n">
        <v>2713573.961810756</v>
      </c>
      <c r="P33" s="28" t="n">
        <v>2713573.961810756</v>
      </c>
      <c r="Q33" s="27" t="n">
        <v>0</v>
      </c>
      <c r="R33" s="27" t="n">
        <v>0</v>
      </c>
      <c r="S33" s="28" t="n">
        <v>0</v>
      </c>
      <c r="T33" s="27" t="n">
        <v>0</v>
      </c>
      <c r="U33" s="27" t="n">
        <v>3282605.493412186</v>
      </c>
      <c r="V33" s="27" t="n">
        <v>0</v>
      </c>
      <c r="W33" s="27" t="n">
        <v>0</v>
      </c>
      <c r="X33" s="27" t="n">
        <v>0</v>
      </c>
      <c r="Y33" s="27" t="n">
        <v>0</v>
      </c>
      <c r="Z33" s="27" t="n">
        <v>20000</v>
      </c>
      <c r="AA33" s="28" t="n">
        <v>3302605.493412186</v>
      </c>
      <c r="AB33" s="28" t="n">
        <v>6103848.09961433</v>
      </c>
    </row>
    <row r="34"/>
    <row r="35" ht="15" customHeight="1">
      <c r="A35" s="13" t="inlineStr">
        <is>
          <t>Summary: Plan Start vs Plan End</t>
        </is>
      </c>
      <c r="B35" s="3" t="n"/>
      <c r="C35" s="3" t="n"/>
      <c r="D35" s="3" t="n"/>
      <c r="E35" s="4" t="n"/>
    </row>
    <row r="36" ht="30" customHeight="1">
      <c r="A36" s="5" t="inlineStr">
        <is>
          <t>Group</t>
        </is>
      </c>
      <c r="B36" s="5" t="inlineStr">
        <is>
          <t>Plan Start (2026)</t>
        </is>
      </c>
      <c r="C36" s="5" t="inlineStr">
        <is>
          <t>Plan End (2056)</t>
        </is>
      </c>
      <c r="D36" s="5" t="inlineStr">
        <is>
          <t>Change</t>
        </is>
      </c>
      <c r="E36" s="5" t="inlineStr">
        <is>
          <t>% Change</t>
        </is>
      </c>
    </row>
    <row r="37" ht="30" customHeight="1">
      <c r="A37" s="12" t="inlineStr">
        <is>
          <t>Annuities &amp; Pension</t>
        </is>
      </c>
      <c r="B37" s="27" t="n">
        <v>1360665.816031712</v>
      </c>
      <c r="C37" s="27" t="n">
        <v>83848.32439138788</v>
      </c>
      <c r="D37" s="27" t="n">
        <v>-1276817.491640324</v>
      </c>
      <c r="E37" s="29" t="n">
        <v>-0.9383769891155745</v>
      </c>
    </row>
    <row r="38" ht="15" customHeight="1">
      <c r="A38" s="12" t="inlineStr">
        <is>
          <t>Pre-Tax</t>
        </is>
      </c>
      <c r="B38" s="27" t="n">
        <v>1744793.075797302</v>
      </c>
      <c r="C38" s="27" t="n">
        <v>0</v>
      </c>
      <c r="D38" s="27" t="n">
        <v>-1744793.075797302</v>
      </c>
      <c r="E38" s="29" t="n">
        <v>-1</v>
      </c>
    </row>
    <row r="39" ht="15" customHeight="1">
      <c r="A39" s="12" t="inlineStr">
        <is>
          <t>Roth</t>
        </is>
      </c>
      <c r="B39" s="27" t="n">
        <v>483305.5680523152</v>
      </c>
      <c r="C39" s="27" t="n">
        <v>2713573.961810756</v>
      </c>
      <c r="D39" s="27" t="n">
        <v>2230268.39375844</v>
      </c>
      <c r="E39" s="29" t="n">
        <v>4.614613489238812</v>
      </c>
    </row>
    <row r="40" ht="15" customHeight="1">
      <c r="A40" s="12" t="inlineStr">
        <is>
          <t>Trusts</t>
        </is>
      </c>
      <c r="B40" s="27" t="n">
        <v>405183.5536691962</v>
      </c>
      <c r="C40" s="27" t="n">
        <v>0</v>
      </c>
      <c r="D40" s="27" t="n">
        <v>-405183.5536691962</v>
      </c>
      <c r="E40" s="29" t="n">
        <v>-1</v>
      </c>
    </row>
    <row r="41" ht="15" customHeight="1">
      <c r="A41" s="12" t="inlineStr">
        <is>
          <t>HSA</t>
        </is>
      </c>
      <c r="B41" s="27" t="n">
        <v>78082.4731899976</v>
      </c>
      <c r="C41" s="27" t="n">
        <v>0</v>
      </c>
      <c r="D41" s="27" t="n">
        <v>-78082.4731899976</v>
      </c>
      <c r="E41" s="29" t="n">
        <v>-1</v>
      </c>
    </row>
    <row r="42" ht="30" customHeight="1">
      <c r="A42" s="12" t="inlineStr">
        <is>
          <t>Other Assets</t>
        </is>
      </c>
      <c r="B42" s="27" t="n">
        <v>1609246.285714286</v>
      </c>
      <c r="C42" s="27" t="n">
        <v>3282605.493412186</v>
      </c>
      <c r="D42" s="27" t="n">
        <v>1673359.207697901</v>
      </c>
      <c r="E42" s="29" t="n">
        <v>1.039840341750522</v>
      </c>
    </row>
    <row r="43" ht="45" customHeight="1">
      <c r="A43" s="11" t="inlineStr">
        <is>
          <t>TOTAL</t>
        </is>
      </c>
      <c r="B43" s="30" t="n">
        <v>5681276.772454808</v>
      </c>
      <c r="C43" s="30" t="n">
        <v>6103848.09961433</v>
      </c>
      <c r="D43" s="30" t="n">
        <v>422571.3271595212</v>
      </c>
      <c r="E43" s="31" t="n">
        <v>0.07437964107088087</v>
      </c>
    </row>
  </sheetData>
  <mergeCells count="7">
    <mergeCell ref="U1:AA1"/>
    <mergeCell ref="A35:E35"/>
    <mergeCell ref="A1:C1"/>
    <mergeCell ref="N1:P1"/>
    <mergeCell ref="Q1:S1"/>
    <mergeCell ref="J1:M1"/>
    <mergeCell ref="D1:I1"/>
  </mergeCells>
  <pageMargins left="0.75" right="0.75" top="1" bottom="1" header="0.5" footer="0.5"/>
</worksheet>
</file>

<file path=xl/worksheets/sheet4.xml><?xml version="1.0" encoding="utf-8"?>
<worksheet xmlns="http://schemas.openxmlformats.org/spreadsheetml/2006/main">
  <sheetPr>
    <tabColor rgb="002E75B6"/>
    <outlinePr summaryBelow="0" summaryRight="0"/>
    <pageSetUpPr/>
  </sheetPr>
  <dimension ref="A1:BO33"/>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4.4" customWidth="1" min="3" max="3"/>
    <col outlineLevel="1" width="9.4" customWidth="1" min="4" max="4"/>
    <col outlineLevel="1" width="9.4" customWidth="1" min="5" max="5"/>
    <col outlineLevel="1" width="9.4" customWidth="1" min="6" max="6"/>
    <col outlineLevel="1" width="9.4" customWidth="1" min="7" max="7"/>
    <col outlineLevel="1" width="9.4" customWidth="1" min="8" max="8"/>
    <col outlineLevel="1" width="9.4" customWidth="1" min="9" max="9"/>
    <col outlineLevel="1" width="9.4" customWidth="1" min="10" max="10"/>
    <col outlineLevel="1" width="9.4" customWidth="1" min="11" max="11"/>
    <col outlineLevel="1" width="9.4" customWidth="1" min="12" max="12"/>
    <col outlineLevel="1" width="9.4" customWidth="1" min="13" max="13"/>
    <col width="9.4" customWidth="1" min="14" max="14"/>
    <col width="9.4" customWidth="1" min="15" max="15"/>
    <col width="9.4" customWidth="1" min="16" max="16"/>
    <col width="9.4" customWidth="1" min="17" max="17"/>
    <col width="9.4" customWidth="1" min="18" max="18"/>
    <col width="9.4" customWidth="1" min="19" max="19"/>
    <col width="9.4" customWidth="1" min="20" max="20"/>
    <col width="9.4" customWidth="1" min="21" max="21"/>
    <col width="9.4" customWidth="1" min="22" max="22"/>
    <col width="9.4" customWidth="1" min="23" max="23"/>
    <col outlineLevel="1" width="9.4" customWidth="1" min="24" max="24"/>
    <col outlineLevel="1" width="9.4" customWidth="1" min="25" max="25"/>
    <col outlineLevel="1" width="9.4" customWidth="1" min="26" max="26"/>
    <col outlineLevel="1" width="9.4" customWidth="1" min="27" max="27"/>
    <col outlineLevel="1" width="9.4" customWidth="1" min="28" max="28"/>
    <col outlineLevel="1" width="9.4" customWidth="1" min="29" max="29"/>
    <col width="9.4" customWidth="1" min="30" max="30"/>
    <col outlineLevel="1" width="9.4" customWidth="1" min="31" max="31"/>
    <col outlineLevel="1" width="9.4" customWidth="1" min="32" max="32"/>
    <col outlineLevel="1" width="9.4" customWidth="1" min="33" max="33"/>
    <col outlineLevel="1" width="9.4" customWidth="1" min="34" max="34"/>
    <col outlineLevel="1" width="9.4" customWidth="1" min="35" max="35"/>
    <col outlineLevel="1" width="9.4" customWidth="1" min="36" max="36"/>
    <col width="9.4" customWidth="1" min="37" max="37"/>
    <col width="9.4" customWidth="1" min="38" max="38"/>
    <col width="9.4" customWidth="1" min="39" max="39"/>
    <col width="9.4" customWidth="1" min="40" max="40"/>
    <col width="9.4" customWidth="1" min="41" max="41"/>
    <col width="9.4" customWidth="1" min="42" max="42"/>
    <col width="9.4" customWidth="1" min="43" max="43"/>
    <col width="9.4" customWidth="1" min="44" max="44"/>
    <col width="9.4" customWidth="1" min="45" max="45"/>
    <col width="9.4" customWidth="1" min="46" max="46"/>
    <col width="9.4" customWidth="1" min="47" max="47"/>
    <col outlineLevel="1" width="9.4" customWidth="1" min="48" max="48"/>
    <col outlineLevel="1" width="9.4" customWidth="1" min="49" max="49"/>
    <col width="9.4" customWidth="1" min="50" max="50"/>
    <col width="9.4" customWidth="1" min="51" max="51"/>
    <col outlineLevel="1" width="9.4" customWidth="1" min="52" max="52"/>
    <col outlineLevel="1" width="9.4" customWidth="1" min="53" max="53"/>
    <col width="9.4" customWidth="1" min="54" max="54"/>
    <col outlineLevel="1" width="9.4" customWidth="1" min="55" max="55"/>
    <col outlineLevel="1" width="9.4" customWidth="1" min="56" max="56"/>
    <col outlineLevel="1" width="9.4" customWidth="1" min="57" max="57"/>
    <col width="9.4" customWidth="1" min="58" max="58"/>
    <col outlineLevel="1" width="9.4" customWidth="1" min="59" max="59"/>
    <col outlineLevel="1" width="9.4" customWidth="1" min="60" max="60"/>
    <col outlineLevel="1" width="9.4" customWidth="1" min="61" max="61"/>
    <col width="9.4" customWidth="1" min="62" max="62"/>
    <col outlineLevel="1" width="9.4" customWidth="1" min="63" max="63"/>
    <col width="9.4" customWidth="1" min="64" max="64"/>
    <col width="9.4" customWidth="1" min="65" max="65"/>
    <col width="9.4" customWidth="1" min="66" max="66"/>
    <col width="9.4" customWidth="1" min="67" max="67"/>
  </cols>
  <sheetData>
    <row r="1" ht="18" customHeight="1">
      <c r="A1" s="5" t="inlineStr">
        <is>
          <t>Identifiers</t>
        </is>
      </c>
      <c r="B1" s="3" t="n"/>
      <c r="C1" s="4" t="n"/>
      <c r="D1" s="10" t="inlineStr">
        <is>
          <t>INCOME</t>
        </is>
      </c>
      <c r="E1" s="3" t="n"/>
      <c r="F1" s="3" t="n"/>
      <c r="G1" s="3" t="n"/>
      <c r="H1" s="3" t="n"/>
      <c r="I1" s="3" t="n"/>
      <c r="J1" s="3" t="n"/>
      <c r="K1" s="3" t="n"/>
      <c r="L1" s="3" t="n"/>
      <c r="M1" s="3" t="n"/>
      <c r="N1" s="4" t="n"/>
      <c r="O1" s="17" t="inlineStr">
        <is>
          <t>TAX &amp; RMD</t>
        </is>
      </c>
      <c r="P1" s="3" t="n"/>
      <c r="Q1" s="3" t="n"/>
      <c r="R1" s="3" t="n"/>
      <c r="S1" s="3" t="n"/>
      <c r="T1" s="3" t="n"/>
      <c r="U1" s="4" t="n"/>
      <c r="V1" s="32" t="inlineStr">
        <is>
          <t>SPENDING</t>
        </is>
      </c>
      <c r="W1" s="3" t="n"/>
      <c r="X1" s="3" t="n"/>
      <c r="Y1" s="3" t="n"/>
      <c r="Z1" s="3" t="n"/>
      <c r="AA1" s="3" t="n"/>
      <c r="AB1" s="3" t="n"/>
      <c r="AC1" s="3" t="n"/>
      <c r="AD1" s="3" t="n"/>
      <c r="AE1" s="3" t="n"/>
      <c r="AF1" s="3" t="n"/>
      <c r="AG1" s="3" t="n"/>
      <c r="AH1" s="3" t="n"/>
      <c r="AI1" s="3" t="n"/>
      <c r="AJ1" s="3" t="n"/>
      <c r="AK1" s="3" t="n"/>
      <c r="AL1" s="3" t="n"/>
      <c r="AM1" s="3" t="n"/>
      <c r="AN1" s="4" t="n"/>
      <c r="AO1" s="13" t="inlineStr">
        <is>
          <t>CASH BRIDGE</t>
        </is>
      </c>
      <c r="AP1" s="3" t="n"/>
      <c r="AQ1" s="3" t="n"/>
      <c r="AR1" s="3" t="n"/>
      <c r="AS1" s="3" t="n"/>
      <c r="AT1" s="3" t="n"/>
      <c r="AU1" s="4" t="n"/>
      <c r="AV1" s="20" t="inlineStr">
        <is>
          <t>ACCOUNT OUTFLOWS — CASH DRAWS &amp; IRA CONVERSIONS</t>
        </is>
      </c>
      <c r="AW1" s="3" t="n"/>
      <c r="AX1" s="3" t="n"/>
      <c r="AY1" s="3" t="n"/>
      <c r="AZ1" s="3" t="n"/>
      <c r="BA1" s="3" t="n"/>
      <c r="BB1" s="3" t="n"/>
      <c r="BC1" s="3" t="n"/>
      <c r="BD1" s="3" t="n"/>
      <c r="BE1" s="3" t="n"/>
      <c r="BF1" s="3" t="n"/>
      <c r="BG1" s="3" t="n"/>
      <c r="BH1" s="3" t="n"/>
      <c r="BI1" s="3" t="n"/>
      <c r="BJ1" s="3" t="n"/>
      <c r="BK1" s="3" t="n"/>
      <c r="BL1" s="3" t="n"/>
      <c r="BM1" s="4" t="n"/>
      <c r="BN1" s="13" t="inlineStr">
        <is>
          <t>SURPLUS</t>
        </is>
      </c>
      <c r="BO1" s="4" t="n"/>
    </row>
    <row r="2" ht="72" customHeight="1">
      <c r="A2" s="23" t="inlineStr">
        <is>
          <t>Year</t>
        </is>
      </c>
      <c r="B2" s="23" t="inlineStr">
        <is>
          <t>Matthew Age</t>
        </is>
      </c>
      <c r="C2" s="23" t="inlineStr">
        <is>
          <t>Patricia Age</t>
        </is>
      </c>
      <c r="D2" s="23" t="inlineStr">
        <is>
          <t>Earned</t>
        </is>
      </c>
      <c r="E2" s="23" t="inlineStr">
        <is>
          <t>Matthew SS</t>
        </is>
      </c>
      <c r="F2" s="23" t="inlineStr">
        <is>
          <t>Patricia SS</t>
        </is>
      </c>
      <c r="G2" s="23" t="inlineStr">
        <is>
          <t>Pension</t>
        </is>
      </c>
      <c r="H2" s="23" t="inlineStr">
        <is>
          <t>Patricia Single Ann</t>
        </is>
      </c>
      <c r="I2" s="23" t="inlineStr">
        <is>
          <t>Patricia Joint Ann</t>
        </is>
      </c>
      <c r="J2" s="23" t="inlineStr">
        <is>
          <t>Matthew Single Ann</t>
        </is>
      </c>
      <c r="K2" s="23" t="inlineStr">
        <is>
          <t>Matthew Joint Ann</t>
        </is>
      </c>
      <c r="L2" s="23" t="inlineStr">
        <is>
          <t>Note P+I</t>
        </is>
      </c>
      <c r="M2" s="23" t="inlineStr">
        <is>
          <t>RMD Dist</t>
        </is>
      </c>
      <c r="N2" s="24" t="inlineStr">
        <is>
          <t>Σ Income</t>
        </is>
      </c>
      <c r="O2" s="23" t="inlineStr">
        <is>
          <t>Roth Conv</t>
        </is>
      </c>
      <c r="P2" s="24" t="inlineStr">
        <is>
          <t>AGI</t>
        </is>
      </c>
      <c r="Q2" s="23" t="inlineStr">
        <is>
          <t>Taxable Inc</t>
        </is>
      </c>
      <c r="R2" s="23" t="inlineStr">
        <is>
          <t>Fed Tax</t>
        </is>
      </c>
      <c r="S2" s="23" t="inlineStr">
        <is>
          <t>State Tax</t>
        </is>
      </c>
      <c r="T2" s="23" t="inlineStr">
        <is>
          <t>NIIT</t>
        </is>
      </c>
      <c r="U2" s="23" t="inlineStr">
        <is>
          <t>IRMAA</t>
        </is>
      </c>
      <c r="V2" s="23" t="inlineStr">
        <is>
          <t>Spend Base</t>
        </is>
      </c>
      <c r="W2" s="23" t="inlineStr">
        <is>
          <t>Housing</t>
        </is>
      </c>
      <c r="X2" s="23" t="inlineStr">
        <is>
          <t>Mortgage P&amp;I</t>
        </is>
      </c>
      <c r="Y2" s="23" t="inlineStr">
        <is>
          <t>Property Tax</t>
        </is>
      </c>
      <c r="Z2" s="23" t="inlineStr">
        <is>
          <t>Utilities</t>
        </is>
      </c>
      <c r="AA2" s="23" t="inlineStr">
        <is>
          <t>Home Impr</t>
        </is>
      </c>
      <c r="AB2" s="23" t="inlineStr">
        <is>
          <t>Maintenance</t>
        </is>
      </c>
      <c r="AC2" s="23" t="inlineStr">
        <is>
          <t>Other</t>
        </is>
      </c>
      <c r="AD2" s="23" t="inlineStr">
        <is>
          <t>Wellness</t>
        </is>
      </c>
      <c r="AE2" s="23" t="inlineStr">
        <is>
          <t>Healthcare Premiums</t>
        </is>
      </c>
      <c r="AF2" s="23" t="inlineStr">
        <is>
          <t>Medical</t>
        </is>
      </c>
      <c r="AG2" s="23" t="inlineStr">
        <is>
          <t>Dental</t>
        </is>
      </c>
      <c r="AH2" s="23" t="inlineStr">
        <is>
          <t>Vision</t>
        </is>
      </c>
      <c r="AI2" s="23" t="inlineStr">
        <is>
          <t>Rx/OTC</t>
        </is>
      </c>
      <c r="AJ2" s="23" t="inlineStr">
        <is>
          <t>Other Wellness</t>
        </is>
      </c>
      <c r="AK2" s="23" t="inlineStr">
        <is>
          <t>Travel</t>
        </is>
      </c>
      <c r="AL2" s="23" t="inlineStr">
        <is>
          <t>Other</t>
        </is>
      </c>
      <c r="AM2" s="24" t="inlineStr">
        <is>
          <t>HELOC P&amp;I</t>
        </is>
      </c>
      <c r="AN2" s="24" t="inlineStr">
        <is>
          <t>Σ Spend</t>
        </is>
      </c>
      <c r="AO2" s="23" t="inlineStr">
        <is>
          <t>Taxes</t>
        </is>
      </c>
      <c r="AP2" s="24" t="inlineStr">
        <is>
          <t>Total Cash Need</t>
        </is>
      </c>
      <c r="AQ2" s="23" t="inlineStr">
        <is>
          <t>Income Funding</t>
        </is>
      </c>
      <c r="AR2" s="23" t="inlineStr">
        <is>
          <t>Portfolio Income</t>
        </is>
      </c>
      <c r="AS2" s="23" t="inlineStr">
        <is>
          <t>Other Funding</t>
        </is>
      </c>
      <c r="AT2" s="24" t="inlineStr">
        <is>
          <t>Required Portfolio Cash Draws</t>
        </is>
      </c>
      <c r="AU2" s="24" t="inlineStr">
        <is>
          <t>Cash Bridge Gap / (Surplus)</t>
        </is>
      </c>
      <c r="AV2" s="23" t="inlineStr">
        <is>
          <t>Matthew Trust WD</t>
        </is>
      </c>
      <c r="AW2" s="23" t="inlineStr">
        <is>
          <t>Patricia Trust WD</t>
        </is>
      </c>
      <c r="AX2" s="24" t="inlineStr">
        <is>
          <t>Σ Trust</t>
        </is>
      </c>
      <c r="AY2" s="23" t="inlineStr">
        <is>
          <t>HSA WD</t>
        </is>
      </c>
      <c r="AZ2" s="23" t="inlineStr">
        <is>
          <t>Matthew Roth WD</t>
        </is>
      </c>
      <c r="BA2" s="23" t="inlineStr">
        <is>
          <t>Patricia Roth WD</t>
        </is>
      </c>
      <c r="BB2" s="24" t="inlineStr">
        <is>
          <t>Σ Roth</t>
        </is>
      </c>
      <c r="BC2" s="23" t="inlineStr">
        <is>
          <t>Matthew IRA RMD</t>
        </is>
      </c>
      <c r="BD2" s="23" t="inlineStr">
        <is>
          <t>Matthew IRA Elec</t>
        </is>
      </c>
      <c r="BE2" s="23" t="inlineStr">
        <is>
          <t>Matthew IRA Conv</t>
        </is>
      </c>
      <c r="BF2" s="24" t="inlineStr">
        <is>
          <t>Matthew IRA Outflow</t>
        </is>
      </c>
      <c r="BG2" s="23" t="inlineStr">
        <is>
          <t>Patricia IRA RMD</t>
        </is>
      </c>
      <c r="BH2" s="23" t="inlineStr">
        <is>
          <t>Patricia IRA Elec</t>
        </is>
      </c>
      <c r="BI2" s="23" t="inlineStr">
        <is>
          <t>Patricia IRA Conv</t>
        </is>
      </c>
      <c r="BJ2" s="24" t="inlineStr">
        <is>
          <t>Patricia IRA Outflow</t>
        </is>
      </c>
      <c r="BK2" s="23" t="inlineStr">
        <is>
          <t>HELOC Draw</t>
        </is>
      </c>
      <c r="BL2" s="24" t="inlineStr">
        <is>
          <t>HELOC Bal</t>
        </is>
      </c>
      <c r="BM2" s="24" t="inlineStr">
        <is>
          <t>Σ Cash Draws</t>
        </is>
      </c>
      <c r="BN2" s="23" t="inlineStr">
        <is>
          <t>Surplus</t>
        </is>
      </c>
      <c r="BO2" s="23" t="inlineStr">
        <is>
          <t>NW Check</t>
        </is>
      </c>
    </row>
    <row r="3">
      <c r="A3" s="26" t="n">
        <v>2026</v>
      </c>
      <c r="B3" s="26" t="n">
        <v>64</v>
      </c>
      <c r="C3" s="26" t="n">
        <v>65</v>
      </c>
      <c r="D3" s="27" t="n">
        <v>290000</v>
      </c>
      <c r="E3" s="27" t="n">
        <v>0</v>
      </c>
      <c r="F3" s="27" t="n">
        <v>0</v>
      </c>
      <c r="G3" s="27" t="n">
        <v>4512</v>
      </c>
      <c r="H3" s="27" t="n">
        <v>0</v>
      </c>
      <c r="I3" s="27" t="n">
        <v>0</v>
      </c>
      <c r="J3" s="27" t="n">
        <v>0</v>
      </c>
      <c r="K3" s="27" t="n">
        <v>0</v>
      </c>
      <c r="L3" s="27" t="n">
        <v>100546.63</v>
      </c>
      <c r="M3" s="27" t="n">
        <v>0</v>
      </c>
      <c r="N3" s="28" t="n">
        <v>395058.63</v>
      </c>
      <c r="O3" s="27" t="n">
        <v>125000</v>
      </c>
      <c r="P3" s="28" t="n">
        <v>447372.89762428</v>
      </c>
      <c r="Q3" s="27" t="n">
        <v>364148.5178139996</v>
      </c>
      <c r="R3" s="27" t="n">
        <v>72803.5242753599</v>
      </c>
      <c r="S3" s="27" t="n">
        <v>15734.11443240186</v>
      </c>
      <c r="T3" s="27" t="n">
        <v>2399.897797239785</v>
      </c>
      <c r="U3" s="27" t="n">
        <v>5335.200000000001</v>
      </c>
      <c r="V3" s="27" t="n">
        <v>314340.5867123288</v>
      </c>
      <c r="W3" s="27" t="n">
        <v>105600</v>
      </c>
      <c r="X3" s="27" t="n">
        <v>36000</v>
      </c>
      <c r="Y3" s="27" t="n">
        <v>18000</v>
      </c>
      <c r="Z3" s="27" t="n">
        <v>13185</v>
      </c>
      <c r="AA3" s="27" t="n">
        <v>25000</v>
      </c>
      <c r="AB3" s="27" t="n">
        <v>2100</v>
      </c>
      <c r="AC3" s="27" t="n">
        <v>11315</v>
      </c>
      <c r="AD3" s="27" t="n">
        <v>21760.12</v>
      </c>
      <c r="AE3" s="27" t="n">
        <v>11760.12</v>
      </c>
      <c r="AF3" s="27" t="n">
        <v>4332.807096677191</v>
      </c>
      <c r="AG3" s="27" t="n">
        <v>1090.061644865434</v>
      </c>
      <c r="AH3" s="27" t="n">
        <v>789.3549842129003</v>
      </c>
      <c r="AI3" s="27" t="n">
        <v>1879.416629078334</v>
      </c>
      <c r="AJ3" s="27" t="n">
        <v>1908.35964516614</v>
      </c>
      <c r="AK3" s="27" t="n">
        <v>13647</v>
      </c>
      <c r="AL3" s="27" t="n">
        <v>0</v>
      </c>
      <c r="AM3" s="28" t="n">
        <v>0</v>
      </c>
      <c r="AN3" s="28" t="n">
        <v>455347.7067123288</v>
      </c>
      <c r="AO3" s="27" t="n">
        <v>107182.8646399376</v>
      </c>
      <c r="AP3" s="28" t="n">
        <v>540400.5454200906</v>
      </c>
      <c r="AQ3" s="27" t="n">
        <v>395058.63</v>
      </c>
      <c r="AR3" s="27" t="n">
        <v>10356.00762428</v>
      </c>
      <c r="AS3" s="27" t="n">
        <v>0</v>
      </c>
      <c r="AT3" s="28" t="n">
        <v>139115.9385901751</v>
      </c>
      <c r="AU3" s="28" t="n">
        <v>-4130.030794364517</v>
      </c>
      <c r="AV3" s="27" t="n">
        <v>53527.10849962672</v>
      </c>
      <c r="AW3" s="27" t="n">
        <v>85588.8098314291</v>
      </c>
      <c r="AX3" s="28" t="n">
        <v>139115.9183310558</v>
      </c>
      <c r="AY3" s="27" t="n">
        <v>0</v>
      </c>
      <c r="AZ3" s="27" t="n">
        <v>0</v>
      </c>
      <c r="BA3" s="27" t="n">
        <v>0</v>
      </c>
      <c r="BB3" s="28" t="n">
        <v>0</v>
      </c>
      <c r="BC3" s="27" t="n">
        <v>0</v>
      </c>
      <c r="BD3" s="27" t="n">
        <v>0.01624343593437293</v>
      </c>
      <c r="BE3" s="27" t="n">
        <v>0</v>
      </c>
      <c r="BF3" s="28" t="n">
        <v>0.01624343593437293</v>
      </c>
      <c r="BG3" s="27" t="n">
        <v>0</v>
      </c>
      <c r="BH3" s="27" t="n">
        <v>0.00401568331114502</v>
      </c>
      <c r="BI3" s="27" t="n">
        <v>125000</v>
      </c>
      <c r="BJ3" s="28" t="n">
        <v>125000.0040156833</v>
      </c>
      <c r="BK3" s="27" t="n">
        <v>0</v>
      </c>
      <c r="BL3" s="28" t="n">
        <v>0</v>
      </c>
      <c r="BM3" s="28" t="n">
        <v>139115.9385901751</v>
      </c>
      <c r="BN3" s="27" t="n">
        <v>0</v>
      </c>
      <c r="BO3" s="27" t="n">
        <v>5681276.772454808</v>
      </c>
    </row>
    <row r="4">
      <c r="A4" s="26" t="n">
        <v>2027</v>
      </c>
      <c r="B4" s="26" t="n">
        <v>65</v>
      </c>
      <c r="C4" s="26" t="n">
        <v>66</v>
      </c>
      <c r="D4" s="27" t="n">
        <v>0</v>
      </c>
      <c r="E4" s="27" t="n">
        <v>0</v>
      </c>
      <c r="F4" s="27" t="n">
        <v>0</v>
      </c>
      <c r="G4" s="27" t="n">
        <v>4512</v>
      </c>
      <c r="H4" s="27" t="n">
        <v>0</v>
      </c>
      <c r="I4" s="27" t="n">
        <v>0</v>
      </c>
      <c r="J4" s="27" t="n">
        <v>0</v>
      </c>
      <c r="K4" s="27" t="n">
        <v>0</v>
      </c>
      <c r="L4" s="27" t="n">
        <v>91445.62</v>
      </c>
      <c r="M4" s="27" t="n">
        <v>0</v>
      </c>
      <c r="N4" s="28" t="n">
        <v>95957.62</v>
      </c>
      <c r="O4" s="27" t="n">
        <v>228915.4845178686</v>
      </c>
      <c r="P4" s="28" t="n">
        <v>273360</v>
      </c>
      <c r="Q4" s="27" t="n">
        <v>234220.32</v>
      </c>
      <c r="R4" s="27" t="n">
        <v>41328.9144</v>
      </c>
      <c r="S4" s="27" t="n">
        <v>1976.659516365503</v>
      </c>
      <c r="T4" s="27" t="n">
        <v>887.6799999999999</v>
      </c>
      <c r="U4" s="27" t="n">
        <v>2167.2</v>
      </c>
      <c r="V4" s="27" t="n">
        <v>132285.475</v>
      </c>
      <c r="W4" s="27" t="n">
        <v>107340</v>
      </c>
      <c r="X4" s="27" t="n">
        <v>36000</v>
      </c>
      <c r="Y4" s="27" t="n">
        <v>18450</v>
      </c>
      <c r="Z4" s="27" t="n">
        <v>13514.625</v>
      </c>
      <c r="AA4" s="27" t="n">
        <v>25625</v>
      </c>
      <c r="AB4" s="27" t="n">
        <v>2152.5</v>
      </c>
      <c r="AC4" s="27" t="n">
        <v>11597.875</v>
      </c>
      <c r="AD4" s="27" t="n">
        <v>35185.751</v>
      </c>
      <c r="AE4" s="27" t="n">
        <v>24635.751</v>
      </c>
      <c r="AF4" s="27" t="n">
        <v>4605.983896086551</v>
      </c>
      <c r="AG4" s="27" t="n">
        <v>1158.788348976403</v>
      </c>
      <c r="AH4" s="27" t="n">
        <v>839.1225975346368</v>
      </c>
      <c r="AI4" s="27" t="n">
        <v>1917.426382315098</v>
      </c>
      <c r="AJ4" s="27" t="n">
        <v>2028.67877508731</v>
      </c>
      <c r="AK4" s="27" t="n">
        <v>13988.175</v>
      </c>
      <c r="AL4" s="27" t="n">
        <v>100000</v>
      </c>
      <c r="AM4" s="28" t="n">
        <v>0</v>
      </c>
      <c r="AN4" s="28" t="n">
        <v>388799.401</v>
      </c>
      <c r="AO4" s="27" t="n">
        <v>50613.9641653717</v>
      </c>
      <c r="AP4" s="28" t="n">
        <v>415822.1749163655</v>
      </c>
      <c r="AQ4" s="27" t="n">
        <v>95957.62</v>
      </c>
      <c r="AR4" s="27" t="n">
        <v>7768.51548213138</v>
      </c>
      <c r="AS4" s="27" t="n">
        <v>0</v>
      </c>
      <c r="AT4" s="28" t="n">
        <v>317237.2357273067</v>
      </c>
      <c r="AU4" s="28" t="n">
        <v>-5141.1962930726</v>
      </c>
      <c r="AV4" s="27" t="n">
        <v>121801.2803046803</v>
      </c>
      <c r="AW4" s="27" t="n">
        <v>195435.9302390163</v>
      </c>
      <c r="AX4" s="28" t="n">
        <v>317237.2105436966</v>
      </c>
      <c r="AY4" s="27" t="n">
        <v>0</v>
      </c>
      <c r="AZ4" s="27" t="n">
        <v>0</v>
      </c>
      <c r="BA4" s="27" t="n">
        <v>0</v>
      </c>
      <c r="BB4" s="28" t="n">
        <v>0</v>
      </c>
      <c r="BC4" s="27" t="n">
        <v>0</v>
      </c>
      <c r="BD4" s="27" t="n">
        <v>0.02324101667522666</v>
      </c>
      <c r="BE4" s="27" t="n">
        <v>0</v>
      </c>
      <c r="BF4" s="28" t="n">
        <v>0.02324101667522666</v>
      </c>
      <c r="BG4" s="27" t="n">
        <v>0</v>
      </c>
      <c r="BH4" s="27" t="n">
        <v>0.001942593434240941</v>
      </c>
      <c r="BI4" s="27" t="n">
        <v>228915.4845178686</v>
      </c>
      <c r="BJ4" s="28" t="n">
        <v>228915.486460462</v>
      </c>
      <c r="BK4" s="27" t="n">
        <v>0</v>
      </c>
      <c r="BL4" s="28" t="n">
        <v>0</v>
      </c>
      <c r="BM4" s="28" t="n">
        <v>317237.2357273067</v>
      </c>
      <c r="BN4" s="27" t="n">
        <v>0</v>
      </c>
      <c r="BO4" s="27" t="n">
        <v>5586586.287331431</v>
      </c>
    </row>
    <row r="5">
      <c r="A5" s="26" t="n">
        <v>2028</v>
      </c>
      <c r="B5" s="26" t="n">
        <v>66</v>
      </c>
      <c r="C5" s="26" t="n">
        <v>67</v>
      </c>
      <c r="D5" s="27" t="n">
        <v>0</v>
      </c>
      <c r="E5" s="27" t="n">
        <v>0</v>
      </c>
      <c r="F5" s="27" t="n">
        <v>0</v>
      </c>
      <c r="G5" s="27" t="n">
        <v>4512</v>
      </c>
      <c r="H5" s="27" t="n">
        <v>0</v>
      </c>
      <c r="I5" s="27" t="n">
        <v>27611.44723786938</v>
      </c>
      <c r="J5" s="27" t="n">
        <v>0</v>
      </c>
      <c r="K5" s="27" t="n">
        <v>0</v>
      </c>
      <c r="L5" s="27" t="n">
        <v>86731.62</v>
      </c>
      <c r="M5" s="27" t="n">
        <v>0</v>
      </c>
      <c r="N5" s="28" t="n">
        <v>118855.0672378694</v>
      </c>
      <c r="O5" s="27" t="n">
        <v>217498.9868825313</v>
      </c>
      <c r="P5" s="28" t="n">
        <v>278827.2</v>
      </c>
      <c r="Q5" s="27" t="n">
        <v>239324.7264</v>
      </c>
      <c r="R5" s="27" t="n">
        <v>42256.292688</v>
      </c>
      <c r="S5" s="27" t="n">
        <v>1445.635911040165</v>
      </c>
      <c r="T5" s="27" t="n">
        <v>1095.433600000001</v>
      </c>
      <c r="U5" s="27" t="n">
        <v>10670.4</v>
      </c>
      <c r="V5" s="27" t="n">
        <v>135592.611875</v>
      </c>
      <c r="W5" s="27" t="n">
        <v>109123.5</v>
      </c>
      <c r="X5" s="27" t="n">
        <v>36000</v>
      </c>
      <c r="Y5" s="27" t="n">
        <v>18911.25</v>
      </c>
      <c r="Z5" s="27" t="n">
        <v>13852.490625</v>
      </c>
      <c r="AA5" s="27" t="n">
        <v>26265.625</v>
      </c>
      <c r="AB5" s="27" t="n">
        <v>2206.3125</v>
      </c>
      <c r="AC5" s="27" t="n">
        <v>11887.821875</v>
      </c>
      <c r="AD5" s="27" t="n">
        <v>36940.6388275</v>
      </c>
      <c r="AE5" s="27" t="n">
        <v>25810.3888275</v>
      </c>
      <c r="AF5" s="27" t="n">
        <v>4895.153091821279</v>
      </c>
      <c r="AG5" s="27" t="n">
        <v>1231.538471959895</v>
      </c>
      <c r="AH5" s="27" t="n">
        <v>891.8037210744069</v>
      </c>
      <c r="AI5" s="27" t="n">
        <v>1955.713052337388</v>
      </c>
      <c r="AJ5" s="27" t="n">
        <v>2156.04166280703</v>
      </c>
      <c r="AK5" s="27" t="n">
        <v>14337.879375</v>
      </c>
      <c r="AL5" s="27" t="n">
        <v>50000</v>
      </c>
      <c r="AM5" s="28" t="n">
        <v>0</v>
      </c>
      <c r="AN5" s="28" t="n">
        <v>345994.6300775</v>
      </c>
      <c r="AO5" s="27" t="n">
        <v>56538.82679916287</v>
      </c>
      <c r="AP5" s="28" t="n">
        <v>381455.7086765401</v>
      </c>
      <c r="AQ5" s="27" t="n">
        <v>118855.0672378694</v>
      </c>
      <c r="AR5" s="27" t="n">
        <v>1754.765879599298</v>
      </c>
      <c r="AS5" s="27" t="n">
        <v>0</v>
      </c>
      <c r="AT5" s="28" t="n">
        <v>317162.5096596089</v>
      </c>
      <c r="AU5" s="28" t="n">
        <v>-56316.63410053749</v>
      </c>
      <c r="AV5" s="27" t="n">
        <v>35072.01662363516</v>
      </c>
      <c r="AW5" s="27" t="n">
        <v>56464.9267842454</v>
      </c>
      <c r="AX5" s="28" t="n">
        <v>91536.94340788055</v>
      </c>
      <c r="AY5" s="27" t="n">
        <v>0</v>
      </c>
      <c r="AZ5" s="27" t="n">
        <v>0</v>
      </c>
      <c r="BA5" s="27" t="n">
        <v>0</v>
      </c>
      <c r="BB5" s="28" t="n">
        <v>0</v>
      </c>
      <c r="BC5" s="27" t="n">
        <v>0</v>
      </c>
      <c r="BD5" s="27" t="n">
        <v>225625.5662517284</v>
      </c>
      <c r="BE5" s="27" t="n">
        <v>93552.58595496682</v>
      </c>
      <c r="BF5" s="28" t="n">
        <v>319178.1522066952</v>
      </c>
      <c r="BG5" s="27" t="n">
        <v>0</v>
      </c>
      <c r="BH5" s="27" t="n">
        <v>0</v>
      </c>
      <c r="BI5" s="27" t="n">
        <v>123946.4009275645</v>
      </c>
      <c r="BJ5" s="28" t="n">
        <v>123946.4009275645</v>
      </c>
      <c r="BK5" s="27" t="n">
        <v>0</v>
      </c>
      <c r="BL5" s="28" t="n">
        <v>0</v>
      </c>
      <c r="BM5" s="28" t="n">
        <v>317162.5096596089</v>
      </c>
      <c r="BN5" s="27" t="n">
        <v>0</v>
      </c>
      <c r="BO5" s="27" t="n">
        <v>5489574.483120331</v>
      </c>
    </row>
    <row r="6">
      <c r="A6" s="26" t="n">
        <v>2029</v>
      </c>
      <c r="B6" s="26" t="n">
        <v>67</v>
      </c>
      <c r="C6" s="26" t="n">
        <v>68</v>
      </c>
      <c r="D6" s="27" t="n">
        <v>0</v>
      </c>
      <c r="E6" s="27" t="n">
        <v>0</v>
      </c>
      <c r="F6" s="27" t="n">
        <v>0</v>
      </c>
      <c r="G6" s="27" t="n">
        <v>4512</v>
      </c>
      <c r="H6" s="27" t="n">
        <v>4599.766953075623</v>
      </c>
      <c r="I6" s="27" t="n">
        <v>27437.32861286937</v>
      </c>
      <c r="J6" s="27" t="n">
        <v>8122.539328739651</v>
      </c>
      <c r="K6" s="27" t="n">
        <v>71336.43410827895</v>
      </c>
      <c r="L6" s="27" t="n">
        <v>82016.62</v>
      </c>
      <c r="M6" s="27" t="n">
        <v>0</v>
      </c>
      <c r="N6" s="28" t="n">
        <v>198024.6890029636</v>
      </c>
      <c r="O6" s="27" t="n">
        <v>145660.6749970365</v>
      </c>
      <c r="P6" s="28" t="n">
        <v>281484.7492599302</v>
      </c>
      <c r="Q6" s="27" t="n">
        <v>242628.2269751293</v>
      </c>
      <c r="R6" s="27" t="n">
        <v>42745.49999307103</v>
      </c>
      <c r="S6" s="27" t="n">
        <v>1610.646421316397</v>
      </c>
      <c r="T6" s="27" t="n">
        <v>0</v>
      </c>
      <c r="U6" s="27" t="n">
        <v>2167.2</v>
      </c>
      <c r="V6" s="27" t="n">
        <v>138982.427171875</v>
      </c>
      <c r="W6" s="27" t="n">
        <v>110951.5875</v>
      </c>
      <c r="X6" s="27" t="n">
        <v>36000</v>
      </c>
      <c r="Y6" s="27" t="n">
        <v>19384.03124999999</v>
      </c>
      <c r="Z6" s="27" t="n">
        <v>14198.80289062499</v>
      </c>
      <c r="AA6" s="27" t="n">
        <v>26922.26562499999</v>
      </c>
      <c r="AB6" s="27" t="n">
        <v>2261.470312499999</v>
      </c>
      <c r="AC6" s="27" t="n">
        <v>12185.017421875</v>
      </c>
      <c r="AD6" s="27" t="n">
        <v>38789.79137954375</v>
      </c>
      <c r="AE6" s="27" t="n">
        <v>27047.37762954375</v>
      </c>
      <c r="AF6" s="27" t="n">
        <v>5201.202840372714</v>
      </c>
      <c r="AG6" s="27" t="n">
        <v>1308.535459103051</v>
      </c>
      <c r="AH6" s="27" t="n">
        <v>947.5601600401407</v>
      </c>
      <c r="AI6" s="27" t="n">
        <v>1994.275798806094</v>
      </c>
      <c r="AJ6" s="27" t="n">
        <v>2290.839491677997</v>
      </c>
      <c r="AK6" s="27" t="n">
        <v>14696.32635937499</v>
      </c>
      <c r="AL6" s="27" t="n">
        <v>0</v>
      </c>
      <c r="AM6" s="28" t="n">
        <v>0</v>
      </c>
      <c r="AN6" s="28" t="n">
        <v>303420.1324107936</v>
      </c>
      <c r="AO6" s="27" t="n">
        <v>46523.34641438743</v>
      </c>
      <c r="AP6" s="28" t="n">
        <v>330559.4475751811</v>
      </c>
      <c r="AQ6" s="27" t="n">
        <v>198024.6890029636</v>
      </c>
      <c r="AR6" s="27" t="n">
        <v>0</v>
      </c>
      <c r="AS6" s="27" t="n">
        <v>0</v>
      </c>
      <c r="AT6" s="28" t="n">
        <v>174387.840226602</v>
      </c>
      <c r="AU6" s="28" t="n">
        <v>-41853.0816543845</v>
      </c>
      <c r="AV6" s="27" t="n">
        <v>0</v>
      </c>
      <c r="AW6" s="27" t="n">
        <v>0</v>
      </c>
      <c r="AX6" s="28" t="n">
        <v>0</v>
      </c>
      <c r="AY6" s="27" t="n">
        <v>0</v>
      </c>
      <c r="AZ6" s="27" t="n">
        <v>0</v>
      </c>
      <c r="BA6" s="27" t="n">
        <v>0</v>
      </c>
      <c r="BB6" s="28" t="n">
        <v>0</v>
      </c>
      <c r="BC6" s="27" t="n">
        <v>0</v>
      </c>
      <c r="BD6" s="27" t="n">
        <v>174387.840226602</v>
      </c>
      <c r="BE6" s="27" t="n">
        <v>145660.6749970365</v>
      </c>
      <c r="BF6" s="28" t="n">
        <v>320048.5152236385</v>
      </c>
      <c r="BG6" s="27" t="n">
        <v>0</v>
      </c>
      <c r="BH6" s="27" t="n">
        <v>0</v>
      </c>
      <c r="BI6" s="27" t="n">
        <v>0</v>
      </c>
      <c r="BJ6" s="28" t="n">
        <v>0</v>
      </c>
      <c r="BK6" s="27" t="n">
        <v>0</v>
      </c>
      <c r="BL6" s="28" t="n">
        <v>0</v>
      </c>
      <c r="BM6" s="28" t="n">
        <v>174387.840226602</v>
      </c>
      <c r="BN6" s="27" t="n">
        <v>0</v>
      </c>
      <c r="BO6" s="27" t="n">
        <v>5510349.081513587</v>
      </c>
    </row>
    <row r="7">
      <c r="A7" s="26" t="n">
        <v>2030</v>
      </c>
      <c r="B7" s="26" t="n">
        <v>68</v>
      </c>
      <c r="C7" s="26" t="n">
        <v>69</v>
      </c>
      <c r="D7" s="27" t="n">
        <v>0</v>
      </c>
      <c r="E7" s="27" t="n">
        <v>0</v>
      </c>
      <c r="F7" s="27" t="n">
        <v>0</v>
      </c>
      <c r="G7" s="27" t="n">
        <v>4512</v>
      </c>
      <c r="H7" s="27" t="n">
        <v>4582.852090055623</v>
      </c>
      <c r="I7" s="27" t="n">
        <v>27267.56295349437</v>
      </c>
      <c r="J7" s="27" t="n">
        <v>8088.141301706401</v>
      </c>
      <c r="K7" s="27" t="n">
        <v>70914.62560827895</v>
      </c>
      <c r="L7" s="27" t="n">
        <v>77302.62</v>
      </c>
      <c r="M7" s="27" t="n">
        <v>0</v>
      </c>
      <c r="N7" s="28" t="n">
        <v>192667.8019535354</v>
      </c>
      <c r="O7" s="27" t="n">
        <v>155297.4833840013</v>
      </c>
      <c r="P7" s="28" t="n">
        <v>287184.5138177453</v>
      </c>
      <c r="Q7" s="27" t="n">
        <v>250529.0311515053</v>
      </c>
      <c r="R7" s="27" t="n">
        <v>44331.98750578208</v>
      </c>
      <c r="S7" s="27" t="n">
        <v>1445.045672662552</v>
      </c>
      <c r="T7" s="27" t="n">
        <v>1109.327991134888</v>
      </c>
      <c r="U7" s="27" t="n">
        <v>2167.2</v>
      </c>
      <c r="V7" s="27" t="n">
        <v>142456.9878511718</v>
      </c>
      <c r="W7" s="27" t="n">
        <v>112825.3771875</v>
      </c>
      <c r="X7" s="27" t="n">
        <v>36000</v>
      </c>
      <c r="Y7" s="27" t="n">
        <v>19868.63203124999</v>
      </c>
      <c r="Z7" s="27" t="n">
        <v>14553.77296289062</v>
      </c>
      <c r="AA7" s="27" t="n">
        <v>27595.32226562499</v>
      </c>
      <c r="AB7" s="27" t="n">
        <v>2318.007070312499</v>
      </c>
      <c r="AC7" s="27" t="n">
        <v>12489.64285742187</v>
      </c>
      <c r="AD7" s="27" t="n">
        <v>40738.36503965654</v>
      </c>
      <c r="AE7" s="27" t="n">
        <v>28350.11853340654</v>
      </c>
      <c r="AF7" s="27" t="n">
        <v>5525.069891948609</v>
      </c>
      <c r="AG7" s="27" t="n">
        <v>1390.014981057601</v>
      </c>
      <c r="AH7" s="27" t="n">
        <v>1006.562572489987</v>
      </c>
      <c r="AI7" s="27" t="n">
        <v>2033.114212881583</v>
      </c>
      <c r="AJ7" s="27" t="n">
        <v>2433.484847872221</v>
      </c>
      <c r="AK7" s="27" t="n">
        <v>15063.73451835937</v>
      </c>
      <c r="AL7" s="27" t="n">
        <v>0</v>
      </c>
      <c r="AM7" s="28" t="n">
        <v>0</v>
      </c>
      <c r="AN7" s="28" t="n">
        <v>311084.4645966876</v>
      </c>
      <c r="AO7" s="27" t="n">
        <v>49053.56116957951</v>
      </c>
      <c r="AP7" s="28" t="n">
        <v>339160.0657438823</v>
      </c>
      <c r="AQ7" s="27" t="n">
        <v>192667.8019535354</v>
      </c>
      <c r="AR7" s="27" t="n">
        <v>1408.153542463338</v>
      </c>
      <c r="AS7" s="27" t="n">
        <v>0</v>
      </c>
      <c r="AT7" s="28" t="n">
        <v>171517.6818934454</v>
      </c>
      <c r="AU7" s="28" t="n">
        <v>-26433.57164556181</v>
      </c>
      <c r="AV7" s="27" t="n">
        <v>66000</v>
      </c>
      <c r="AW7" s="27" t="n">
        <v>0</v>
      </c>
      <c r="AX7" s="28" t="n">
        <v>66000</v>
      </c>
      <c r="AY7" s="27" t="n">
        <v>0</v>
      </c>
      <c r="AZ7" s="27" t="n">
        <v>0</v>
      </c>
      <c r="BA7" s="27" t="n">
        <v>0</v>
      </c>
      <c r="BB7" s="28" t="n">
        <v>0</v>
      </c>
      <c r="BC7" s="27" t="n">
        <v>0</v>
      </c>
      <c r="BD7" s="27" t="n">
        <v>105517.6818934454</v>
      </c>
      <c r="BE7" s="27" t="n">
        <v>155297.4833840013</v>
      </c>
      <c r="BF7" s="28" t="n">
        <v>260815.1652774467</v>
      </c>
      <c r="BG7" s="27" t="n">
        <v>0</v>
      </c>
      <c r="BH7" s="27" t="n">
        <v>0</v>
      </c>
      <c r="BI7" s="27" t="n">
        <v>0</v>
      </c>
      <c r="BJ7" s="28" t="n">
        <v>0</v>
      </c>
      <c r="BK7" s="27" t="n">
        <v>0</v>
      </c>
      <c r="BL7" s="28" t="n">
        <v>0</v>
      </c>
      <c r="BM7" s="28" t="n">
        <v>171517.6818934454</v>
      </c>
      <c r="BN7" s="27" t="n">
        <v>0</v>
      </c>
      <c r="BO7" s="27" t="n">
        <v>5451926.719920847</v>
      </c>
    </row>
    <row r="8">
      <c r="A8" s="26" t="n">
        <v>2031</v>
      </c>
      <c r="B8" s="26" t="n">
        <v>69</v>
      </c>
      <c r="C8" s="26" t="n">
        <v>70</v>
      </c>
      <c r="D8" s="27" t="n">
        <v>0</v>
      </c>
      <c r="E8" s="27" t="n">
        <v>0</v>
      </c>
      <c r="F8" s="27" t="n">
        <v>50088</v>
      </c>
      <c r="G8" s="27" t="n">
        <v>4512</v>
      </c>
      <c r="H8" s="27" t="n">
        <v>4567.019778268903</v>
      </c>
      <c r="I8" s="27" t="n">
        <v>27108.66229631937</v>
      </c>
      <c r="J8" s="27" t="n">
        <v>8054.603225348983</v>
      </c>
      <c r="K8" s="27" t="n">
        <v>70503.36232077895</v>
      </c>
      <c r="L8" s="27" t="n">
        <v>72587.62</v>
      </c>
      <c r="M8" s="27" t="n">
        <v>0</v>
      </c>
      <c r="N8" s="28" t="n">
        <v>237421.2676207162</v>
      </c>
      <c r="O8" s="27" t="n">
        <v>125267.2076368838</v>
      </c>
      <c r="P8" s="28" t="n">
        <v>292997.574795145</v>
      </c>
      <c r="Q8" s="27" t="n">
        <v>255608.9824755802</v>
      </c>
      <c r="R8" s="27" t="n">
        <v>45235.27622414845</v>
      </c>
      <c r="S8" s="27" t="n">
        <v>1140.061355787559</v>
      </c>
      <c r="T8" s="27" t="n">
        <v>0</v>
      </c>
      <c r="U8" s="27" t="n">
        <v>2167.2</v>
      </c>
      <c r="V8" s="27" t="n">
        <v>146018.4125474511</v>
      </c>
      <c r="W8" s="27" t="n">
        <v>86460.80629492184</v>
      </c>
      <c r="X8" s="27" t="n">
        <v>36000</v>
      </c>
      <c r="Y8" s="27" t="n">
        <v>20365.34783203124</v>
      </c>
      <c r="Z8" s="27" t="n">
        <v>14917.61728696288</v>
      </c>
      <c r="AA8" s="27" t="n">
        <v>0</v>
      </c>
      <c r="AB8" s="27" t="n">
        <v>2375.957247070311</v>
      </c>
      <c r="AC8" s="27" t="n">
        <v>12801.88392885742</v>
      </c>
      <c r="AD8" s="27" t="n">
        <v>42791.79944025352</v>
      </c>
      <c r="AE8" s="27" t="n">
        <v>29722.19937615977</v>
      </c>
      <c r="AF8" s="27" t="n">
        <v>5867.742278426734</v>
      </c>
      <c r="AG8" s="27" t="n">
        <v>1476.225610083936</v>
      </c>
      <c r="AH8" s="27" t="n">
        <v>1068.990959026298</v>
      </c>
      <c r="AI8" s="27" t="n">
        <v>2072.228312282247</v>
      </c>
      <c r="AJ8" s="27" t="n">
        <v>2584.412904274532</v>
      </c>
      <c r="AK8" s="27" t="n">
        <v>15440.32788131835</v>
      </c>
      <c r="AL8" s="27" t="n">
        <v>0</v>
      </c>
      <c r="AM8" s="28" t="n">
        <v>0</v>
      </c>
      <c r="AN8" s="28" t="n">
        <v>290711.3461639448</v>
      </c>
      <c r="AO8" s="27" t="n">
        <v>48542.537579936</v>
      </c>
      <c r="AP8" s="28" t="n">
        <v>318888.5359118496</v>
      </c>
      <c r="AQ8" s="27" t="n">
        <v>237421.2676207162</v>
      </c>
      <c r="AR8" s="27" t="n">
        <v>0</v>
      </c>
      <c r="AS8" s="27" t="n">
        <v>0</v>
      </c>
      <c r="AT8" s="28" t="n">
        <v>104080.8059604748</v>
      </c>
      <c r="AU8" s="28" t="n">
        <v>-22613.53766934139</v>
      </c>
      <c r="AV8" s="27" t="n">
        <v>0</v>
      </c>
      <c r="AW8" s="27" t="n">
        <v>0</v>
      </c>
      <c r="AX8" s="28" t="n">
        <v>0</v>
      </c>
      <c r="AY8" s="27" t="n">
        <v>9857.732338218968</v>
      </c>
      <c r="AZ8" s="27" t="n">
        <v>0</v>
      </c>
      <c r="BA8" s="27" t="n">
        <v>0</v>
      </c>
      <c r="BB8" s="28" t="n">
        <v>0</v>
      </c>
      <c r="BC8" s="27" t="n">
        <v>0</v>
      </c>
      <c r="BD8" s="27" t="n">
        <v>94223.07362225579</v>
      </c>
      <c r="BE8" s="27" t="n">
        <v>125267.2076368838</v>
      </c>
      <c r="BF8" s="28" t="n">
        <v>219490.2812591396</v>
      </c>
      <c r="BG8" s="27" t="n">
        <v>0</v>
      </c>
      <c r="BH8" s="27" t="n">
        <v>0</v>
      </c>
      <c r="BI8" s="27" t="n">
        <v>0</v>
      </c>
      <c r="BJ8" s="28" t="n">
        <v>0</v>
      </c>
      <c r="BK8" s="27" t="n">
        <v>0</v>
      </c>
      <c r="BL8" s="28" t="n">
        <v>0</v>
      </c>
      <c r="BM8" s="28" t="n">
        <v>104080.8059604748</v>
      </c>
      <c r="BN8" s="27" t="n">
        <v>0</v>
      </c>
      <c r="BO8" s="27" t="n">
        <v>5463571.643119927</v>
      </c>
    </row>
    <row r="9">
      <c r="A9" s="26" t="n">
        <v>2032</v>
      </c>
      <c r="B9" s="26" t="n">
        <v>70</v>
      </c>
      <c r="C9" s="26" t="n">
        <v>71</v>
      </c>
      <c r="D9" s="27" t="n">
        <v>0</v>
      </c>
      <c r="E9" s="27" t="n">
        <v>47548.8</v>
      </c>
      <c r="F9" s="27" t="n">
        <v>39850.0128</v>
      </c>
      <c r="G9" s="27" t="n">
        <v>4512</v>
      </c>
      <c r="H9" s="27" t="n">
        <v>4552.226461943186</v>
      </c>
      <c r="I9" s="27" t="n">
        <v>26960.18949477148</v>
      </c>
      <c r="J9" s="27" t="n">
        <v>8023.211585878438</v>
      </c>
      <c r="K9" s="27" t="n">
        <v>70118.41988367894</v>
      </c>
      <c r="L9" s="27" t="n">
        <v>63729.62</v>
      </c>
      <c r="M9" s="27" t="n">
        <v>0</v>
      </c>
      <c r="N9" s="28" t="n">
        <v>265294.4802262721</v>
      </c>
      <c r="O9" s="27" t="n">
        <v>108908.4900564799</v>
      </c>
      <c r="P9" s="28" t="n">
        <v>298925.9473851025</v>
      </c>
      <c r="Q9" s="27" t="n">
        <v>260789.5832191464</v>
      </c>
      <c r="R9" s="27" t="n">
        <v>46156.40281120454</v>
      </c>
      <c r="S9" s="27" t="n">
        <v>699.8239249735219</v>
      </c>
      <c r="T9" s="27" t="n">
        <v>0</v>
      </c>
      <c r="U9" s="27" t="n">
        <v>2167.2</v>
      </c>
      <c r="V9" s="27" t="n">
        <v>149668.8728611374</v>
      </c>
      <c r="W9" s="27" t="n">
        <v>87722.32645229489</v>
      </c>
      <c r="X9" s="27" t="n">
        <v>36000</v>
      </c>
      <c r="Y9" s="27" t="n">
        <v>20874.48152783202</v>
      </c>
      <c r="Z9" s="27" t="n">
        <v>15290.55771913695</v>
      </c>
      <c r="AA9" s="27" t="n">
        <v>0</v>
      </c>
      <c r="AB9" s="27" t="n">
        <v>2435.356178247069</v>
      </c>
      <c r="AC9" s="27" t="n">
        <v>13121.93102707885</v>
      </c>
      <c r="AD9" s="27" t="n">
        <v>44955.83303692601</v>
      </c>
      <c r="AE9" s="27" t="n">
        <v>31167.40496930711</v>
      </c>
      <c r="AF9" s="27" t="n">
        <v>6230.262149597422</v>
      </c>
      <c r="AG9" s="27" t="n">
        <v>1567.429533602197</v>
      </c>
      <c r="AH9" s="27" t="n">
        <v>1135.035179505039</v>
      </c>
      <c r="AI9" s="27" t="n">
        <v>2111.618535225155</v>
      </c>
      <c r="AJ9" s="27" t="n">
        <v>2744.082669689087</v>
      </c>
      <c r="AK9" s="27" t="n">
        <v>15826.33607835131</v>
      </c>
      <c r="AL9" s="27" t="n">
        <v>100000</v>
      </c>
      <c r="AM9" s="28" t="n">
        <v>0</v>
      </c>
      <c r="AN9" s="28" t="n">
        <v>398173.3684287096</v>
      </c>
      <c r="AO9" s="27" t="n">
        <v>49023.42673617806</v>
      </c>
      <c r="AP9" s="28" t="n">
        <v>426322.3136370555</v>
      </c>
      <c r="AQ9" s="27" t="n">
        <v>265294.4802262721</v>
      </c>
      <c r="AR9" s="27" t="n">
        <v>0</v>
      </c>
      <c r="AS9" s="27" t="n">
        <v>0</v>
      </c>
      <c r="AT9" s="28" t="n">
        <v>208578.9819788691</v>
      </c>
      <c r="AU9" s="28" t="n">
        <v>-47551.14856808566</v>
      </c>
      <c r="AV9" s="27" t="n">
        <v>0</v>
      </c>
      <c r="AW9" s="27" t="n">
        <v>0</v>
      </c>
      <c r="AX9" s="28" t="n">
        <v>0</v>
      </c>
      <c r="AY9" s="27" t="n">
        <v>10449.19627851211</v>
      </c>
      <c r="AZ9" s="27" t="n">
        <v>0</v>
      </c>
      <c r="BA9" s="27" t="n">
        <v>0</v>
      </c>
      <c r="BB9" s="28" t="n">
        <v>0</v>
      </c>
      <c r="BC9" s="27" t="n">
        <v>0</v>
      </c>
      <c r="BD9" s="27" t="n">
        <v>198129.785700357</v>
      </c>
      <c r="BE9" s="27" t="n">
        <v>108908.4900564799</v>
      </c>
      <c r="BF9" s="28" t="n">
        <v>307038.2757568369</v>
      </c>
      <c r="BG9" s="27" t="n">
        <v>0</v>
      </c>
      <c r="BH9" s="27" t="n">
        <v>0</v>
      </c>
      <c r="BI9" s="27" t="n">
        <v>0</v>
      </c>
      <c r="BJ9" s="28" t="n">
        <v>0</v>
      </c>
      <c r="BK9" s="27" t="n">
        <v>0</v>
      </c>
      <c r="BL9" s="28" t="n">
        <v>0</v>
      </c>
      <c r="BM9" s="28" t="n">
        <v>208578.9819788691</v>
      </c>
      <c r="BN9" s="27" t="n">
        <v>0</v>
      </c>
      <c r="BO9" s="27" t="n">
        <v>5367146.500400918</v>
      </c>
    </row>
    <row r="10">
      <c r="A10" s="26" t="n">
        <v>2033</v>
      </c>
      <c r="B10" s="26" t="n">
        <v>71</v>
      </c>
      <c r="C10" s="26" t="n">
        <v>72</v>
      </c>
      <c r="D10" s="27" t="n">
        <v>0</v>
      </c>
      <c r="E10" s="27" t="n">
        <v>48499.77600000001</v>
      </c>
      <c r="F10" s="27" t="n">
        <v>40647.013056</v>
      </c>
      <c r="G10" s="27" t="n">
        <v>4512</v>
      </c>
      <c r="H10" s="27" t="n">
        <v>4538.43008650029</v>
      </c>
      <c r="I10" s="27" t="n">
        <v>26821.72246898008</v>
      </c>
      <c r="J10" s="27" t="n">
        <v>7993.88002274815</v>
      </c>
      <c r="K10" s="27" t="n">
        <v>69758.73929401363</v>
      </c>
      <c r="L10" s="27" t="n">
        <v>61552.27</v>
      </c>
      <c r="M10" s="27" t="n">
        <v>0</v>
      </c>
      <c r="N10" s="28" t="n">
        <v>264323.8309282422</v>
      </c>
      <c r="O10" s="27" t="n">
        <v>116223.4463601649</v>
      </c>
      <c r="P10" s="28" t="n">
        <v>304971.9815625441</v>
      </c>
      <c r="Q10" s="27" t="n">
        <v>266072.8901132689</v>
      </c>
      <c r="R10" s="27" t="n">
        <v>47095.73452256613</v>
      </c>
      <c r="S10" s="27" t="n">
        <v>588.1244857183825</v>
      </c>
      <c r="T10" s="27" t="n">
        <v>0</v>
      </c>
      <c r="U10" s="27" t="n">
        <v>2167.2</v>
      </c>
      <c r="V10" s="27" t="n">
        <v>153410.5946826658</v>
      </c>
      <c r="W10" s="27" t="n">
        <v>89015.38461360226</v>
      </c>
      <c r="X10" s="27" t="n">
        <v>36000</v>
      </c>
      <c r="Y10" s="27" t="n">
        <v>21396.34356602782</v>
      </c>
      <c r="Z10" s="27" t="n">
        <v>15672.82166211538</v>
      </c>
      <c r="AA10" s="27" t="n">
        <v>0</v>
      </c>
      <c r="AB10" s="27" t="n">
        <v>2496.240082703246</v>
      </c>
      <c r="AC10" s="27" t="n">
        <v>13449.97930275582</v>
      </c>
      <c r="AD10" s="27" t="n">
        <v>47236.51953925873</v>
      </c>
      <c r="AE10" s="27" t="n">
        <v>32689.72792792079</v>
      </c>
      <c r="AF10" s="27" t="n">
        <v>6613.728765755164</v>
      </c>
      <c r="AG10" s="27" t="n">
        <v>1663.903307078162</v>
      </c>
      <c r="AH10" s="27" t="n">
        <v>1204.895498229014</v>
      </c>
      <c r="AI10" s="27" t="n">
        <v>2151.285733366689</v>
      </c>
      <c r="AJ10" s="27" t="n">
        <v>2912.978306908907</v>
      </c>
      <c r="AK10" s="27" t="n">
        <v>16221.99448031009</v>
      </c>
      <c r="AL10" s="27" t="n">
        <v>0</v>
      </c>
      <c r="AM10" s="28" t="n">
        <v>0</v>
      </c>
      <c r="AN10" s="28" t="n">
        <v>305884.4933158369</v>
      </c>
      <c r="AO10" s="27" t="n">
        <v>49851.05900828451</v>
      </c>
      <c r="AP10" s="28" t="n">
        <v>334339.2087580936</v>
      </c>
      <c r="AQ10" s="27" t="n">
        <v>264323.8309282422</v>
      </c>
      <c r="AR10" s="27" t="n">
        <v>0</v>
      </c>
      <c r="AS10" s="27" t="n">
        <v>0</v>
      </c>
      <c r="AT10" s="28" t="n">
        <v>88627.76617973411</v>
      </c>
      <c r="AU10" s="28" t="n">
        <v>-18612.38834988271</v>
      </c>
      <c r="AV10" s="27" t="n">
        <v>0</v>
      </c>
      <c r="AW10" s="27" t="n">
        <v>0</v>
      </c>
      <c r="AX10" s="28" t="n">
        <v>0</v>
      </c>
      <c r="AY10" s="27" t="n">
        <v>11076.14805522283</v>
      </c>
      <c r="AZ10" s="27" t="n">
        <v>0</v>
      </c>
      <c r="BA10" s="27" t="n">
        <v>0</v>
      </c>
      <c r="BB10" s="28" t="n">
        <v>0</v>
      </c>
      <c r="BC10" s="27" t="n">
        <v>0</v>
      </c>
      <c r="BD10" s="27" t="n">
        <v>77551.61812451128</v>
      </c>
      <c r="BE10" s="27" t="n">
        <v>116223.4463601649</v>
      </c>
      <c r="BF10" s="28" t="n">
        <v>193775.0644846762</v>
      </c>
      <c r="BG10" s="27" t="n">
        <v>0</v>
      </c>
      <c r="BH10" s="27" t="n">
        <v>0</v>
      </c>
      <c r="BI10" s="27" t="n">
        <v>0</v>
      </c>
      <c r="BJ10" s="28" t="n">
        <v>0</v>
      </c>
      <c r="BK10" s="27" t="n">
        <v>0</v>
      </c>
      <c r="BL10" s="28" t="n">
        <v>0</v>
      </c>
      <c r="BM10" s="28" t="n">
        <v>88627.76617973411</v>
      </c>
      <c r="BN10" s="27" t="n">
        <v>0</v>
      </c>
      <c r="BO10" s="27" t="n">
        <v>5401749.642361701</v>
      </c>
    </row>
    <row r="11">
      <c r="A11" s="26" t="n">
        <v>2034</v>
      </c>
      <c r="B11" s="26" t="n">
        <v>72</v>
      </c>
      <c r="C11" s="26" t="n">
        <v>73</v>
      </c>
      <c r="D11" s="27" t="n">
        <v>0</v>
      </c>
      <c r="E11" s="27" t="n">
        <v>49469.77152</v>
      </c>
      <c r="F11" s="27" t="n">
        <v>41459.95331712001</v>
      </c>
      <c r="G11" s="27" t="n">
        <v>4512</v>
      </c>
      <c r="H11" s="27" t="n">
        <v>4525.590050718775</v>
      </c>
      <c r="I11" s="27" t="n">
        <v>26692.85372565831</v>
      </c>
      <c r="J11" s="27" t="n">
        <v>7966.52515191577</v>
      </c>
      <c r="K11" s="27" t="n">
        <v>69423.29804843446</v>
      </c>
      <c r="L11" s="27" t="n">
        <v>0</v>
      </c>
      <c r="M11" s="27" t="n">
        <v>0</v>
      </c>
      <c r="N11" s="28" t="n">
        <v>204049.9918138473</v>
      </c>
      <c r="O11" s="27" t="n">
        <v>81362.27163218954</v>
      </c>
      <c r="P11" s="28" t="n">
        <v>268906.1633201263</v>
      </c>
      <c r="Q11" s="27" t="n">
        <v>229229.0900418656</v>
      </c>
      <c r="R11" s="27" t="n">
        <v>38273.91820118428</v>
      </c>
      <c r="S11" s="27" t="n">
        <v>476.460953213454</v>
      </c>
      <c r="T11" s="27" t="n">
        <v>0</v>
      </c>
      <c r="U11" s="27" t="n">
        <v>2167.2</v>
      </c>
      <c r="V11" s="27" t="n">
        <v>157245.8595497324</v>
      </c>
      <c r="W11" s="27" t="n">
        <v>90340.76922894231</v>
      </c>
      <c r="X11" s="27" t="n">
        <v>36000</v>
      </c>
      <c r="Y11" s="27" t="n">
        <v>21931.25215517851</v>
      </c>
      <c r="Z11" s="27" t="n">
        <v>16064.64220366826</v>
      </c>
      <c r="AA11" s="27" t="n">
        <v>0</v>
      </c>
      <c r="AB11" s="27" t="n">
        <v>2558.646084770826</v>
      </c>
      <c r="AC11" s="27" t="n">
        <v>13786.22878532471</v>
      </c>
      <c r="AD11" s="27" t="n">
        <v>49640.24524528603</v>
      </c>
      <c r="AE11" s="27" t="n">
        <v>34293.38009532451</v>
      </c>
      <c r="AF11" s="27" t="n">
        <v>7019.301655147509</v>
      </c>
      <c r="AG11" s="27" t="n">
        <v>1765.938648384469</v>
      </c>
      <c r="AH11" s="27" t="n">
        <v>1278.78315917496</v>
      </c>
      <c r="AI11" s="27" t="n">
        <v>2191.231163858742</v>
      </c>
      <c r="AJ11" s="27" t="n">
        <v>3091.610523395845</v>
      </c>
      <c r="AK11" s="27" t="n">
        <v>16627.54434231784</v>
      </c>
      <c r="AL11" s="27" t="n">
        <v>0</v>
      </c>
      <c r="AM11" s="28" t="n">
        <v>0</v>
      </c>
      <c r="AN11" s="28" t="n">
        <v>313854.4183662786</v>
      </c>
      <c r="AO11" s="27" t="n">
        <v>40917.57915439773</v>
      </c>
      <c r="AP11" s="28" t="n">
        <v>332840.7453654978</v>
      </c>
      <c r="AQ11" s="27" t="n">
        <v>204049.9918138473</v>
      </c>
      <c r="AR11" s="27" t="n">
        <v>0</v>
      </c>
      <c r="AS11" s="27" t="n">
        <v>0</v>
      </c>
      <c r="AT11" s="28" t="n">
        <v>128790.7535516504</v>
      </c>
      <c r="AU11" s="28" t="n">
        <v>0</v>
      </c>
      <c r="AV11" s="27" t="n">
        <v>0</v>
      </c>
      <c r="AW11" s="27" t="n">
        <v>0</v>
      </c>
      <c r="AX11" s="28" t="n">
        <v>0</v>
      </c>
      <c r="AY11" s="27" t="n">
        <v>11740.7169385362</v>
      </c>
      <c r="AZ11" s="27" t="n">
        <v>63251.03636473881</v>
      </c>
      <c r="BA11" s="27" t="n">
        <v>53799.00024837542</v>
      </c>
      <c r="BB11" s="28" t="n">
        <v>117050.0366131142</v>
      </c>
      <c r="BC11" s="27" t="n">
        <v>0</v>
      </c>
      <c r="BD11" s="27" t="n">
        <v>0</v>
      </c>
      <c r="BE11" s="27" t="n">
        <v>81362.27163218954</v>
      </c>
      <c r="BF11" s="28" t="n">
        <v>81362.27163218954</v>
      </c>
      <c r="BG11" s="27" t="n">
        <v>0</v>
      </c>
      <c r="BH11" s="27" t="n">
        <v>0</v>
      </c>
      <c r="BI11" s="27" t="n">
        <v>0</v>
      </c>
      <c r="BJ11" s="28" t="n">
        <v>0</v>
      </c>
      <c r="BK11" s="27" t="n">
        <v>0</v>
      </c>
      <c r="BL11" s="28" t="n">
        <v>0</v>
      </c>
      <c r="BM11" s="28" t="n">
        <v>128790.7535516504</v>
      </c>
      <c r="BN11" s="27" t="n">
        <v>0</v>
      </c>
      <c r="BO11" s="27" t="n">
        <v>5456451.512524451</v>
      </c>
    </row>
    <row r="12">
      <c r="A12" s="26" t="n">
        <v>2035</v>
      </c>
      <c r="B12" s="26" t="n">
        <v>73</v>
      </c>
      <c r="C12" s="26" t="n">
        <v>74</v>
      </c>
      <c r="D12" s="27" t="n">
        <v>0</v>
      </c>
      <c r="E12" s="27" t="n">
        <v>50459.16695040001</v>
      </c>
      <c r="F12" s="27" t="n">
        <v>42289.15238346239</v>
      </c>
      <c r="G12" s="27" t="n">
        <v>4512</v>
      </c>
      <c r="H12" s="27" t="n">
        <v>4513.667160350227</v>
      </c>
      <c r="I12" s="27" t="n">
        <v>29725.13525601958</v>
      </c>
      <c r="J12" s="27" t="n">
        <v>7941.066470993364</v>
      </c>
      <c r="K12" s="27" t="n">
        <v>69111.10898010567</v>
      </c>
      <c r="L12" s="27" t="n">
        <v>0</v>
      </c>
      <c r="M12" s="27" t="n">
        <v>0</v>
      </c>
      <c r="N12" s="28" t="n">
        <v>208551.2972013312</v>
      </c>
      <c r="O12" s="27" t="n">
        <v>0</v>
      </c>
      <c r="P12" s="28" t="n">
        <v>191780.9034798605</v>
      </c>
      <c r="Q12" s="27" t="n">
        <v>151310.2887360346</v>
      </c>
      <c r="R12" s="27" t="n">
        <v>20888.65228174093</v>
      </c>
      <c r="S12" s="27" t="n">
        <v>475.0310965926355</v>
      </c>
      <c r="T12" s="27" t="n">
        <v>0</v>
      </c>
      <c r="U12" s="27" t="n">
        <v>2167.2</v>
      </c>
      <c r="V12" s="27" t="n">
        <v>161177.0060384757</v>
      </c>
      <c r="W12" s="27" t="n">
        <v>55699.28845966587</v>
      </c>
      <c r="X12" s="27" t="n">
        <v>0</v>
      </c>
      <c r="Y12" s="27" t="n">
        <v>22479.53345905797</v>
      </c>
      <c r="Z12" s="27" t="n">
        <v>16466.25825875996</v>
      </c>
      <c r="AA12" s="27" t="n">
        <v>0</v>
      </c>
      <c r="AB12" s="27" t="n">
        <v>2622.612236890097</v>
      </c>
      <c r="AC12" s="27" t="n">
        <v>14130.88450495783</v>
      </c>
      <c r="AD12" s="27" t="n">
        <v>52173.74732928693</v>
      </c>
      <c r="AE12" s="27" t="n">
        <v>35982.80459607752</v>
      </c>
      <c r="AF12" s="27" t="n">
        <v>7448.203945262447</v>
      </c>
      <c r="AG12" s="27" t="n">
        <v>1873.843275896686</v>
      </c>
      <c r="AH12" s="27" t="n">
        <v>1356.920992890703</v>
      </c>
      <c r="AI12" s="27" t="n">
        <v>2231.456480632859</v>
      </c>
      <c r="AJ12" s="27" t="n">
        <v>3280.518038526714</v>
      </c>
      <c r="AK12" s="27" t="n">
        <v>17043.23295087579</v>
      </c>
      <c r="AL12" s="27" t="n">
        <v>0</v>
      </c>
      <c r="AM12" s="28" t="n">
        <v>0</v>
      </c>
      <c r="AN12" s="28" t="n">
        <v>286093.2747783043</v>
      </c>
      <c r="AO12" s="27" t="n">
        <v>23530.88337833357</v>
      </c>
      <c r="AP12" s="28" t="n">
        <v>287144.6246975799</v>
      </c>
      <c r="AQ12" s="27" t="n">
        <v>208551.2972013312</v>
      </c>
      <c r="AR12" s="27" t="n">
        <v>0</v>
      </c>
      <c r="AS12" s="27" t="n">
        <v>0</v>
      </c>
      <c r="AT12" s="28" t="n">
        <v>78593.3274962487</v>
      </c>
      <c r="AU12" s="28" t="n">
        <v>0</v>
      </c>
      <c r="AV12" s="27" t="n">
        <v>0</v>
      </c>
      <c r="AW12" s="27" t="n">
        <v>0</v>
      </c>
      <c r="AX12" s="28" t="n">
        <v>0</v>
      </c>
      <c r="AY12" s="27" t="n">
        <v>12445.15995484837</v>
      </c>
      <c r="AZ12" s="27" t="n">
        <v>35744.88544972553</v>
      </c>
      <c r="BA12" s="27" t="n">
        <v>30403.2820916748</v>
      </c>
      <c r="BB12" s="28" t="n">
        <v>66148.16754140033</v>
      </c>
      <c r="BC12" s="27" t="n">
        <v>0</v>
      </c>
      <c r="BD12" s="27" t="n">
        <v>0</v>
      </c>
      <c r="BE12" s="27" t="n">
        <v>0</v>
      </c>
      <c r="BF12" s="28" t="n">
        <v>0</v>
      </c>
      <c r="BG12" s="27" t="n">
        <v>0</v>
      </c>
      <c r="BH12" s="27" t="n">
        <v>0</v>
      </c>
      <c r="BI12" s="27" t="n">
        <v>0</v>
      </c>
      <c r="BJ12" s="28" t="n">
        <v>0</v>
      </c>
      <c r="BK12" s="27" t="n">
        <v>0</v>
      </c>
      <c r="BL12" s="28" t="n">
        <v>0</v>
      </c>
      <c r="BM12" s="28" t="n">
        <v>78593.3274962487</v>
      </c>
      <c r="BN12" s="27" t="n">
        <v>0</v>
      </c>
      <c r="BO12" s="27" t="n">
        <v>5561457.22415875</v>
      </c>
    </row>
    <row r="13">
      <c r="A13" s="26" t="n">
        <v>2036</v>
      </c>
      <c r="B13" s="26" t="n">
        <v>74</v>
      </c>
      <c r="C13" s="26" t="n">
        <v>75</v>
      </c>
      <c r="D13" s="27" t="n">
        <v>0</v>
      </c>
      <c r="E13" s="27" t="n">
        <v>51468.350289408</v>
      </c>
      <c r="F13" s="27" t="n">
        <v>43134.93543113165</v>
      </c>
      <c r="G13" s="27" t="n">
        <v>4512</v>
      </c>
      <c r="H13" s="27" t="n">
        <v>4808.82129214624</v>
      </c>
      <c r="I13" s="27" t="n">
        <v>29362.06561333455</v>
      </c>
      <c r="J13" s="27" t="n">
        <v>8540.109233097599</v>
      </c>
      <c r="K13" s="27" t="n">
        <v>76456.91775788227</v>
      </c>
      <c r="L13" s="27" t="n">
        <v>0</v>
      </c>
      <c r="M13" s="27" t="n">
        <v>0</v>
      </c>
      <c r="N13" s="28" t="n">
        <v>218283.1996170003</v>
      </c>
      <c r="O13" s="27" t="n">
        <v>0</v>
      </c>
      <c r="P13" s="28" t="n">
        <v>201030.8325321935</v>
      </c>
      <c r="Q13" s="27" t="n">
        <v>159750.805493491</v>
      </c>
      <c r="R13" s="27" t="n">
        <v>22497.57374357762</v>
      </c>
      <c r="S13" s="27" t="n">
        <v>509.2092867766376</v>
      </c>
      <c r="T13" s="27" t="n">
        <v>0</v>
      </c>
      <c r="U13" s="27" t="n">
        <v>2167.2</v>
      </c>
      <c r="V13" s="27" t="n">
        <v>165206.4311894376</v>
      </c>
      <c r="W13" s="27" t="n">
        <v>57091.77067115751</v>
      </c>
      <c r="X13" s="27" t="n">
        <v>0</v>
      </c>
      <c r="Y13" s="27" t="n">
        <v>23041.52179553442</v>
      </c>
      <c r="Z13" s="27" t="n">
        <v>16877.91471522896</v>
      </c>
      <c r="AA13" s="27" t="n">
        <v>0</v>
      </c>
      <c r="AB13" s="27" t="n">
        <v>2688.177542812349</v>
      </c>
      <c r="AC13" s="27" t="n">
        <v>14484.15661758178</v>
      </c>
      <c r="AD13" s="27" t="n">
        <v>54844.13313535175</v>
      </c>
      <c r="AE13" s="27" t="n">
        <v>37762.68855181582</v>
      </c>
      <c r="AF13" s="27" t="n">
        <v>7901.725877434905</v>
      </c>
      <c r="AG13" s="27" t="n">
        <v>1987.941792709398</v>
      </c>
      <c r="AH13" s="27" t="n">
        <v>1439.544056789564</v>
      </c>
      <c r="AI13" s="27" t="n">
        <v>2271.963725020814</v>
      </c>
      <c r="AJ13" s="27" t="n">
        <v>3480.269131581245</v>
      </c>
      <c r="AK13" s="27" t="n">
        <v>17469.31377464768</v>
      </c>
      <c r="AL13" s="27" t="n">
        <v>0</v>
      </c>
      <c r="AM13" s="28" t="n">
        <v>0</v>
      </c>
      <c r="AN13" s="28" t="n">
        <v>294611.6487705945</v>
      </c>
      <c r="AO13" s="27" t="n">
        <v>25173.98303035425</v>
      </c>
      <c r="AP13" s="28" t="n">
        <v>296744.1100054144</v>
      </c>
      <c r="AQ13" s="27" t="n">
        <v>218283.1996170003</v>
      </c>
      <c r="AR13" s="27" t="n">
        <v>0</v>
      </c>
      <c r="AS13" s="27" t="n">
        <v>0</v>
      </c>
      <c r="AT13" s="28" t="n">
        <v>78460.91038841408</v>
      </c>
      <c r="AU13" s="28" t="n">
        <v>0</v>
      </c>
      <c r="AV13" s="27" t="n">
        <v>0</v>
      </c>
      <c r="AW13" s="27" t="n">
        <v>0</v>
      </c>
      <c r="AX13" s="28" t="n">
        <v>0</v>
      </c>
      <c r="AY13" s="27" t="n">
        <v>13191.86955213928</v>
      </c>
      <c r="AZ13" s="27" t="n">
        <v>35269.82643390564</v>
      </c>
      <c r="BA13" s="27" t="n">
        <v>29999.21440236916</v>
      </c>
      <c r="BB13" s="28" t="n">
        <v>65269.0408362748</v>
      </c>
      <c r="BC13" s="27" t="n">
        <v>0</v>
      </c>
      <c r="BD13" s="27" t="n">
        <v>0</v>
      </c>
      <c r="BE13" s="27" t="n">
        <v>0</v>
      </c>
      <c r="BF13" s="28" t="n">
        <v>0</v>
      </c>
      <c r="BG13" s="27" t="n">
        <v>0</v>
      </c>
      <c r="BH13" s="27" t="n">
        <v>0</v>
      </c>
      <c r="BI13" s="27" t="n">
        <v>0</v>
      </c>
      <c r="BJ13" s="28" t="n">
        <v>0</v>
      </c>
      <c r="BK13" s="27" t="n">
        <v>0</v>
      </c>
      <c r="BL13" s="28" t="n">
        <v>0</v>
      </c>
      <c r="BM13" s="28" t="n">
        <v>78460.91038841408</v>
      </c>
      <c r="BN13" s="27" t="n">
        <v>0</v>
      </c>
      <c r="BO13" s="27" t="n">
        <v>5635088.069874674</v>
      </c>
    </row>
    <row r="14">
      <c r="A14" s="26" t="n">
        <v>2037</v>
      </c>
      <c r="B14" s="26" t="n">
        <v>75</v>
      </c>
      <c r="C14" s="26" t="n">
        <v>76</v>
      </c>
      <c r="D14" s="27" t="n">
        <v>0</v>
      </c>
      <c r="E14" s="27" t="n">
        <v>52497.71729519617</v>
      </c>
      <c r="F14" s="27" t="n">
        <v>43997.63413975429</v>
      </c>
      <c r="G14" s="27" t="n">
        <v>4512</v>
      </c>
      <c r="H14" s="27" t="n">
        <v>4774.270472754399</v>
      </c>
      <c r="I14" s="27" t="n">
        <v>29020.63195751974</v>
      </c>
      <c r="J14" s="27" t="n">
        <v>8468.382963814049</v>
      </c>
      <c r="K14" s="27" t="n">
        <v>75577.36876433545</v>
      </c>
      <c r="L14" s="27" t="n">
        <v>0</v>
      </c>
      <c r="M14" s="27" t="n">
        <v>0</v>
      </c>
      <c r="N14" s="28" t="n">
        <v>218848.0055933741</v>
      </c>
      <c r="O14" s="27" t="n">
        <v>0</v>
      </c>
      <c r="P14" s="28" t="n">
        <v>201336.0152089051</v>
      </c>
      <c r="Q14" s="27" t="n">
        <v>159230.3876294286</v>
      </c>
      <c r="R14" s="27" t="n">
        <v>22130.12974418408</v>
      </c>
      <c r="S14" s="27" t="n">
        <v>505.1458054834306</v>
      </c>
      <c r="T14" s="27" t="n">
        <v>0</v>
      </c>
      <c r="U14" s="27" t="n">
        <v>0</v>
      </c>
      <c r="V14" s="27" t="n">
        <v>169336.5919691735</v>
      </c>
      <c r="W14" s="27" t="n">
        <v>58519.06493793644</v>
      </c>
      <c r="X14" s="27" t="n">
        <v>0</v>
      </c>
      <c r="Y14" s="27" t="n">
        <v>23617.55984042278</v>
      </c>
      <c r="Z14" s="27" t="n">
        <v>17299.86258310969</v>
      </c>
      <c r="AA14" s="27" t="n">
        <v>0</v>
      </c>
      <c r="AB14" s="27" t="n">
        <v>2755.381981382658</v>
      </c>
      <c r="AC14" s="27" t="n">
        <v>14846.26053302132</v>
      </c>
      <c r="AD14" s="27" t="n">
        <v>57658.90053203706</v>
      </c>
      <c r="AE14" s="27" t="n">
        <v>39637.97649640666</v>
      </c>
      <c r="AF14" s="27" t="n">
        <v>8381.228514779919</v>
      </c>
      <c r="AG14" s="27" t="n">
        <v>2108.576619490046</v>
      </c>
      <c r="AH14" s="27" t="n">
        <v>1526.900310665206</v>
      </c>
      <c r="AI14" s="27" t="n">
        <v>2312.755315815584</v>
      </c>
      <c r="AJ14" s="27" t="n">
        <v>3691.463274879643</v>
      </c>
      <c r="AK14" s="27" t="n">
        <v>17906.04661901387</v>
      </c>
      <c r="AL14" s="27" t="n">
        <v>0</v>
      </c>
      <c r="AM14" s="28" t="n">
        <v>0</v>
      </c>
      <c r="AN14" s="28" t="n">
        <v>303420.6040581609</v>
      </c>
      <c r="AO14" s="27" t="n">
        <v>22635.27554966751</v>
      </c>
      <c r="AP14" s="28" t="n">
        <v>302438.3197674056</v>
      </c>
      <c r="AQ14" s="27" t="n">
        <v>218848.0055933741</v>
      </c>
      <c r="AR14" s="27" t="n">
        <v>0</v>
      </c>
      <c r="AS14" s="27" t="n">
        <v>0</v>
      </c>
      <c r="AT14" s="28" t="n">
        <v>83590.31417403156</v>
      </c>
      <c r="AU14" s="28" t="n">
        <v>-1.455191522836685e-11</v>
      </c>
      <c r="AV14" s="27" t="n">
        <v>0</v>
      </c>
      <c r="AW14" s="27" t="n">
        <v>0</v>
      </c>
      <c r="AX14" s="28" t="n">
        <v>0</v>
      </c>
      <c r="AY14" s="27" t="n">
        <v>13983.38172526763</v>
      </c>
      <c r="AZ14" s="27" t="n">
        <v>37613.91916609966</v>
      </c>
      <c r="BA14" s="27" t="n">
        <v>31993.01328266426</v>
      </c>
      <c r="BB14" s="28" t="n">
        <v>69606.93244876392</v>
      </c>
      <c r="BC14" s="27" t="n">
        <v>0</v>
      </c>
      <c r="BD14" s="27" t="n">
        <v>0</v>
      </c>
      <c r="BE14" s="27" t="n">
        <v>0</v>
      </c>
      <c r="BF14" s="28" t="n">
        <v>0</v>
      </c>
      <c r="BG14" s="27" t="n">
        <v>0</v>
      </c>
      <c r="BH14" s="27" t="n">
        <v>0</v>
      </c>
      <c r="BI14" s="27" t="n">
        <v>0</v>
      </c>
      <c r="BJ14" s="28" t="n">
        <v>0</v>
      </c>
      <c r="BK14" s="27" t="n">
        <v>0</v>
      </c>
      <c r="BL14" s="28" t="n">
        <v>0</v>
      </c>
      <c r="BM14" s="28" t="n">
        <v>83590.31417403156</v>
      </c>
      <c r="BN14" s="27" t="n">
        <v>1.455191522836685e-11</v>
      </c>
      <c r="BO14" s="27" t="n">
        <v>5697761.940144598</v>
      </c>
    </row>
    <row r="15">
      <c r="A15" s="26" t="n">
        <v>2038</v>
      </c>
      <c r="B15" s="26" t="n">
        <v>76</v>
      </c>
      <c r="C15" s="26" t="n">
        <v>77</v>
      </c>
      <c r="D15" s="27" t="n">
        <v>0</v>
      </c>
      <c r="E15" s="27" t="n">
        <v>53547.67164110009</v>
      </c>
      <c r="F15" s="27" t="n">
        <v>44877.58682254937</v>
      </c>
      <c r="G15" s="27" t="n">
        <v>4512</v>
      </c>
      <c r="H15" s="27" t="n">
        <v>4742.829227107823</v>
      </c>
      <c r="I15" s="27" t="n">
        <v>28709.92733072826</v>
      </c>
      <c r="J15" s="27" t="n">
        <v>8400.930994659229</v>
      </c>
      <c r="K15" s="27" t="n">
        <v>74750.23371081223</v>
      </c>
      <c r="L15" s="27" t="n">
        <v>0</v>
      </c>
      <c r="M15" s="27" t="n">
        <v>0</v>
      </c>
      <c r="N15" s="28" t="n">
        <v>219541.179726957</v>
      </c>
      <c r="O15" s="27" t="n">
        <v>0</v>
      </c>
      <c r="P15" s="28" t="n">
        <v>201762.1732600342</v>
      </c>
      <c r="Q15" s="27" t="n">
        <v>158814.4331289682</v>
      </c>
      <c r="R15" s="27" t="n">
        <v>21780.60864339698</v>
      </c>
      <c r="S15" s="27" t="n">
        <v>501.3628549573895</v>
      </c>
      <c r="T15" s="27" t="n">
        <v>0</v>
      </c>
      <c r="U15" s="27" t="n">
        <v>0</v>
      </c>
      <c r="V15" s="27" t="n">
        <v>173570.0067684028</v>
      </c>
      <c r="W15" s="27" t="n">
        <v>59982.04156138485</v>
      </c>
      <c r="X15" s="27" t="n">
        <v>0</v>
      </c>
      <c r="Y15" s="27" t="n">
        <v>24207.99883643335</v>
      </c>
      <c r="Z15" s="27" t="n">
        <v>17732.35914768743</v>
      </c>
      <c r="AA15" s="27" t="n">
        <v>0</v>
      </c>
      <c r="AB15" s="27" t="n">
        <v>2824.266530917224</v>
      </c>
      <c r="AC15" s="27" t="n">
        <v>15217.41704634685</v>
      </c>
      <c r="AD15" s="27" t="n">
        <v>60625.95938646809</v>
      </c>
      <c r="AE15" s="27" t="n">
        <v>41613.88452887801</v>
      </c>
      <c r="AF15" s="27" t="n">
        <v>8888.14765401622</v>
      </c>
      <c r="AG15" s="27" t="n">
        <v>2236.108978628181</v>
      </c>
      <c r="AH15" s="27" t="n">
        <v>1619.251329351441</v>
      </c>
      <c r="AI15" s="27" t="n">
        <v>2353.834038871722</v>
      </c>
      <c r="AJ15" s="27" t="n">
        <v>3914.732856722509</v>
      </c>
      <c r="AK15" s="27" t="n">
        <v>18353.69778448922</v>
      </c>
      <c r="AL15" s="27" t="n">
        <v>0</v>
      </c>
      <c r="AM15" s="28" t="n">
        <v>0</v>
      </c>
      <c r="AN15" s="28" t="n">
        <v>312531.705500745</v>
      </c>
      <c r="AO15" s="27" t="n">
        <v>22281.97149835437</v>
      </c>
      <c r="AP15" s="28" t="n">
        <v>310605.6781626661</v>
      </c>
      <c r="AQ15" s="27" t="n">
        <v>219541.179726957</v>
      </c>
      <c r="AR15" s="27" t="n">
        <v>3.224790116954397e-13</v>
      </c>
      <c r="AS15" s="27" t="n">
        <v>0</v>
      </c>
      <c r="AT15" s="28" t="n">
        <v>91064.4984357091</v>
      </c>
      <c r="AU15" s="28" t="n">
        <v>0</v>
      </c>
      <c r="AV15" s="27" t="n">
        <v>1.511455543027415e-11</v>
      </c>
      <c r="AW15" s="27" t="n">
        <v>0</v>
      </c>
      <c r="AX15" s="28" t="n">
        <v>1.511455543027415e-11</v>
      </c>
      <c r="AY15" s="27" t="n">
        <v>14822.38462878369</v>
      </c>
      <c r="AZ15" s="27" t="n">
        <v>41199.4122553405</v>
      </c>
      <c r="BA15" s="27" t="n">
        <v>35042.7015515849</v>
      </c>
      <c r="BB15" s="28" t="n">
        <v>76242.11380692539</v>
      </c>
      <c r="BC15" s="27" t="n">
        <v>0</v>
      </c>
      <c r="BD15" s="27" t="n">
        <v>0</v>
      </c>
      <c r="BE15" s="27" t="n">
        <v>0</v>
      </c>
      <c r="BF15" s="28" t="n">
        <v>0</v>
      </c>
      <c r="BG15" s="27" t="n">
        <v>0</v>
      </c>
      <c r="BH15" s="27" t="n">
        <v>0</v>
      </c>
      <c r="BI15" s="27" t="n">
        <v>0</v>
      </c>
      <c r="BJ15" s="28" t="n">
        <v>0</v>
      </c>
      <c r="BK15" s="27" t="n">
        <v>0</v>
      </c>
      <c r="BL15" s="28" t="n">
        <v>0</v>
      </c>
      <c r="BM15" s="28" t="n">
        <v>91064.4984357091</v>
      </c>
      <c r="BN15" s="27" t="n">
        <v>0</v>
      </c>
      <c r="BO15" s="27" t="n">
        <v>5756044.753470621</v>
      </c>
    </row>
    <row r="16">
      <c r="A16" s="26" t="n">
        <v>2039</v>
      </c>
      <c r="B16" s="26" t="n">
        <v>77</v>
      </c>
      <c r="C16" s="26" t="n">
        <v>78</v>
      </c>
      <c r="D16" s="27" t="n">
        <v>0</v>
      </c>
      <c r="E16" s="27" t="n">
        <v>54618.62507392209</v>
      </c>
      <c r="F16" s="27" t="n">
        <v>45775.13855900036</v>
      </c>
      <c r="G16" s="27" t="n">
        <v>4512</v>
      </c>
      <c r="H16" s="27" t="n">
        <v>4714.30407061792</v>
      </c>
      <c r="I16" s="27" t="n">
        <v>28428.03970448755</v>
      </c>
      <c r="J16" s="27" t="n">
        <v>8339.549702728345</v>
      </c>
      <c r="K16" s="27" t="n">
        <v>73997.54081210612</v>
      </c>
      <c r="L16" s="27" t="n">
        <v>0</v>
      </c>
      <c r="M16" s="27" t="n">
        <v>0</v>
      </c>
      <c r="N16" s="28" t="n">
        <v>220385.1979228624</v>
      </c>
      <c r="O16" s="27" t="n">
        <v>0</v>
      </c>
      <c r="P16" s="28" t="n">
        <v>202331.3407241465</v>
      </c>
      <c r="Q16" s="27" t="n">
        <v>158524.6457904591</v>
      </c>
      <c r="R16" s="27" t="n">
        <v>21453.68409602546</v>
      </c>
      <c r="S16" s="27" t="n">
        <v>497.9235254186502</v>
      </c>
      <c r="T16" s="27" t="n">
        <v>0</v>
      </c>
      <c r="U16" s="27" t="n">
        <v>0</v>
      </c>
      <c r="V16" s="27" t="n">
        <v>177909.2569376129</v>
      </c>
      <c r="W16" s="27" t="n">
        <v>61481.59260041946</v>
      </c>
      <c r="X16" s="27" t="n">
        <v>0</v>
      </c>
      <c r="Y16" s="27" t="n">
        <v>24813.19880734418</v>
      </c>
      <c r="Z16" s="27" t="n">
        <v>18175.66812637961</v>
      </c>
      <c r="AA16" s="27" t="n">
        <v>0</v>
      </c>
      <c r="AB16" s="27" t="n">
        <v>2894.873194190154</v>
      </c>
      <c r="AC16" s="27" t="n">
        <v>15597.85247250552</v>
      </c>
      <c r="AD16" s="27" t="n">
        <v>63753.65421945743</v>
      </c>
      <c r="AE16" s="27" t="n">
        <v>43695.9152446999</v>
      </c>
      <c r="AF16" s="27" t="n">
        <v>9423.997952330765</v>
      </c>
      <c r="AG16" s="27" t="n">
        <v>2370.919932485401</v>
      </c>
      <c r="AH16" s="27" t="n">
        <v>1716.873054558394</v>
      </c>
      <c r="AI16" s="27" t="n">
        <v>2395.203036338693</v>
      </c>
      <c r="AJ16" s="27" t="n">
        <v>4150.744999044269</v>
      </c>
      <c r="AK16" s="27" t="n">
        <v>18812.54022910144</v>
      </c>
      <c r="AL16" s="27" t="n">
        <v>0</v>
      </c>
      <c r="AM16" s="28" t="n">
        <v>0</v>
      </c>
      <c r="AN16" s="28" t="n">
        <v>321957.0439865912</v>
      </c>
      <c r="AO16" s="27" t="n">
        <v>21951.60762144411</v>
      </c>
      <c r="AP16" s="28" t="n">
        <v>319095.4528006911</v>
      </c>
      <c r="AQ16" s="27" t="n">
        <v>220385.1979228624</v>
      </c>
      <c r="AR16" s="27" t="n">
        <v>0</v>
      </c>
      <c r="AS16" s="27" t="n">
        <v>0</v>
      </c>
      <c r="AT16" s="28" t="n">
        <v>98710.25487782876</v>
      </c>
      <c r="AU16" s="28" t="n">
        <v>0</v>
      </c>
      <c r="AV16" s="27" t="n">
        <v>0</v>
      </c>
      <c r="AW16" s="27" t="n">
        <v>0</v>
      </c>
      <c r="AX16" s="28" t="n">
        <v>0</v>
      </c>
      <c r="AY16" s="27" t="n">
        <v>15711.72770651071</v>
      </c>
      <c r="AZ16" s="27" t="n">
        <v>44850.41621716692</v>
      </c>
      <c r="BA16" s="27" t="n">
        <v>38148.11095415113</v>
      </c>
      <c r="BB16" s="28" t="n">
        <v>82998.52717131804</v>
      </c>
      <c r="BC16" s="27" t="n">
        <v>0</v>
      </c>
      <c r="BD16" s="27" t="n">
        <v>0</v>
      </c>
      <c r="BE16" s="27" t="n">
        <v>0</v>
      </c>
      <c r="BF16" s="28" t="n">
        <v>0</v>
      </c>
      <c r="BG16" s="27" t="n">
        <v>0</v>
      </c>
      <c r="BH16" s="27" t="n">
        <v>0</v>
      </c>
      <c r="BI16" s="27" t="n">
        <v>0</v>
      </c>
      <c r="BJ16" s="28" t="n">
        <v>0</v>
      </c>
      <c r="BK16" s="27" t="n">
        <v>0</v>
      </c>
      <c r="BL16" s="28" t="n">
        <v>0</v>
      </c>
      <c r="BM16" s="28" t="n">
        <v>98710.25487782876</v>
      </c>
      <c r="BN16" s="27" t="n">
        <v>0</v>
      </c>
      <c r="BO16" s="27" t="n">
        <v>5809346.148996397</v>
      </c>
    </row>
    <row r="17">
      <c r="A17" s="26" t="n">
        <v>2040</v>
      </c>
      <c r="B17" s="26" t="n">
        <v>78</v>
      </c>
      <c r="C17" s="26" t="n">
        <v>79</v>
      </c>
      <c r="D17" s="27" t="n">
        <v>0</v>
      </c>
      <c r="E17" s="27" t="n">
        <v>55710.99757540054</v>
      </c>
      <c r="F17" s="27" t="n">
        <v>46690.64133018037</v>
      </c>
      <c r="G17" s="27" t="n">
        <v>4512</v>
      </c>
      <c r="H17" s="27" t="n">
        <v>4688.512022145189</v>
      </c>
      <c r="I17" s="27" t="n">
        <v>28173.16084615641</v>
      </c>
      <c r="J17" s="27" t="n">
        <v>8283.861356994126</v>
      </c>
      <c r="K17" s="27" t="n">
        <v>73314.65811191735</v>
      </c>
      <c r="L17" s="27" t="n">
        <v>0</v>
      </c>
      <c r="M17" s="27" t="n">
        <v>0</v>
      </c>
      <c r="N17" s="28" t="n">
        <v>221373.831242794</v>
      </c>
      <c r="O17" s="27" t="n">
        <v>0</v>
      </c>
      <c r="P17" s="28" t="n">
        <v>203037.3005108291</v>
      </c>
      <c r="Q17" s="27" t="n">
        <v>158354.4716784679</v>
      </c>
      <c r="R17" s="27" t="n">
        <v>21147.8110318299</v>
      </c>
      <c r="S17" s="27" t="n">
        <v>494.80637990907</v>
      </c>
      <c r="T17" s="27" t="n">
        <v>0</v>
      </c>
      <c r="U17" s="27" t="n">
        <v>0</v>
      </c>
      <c r="V17" s="27" t="n">
        <v>182356.9883610532</v>
      </c>
      <c r="W17" s="27" t="n">
        <v>63018.63241542995</v>
      </c>
      <c r="X17" s="27" t="n">
        <v>0</v>
      </c>
      <c r="Y17" s="27" t="n">
        <v>25433.52877752778</v>
      </c>
      <c r="Z17" s="27" t="n">
        <v>18630.0598295391</v>
      </c>
      <c r="AA17" s="27" t="n">
        <v>0</v>
      </c>
      <c r="AB17" s="27" t="n">
        <v>2967.245024044908</v>
      </c>
      <c r="AC17" s="27" t="n">
        <v>15987.79878431816</v>
      </c>
      <c r="AD17" s="27" t="n">
        <v>67050.78810659534</v>
      </c>
      <c r="AE17" s="27" t="n">
        <v>45889.87348822615</v>
      </c>
      <c r="AF17" s="27" t="n">
        <v>9990.377281053779</v>
      </c>
      <c r="AG17" s="27" t="n">
        <v>2513.411478707032</v>
      </c>
      <c r="AH17" s="27" t="n">
        <v>1820.05658802923</v>
      </c>
      <c r="AI17" s="27" t="n">
        <v>2436.865795615141</v>
      </c>
      <c r="AJ17" s="27" t="n">
        <v>4400.203474964001</v>
      </c>
      <c r="AK17" s="27" t="n">
        <v>19282.85373482898</v>
      </c>
      <c r="AL17" s="27" t="n">
        <v>0</v>
      </c>
      <c r="AM17" s="28" t="n">
        <v>0</v>
      </c>
      <c r="AN17" s="28" t="n">
        <v>331709.2626179075</v>
      </c>
      <c r="AO17" s="27" t="n">
        <v>21642.61741173897</v>
      </c>
      <c r="AP17" s="28" t="n">
        <v>327918.3512521186</v>
      </c>
      <c r="AQ17" s="27" t="n">
        <v>221373.831242794</v>
      </c>
      <c r="AR17" s="27" t="n">
        <v>0</v>
      </c>
      <c r="AS17" s="27" t="n">
        <v>0</v>
      </c>
      <c r="AT17" s="28" t="n">
        <v>106544.5200093247</v>
      </c>
      <c r="AU17" s="28" t="n">
        <v>0</v>
      </c>
      <c r="AV17" s="27" t="n">
        <v>0</v>
      </c>
      <c r="AW17" s="27" t="n">
        <v>0</v>
      </c>
      <c r="AX17" s="28" t="n">
        <v>0</v>
      </c>
      <c r="AY17" s="27" t="n">
        <v>16654.43136890135</v>
      </c>
      <c r="AZ17" s="27" t="n">
        <v>48574.45097789907</v>
      </c>
      <c r="BA17" s="27" t="n">
        <v>41315.63766252423</v>
      </c>
      <c r="BB17" s="28" t="n">
        <v>89890.0886404233</v>
      </c>
      <c r="BC17" s="27" t="n">
        <v>0</v>
      </c>
      <c r="BD17" s="27" t="n">
        <v>0</v>
      </c>
      <c r="BE17" s="27" t="n">
        <v>0</v>
      </c>
      <c r="BF17" s="28" t="n">
        <v>0</v>
      </c>
      <c r="BG17" s="27" t="n">
        <v>0</v>
      </c>
      <c r="BH17" s="27" t="n">
        <v>0</v>
      </c>
      <c r="BI17" s="27" t="n">
        <v>0</v>
      </c>
      <c r="BJ17" s="28" t="n">
        <v>0</v>
      </c>
      <c r="BK17" s="27" t="n">
        <v>0</v>
      </c>
      <c r="BL17" s="28" t="n">
        <v>0</v>
      </c>
      <c r="BM17" s="28" t="n">
        <v>106544.5200093247</v>
      </c>
      <c r="BN17" s="27" t="n">
        <v>0</v>
      </c>
      <c r="BO17" s="27" t="n">
        <v>5856997.897116918</v>
      </c>
    </row>
    <row r="18">
      <c r="A18" s="26" t="n">
        <v>2041</v>
      </c>
      <c r="B18" s="26" t="n">
        <v>79</v>
      </c>
      <c r="C18" s="26" t="n">
        <v>80</v>
      </c>
      <c r="D18" s="27" t="n">
        <v>0</v>
      </c>
      <c r="E18" s="27" t="n">
        <v>56825.21752690854</v>
      </c>
      <c r="F18" s="27" t="n">
        <v>47624.45415678398</v>
      </c>
      <c r="G18" s="27" t="n">
        <v>4512</v>
      </c>
      <c r="H18" s="27" t="n">
        <v>4665.280073298639</v>
      </c>
      <c r="I18" s="27" t="n">
        <v>27943.58107450407</v>
      </c>
      <c r="J18" s="27" t="n">
        <v>8233.508731827931</v>
      </c>
      <c r="K18" s="27" t="n">
        <v>72697.20510300249</v>
      </c>
      <c r="L18" s="27" t="n">
        <v>0</v>
      </c>
      <c r="M18" s="27" t="n">
        <v>0</v>
      </c>
      <c r="N18" s="28" t="n">
        <v>222501.2466663256</v>
      </c>
      <c r="O18" s="27" t="n">
        <v>0</v>
      </c>
      <c r="P18" s="28" t="n">
        <v>203874.2221921518</v>
      </c>
      <c r="Q18" s="27" t="n">
        <v>158297.7367831435</v>
      </c>
      <c r="R18" s="27" t="n">
        <v>20861.52590010986</v>
      </c>
      <c r="S18" s="27" t="n">
        <v>491.9911466335784</v>
      </c>
      <c r="T18" s="27" t="n">
        <v>0</v>
      </c>
      <c r="U18" s="27" t="n">
        <v>0</v>
      </c>
      <c r="V18" s="27" t="n">
        <v>182356.9883610532</v>
      </c>
      <c r="W18" s="27" t="n">
        <v>64594.09822581569</v>
      </c>
      <c r="X18" s="27" t="n">
        <v>0</v>
      </c>
      <c r="Y18" s="27" t="n">
        <v>26069.36699696597</v>
      </c>
      <c r="Z18" s="27" t="n">
        <v>19095.81132527758</v>
      </c>
      <c r="AA18" s="27" t="n">
        <v>0</v>
      </c>
      <c r="AB18" s="27" t="n">
        <v>3041.42614964603</v>
      </c>
      <c r="AC18" s="27" t="n">
        <v>16387.49375392611</v>
      </c>
      <c r="AD18" s="27" t="n">
        <v>70526.6478938392</v>
      </c>
      <c r="AE18" s="27" t="n">
        <v>48201.8829714597</v>
      </c>
      <c r="AF18" s="27" t="n">
        <v>10588.9713185669</v>
      </c>
      <c r="AG18" s="27" t="n">
        <v>2664.00770572083</v>
      </c>
      <c r="AH18" s="27" t="n">
        <v>1929.109028280601</v>
      </c>
      <c r="AI18" s="27" t="n">
        <v>2478.826138106107</v>
      </c>
      <c r="AJ18" s="27" t="n">
        <v>4663.850731705053</v>
      </c>
      <c r="AK18" s="27" t="n">
        <v>19764.9250781997</v>
      </c>
      <c r="AL18" s="27" t="n">
        <v>0</v>
      </c>
      <c r="AM18" s="28" t="n">
        <v>0</v>
      </c>
      <c r="AN18" s="28" t="n">
        <v>337242.6595589078</v>
      </c>
      <c r="AO18" s="27" t="n">
        <v>21353.51704674344</v>
      </c>
      <c r="AP18" s="28" t="n">
        <v>332526.8096086853</v>
      </c>
      <c r="AQ18" s="27" t="n">
        <v>222501.2466663256</v>
      </c>
      <c r="AR18" s="27" t="n">
        <v>0</v>
      </c>
      <c r="AS18" s="27" t="n">
        <v>0</v>
      </c>
      <c r="AT18" s="28" t="n">
        <v>110025.5629423597</v>
      </c>
      <c r="AU18" s="28" t="n">
        <v>0</v>
      </c>
      <c r="AV18" s="27" t="n">
        <v>0</v>
      </c>
      <c r="AW18" s="27" t="n">
        <v>0</v>
      </c>
      <c r="AX18" s="28" t="n">
        <v>0</v>
      </c>
      <c r="AY18" s="27" t="n">
        <v>0</v>
      </c>
      <c r="AZ18" s="27" t="n">
        <v>59455.17903356504</v>
      </c>
      <c r="BA18" s="27" t="n">
        <v>50570.38390879464</v>
      </c>
      <c r="BB18" s="28" t="n">
        <v>110025.5629423597</v>
      </c>
      <c r="BC18" s="27" t="n">
        <v>0</v>
      </c>
      <c r="BD18" s="27" t="n">
        <v>0</v>
      </c>
      <c r="BE18" s="27" t="n">
        <v>0</v>
      </c>
      <c r="BF18" s="28" t="n">
        <v>0</v>
      </c>
      <c r="BG18" s="27" t="n">
        <v>0</v>
      </c>
      <c r="BH18" s="27" t="n">
        <v>0</v>
      </c>
      <c r="BI18" s="27" t="n">
        <v>0</v>
      </c>
      <c r="BJ18" s="28" t="n">
        <v>0</v>
      </c>
      <c r="BK18" s="27" t="n">
        <v>0</v>
      </c>
      <c r="BL18" s="28" t="n">
        <v>0</v>
      </c>
      <c r="BM18" s="28" t="n">
        <v>110025.5629423597</v>
      </c>
      <c r="BN18" s="27" t="n">
        <v>0</v>
      </c>
      <c r="BO18" s="27" t="n">
        <v>5903111.813807681</v>
      </c>
    </row>
    <row r="19">
      <c r="A19" s="26" t="n">
        <v>2042</v>
      </c>
      <c r="B19" s="26" t="n">
        <v>80</v>
      </c>
      <c r="C19" s="26" t="n">
        <v>81</v>
      </c>
      <c r="D19" s="27" t="n">
        <v>0</v>
      </c>
      <c r="E19" s="27" t="n">
        <v>57961.72187744672</v>
      </c>
      <c r="F19" s="27" t="n">
        <v>48576.94323991965</v>
      </c>
      <c r="G19" s="27" t="n">
        <v>4512</v>
      </c>
      <c r="H19" s="27" t="n">
        <v>4644.444683385734</v>
      </c>
      <c r="I19" s="27" t="n">
        <v>27737.68426876955</v>
      </c>
      <c r="J19" s="27" t="n">
        <v>8188.154070937491</v>
      </c>
      <c r="K19" s="27" t="n">
        <v>72141.04002237991</v>
      </c>
      <c r="L19" s="27" t="n">
        <v>0</v>
      </c>
      <c r="M19" s="27" t="n">
        <v>0</v>
      </c>
      <c r="N19" s="28" t="n">
        <v>223761.988162839</v>
      </c>
      <c r="O19" s="27" t="n">
        <v>0</v>
      </c>
      <c r="P19" s="28" t="n">
        <v>204836.6433792192</v>
      </c>
      <c r="Q19" s="27" t="n">
        <v>158348.6282620307</v>
      </c>
      <c r="R19" s="27" t="n">
        <v>20593.44250162141</v>
      </c>
      <c r="S19" s="27" t="n">
        <v>489.4586600462634</v>
      </c>
      <c r="T19" s="27" t="n">
        <v>0</v>
      </c>
      <c r="U19" s="27" t="n">
        <v>0</v>
      </c>
      <c r="V19" s="27" t="n">
        <v>182356.9883610532</v>
      </c>
      <c r="W19" s="27" t="n">
        <v>66208.95068146108</v>
      </c>
      <c r="X19" s="27" t="n">
        <v>0</v>
      </c>
      <c r="Y19" s="27" t="n">
        <v>26721.10117189012</v>
      </c>
      <c r="Z19" s="27" t="n">
        <v>19573.20660840951</v>
      </c>
      <c r="AA19" s="27" t="n">
        <v>0</v>
      </c>
      <c r="AB19" s="27" t="n">
        <v>3117.461803387181</v>
      </c>
      <c r="AC19" s="27" t="n">
        <v>16797.18109777426</v>
      </c>
      <c r="AD19" s="27" t="n">
        <v>74191.03079989871</v>
      </c>
      <c r="AE19" s="27" t="n">
        <v>50638.40380678835</v>
      </c>
      <c r="AF19" s="27" t="n">
        <v>11221.55839555585</v>
      </c>
      <c r="AG19" s="27" t="n">
        <v>2823.156011721346</v>
      </c>
      <c r="AH19" s="27" t="n">
        <v>2044.354353315458</v>
      </c>
      <c r="AI19" s="27" t="n">
        <v>2521.088207859336</v>
      </c>
      <c r="AJ19" s="27" t="n">
        <v>4942.47002465837</v>
      </c>
      <c r="AK19" s="27" t="n">
        <v>20259.04820515469</v>
      </c>
      <c r="AL19" s="27" t="n">
        <v>0</v>
      </c>
      <c r="AM19" s="28" t="n">
        <v>0</v>
      </c>
      <c r="AN19" s="28" t="n">
        <v>343016.0180475677</v>
      </c>
      <c r="AO19" s="27" t="n">
        <v>21082.90116166768</v>
      </c>
      <c r="AP19" s="28" t="n">
        <v>337377.8180373452</v>
      </c>
      <c r="AQ19" s="27" t="n">
        <v>223761.988162839</v>
      </c>
      <c r="AR19" s="27" t="n">
        <v>0</v>
      </c>
      <c r="AS19" s="27" t="n">
        <v>0</v>
      </c>
      <c r="AT19" s="28" t="n">
        <v>113615.8298745062</v>
      </c>
      <c r="AU19" s="28" t="n">
        <v>0</v>
      </c>
      <c r="AV19" s="27" t="n">
        <v>0</v>
      </c>
      <c r="AW19" s="27" t="n">
        <v>0</v>
      </c>
      <c r="AX19" s="28" t="n">
        <v>0</v>
      </c>
      <c r="AY19" s="27" t="n">
        <v>0</v>
      </c>
      <c r="AZ19" s="27" t="n">
        <v>61395.2732945768</v>
      </c>
      <c r="BA19" s="27" t="n">
        <v>52220.55657992941</v>
      </c>
      <c r="BB19" s="28" t="n">
        <v>113615.8298745062</v>
      </c>
      <c r="BC19" s="27" t="n">
        <v>0</v>
      </c>
      <c r="BD19" s="27" t="n">
        <v>0</v>
      </c>
      <c r="BE19" s="27" t="n">
        <v>0</v>
      </c>
      <c r="BF19" s="28" t="n">
        <v>0</v>
      </c>
      <c r="BG19" s="27" t="n">
        <v>0</v>
      </c>
      <c r="BH19" s="27" t="n">
        <v>0</v>
      </c>
      <c r="BI19" s="27" t="n">
        <v>0</v>
      </c>
      <c r="BJ19" s="28" t="n">
        <v>0</v>
      </c>
      <c r="BK19" s="27" t="n">
        <v>0</v>
      </c>
      <c r="BL19" s="28" t="n">
        <v>0</v>
      </c>
      <c r="BM19" s="28" t="n">
        <v>113615.8298745062</v>
      </c>
      <c r="BN19" s="27" t="n">
        <v>0</v>
      </c>
      <c r="BO19" s="27" t="n">
        <v>5947321.686851474</v>
      </c>
    </row>
    <row r="20">
      <c r="A20" s="26" t="n">
        <v>2043</v>
      </c>
      <c r="B20" s="26" t="n">
        <v>81</v>
      </c>
      <c r="C20" s="26" t="n">
        <v>82</v>
      </c>
      <c r="D20" s="27" t="n">
        <v>0</v>
      </c>
      <c r="E20" s="27" t="n">
        <v>59120.95631499565</v>
      </c>
      <c r="F20" s="27" t="n">
        <v>49548.48210471805</v>
      </c>
      <c r="G20" s="27" t="n">
        <v>4512</v>
      </c>
      <c r="H20" s="27" t="n">
        <v>4625.851298809936</v>
      </c>
      <c r="I20" s="27" t="n">
        <v>27553.94311931406</v>
      </c>
      <c r="J20" s="27" t="n">
        <v>8147.478101381013</v>
      </c>
      <c r="K20" s="27" t="n">
        <v>71642.2477606005</v>
      </c>
      <c r="L20" s="27" t="n">
        <v>0</v>
      </c>
      <c r="M20" s="27" t="n">
        <v>0</v>
      </c>
      <c r="N20" s="28" t="n">
        <v>225150.9586998192</v>
      </c>
      <c r="O20" s="27" t="n">
        <v>0</v>
      </c>
      <c r="P20" s="28" t="n">
        <v>205919.4520171825</v>
      </c>
      <c r="Q20" s="27" t="n">
        <v>158501.6765976503</v>
      </c>
      <c r="R20" s="27" t="n">
        <v>20342.24802113721</v>
      </c>
      <c r="S20" s="27" t="n">
        <v>487.190804785312</v>
      </c>
      <c r="T20" s="27" t="n">
        <v>0</v>
      </c>
      <c r="U20" s="27" t="n">
        <v>0</v>
      </c>
      <c r="V20" s="27" t="n">
        <v>182356.9883610532</v>
      </c>
      <c r="W20" s="27" t="n">
        <v>67864.17444849759</v>
      </c>
      <c r="X20" s="27" t="n">
        <v>0</v>
      </c>
      <c r="Y20" s="27" t="n">
        <v>27389.12870118737</v>
      </c>
      <c r="Z20" s="27" t="n">
        <v>20062.53677361975</v>
      </c>
      <c r="AA20" s="27" t="n">
        <v>0</v>
      </c>
      <c r="AB20" s="27" t="n">
        <v>3195.39834847186</v>
      </c>
      <c r="AC20" s="27" t="n">
        <v>17217.11062521861</v>
      </c>
      <c r="AD20" s="27" t="n">
        <v>78054.27248169025</v>
      </c>
      <c r="AE20" s="27" t="n">
        <v>53206.25100395882</v>
      </c>
      <c r="AF20" s="27" t="n">
        <v>11890.01460644569</v>
      </c>
      <c r="AG20" s="27" t="n">
        <v>2991.328390621367</v>
      </c>
      <c r="AH20" s="27" t="n">
        <v>2166.134351829266</v>
      </c>
      <c r="AI20" s="27" t="n">
        <v>2563.656460150731</v>
      </c>
      <c r="AJ20" s="27" t="n">
        <v>5236.887668684373</v>
      </c>
      <c r="AK20" s="27" t="n">
        <v>20765.52441028356</v>
      </c>
      <c r="AL20" s="27" t="n">
        <v>0</v>
      </c>
      <c r="AM20" s="28" t="n">
        <v>0</v>
      </c>
      <c r="AN20" s="28" t="n">
        <v>349040.9597015246</v>
      </c>
      <c r="AO20" s="27" t="n">
        <v>20829.43882592252</v>
      </c>
      <c r="AP20" s="28" t="n">
        <v>342481.2698262598</v>
      </c>
      <c r="AQ20" s="27" t="n">
        <v>225150.9586998192</v>
      </c>
      <c r="AR20" s="27" t="n">
        <v>0</v>
      </c>
      <c r="AS20" s="27" t="n">
        <v>0</v>
      </c>
      <c r="AT20" s="28" t="n">
        <v>117330.3111264405</v>
      </c>
      <c r="AU20" s="28" t="n">
        <v>0</v>
      </c>
      <c r="AV20" s="27" t="n">
        <v>0</v>
      </c>
      <c r="AW20" s="27" t="n">
        <v>0</v>
      </c>
      <c r="AX20" s="28" t="n">
        <v>0</v>
      </c>
      <c r="AY20" s="27" t="n">
        <v>0</v>
      </c>
      <c r="AZ20" s="27" t="n">
        <v>63402.48999899186</v>
      </c>
      <c r="BA20" s="27" t="n">
        <v>53927.82112744867</v>
      </c>
      <c r="BB20" s="28" t="n">
        <v>117330.3111264405</v>
      </c>
      <c r="BC20" s="27" t="n">
        <v>0</v>
      </c>
      <c r="BD20" s="27" t="n">
        <v>0</v>
      </c>
      <c r="BE20" s="27" t="n">
        <v>0</v>
      </c>
      <c r="BF20" s="28" t="n">
        <v>0</v>
      </c>
      <c r="BG20" s="27" t="n">
        <v>0</v>
      </c>
      <c r="BH20" s="27" t="n">
        <v>0</v>
      </c>
      <c r="BI20" s="27" t="n">
        <v>0</v>
      </c>
      <c r="BJ20" s="28" t="n">
        <v>0</v>
      </c>
      <c r="BK20" s="27" t="n">
        <v>0</v>
      </c>
      <c r="BL20" s="28" t="n">
        <v>0</v>
      </c>
      <c r="BM20" s="28" t="n">
        <v>117330.3111264405</v>
      </c>
      <c r="BN20" s="27" t="n">
        <v>0</v>
      </c>
      <c r="BO20" s="27" t="n">
        <v>5989228.467605149</v>
      </c>
    </row>
    <row r="21">
      <c r="A21" s="26" t="n">
        <v>2044</v>
      </c>
      <c r="B21" s="26" t="n">
        <v>82</v>
      </c>
      <c r="C21" s="26" t="n">
        <v>83</v>
      </c>
      <c r="D21" s="27" t="n">
        <v>0</v>
      </c>
      <c r="E21" s="27" t="n">
        <v>60303.37544129556</v>
      </c>
      <c r="F21" s="27" t="n">
        <v>50539.45174681242</v>
      </c>
      <c r="G21" s="27" t="n">
        <v>4512</v>
      </c>
      <c r="H21" s="27" t="n">
        <v>4609.353895768136</v>
      </c>
      <c r="I21" s="27" t="n">
        <v>27390.91460852447</v>
      </c>
      <c r="J21" s="27" t="n">
        <v>8111.179095309204</v>
      </c>
      <c r="K21" s="27" t="n">
        <v>71197.1283562858</v>
      </c>
      <c r="L21" s="27" t="n">
        <v>0</v>
      </c>
      <c r="M21" s="27" t="n">
        <v>0</v>
      </c>
      <c r="N21" s="28" t="n">
        <v>226663.4031439956</v>
      </c>
      <c r="O21" s="27" t="n">
        <v>0</v>
      </c>
      <c r="P21" s="28" t="n">
        <v>207117.8695559779</v>
      </c>
      <c r="Q21" s="27" t="n">
        <v>158751.738628055</v>
      </c>
      <c r="R21" s="27" t="n">
        <v>20106.69925121932</v>
      </c>
      <c r="S21" s="27" t="n">
        <v>485.1704623231544</v>
      </c>
      <c r="T21" s="27" t="n">
        <v>0</v>
      </c>
      <c r="U21" s="27" t="n">
        <v>0</v>
      </c>
      <c r="V21" s="27" t="n">
        <v>182356.9883610532</v>
      </c>
      <c r="W21" s="27" t="n">
        <v>69560.77880971003</v>
      </c>
      <c r="X21" s="27" t="n">
        <v>0</v>
      </c>
      <c r="Y21" s="27" t="n">
        <v>28073.85691871705</v>
      </c>
      <c r="Z21" s="27" t="n">
        <v>20564.10019296024</v>
      </c>
      <c r="AA21" s="27" t="n">
        <v>0</v>
      </c>
      <c r="AB21" s="27" t="n">
        <v>3275.283307183656</v>
      </c>
      <c r="AC21" s="27" t="n">
        <v>17647.53839084908</v>
      </c>
      <c r="AD21" s="27" t="n">
        <v>82127.27664332779</v>
      </c>
      <c r="AE21" s="27" t="n">
        <v>55912.61398432112</v>
      </c>
      <c r="AF21" s="27" t="n">
        <v>12596.31920162294</v>
      </c>
      <c r="AG21" s="27" t="n">
        <v>3169.022788644619</v>
      </c>
      <c r="AH21" s="27" t="n">
        <v>2294.809605570241</v>
      </c>
      <c r="AI21" s="27" t="n">
        <v>2606.535650083089</v>
      </c>
      <c r="AJ21" s="27" t="n">
        <v>5547.975413085769</v>
      </c>
      <c r="AK21" s="27" t="n">
        <v>21284.66252054065</v>
      </c>
      <c r="AL21" s="27" t="n">
        <v>0</v>
      </c>
      <c r="AM21" s="28" t="n">
        <v>0</v>
      </c>
      <c r="AN21" s="28" t="n">
        <v>355329.7063346317</v>
      </c>
      <c r="AO21" s="27" t="n">
        <v>20591.86971354248</v>
      </c>
      <c r="AP21" s="28" t="n">
        <v>347847.7191294571</v>
      </c>
      <c r="AQ21" s="27" t="n">
        <v>226663.4031439956</v>
      </c>
      <c r="AR21" s="27" t="n">
        <v>0</v>
      </c>
      <c r="AS21" s="27" t="n">
        <v>0</v>
      </c>
      <c r="AT21" s="28" t="n">
        <v>121184.3159854615</v>
      </c>
      <c r="AU21" s="28" t="n">
        <v>0</v>
      </c>
      <c r="AV21" s="27" t="n">
        <v>0</v>
      </c>
      <c r="AW21" s="27" t="n">
        <v>0</v>
      </c>
      <c r="AX21" s="28" t="n">
        <v>0</v>
      </c>
      <c r="AY21" s="27" t="n">
        <v>0</v>
      </c>
      <c r="AZ21" s="27" t="n">
        <v>65485.10191899963</v>
      </c>
      <c r="BA21" s="27" t="n">
        <v>55699.21406646189</v>
      </c>
      <c r="BB21" s="28" t="n">
        <v>121184.3159854615</v>
      </c>
      <c r="BC21" s="27" t="n">
        <v>0</v>
      </c>
      <c r="BD21" s="27" t="n">
        <v>0</v>
      </c>
      <c r="BE21" s="27" t="n">
        <v>0</v>
      </c>
      <c r="BF21" s="28" t="n">
        <v>0</v>
      </c>
      <c r="BG21" s="27" t="n">
        <v>0</v>
      </c>
      <c r="BH21" s="27" t="n">
        <v>0</v>
      </c>
      <c r="BI21" s="27" t="n">
        <v>0</v>
      </c>
      <c r="BJ21" s="28" t="n">
        <v>0</v>
      </c>
      <c r="BK21" s="27" t="n">
        <v>0</v>
      </c>
      <c r="BL21" s="28" t="n">
        <v>0</v>
      </c>
      <c r="BM21" s="28" t="n">
        <v>121184.3159854615</v>
      </c>
      <c r="BN21" s="27" t="n">
        <v>0</v>
      </c>
      <c r="BO21" s="27" t="n">
        <v>6028397.550937718</v>
      </c>
    </row>
    <row r="22">
      <c r="A22" s="26" t="n">
        <v>2045</v>
      </c>
      <c r="B22" s="26" t="n">
        <v>83</v>
      </c>
      <c r="C22" s="26" t="n">
        <v>84</v>
      </c>
      <c r="D22" s="27" t="n">
        <v>0</v>
      </c>
      <c r="E22" s="27" t="n">
        <v>61509.44295012148</v>
      </c>
      <c r="F22" s="27" t="n">
        <v>51550.24078174866</v>
      </c>
      <c r="G22" s="27" t="n">
        <v>4512</v>
      </c>
      <c r="H22" s="27" t="n">
        <v>4594.814545152937</v>
      </c>
      <c r="I22" s="27" t="n">
        <v>27247.23571114662</v>
      </c>
      <c r="J22" s="27" t="n">
        <v>8078.971977194579</v>
      </c>
      <c r="K22" s="27" t="n">
        <v>70802.1860484575</v>
      </c>
      <c r="L22" s="27" t="n">
        <v>0</v>
      </c>
      <c r="M22" s="27" t="n">
        <v>0</v>
      </c>
      <c r="N22" s="28" t="n">
        <v>228294.8920138218</v>
      </c>
      <c r="O22" s="27" t="n">
        <v>0</v>
      </c>
      <c r="P22" s="28" t="n">
        <v>208427.4349560231</v>
      </c>
      <c r="Q22" s="27" t="n">
        <v>159093.9814095417</v>
      </c>
      <c r="R22" s="27" t="n">
        <v>19885.61899820736</v>
      </c>
      <c r="S22" s="27" t="n">
        <v>483.3814602043048</v>
      </c>
      <c r="T22" s="27" t="n">
        <v>0</v>
      </c>
      <c r="U22" s="27" t="n">
        <v>0</v>
      </c>
      <c r="V22" s="27" t="n">
        <v>182356.9883610532</v>
      </c>
      <c r="W22" s="27" t="n">
        <v>71299.79827995277</v>
      </c>
      <c r="X22" s="27" t="n">
        <v>0</v>
      </c>
      <c r="Y22" s="27" t="n">
        <v>28775.70334168497</v>
      </c>
      <c r="Z22" s="27" t="n">
        <v>21078.20269778424</v>
      </c>
      <c r="AA22" s="27" t="n">
        <v>0</v>
      </c>
      <c r="AB22" s="27" t="n">
        <v>3357.165389863247</v>
      </c>
      <c r="AC22" s="27" t="n">
        <v>18088.7268506203</v>
      </c>
      <c r="AD22" s="27" t="n">
        <v>86421.54627354468</v>
      </c>
      <c r="AE22" s="27" t="n">
        <v>58765.07716829266</v>
      </c>
      <c r="AF22" s="27" t="n">
        <v>13342.56027585716</v>
      </c>
      <c r="AG22" s="27" t="n">
        <v>3356.764535437301</v>
      </c>
      <c r="AH22" s="27" t="n">
        <v>2430.760525661494</v>
      </c>
      <c r="AI22" s="27" t="n">
        <v>2649.730821256345</v>
      </c>
      <c r="AJ22" s="27" t="n">
        <v>5876.652947039716</v>
      </c>
      <c r="AK22" s="27" t="n">
        <v>21816.77908355416</v>
      </c>
      <c r="AL22" s="27" t="n">
        <v>0</v>
      </c>
      <c r="AM22" s="28" t="n">
        <v>0</v>
      </c>
      <c r="AN22" s="28" t="n">
        <v>361895.1119981048</v>
      </c>
      <c r="AO22" s="27" t="n">
        <v>20369.00045841167</v>
      </c>
      <c r="AP22" s="28" t="n">
        <v>353488.4091148315</v>
      </c>
      <c r="AQ22" s="27" t="n">
        <v>228294.8920138218</v>
      </c>
      <c r="AR22" s="27" t="n">
        <v>0</v>
      </c>
      <c r="AS22" s="27" t="n">
        <v>0</v>
      </c>
      <c r="AT22" s="28" t="n">
        <v>125193.5171010097</v>
      </c>
      <c r="AU22" s="28" t="n">
        <v>-1.455191522836685e-11</v>
      </c>
      <c r="AV22" s="27" t="n">
        <v>0</v>
      </c>
      <c r="AW22" s="27" t="n">
        <v>0</v>
      </c>
      <c r="AX22" s="28" t="n">
        <v>0</v>
      </c>
      <c r="AY22" s="27" t="n">
        <v>0</v>
      </c>
      <c r="AZ22" s="27" t="n">
        <v>67651.57817898809</v>
      </c>
      <c r="BA22" s="27" t="n">
        <v>57541.93892202165</v>
      </c>
      <c r="BB22" s="28" t="n">
        <v>125193.5171010097</v>
      </c>
      <c r="BC22" s="27" t="n">
        <v>0</v>
      </c>
      <c r="BD22" s="27" t="n">
        <v>0</v>
      </c>
      <c r="BE22" s="27" t="n">
        <v>0</v>
      </c>
      <c r="BF22" s="28" t="n">
        <v>0</v>
      </c>
      <c r="BG22" s="27" t="n">
        <v>0</v>
      </c>
      <c r="BH22" s="27" t="n">
        <v>0</v>
      </c>
      <c r="BI22" s="27" t="n">
        <v>0</v>
      </c>
      <c r="BJ22" s="28" t="n">
        <v>0</v>
      </c>
      <c r="BK22" s="27" t="n">
        <v>0</v>
      </c>
      <c r="BL22" s="28" t="n">
        <v>0</v>
      </c>
      <c r="BM22" s="28" t="n">
        <v>125193.5171010097</v>
      </c>
      <c r="BN22" s="27" t="n">
        <v>1.455191522836685e-11</v>
      </c>
      <c r="BO22" s="27" t="n">
        <v>6064355.861922963</v>
      </c>
    </row>
    <row r="23">
      <c r="A23" s="26" t="n">
        <v>2046</v>
      </c>
      <c r="B23" s="26" t="n">
        <v>84</v>
      </c>
      <c r="C23" s="26" t="n">
        <v>85</v>
      </c>
      <c r="D23" s="27" t="n">
        <v>0</v>
      </c>
      <c r="E23" s="27" t="n">
        <v>62739.63180912391</v>
      </c>
      <c r="F23" s="27" t="n">
        <v>52581.24559738363</v>
      </c>
      <c r="G23" s="27" t="n">
        <v>4512</v>
      </c>
      <c r="H23" s="27" t="n">
        <v>4582.102998615078</v>
      </c>
      <c r="I23" s="27" t="n">
        <v>27121.61930372485</v>
      </c>
      <c r="J23" s="27" t="n">
        <v>8050.587474410281</v>
      </c>
      <c r="K23" s="27" t="n">
        <v>70454.11886044357</v>
      </c>
      <c r="L23" s="27" t="n">
        <v>0</v>
      </c>
      <c r="M23" s="27" t="n">
        <v>0</v>
      </c>
      <c r="N23" s="28" t="n">
        <v>230041.3060437013</v>
      </c>
      <c r="O23" s="27" t="n">
        <v>0</v>
      </c>
      <c r="P23" s="28" t="n">
        <v>209843.9894899875</v>
      </c>
      <c r="Q23" s="27" t="n">
        <v>159523.8668725765</v>
      </c>
      <c r="R23" s="27" t="n">
        <v>19677.89266183716</v>
      </c>
      <c r="S23" s="27" t="n">
        <v>481.8085237492381</v>
      </c>
      <c r="T23" s="27" t="n">
        <v>0</v>
      </c>
      <c r="U23" s="27" t="n">
        <v>0</v>
      </c>
      <c r="V23" s="27" t="n">
        <v>182356.9883610532</v>
      </c>
      <c r="W23" s="27" t="n">
        <v>73082.29323695158</v>
      </c>
      <c r="X23" s="27" t="n">
        <v>0</v>
      </c>
      <c r="Y23" s="27" t="n">
        <v>29495.09592522709</v>
      </c>
      <c r="Z23" s="27" t="n">
        <v>21605.15776522885</v>
      </c>
      <c r="AA23" s="27" t="n">
        <v>0</v>
      </c>
      <c r="AB23" s="27" t="n">
        <v>3441.094524609828</v>
      </c>
      <c r="AC23" s="27" t="n">
        <v>18540.94502188581</v>
      </c>
      <c r="AD23" s="27" t="n">
        <v>90949.21660110893</v>
      </c>
      <c r="AE23" s="27" t="n">
        <v>61771.64169506804</v>
      </c>
      <c r="AF23" s="27" t="n">
        <v>14130.94076918716</v>
      </c>
      <c r="AG23" s="27" t="n">
        <v>3555.107853790472</v>
      </c>
      <c r="AH23" s="27" t="n">
        <v>2574.388445848272</v>
      </c>
      <c r="AI23" s="27" t="n">
        <v>2693.247294561793</v>
      </c>
      <c r="AJ23" s="27" t="n">
        <v>6223.890542653181</v>
      </c>
      <c r="AK23" s="27" t="n">
        <v>22362.19856064301</v>
      </c>
      <c r="AL23" s="27" t="n">
        <v>0</v>
      </c>
      <c r="AM23" s="28" t="n">
        <v>0</v>
      </c>
      <c r="AN23" s="28" t="n">
        <v>368750.6967597568</v>
      </c>
      <c r="AO23" s="27" t="n">
        <v>20159.7011855864</v>
      </c>
      <c r="AP23" s="28" t="n">
        <v>359415.302020116</v>
      </c>
      <c r="AQ23" s="27" t="n">
        <v>230041.3060437013</v>
      </c>
      <c r="AR23" s="27" t="n">
        <v>3.224790116954397e-13</v>
      </c>
      <c r="AS23" s="27" t="n">
        <v>0</v>
      </c>
      <c r="AT23" s="28" t="n">
        <v>129373.9959764147</v>
      </c>
      <c r="AU23" s="28" t="n">
        <v>0</v>
      </c>
      <c r="AV23" s="27" t="n">
        <v>1.511455543027415e-11</v>
      </c>
      <c r="AW23" s="27" t="n">
        <v>0</v>
      </c>
      <c r="AX23" s="28" t="n">
        <v>1.511455543027415e-11</v>
      </c>
      <c r="AY23" s="27" t="n">
        <v>0</v>
      </c>
      <c r="AZ23" s="27" t="n">
        <v>69910.60883819453</v>
      </c>
      <c r="BA23" s="27" t="n">
        <v>59463.38713822016</v>
      </c>
      <c r="BB23" s="28" t="n">
        <v>129373.9959764147</v>
      </c>
      <c r="BC23" s="27" t="n">
        <v>0</v>
      </c>
      <c r="BD23" s="27" t="n">
        <v>0</v>
      </c>
      <c r="BE23" s="27" t="n">
        <v>0</v>
      </c>
      <c r="BF23" s="28" t="n">
        <v>0</v>
      </c>
      <c r="BG23" s="27" t="n">
        <v>0</v>
      </c>
      <c r="BH23" s="27" t="n">
        <v>0</v>
      </c>
      <c r="BI23" s="27" t="n">
        <v>0</v>
      </c>
      <c r="BJ23" s="28" t="n">
        <v>0</v>
      </c>
      <c r="BK23" s="27" t="n">
        <v>0</v>
      </c>
      <c r="BL23" s="28" t="n">
        <v>0</v>
      </c>
      <c r="BM23" s="28" t="n">
        <v>129373.9959764147</v>
      </c>
      <c r="BN23" s="27" t="n">
        <v>0</v>
      </c>
      <c r="BO23" s="27" t="n">
        <v>6096588.735590843</v>
      </c>
    </row>
    <row r="24">
      <c r="A24" s="26" t="n">
        <v>2047</v>
      </c>
      <c r="B24" s="26" t="n">
        <v>85</v>
      </c>
      <c r="C24" s="26" t="n">
        <v>86</v>
      </c>
      <c r="D24" s="27" t="n">
        <v>0</v>
      </c>
      <c r="E24" s="27" t="n">
        <v>63994.42444530639</v>
      </c>
      <c r="F24" s="27" t="n">
        <v>53632.87050933131</v>
      </c>
      <c r="G24" s="27" t="n">
        <v>4512</v>
      </c>
      <c r="H24" s="27" t="n">
        <v>3652.275801511604</v>
      </c>
      <c r="I24" s="27" t="n">
        <v>17933.00077683533</v>
      </c>
      <c r="J24" s="27" t="n">
        <v>8025.771309118865</v>
      </c>
      <c r="K24" s="27" t="n">
        <v>70149.80869035139</v>
      </c>
      <c r="L24" s="27" t="n">
        <v>0</v>
      </c>
      <c r="M24" s="27" t="n">
        <v>0</v>
      </c>
      <c r="N24" s="28" t="n">
        <v>221900.1515324549</v>
      </c>
      <c r="O24" s="27" t="n">
        <v>0</v>
      </c>
      <c r="P24" s="28" t="n">
        <v>201605.7232830391</v>
      </c>
      <c r="Q24" s="27" t="n">
        <v>150279.1982132799</v>
      </c>
      <c r="R24" s="27" t="n">
        <v>17335.71839578932</v>
      </c>
      <c r="S24" s="27" t="n">
        <v>446.8717986683122</v>
      </c>
      <c r="T24" s="27" t="n">
        <v>0</v>
      </c>
      <c r="U24" s="27" t="n">
        <v>0</v>
      </c>
      <c r="V24" s="27" t="n">
        <v>182356.9883610532</v>
      </c>
      <c r="W24" s="27" t="n">
        <v>74909.35056787537</v>
      </c>
      <c r="X24" s="27" t="n">
        <v>0</v>
      </c>
      <c r="Y24" s="27" t="n">
        <v>30232.47332335778</v>
      </c>
      <c r="Z24" s="27" t="n">
        <v>22145.28670935957</v>
      </c>
      <c r="AA24" s="27" t="n">
        <v>0</v>
      </c>
      <c r="AB24" s="27" t="n">
        <v>3527.121887725074</v>
      </c>
      <c r="AC24" s="27" t="n">
        <v>19004.46864743296</v>
      </c>
      <c r="AD24" s="27" t="n">
        <v>95723.08986272071</v>
      </c>
      <c r="AE24" s="27" t="n">
        <v>64940.74833684758</v>
      </c>
      <c r="AF24" s="27" t="n">
        <v>14963.78479743583</v>
      </c>
      <c r="AG24" s="27" t="n">
        <v>3764.637452291481</v>
      </c>
      <c r="AH24" s="27" t="n">
        <v>2726.116775797279</v>
      </c>
      <c r="AI24" s="27" t="n">
        <v>2737.090657147212</v>
      </c>
      <c r="AJ24" s="27" t="n">
        <v>6590.711843201328</v>
      </c>
      <c r="AK24" s="27" t="n">
        <v>22921.25352465909</v>
      </c>
      <c r="AL24" s="27" t="n">
        <v>0</v>
      </c>
      <c r="AM24" s="28" t="n">
        <v>0</v>
      </c>
      <c r="AN24" s="28" t="n">
        <v>375910.6823163084</v>
      </c>
      <c r="AO24" s="27" t="n">
        <v>17782.59019445763</v>
      </c>
      <c r="AP24" s="28" t="n">
        <v>363460.7991874082</v>
      </c>
      <c r="AQ24" s="27" t="n">
        <v>221900.1515324549</v>
      </c>
      <c r="AR24" s="27" t="n">
        <v>0</v>
      </c>
      <c r="AS24" s="27" t="n">
        <v>0</v>
      </c>
      <c r="AT24" s="28" t="n">
        <v>141560.6476549534</v>
      </c>
      <c r="AU24" s="28" t="n">
        <v>0</v>
      </c>
      <c r="AV24" s="27" t="n">
        <v>0</v>
      </c>
      <c r="AW24" s="27" t="n">
        <v>0</v>
      </c>
      <c r="AX24" s="28" t="n">
        <v>0</v>
      </c>
      <c r="AY24" s="27" t="n">
        <v>0</v>
      </c>
      <c r="AZ24" s="27" t="n">
        <v>76495.98352740922</v>
      </c>
      <c r="BA24" s="27" t="n">
        <v>65064.66412754414</v>
      </c>
      <c r="BB24" s="28" t="n">
        <v>141560.6476549534</v>
      </c>
      <c r="BC24" s="27" t="n">
        <v>0</v>
      </c>
      <c r="BD24" s="27" t="n">
        <v>0</v>
      </c>
      <c r="BE24" s="27" t="n">
        <v>0</v>
      </c>
      <c r="BF24" s="28" t="n">
        <v>0</v>
      </c>
      <c r="BG24" s="27" t="n">
        <v>0</v>
      </c>
      <c r="BH24" s="27" t="n">
        <v>0</v>
      </c>
      <c r="BI24" s="27" t="n">
        <v>0</v>
      </c>
      <c r="BJ24" s="28" t="n">
        <v>0</v>
      </c>
      <c r="BK24" s="27" t="n">
        <v>0</v>
      </c>
      <c r="BL24" s="28" t="n">
        <v>0</v>
      </c>
      <c r="BM24" s="28" t="n">
        <v>141560.6476549534</v>
      </c>
      <c r="BN24" s="27" t="n">
        <v>0</v>
      </c>
      <c r="BO24" s="27" t="n">
        <v>6116249.11567698</v>
      </c>
    </row>
    <row r="25">
      <c r="A25" s="26" t="n">
        <v>2048</v>
      </c>
      <c r="B25" s="26" t="n">
        <v>86</v>
      </c>
      <c r="C25" s="26" t="n">
        <v>87</v>
      </c>
      <c r="D25" s="27" t="n">
        <v>0</v>
      </c>
      <c r="E25" s="27" t="n">
        <v>65274.31293421252</v>
      </c>
      <c r="F25" s="27" t="n">
        <v>54705.52791951794</v>
      </c>
      <c r="G25" s="27" t="n">
        <v>4512</v>
      </c>
      <c r="H25" s="27" t="n">
        <v>3680.070121433256</v>
      </c>
      <c r="I25" s="27" t="n">
        <v>18207.66622410334</v>
      </c>
      <c r="J25" s="27" t="n">
        <v>6210.512611284746</v>
      </c>
      <c r="K25" s="27" t="n">
        <v>47890.05676605565</v>
      </c>
      <c r="L25" s="27" t="n">
        <v>0</v>
      </c>
      <c r="M25" s="27" t="n">
        <v>0</v>
      </c>
      <c r="N25" s="28" t="n">
        <v>200480.1465766074</v>
      </c>
      <c r="O25" s="27" t="n">
        <v>0</v>
      </c>
      <c r="P25" s="28" t="n">
        <v>164308.9943644842</v>
      </c>
      <c r="Q25" s="27" t="n">
        <v>111955.9387933298</v>
      </c>
      <c r="R25" s="27" t="n">
        <v>12682.53170618027</v>
      </c>
      <c r="S25" s="27" t="n">
        <v>376.9913168961097</v>
      </c>
      <c r="T25" s="27" t="n">
        <v>0</v>
      </c>
      <c r="U25" s="27" t="n">
        <v>0</v>
      </c>
      <c r="V25" s="27" t="n">
        <v>182356.9883610532</v>
      </c>
      <c r="W25" s="27" t="n">
        <v>76782.08433207223</v>
      </c>
      <c r="X25" s="27" t="n">
        <v>0</v>
      </c>
      <c r="Y25" s="27" t="n">
        <v>30988.28515644171</v>
      </c>
      <c r="Z25" s="27" t="n">
        <v>22698.91887709355</v>
      </c>
      <c r="AA25" s="27" t="n">
        <v>0</v>
      </c>
      <c r="AB25" s="27" t="n">
        <v>3615.2999349182</v>
      </c>
      <c r="AC25" s="27" t="n">
        <v>19479.58036361878</v>
      </c>
      <c r="AD25" s="27" t="n">
        <v>100756.671983078</v>
      </c>
      <c r="AE25" s="27" t="n">
        <v>68281.30167328187</v>
      </c>
      <c r="AF25" s="27" t="n">
        <v>15843.54433046617</v>
      </c>
      <c r="AG25" s="27" t="n">
        <v>3985.970205461255</v>
      </c>
      <c r="AH25" s="27" t="n">
        <v>2886.392217747805</v>
      </c>
      <c r="AI25" s="27" t="n">
        <v>2781.266751594439</v>
      </c>
      <c r="AJ25" s="27" t="n">
        <v>6978.196804526479</v>
      </c>
      <c r="AK25" s="27" t="n">
        <v>23494.28486277556</v>
      </c>
      <c r="AL25" s="27" t="n">
        <v>0</v>
      </c>
      <c r="AM25" s="28" t="n">
        <v>0</v>
      </c>
      <c r="AN25" s="28" t="n">
        <v>383390.0295389791</v>
      </c>
      <c r="AO25" s="27" t="n">
        <v>13059.52302307638</v>
      </c>
      <c r="AP25" s="28" t="n">
        <v>365461.2674056137</v>
      </c>
      <c r="AQ25" s="27" t="n">
        <v>200480.1465766074</v>
      </c>
      <c r="AR25" s="27" t="n">
        <v>0</v>
      </c>
      <c r="AS25" s="27" t="n">
        <v>0</v>
      </c>
      <c r="AT25" s="28" t="n">
        <v>164981.1208290062</v>
      </c>
      <c r="AU25" s="28" t="n">
        <v>0</v>
      </c>
      <c r="AV25" s="27" t="n">
        <v>0</v>
      </c>
      <c r="AW25" s="27" t="n">
        <v>0</v>
      </c>
      <c r="AX25" s="28" t="n">
        <v>0</v>
      </c>
      <c r="AY25" s="27" t="n">
        <v>0</v>
      </c>
      <c r="AZ25" s="27" t="n">
        <v>89151.84629580614</v>
      </c>
      <c r="BA25" s="27" t="n">
        <v>75829.27453320012</v>
      </c>
      <c r="BB25" s="28" t="n">
        <v>164981.1208290062</v>
      </c>
      <c r="BC25" s="27" t="n">
        <v>0</v>
      </c>
      <c r="BD25" s="27" t="n">
        <v>0</v>
      </c>
      <c r="BE25" s="27" t="n">
        <v>0</v>
      </c>
      <c r="BF25" s="28" t="n">
        <v>0</v>
      </c>
      <c r="BG25" s="27" t="n">
        <v>0</v>
      </c>
      <c r="BH25" s="27" t="n">
        <v>0</v>
      </c>
      <c r="BI25" s="27" t="n">
        <v>0</v>
      </c>
      <c r="BJ25" s="28" t="n">
        <v>0</v>
      </c>
      <c r="BK25" s="27" t="n">
        <v>0</v>
      </c>
      <c r="BL25" s="28" t="n">
        <v>0</v>
      </c>
      <c r="BM25" s="28" t="n">
        <v>164981.1208290062</v>
      </c>
      <c r="BN25" s="27" t="n">
        <v>0</v>
      </c>
      <c r="BO25" s="27" t="n">
        <v>6121139.533291341</v>
      </c>
    </row>
    <row r="26">
      <c r="A26" s="26" t="n">
        <v>2049</v>
      </c>
      <c r="B26" s="26" t="n">
        <v>87</v>
      </c>
      <c r="C26" s="26" t="n">
        <v>88</v>
      </c>
      <c r="D26" s="27" t="n">
        <v>0</v>
      </c>
      <c r="E26" s="27" t="n">
        <v>66579.79919289677</v>
      </c>
      <c r="F26" s="27" t="n">
        <v>55799.63847790829</v>
      </c>
      <c r="G26" s="27" t="n">
        <v>4512</v>
      </c>
      <c r="H26" s="27" t="n">
        <v>3708.296286986748</v>
      </c>
      <c r="I26" s="27" t="n">
        <v>18486.59920063469</v>
      </c>
      <c r="J26" s="27" t="n">
        <v>6264.774178536524</v>
      </c>
      <c r="K26" s="27" t="n">
        <v>48555.44348338096</v>
      </c>
      <c r="L26" s="27" t="n">
        <v>0</v>
      </c>
      <c r="M26" s="27" t="n">
        <v>0</v>
      </c>
      <c r="N26" s="28" t="n">
        <v>203906.550820344</v>
      </c>
      <c r="O26" s="27" t="n">
        <v>0</v>
      </c>
      <c r="P26" s="28" t="n">
        <v>167193.554525845</v>
      </c>
      <c r="Q26" s="27" t="n">
        <v>113793.4378432675</v>
      </c>
      <c r="R26" s="27" t="n">
        <v>12887.98797319242</v>
      </c>
      <c r="S26" s="27" t="n">
        <v>380.1416595897462</v>
      </c>
      <c r="T26" s="27" t="n">
        <v>0</v>
      </c>
      <c r="U26" s="27" t="n">
        <v>0</v>
      </c>
      <c r="V26" s="27" t="n">
        <v>182356.9883610532</v>
      </c>
      <c r="W26" s="27" t="n">
        <v>78701.63644037404</v>
      </c>
      <c r="X26" s="27" t="n">
        <v>0</v>
      </c>
      <c r="Y26" s="27" t="n">
        <v>31762.99228535276</v>
      </c>
      <c r="Z26" s="27" t="n">
        <v>23266.39184902089</v>
      </c>
      <c r="AA26" s="27" t="n">
        <v>0</v>
      </c>
      <c r="AB26" s="27" t="n">
        <v>3705.682433291155</v>
      </c>
      <c r="AC26" s="27" t="n">
        <v>19966.56987270925</v>
      </c>
      <c r="AD26" s="27" t="n">
        <v>106064.2112722788</v>
      </c>
      <c r="AE26" s="27" t="n">
        <v>71802.69559544389</v>
      </c>
      <c r="AF26" s="27" t="n">
        <v>16772.806237291</v>
      </c>
      <c r="AG26" s="27" t="n">
        <v>4219.756926185816</v>
      </c>
      <c r="AH26" s="27" t="n">
        <v>3055.686049996626</v>
      </c>
      <c r="AI26" s="27" t="n">
        <v>2825.781665345839</v>
      </c>
      <c r="AJ26" s="27" t="n">
        <v>7387.48479801565</v>
      </c>
      <c r="AK26" s="27" t="n">
        <v>24081.64198434495</v>
      </c>
      <c r="AL26" s="27" t="n">
        <v>0</v>
      </c>
      <c r="AM26" s="28" t="n">
        <v>0</v>
      </c>
      <c r="AN26" s="28" t="n">
        <v>391204.478058051</v>
      </c>
      <c r="AO26" s="27" t="n">
        <v>13268.12963278216</v>
      </c>
      <c r="AP26" s="28" t="n">
        <v>372709.6154054805</v>
      </c>
      <c r="AQ26" s="27" t="n">
        <v>203906.550820344</v>
      </c>
      <c r="AR26" s="27" t="n">
        <v>0</v>
      </c>
      <c r="AS26" s="27" t="n">
        <v>0</v>
      </c>
      <c r="AT26" s="28" t="n">
        <v>168803.0645851365</v>
      </c>
      <c r="AU26" s="28" t="n">
        <v>0</v>
      </c>
      <c r="AV26" s="27" t="n">
        <v>0</v>
      </c>
      <c r="AW26" s="27" t="n">
        <v>0</v>
      </c>
      <c r="AX26" s="28" t="n">
        <v>0</v>
      </c>
      <c r="AY26" s="27" t="n">
        <v>0</v>
      </c>
      <c r="AZ26" s="27" t="n">
        <v>91217.13316369506</v>
      </c>
      <c r="BA26" s="27" t="n">
        <v>77585.93142144148</v>
      </c>
      <c r="BB26" s="28" t="n">
        <v>168803.0645851365</v>
      </c>
      <c r="BC26" s="27" t="n">
        <v>0</v>
      </c>
      <c r="BD26" s="27" t="n">
        <v>0</v>
      </c>
      <c r="BE26" s="27" t="n">
        <v>0</v>
      </c>
      <c r="BF26" s="28" t="n">
        <v>0</v>
      </c>
      <c r="BG26" s="27" t="n">
        <v>0</v>
      </c>
      <c r="BH26" s="27" t="n">
        <v>0</v>
      </c>
      <c r="BI26" s="27" t="n">
        <v>0</v>
      </c>
      <c r="BJ26" s="28" t="n">
        <v>0</v>
      </c>
      <c r="BK26" s="27" t="n">
        <v>0</v>
      </c>
      <c r="BL26" s="28" t="n">
        <v>0</v>
      </c>
      <c r="BM26" s="28" t="n">
        <v>168803.0645851365</v>
      </c>
      <c r="BN26" s="27" t="n">
        <v>0</v>
      </c>
      <c r="BO26" s="27" t="n">
        <v>6145206.76008905</v>
      </c>
    </row>
    <row r="27">
      <c r="A27" s="26" t="n">
        <v>2050</v>
      </c>
      <c r="B27" s="26" t="n">
        <v>88</v>
      </c>
      <c r="C27" s="26" t="n">
        <v>89</v>
      </c>
      <c r="D27" s="27" t="n">
        <v>0</v>
      </c>
      <c r="E27" s="27" t="n">
        <v>67911.39517675471</v>
      </c>
      <c r="F27" s="27" t="n">
        <v>56915.63124746646</v>
      </c>
      <c r="G27" s="27" t="n">
        <v>4512</v>
      </c>
      <c r="H27" s="27" t="n">
        <v>3736.87527960966</v>
      </c>
      <c r="I27" s="27" t="n">
        <v>18769.01883937268</v>
      </c>
      <c r="J27" s="27" t="n">
        <v>6319.878818072876</v>
      </c>
      <c r="K27" s="27" t="n">
        <v>49231.16844061184</v>
      </c>
      <c r="L27" s="27" t="n">
        <v>0</v>
      </c>
      <c r="M27" s="27" t="n">
        <v>0</v>
      </c>
      <c r="N27" s="28" t="n">
        <v>207395.9678018882</v>
      </c>
      <c r="O27" s="27" t="n">
        <v>0</v>
      </c>
      <c r="P27" s="28" t="n">
        <v>170125.7996343165</v>
      </c>
      <c r="Q27" s="27" t="n">
        <v>115657.6806180874</v>
      </c>
      <c r="R27" s="27" t="n">
        <v>13096.35261481081</v>
      </c>
      <c r="S27" s="27" t="n">
        <v>383.3378180186657</v>
      </c>
      <c r="T27" s="27" t="n">
        <v>0</v>
      </c>
      <c r="U27" s="27" t="n">
        <v>0</v>
      </c>
      <c r="V27" s="27" t="n">
        <v>182356.9883610532</v>
      </c>
      <c r="W27" s="27" t="n">
        <v>80669.17735138339</v>
      </c>
      <c r="X27" s="27" t="n">
        <v>0</v>
      </c>
      <c r="Y27" s="27" t="n">
        <v>32557.06709248657</v>
      </c>
      <c r="Z27" s="27" t="n">
        <v>23848.05164524641</v>
      </c>
      <c r="AA27" s="27" t="n">
        <v>0</v>
      </c>
      <c r="AB27" s="27" t="n">
        <v>3798.324494123433</v>
      </c>
      <c r="AC27" s="27" t="n">
        <v>20465.73411952697</v>
      </c>
      <c r="AD27" s="27" t="n">
        <v>111660.7392515123</v>
      </c>
      <c r="AE27" s="27" t="n">
        <v>75514.84021245147</v>
      </c>
      <c r="AF27" s="27" t="n">
        <v>17754.29971820375</v>
      </c>
      <c r="AG27" s="27" t="n">
        <v>4466.684235515823</v>
      </c>
      <c r="AH27" s="27" t="n">
        <v>3234.495480890769</v>
      </c>
      <c r="AI27" s="27" t="n">
        <v>2870.641720411252</v>
      </c>
      <c r="AJ27" s="27" t="n">
        <v>7819.777884039254</v>
      </c>
      <c r="AK27" s="27" t="n">
        <v>24683.68303395357</v>
      </c>
      <c r="AL27" s="27" t="n">
        <v>0</v>
      </c>
      <c r="AM27" s="28" t="n">
        <v>0</v>
      </c>
      <c r="AN27" s="28" t="n">
        <v>399370.5879979025</v>
      </c>
      <c r="AO27" s="27" t="n">
        <v>13479.69043282948</v>
      </c>
      <c r="AP27" s="28" t="n">
        <v>380293.2113382454</v>
      </c>
      <c r="AQ27" s="27" t="n">
        <v>207395.9678018882</v>
      </c>
      <c r="AR27" s="27" t="n">
        <v>0</v>
      </c>
      <c r="AS27" s="27" t="n">
        <v>0</v>
      </c>
      <c r="AT27" s="28" t="n">
        <v>172897.2435363572</v>
      </c>
      <c r="AU27" s="28" t="n">
        <v>0</v>
      </c>
      <c r="AV27" s="27" t="n">
        <v>0</v>
      </c>
      <c r="AW27" s="27" t="n">
        <v>0</v>
      </c>
      <c r="AX27" s="28" t="n">
        <v>0</v>
      </c>
      <c r="AY27" s="27" t="n">
        <v>0</v>
      </c>
      <c r="AZ27" s="27" t="n">
        <v>93429.52941080905</v>
      </c>
      <c r="BA27" s="27" t="n">
        <v>79467.71412554817</v>
      </c>
      <c r="BB27" s="28" t="n">
        <v>172897.2435363572</v>
      </c>
      <c r="BC27" s="27" t="n">
        <v>0</v>
      </c>
      <c r="BD27" s="27" t="n">
        <v>0</v>
      </c>
      <c r="BE27" s="27" t="n">
        <v>0</v>
      </c>
      <c r="BF27" s="28" t="n">
        <v>0</v>
      </c>
      <c r="BG27" s="27" t="n">
        <v>0</v>
      </c>
      <c r="BH27" s="27" t="n">
        <v>0</v>
      </c>
      <c r="BI27" s="27" t="n">
        <v>0</v>
      </c>
      <c r="BJ27" s="28" t="n">
        <v>0</v>
      </c>
      <c r="BK27" s="27" t="n">
        <v>0</v>
      </c>
      <c r="BL27" s="28" t="n">
        <v>0</v>
      </c>
      <c r="BM27" s="28" t="n">
        <v>172897.2435363572</v>
      </c>
      <c r="BN27" s="27" t="n">
        <v>0</v>
      </c>
      <c r="BO27" s="27" t="n">
        <v>6162957.587753868</v>
      </c>
    </row>
    <row r="28">
      <c r="A28" s="26" t="n">
        <v>2051</v>
      </c>
      <c r="B28" s="26" t="n">
        <v>89</v>
      </c>
      <c r="C28" s="26" t="n">
        <v>90</v>
      </c>
      <c r="D28" s="27" t="n">
        <v>0</v>
      </c>
      <c r="E28" s="27" t="n">
        <v>69269.62308028979</v>
      </c>
      <c r="F28" s="27" t="n">
        <v>58053.9438724158</v>
      </c>
      <c r="G28" s="27" t="n">
        <v>4512</v>
      </c>
      <c r="H28" s="27" t="n">
        <v>3765.73371127155</v>
      </c>
      <c r="I28" s="27" t="n">
        <v>19054.19991457833</v>
      </c>
      <c r="J28" s="27" t="n">
        <v>6375.672265603433</v>
      </c>
      <c r="K28" s="27" t="n">
        <v>49915.33995980809</v>
      </c>
      <c r="L28" s="27" t="n">
        <v>0</v>
      </c>
      <c r="M28" s="27" t="n">
        <v>0</v>
      </c>
      <c r="N28" s="28" t="n">
        <v>210946.512803967</v>
      </c>
      <c r="O28" s="27" t="n">
        <v>0</v>
      </c>
      <c r="P28" s="28" t="n">
        <v>173100.9709810019</v>
      </c>
      <c r="Q28" s="27" t="n">
        <v>117543.4895844482</v>
      </c>
      <c r="R28" s="27" t="n">
        <v>13306.99830958692</v>
      </c>
      <c r="S28" s="27" t="n">
        <v>386.5710863757359</v>
      </c>
      <c r="T28" s="27" t="n">
        <v>0</v>
      </c>
      <c r="U28" s="27" t="n">
        <v>0</v>
      </c>
      <c r="V28" s="27" t="n">
        <v>182356.9883610532</v>
      </c>
      <c r="W28" s="27" t="n">
        <v>82685.90678516797</v>
      </c>
      <c r="X28" s="27" t="n">
        <v>0</v>
      </c>
      <c r="Y28" s="27" t="n">
        <v>33370.99376979873</v>
      </c>
      <c r="Z28" s="27" t="n">
        <v>24444.25293637757</v>
      </c>
      <c r="AA28" s="27" t="n">
        <v>0</v>
      </c>
      <c r="AB28" s="27" t="n">
        <v>3893.282606476519</v>
      </c>
      <c r="AC28" s="27" t="n">
        <v>20977.37747251515</v>
      </c>
      <c r="AD28" s="27" t="n">
        <v>117562.1137240944</v>
      </c>
      <c r="AE28" s="27" t="n">
        <v>79428.19023788518</v>
      </c>
      <c r="AF28" s="27" t="n">
        <v>18790.90414521034</v>
      </c>
      <c r="AG28" s="27" t="n">
        <v>4727.476535187818</v>
      </c>
      <c r="AH28" s="27" t="n">
        <v>3423.345077204972</v>
      </c>
      <c r="AI28" s="27" t="n">
        <v>2915.853463382433</v>
      </c>
      <c r="AJ28" s="27" t="n">
        <v>8276.344265223639</v>
      </c>
      <c r="AK28" s="27" t="n">
        <v>25300.77510980241</v>
      </c>
      <c r="AL28" s="27" t="n">
        <v>0</v>
      </c>
      <c r="AM28" s="28" t="n">
        <v>0</v>
      </c>
      <c r="AN28" s="28" t="n">
        <v>407905.7839801181</v>
      </c>
      <c r="AO28" s="27" t="n">
        <v>13693.56939596265</v>
      </c>
      <c r="AP28" s="28" t="n">
        <v>388228.3596062819</v>
      </c>
      <c r="AQ28" s="27" t="n">
        <v>210946.512803967</v>
      </c>
      <c r="AR28" s="27" t="n">
        <v>0</v>
      </c>
      <c r="AS28" s="27" t="n">
        <v>0</v>
      </c>
      <c r="AT28" s="28" t="n">
        <v>177281.8468023149</v>
      </c>
      <c r="AU28" s="28" t="n">
        <v>0</v>
      </c>
      <c r="AV28" s="27" t="n">
        <v>0</v>
      </c>
      <c r="AW28" s="27" t="n">
        <v>0</v>
      </c>
      <c r="AX28" s="28" t="n">
        <v>0</v>
      </c>
      <c r="AY28" s="27" t="n">
        <v>0</v>
      </c>
      <c r="AZ28" s="27" t="n">
        <v>95798.86400176439</v>
      </c>
      <c r="BA28" s="27" t="n">
        <v>81482.98280055048</v>
      </c>
      <c r="BB28" s="28" t="n">
        <v>177281.8468023149</v>
      </c>
      <c r="BC28" s="27" t="n">
        <v>0</v>
      </c>
      <c r="BD28" s="27" t="n">
        <v>0</v>
      </c>
      <c r="BE28" s="27" t="n">
        <v>0</v>
      </c>
      <c r="BF28" s="28" t="n">
        <v>0</v>
      </c>
      <c r="BG28" s="27" t="n">
        <v>0</v>
      </c>
      <c r="BH28" s="27" t="n">
        <v>0</v>
      </c>
      <c r="BI28" s="27" t="n">
        <v>0</v>
      </c>
      <c r="BJ28" s="28" t="n">
        <v>0</v>
      </c>
      <c r="BK28" s="27" t="n">
        <v>0</v>
      </c>
      <c r="BL28" s="28" t="n">
        <v>0</v>
      </c>
      <c r="BM28" s="28" t="n">
        <v>177281.8468023149</v>
      </c>
      <c r="BN28" s="27" t="n">
        <v>0</v>
      </c>
      <c r="BO28" s="27" t="n">
        <v>6173619.294899239</v>
      </c>
    </row>
    <row r="29">
      <c r="A29" s="26" t="n">
        <v>2052</v>
      </c>
      <c r="B29" s="26" t="n">
        <v>90</v>
      </c>
      <c r="C29" s="26" t="n">
        <v>91</v>
      </c>
      <c r="D29" s="27" t="n">
        <v>0</v>
      </c>
      <c r="E29" s="27" t="n">
        <v>70655.01554189561</v>
      </c>
      <c r="F29" s="27" t="n">
        <v>59215.02274986411</v>
      </c>
      <c r="G29" s="27" t="n">
        <v>4512</v>
      </c>
      <c r="H29" s="27" t="n">
        <v>3794.803500461106</v>
      </c>
      <c r="I29" s="27" t="n">
        <v>19374.38596260675</v>
      </c>
      <c r="J29" s="27" t="n">
        <v>6432.011249065398</v>
      </c>
      <c r="K29" s="27" t="n">
        <v>50606.20115608093</v>
      </c>
      <c r="L29" s="27" t="n">
        <v>0</v>
      </c>
      <c r="M29" s="27" t="n">
        <v>0</v>
      </c>
      <c r="N29" s="28" t="n">
        <v>214589.4401599739</v>
      </c>
      <c r="O29" s="27" t="n">
        <v>0</v>
      </c>
      <c r="P29" s="28" t="n">
        <v>176175.5828824479</v>
      </c>
      <c r="Q29" s="27" t="n">
        <v>119506.9518579632</v>
      </c>
      <c r="R29" s="27" t="n">
        <v>13526.64937359778</v>
      </c>
      <c r="S29" s="27" t="n">
        <v>389.8333820132183</v>
      </c>
      <c r="T29" s="27" t="n">
        <v>0</v>
      </c>
      <c r="U29" s="27" t="n">
        <v>0</v>
      </c>
      <c r="V29" s="27" t="n">
        <v>182356.9883610532</v>
      </c>
      <c r="W29" s="27" t="n">
        <v>84753.05445479715</v>
      </c>
      <c r="X29" s="27" t="n">
        <v>0</v>
      </c>
      <c r="Y29" s="27" t="n">
        <v>34205.26861404369</v>
      </c>
      <c r="Z29" s="27" t="n">
        <v>25055.35925978701</v>
      </c>
      <c r="AA29" s="27" t="n">
        <v>0</v>
      </c>
      <c r="AB29" s="27" t="n">
        <v>3990.614671638431</v>
      </c>
      <c r="AC29" s="27" t="n">
        <v>21501.81190932802</v>
      </c>
      <c r="AD29" s="27" t="n">
        <v>123785.0642153403</v>
      </c>
      <c r="AE29" s="27" t="n">
        <v>83553.77493738962</v>
      </c>
      <c r="AF29" s="27" t="n">
        <v>19885.65733321552</v>
      </c>
      <c r="AG29" s="27" t="n">
        <v>5002.898088516095</v>
      </c>
      <c r="AH29" s="27" t="n">
        <v>3622.788270994413</v>
      </c>
      <c r="AI29" s="27" t="n">
        <v>2961.423655777702</v>
      </c>
      <c r="AJ29" s="27" t="n">
        <v>8758.52192944697</v>
      </c>
      <c r="AK29" s="27" t="n">
        <v>25933.29448754746</v>
      </c>
      <c r="AL29" s="27" t="n">
        <v>0</v>
      </c>
      <c r="AM29" s="28" t="n">
        <v>0</v>
      </c>
      <c r="AN29" s="28" t="n">
        <v>416828.4015187381</v>
      </c>
      <c r="AO29" s="27" t="n">
        <v>13916.482755611</v>
      </c>
      <c r="AP29" s="28" t="n">
        <v>396539.6156603055</v>
      </c>
      <c r="AQ29" s="27" t="n">
        <v>214589.4401599739</v>
      </c>
      <c r="AR29" s="27" t="n">
        <v>0</v>
      </c>
      <c r="AS29" s="27" t="n">
        <v>0</v>
      </c>
      <c r="AT29" s="28" t="n">
        <v>181950.1755003316</v>
      </c>
      <c r="AU29" s="28" t="n">
        <v>0</v>
      </c>
      <c r="AV29" s="27" t="n">
        <v>0</v>
      </c>
      <c r="AW29" s="27" t="n">
        <v>0</v>
      </c>
      <c r="AX29" s="28" t="n">
        <v>0</v>
      </c>
      <c r="AY29" s="27" t="n">
        <v>0</v>
      </c>
      <c r="AZ29" s="27" t="n">
        <v>98321.51702080436</v>
      </c>
      <c r="BA29" s="27" t="n">
        <v>83628.65847952726</v>
      </c>
      <c r="BB29" s="28" t="n">
        <v>181950.1755003316</v>
      </c>
      <c r="BC29" s="27" t="n">
        <v>0</v>
      </c>
      <c r="BD29" s="27" t="n">
        <v>0</v>
      </c>
      <c r="BE29" s="27" t="n">
        <v>0</v>
      </c>
      <c r="BF29" s="28" t="n">
        <v>0</v>
      </c>
      <c r="BG29" s="27" t="n">
        <v>0</v>
      </c>
      <c r="BH29" s="27" t="n">
        <v>0</v>
      </c>
      <c r="BI29" s="27" t="n">
        <v>0</v>
      </c>
      <c r="BJ29" s="28" t="n">
        <v>0</v>
      </c>
      <c r="BK29" s="27" t="n">
        <v>0</v>
      </c>
      <c r="BL29" s="28" t="n">
        <v>0</v>
      </c>
      <c r="BM29" s="28" t="n">
        <v>181950.1755003316</v>
      </c>
      <c r="BN29" s="27" t="n">
        <v>0</v>
      </c>
      <c r="BO29" s="27" t="n">
        <v>6176380.813931953</v>
      </c>
    </row>
    <row r="30">
      <c r="A30" s="26" t="n">
        <v>2053</v>
      </c>
      <c r="B30" s="26" t="n">
        <v>91</v>
      </c>
      <c r="C30" s="26" t="n">
        <v>92</v>
      </c>
      <c r="D30" s="27" t="n">
        <v>0</v>
      </c>
      <c r="E30" s="27" t="n">
        <v>72068.11585273351</v>
      </c>
      <c r="F30" s="27" t="n">
        <v>60399.32320486139</v>
      </c>
      <c r="G30" s="27" t="n">
        <v>4512</v>
      </c>
      <c r="H30" s="27" t="n">
        <v>3827.36946832366</v>
      </c>
      <c r="I30" s="27" t="n">
        <v>19733.08029238464</v>
      </c>
      <c r="J30" s="27" t="n">
        <v>6495.265644370618</v>
      </c>
      <c r="K30" s="27" t="n">
        <v>51381.86313158642</v>
      </c>
      <c r="L30" s="27" t="n">
        <v>0</v>
      </c>
      <c r="M30" s="27" t="n">
        <v>0</v>
      </c>
      <c r="N30" s="28" t="n">
        <v>218417.0175942602</v>
      </c>
      <c r="O30" s="27" t="n">
        <v>0</v>
      </c>
      <c r="P30" s="28" t="n">
        <v>179514.8289667321</v>
      </c>
      <c r="Q30" s="27" t="n">
        <v>121712.8253217577</v>
      </c>
      <c r="R30" s="27" t="n">
        <v>13775.07049226596</v>
      </c>
      <c r="S30" s="27" t="n">
        <v>393.4934814210483</v>
      </c>
      <c r="T30" s="27" t="n">
        <v>0</v>
      </c>
      <c r="U30" s="27" t="n">
        <v>0</v>
      </c>
      <c r="V30" s="27" t="n">
        <v>182356.9883610532</v>
      </c>
      <c r="W30" s="27" t="n">
        <v>86871.88081616709</v>
      </c>
      <c r="X30" s="27" t="n">
        <v>0</v>
      </c>
      <c r="Y30" s="27" t="n">
        <v>35060.40032939479</v>
      </c>
      <c r="Z30" s="27" t="n">
        <v>25681.74324128168</v>
      </c>
      <c r="AA30" s="27" t="n">
        <v>0</v>
      </c>
      <c r="AB30" s="27" t="n">
        <v>4090.380038429392</v>
      </c>
      <c r="AC30" s="27" t="n">
        <v>22039.35720706122</v>
      </c>
      <c r="AD30" s="27" t="n">
        <v>130347.23991156</v>
      </c>
      <c r="AE30" s="27" t="n">
        <v>87903.22972332206</v>
      </c>
      <c r="AF30" s="27" t="n">
        <v>21041.7642656551</v>
      </c>
      <c r="AG30" s="27" t="n">
        <v>5293.755215615492</v>
      </c>
      <c r="AH30" s="27" t="n">
        <v>3833.408949238805</v>
      </c>
      <c r="AI30" s="27" t="n">
        <v>3007.35926473554</v>
      </c>
      <c r="AJ30" s="27" t="n">
        <v>9267.722492993054</v>
      </c>
      <c r="AK30" s="27" t="n">
        <v>26581.62684973615</v>
      </c>
      <c r="AL30" s="27" t="n">
        <v>0</v>
      </c>
      <c r="AM30" s="28" t="n">
        <v>0</v>
      </c>
      <c r="AN30" s="28" t="n">
        <v>426157.7359385165</v>
      </c>
      <c r="AO30" s="27" t="n">
        <v>14168.56397368701</v>
      </c>
      <c r="AP30" s="28" t="n">
        <v>405265.8995828087</v>
      </c>
      <c r="AQ30" s="27" t="n">
        <v>218417.0175942602</v>
      </c>
      <c r="AR30" s="27" t="n">
        <v>0</v>
      </c>
      <c r="AS30" s="27" t="n">
        <v>0</v>
      </c>
      <c r="AT30" s="28" t="n">
        <v>186848.8819885485</v>
      </c>
      <c r="AU30" s="28" t="n">
        <v>0</v>
      </c>
      <c r="AV30" s="27" t="n">
        <v>0</v>
      </c>
      <c r="AW30" s="27" t="n">
        <v>0</v>
      </c>
      <c r="AX30" s="28" t="n">
        <v>0</v>
      </c>
      <c r="AY30" s="27" t="n">
        <v>0</v>
      </c>
      <c r="AZ30" s="27" t="n">
        <v>100968.6606799775</v>
      </c>
      <c r="BA30" s="27" t="n">
        <v>85880.22130857102</v>
      </c>
      <c r="BB30" s="28" t="n">
        <v>186848.8819885485</v>
      </c>
      <c r="BC30" s="27" t="n">
        <v>0</v>
      </c>
      <c r="BD30" s="27" t="n">
        <v>0</v>
      </c>
      <c r="BE30" s="27" t="n">
        <v>0</v>
      </c>
      <c r="BF30" s="28" t="n">
        <v>0</v>
      </c>
      <c r="BG30" s="27" t="n">
        <v>0</v>
      </c>
      <c r="BH30" s="27" t="n">
        <v>0</v>
      </c>
      <c r="BI30" s="27" t="n">
        <v>0</v>
      </c>
      <c r="BJ30" s="28" t="n">
        <v>0</v>
      </c>
      <c r="BK30" s="27" t="n">
        <v>0</v>
      </c>
      <c r="BL30" s="28" t="n">
        <v>0</v>
      </c>
      <c r="BM30" s="28" t="n">
        <v>186848.8819885485</v>
      </c>
      <c r="BN30" s="27" t="n">
        <v>0</v>
      </c>
      <c r="BO30" s="27" t="n">
        <v>6170404.707950293</v>
      </c>
    </row>
    <row r="31">
      <c r="A31" s="26" t="n">
        <v>2054</v>
      </c>
      <c r="B31" s="26" t="n">
        <v>92</v>
      </c>
      <c r="C31" s="26" t="n">
        <v>93</v>
      </c>
      <c r="D31" s="27" t="n">
        <v>0</v>
      </c>
      <c r="E31" s="27" t="n">
        <v>73509.47816978818</v>
      </c>
      <c r="F31" s="27" t="n">
        <v>61607.30966895862</v>
      </c>
      <c r="G31" s="27" t="n">
        <v>4512</v>
      </c>
      <c r="H31" s="27" t="n">
        <v>3863.778637906404</v>
      </c>
      <c r="I31" s="27" t="n">
        <v>20134.10515172157</v>
      </c>
      <c r="J31" s="27" t="n">
        <v>6566.127548158184</v>
      </c>
      <c r="K31" s="27" t="n">
        <v>52250.81277555539</v>
      </c>
      <c r="L31" s="27" t="n">
        <v>0</v>
      </c>
      <c r="M31" s="27" t="n">
        <v>0</v>
      </c>
      <c r="N31" s="28" t="n">
        <v>222443.6119520883</v>
      </c>
      <c r="O31" s="27" t="n">
        <v>0</v>
      </c>
      <c r="P31" s="28" t="n">
        <v>183143.3980469325</v>
      </c>
      <c r="Q31" s="27" t="n">
        <v>124185.3543290586</v>
      </c>
      <c r="R31" s="27" t="n">
        <v>14055.16460221517</v>
      </c>
      <c r="S31" s="27" t="n">
        <v>397.5910918784509</v>
      </c>
      <c r="T31" s="27" t="n">
        <v>0</v>
      </c>
      <c r="U31" s="27" t="n">
        <v>0</v>
      </c>
      <c r="V31" s="27" t="n">
        <v>182356.9883610532</v>
      </c>
      <c r="W31" s="27" t="n">
        <v>89043.67783657125</v>
      </c>
      <c r="X31" s="27" t="n">
        <v>0</v>
      </c>
      <c r="Y31" s="27" t="n">
        <v>35936.91033762966</v>
      </c>
      <c r="Z31" s="27" t="n">
        <v>26323.78682231372</v>
      </c>
      <c r="AA31" s="27" t="n">
        <v>0</v>
      </c>
      <c r="AB31" s="27" t="n">
        <v>4192.639539390127</v>
      </c>
      <c r="AC31" s="27" t="n">
        <v>22590.34113723775</v>
      </c>
      <c r="AD31" s="27" t="n">
        <v>137267.2602356266</v>
      </c>
      <c r="AE31" s="27" t="n">
        <v>92488.82948703549</v>
      </c>
      <c r="AF31" s="27" t="n">
        <v>22262.60629957044</v>
      </c>
      <c r="AG31" s="27" t="n">
        <v>5600.898609243886</v>
      </c>
      <c r="AH31" s="27" t="n">
        <v>4055.823130831779</v>
      </c>
      <c r="AI31" s="27" t="n">
        <v>3053.667454072144</v>
      </c>
      <c r="AJ31" s="27" t="n">
        <v>9805.435254872829</v>
      </c>
      <c r="AK31" s="27" t="n">
        <v>27246.16752097955</v>
      </c>
      <c r="AL31" s="27" t="n">
        <v>0</v>
      </c>
      <c r="AM31" s="28" t="n">
        <v>0</v>
      </c>
      <c r="AN31" s="28" t="n">
        <v>435914.0939542305</v>
      </c>
      <c r="AO31" s="27" t="n">
        <v>14452.75569409362</v>
      </c>
      <c r="AP31" s="28" t="n">
        <v>414429.9393106945</v>
      </c>
      <c r="AQ31" s="27" t="n">
        <v>222443.6119520883</v>
      </c>
      <c r="AR31" s="27" t="n">
        <v>0</v>
      </c>
      <c r="AS31" s="27" t="n">
        <v>0</v>
      </c>
      <c r="AT31" s="28" t="n">
        <v>191986.3273586062</v>
      </c>
      <c r="AU31" s="28" t="n">
        <v>0</v>
      </c>
      <c r="AV31" s="27" t="n">
        <v>0</v>
      </c>
      <c r="AW31" s="27" t="n">
        <v>0</v>
      </c>
      <c r="AX31" s="28" t="n">
        <v>0</v>
      </c>
      <c r="AY31" s="27" t="n">
        <v>0</v>
      </c>
      <c r="AZ31" s="27" t="n">
        <v>0</v>
      </c>
      <c r="BA31" s="27" t="n">
        <v>191986.3273586062</v>
      </c>
      <c r="BB31" s="28" t="n">
        <v>191986.3273586062</v>
      </c>
      <c r="BC31" s="27" t="n">
        <v>0</v>
      </c>
      <c r="BD31" s="27" t="n">
        <v>0</v>
      </c>
      <c r="BE31" s="27" t="n">
        <v>0</v>
      </c>
      <c r="BF31" s="28" t="n">
        <v>0</v>
      </c>
      <c r="BG31" s="27" t="n">
        <v>0</v>
      </c>
      <c r="BH31" s="27" t="n">
        <v>0</v>
      </c>
      <c r="BI31" s="27" t="n">
        <v>0</v>
      </c>
      <c r="BJ31" s="28" t="n">
        <v>0</v>
      </c>
      <c r="BK31" s="27" t="n">
        <v>0</v>
      </c>
      <c r="BL31" s="28" t="n">
        <v>0</v>
      </c>
      <c r="BM31" s="28" t="n">
        <v>191986.3273586062</v>
      </c>
      <c r="BN31" s="27" t="n">
        <v>0</v>
      </c>
      <c r="BO31" s="27" t="n">
        <v>6155895.459031032</v>
      </c>
    </row>
    <row r="32">
      <c r="A32" s="26" t="n">
        <v>2055</v>
      </c>
      <c r="B32" s="26" t="n">
        <v>93</v>
      </c>
      <c r="C32" s="26" t="n">
        <v>94</v>
      </c>
      <c r="D32" s="27" t="n">
        <v>0</v>
      </c>
      <c r="E32" s="27" t="n">
        <v>0</v>
      </c>
      <c r="F32" s="27" t="n">
        <v>73509.47816978818</v>
      </c>
      <c r="G32" s="27" t="n">
        <v>4512</v>
      </c>
      <c r="H32" s="27" t="n">
        <v>3904.409484207638</v>
      </c>
      <c r="I32" s="27" t="n">
        <v>20581.6292125399</v>
      </c>
      <c r="J32" s="27" t="n">
        <v>0</v>
      </c>
      <c r="K32" s="27" t="n">
        <v>53222.30961789274</v>
      </c>
      <c r="L32" s="27" t="n">
        <v>0</v>
      </c>
      <c r="M32" s="27" t="n">
        <v>0</v>
      </c>
      <c r="N32" s="28" t="n">
        <v>155729.8264844285</v>
      </c>
      <c r="O32" s="27" t="n">
        <v>0</v>
      </c>
      <c r="P32" s="28" t="n">
        <v>143680.4494740978</v>
      </c>
      <c r="Q32" s="27" t="n">
        <v>109264.5793761341</v>
      </c>
      <c r="R32" s="27" t="n">
        <v>14825.62244599984</v>
      </c>
      <c r="S32" s="27" t="n">
        <v>402.1695304452676</v>
      </c>
      <c r="T32" s="27" t="n">
        <v>0</v>
      </c>
      <c r="U32" s="27" t="n">
        <v>0</v>
      </c>
      <c r="V32" s="27" t="n">
        <v>182356.9883610532</v>
      </c>
      <c r="W32" s="27" t="n">
        <v>91269.76978248553</v>
      </c>
      <c r="X32" s="27" t="n">
        <v>0</v>
      </c>
      <c r="Y32" s="27" t="n">
        <v>36835.33309607039</v>
      </c>
      <c r="Z32" s="27" t="n">
        <v>26981.88149287156</v>
      </c>
      <c r="AA32" s="27" t="n">
        <v>0</v>
      </c>
      <c r="AB32" s="27" t="n">
        <v>4297.455527874879</v>
      </c>
      <c r="AC32" s="27" t="n">
        <v>23155.09966566869</v>
      </c>
      <c r="AD32" s="27" t="n">
        <v>72282.38410206417</v>
      </c>
      <c r="AE32" s="27" t="n">
        <v>48661.76188218239</v>
      </c>
      <c r="AF32" s="27" t="n">
        <v>11775.8754382497</v>
      </c>
      <c r="AG32" s="27" t="n">
        <v>2962.612888949781</v>
      </c>
      <c r="AH32" s="27" t="n">
        <v>2145.340367860186</v>
      </c>
      <c r="AI32" s="27" t="n">
        <v>1550.177787857283</v>
      </c>
      <c r="AJ32" s="27" t="n">
        <v>5186.615736964841</v>
      </c>
      <c r="AK32" s="27" t="n">
        <v>27927.32170900404</v>
      </c>
      <c r="AL32" s="27" t="n">
        <v>0</v>
      </c>
      <c r="AM32" s="28" t="n">
        <v>0</v>
      </c>
      <c r="AN32" s="28" t="n">
        <v>373836.463954607</v>
      </c>
      <c r="AO32" s="27" t="n">
        <v>15227.79197644511</v>
      </c>
      <c r="AP32" s="28" t="n">
        <v>352228.9228349817</v>
      </c>
      <c r="AQ32" s="27" t="n">
        <v>155729.8264844285</v>
      </c>
      <c r="AR32" s="27" t="n">
        <v>0</v>
      </c>
      <c r="AS32" s="27" t="n">
        <v>0</v>
      </c>
      <c r="AT32" s="28" t="n">
        <v>196499.0963505532</v>
      </c>
      <c r="AU32" s="28" t="n">
        <v>0</v>
      </c>
      <c r="AV32" s="27" t="n">
        <v>0</v>
      </c>
      <c r="AW32" s="27" t="n">
        <v>0</v>
      </c>
      <c r="AX32" s="28" t="n">
        <v>0</v>
      </c>
      <c r="AY32" s="27" t="n">
        <v>0</v>
      </c>
      <c r="AZ32" s="27" t="n">
        <v>0</v>
      </c>
      <c r="BA32" s="27" t="n">
        <v>196499.0963505532</v>
      </c>
      <c r="BB32" s="28" t="n">
        <v>196499.0963505532</v>
      </c>
      <c r="BC32" s="27" t="n">
        <v>0</v>
      </c>
      <c r="BD32" s="27" t="n">
        <v>0</v>
      </c>
      <c r="BE32" s="27" t="n">
        <v>0</v>
      </c>
      <c r="BF32" s="28" t="n">
        <v>0</v>
      </c>
      <c r="BG32" s="27" t="n">
        <v>0</v>
      </c>
      <c r="BH32" s="27" t="n">
        <v>0</v>
      </c>
      <c r="BI32" s="27" t="n">
        <v>0</v>
      </c>
      <c r="BJ32" s="28" t="n">
        <v>0</v>
      </c>
      <c r="BK32" s="27" t="n">
        <v>0</v>
      </c>
      <c r="BL32" s="28" t="n">
        <v>0</v>
      </c>
      <c r="BM32" s="28" t="n">
        <v>196499.0963505532</v>
      </c>
      <c r="BN32" s="27" t="n">
        <v>0</v>
      </c>
      <c r="BO32" s="27" t="n">
        <v>6131568.595599456</v>
      </c>
    </row>
    <row r="33">
      <c r="A33" s="26" t="n">
        <v>2056</v>
      </c>
      <c r="B33" s="26" t="n">
        <v>94</v>
      </c>
      <c r="C33" s="26" t="n">
        <v>95</v>
      </c>
      <c r="D33" s="27" t="n">
        <v>0</v>
      </c>
      <c r="E33" s="27" t="n">
        <v>0</v>
      </c>
      <c r="F33" s="27" t="n">
        <v>73509.47816978818</v>
      </c>
      <c r="G33" s="27" t="n">
        <v>4512</v>
      </c>
      <c r="H33" s="27" t="n">
        <v>3949.674637036996</v>
      </c>
      <c r="I33" s="27" t="n">
        <v>21080.19734123627</v>
      </c>
      <c r="J33" s="27" t="n">
        <v>0</v>
      </c>
      <c r="K33" s="27" t="n">
        <v>54306.45241311462</v>
      </c>
      <c r="L33" s="27" t="n">
        <v>0</v>
      </c>
      <c r="M33" s="27" t="n">
        <v>0</v>
      </c>
      <c r="N33" s="28" t="n">
        <v>157357.8025611761</v>
      </c>
      <c r="O33" s="27" t="n">
        <v>0</v>
      </c>
      <c r="P33" s="28" t="n">
        <v>145296.5660808042</v>
      </c>
      <c r="Q33" s="27" t="n">
        <v>110192.3785808811</v>
      </c>
      <c r="R33" s="27" t="n">
        <v>14845.48657070919</v>
      </c>
      <c r="S33" s="27" t="n">
        <v>407.2760347655755</v>
      </c>
      <c r="T33" s="27" t="n">
        <v>0</v>
      </c>
      <c r="U33" s="27" t="n">
        <v>0</v>
      </c>
      <c r="V33" s="27" t="n">
        <v>182356.9883610532</v>
      </c>
      <c r="W33" s="27" t="n">
        <v>93551.51402704764</v>
      </c>
      <c r="X33" s="27" t="n">
        <v>0</v>
      </c>
      <c r="Y33" s="27" t="n">
        <v>37756.21642347214</v>
      </c>
      <c r="Z33" s="27" t="n">
        <v>27656.42853019335</v>
      </c>
      <c r="AA33" s="27" t="n">
        <v>0</v>
      </c>
      <c r="AB33" s="27" t="n">
        <v>4404.891916071751</v>
      </c>
      <c r="AC33" s="27" t="n">
        <v>23733.97715731041</v>
      </c>
      <c r="AD33" s="27" t="n">
        <v>76130.24335954602</v>
      </c>
      <c r="AE33" s="27" t="n">
        <v>51210.48691757073</v>
      </c>
      <c r="AF33" s="27" t="n">
        <v>12456.48088350493</v>
      </c>
      <c r="AG33" s="27" t="n">
        <v>3133.841811587082</v>
      </c>
      <c r="AH33" s="27" t="n">
        <v>2269.333725632025</v>
      </c>
      <c r="AI33" s="27" t="n">
        <v>1573.715580758969</v>
      </c>
      <c r="AJ33" s="27" t="n">
        <v>5486.38444049228</v>
      </c>
      <c r="AK33" s="27" t="n">
        <v>28625.50475172913</v>
      </c>
      <c r="AL33" s="27" t="n">
        <v>0</v>
      </c>
      <c r="AM33" s="28" t="n">
        <v>0</v>
      </c>
      <c r="AN33" s="28" t="n">
        <v>380664.250499376</v>
      </c>
      <c r="AO33" s="27" t="n">
        <v>15252.76260547477</v>
      </c>
      <c r="AP33" s="28" t="n">
        <v>358160.7966813786</v>
      </c>
      <c r="AQ33" s="27" t="n">
        <v>157357.8025611761</v>
      </c>
      <c r="AR33" s="27" t="n">
        <v>0</v>
      </c>
      <c r="AS33" s="27" t="n">
        <v>0</v>
      </c>
      <c r="AT33" s="28" t="n">
        <v>200802.9941202025</v>
      </c>
      <c r="AU33" s="28" t="n">
        <v>2.91038304567337e-11</v>
      </c>
      <c r="AV33" s="27" t="n">
        <v>0</v>
      </c>
      <c r="AW33" s="27" t="n">
        <v>0</v>
      </c>
      <c r="AX33" s="28" t="n">
        <v>0</v>
      </c>
      <c r="AY33" s="27" t="n">
        <v>0</v>
      </c>
      <c r="AZ33" s="27" t="n">
        <v>0</v>
      </c>
      <c r="BA33" s="27" t="n">
        <v>200802.9941202025</v>
      </c>
      <c r="BB33" s="28" t="n">
        <v>200802.9941202025</v>
      </c>
      <c r="BC33" s="27" t="n">
        <v>0</v>
      </c>
      <c r="BD33" s="27" t="n">
        <v>0</v>
      </c>
      <c r="BE33" s="27" t="n">
        <v>0</v>
      </c>
      <c r="BF33" s="28" t="n">
        <v>0</v>
      </c>
      <c r="BG33" s="27" t="n">
        <v>0</v>
      </c>
      <c r="BH33" s="27" t="n">
        <v>0</v>
      </c>
      <c r="BI33" s="27" t="n">
        <v>0</v>
      </c>
      <c r="BJ33" s="28" t="n">
        <v>0</v>
      </c>
      <c r="BK33" s="27" t="n">
        <v>0</v>
      </c>
      <c r="BL33" s="28" t="n">
        <v>0</v>
      </c>
      <c r="BM33" s="28" t="n">
        <v>200802.9941202025</v>
      </c>
      <c r="BN33" s="27" t="n">
        <v>0</v>
      </c>
      <c r="BO33" s="27" t="n">
        <v>6103848.09961433</v>
      </c>
    </row>
  </sheetData>
  <mergeCells count="7">
    <mergeCell ref="AO1:AU1"/>
    <mergeCell ref="V1:AN1"/>
    <mergeCell ref="AV1:BM1"/>
    <mergeCell ref="A1:C1"/>
    <mergeCell ref="D1:N1"/>
    <mergeCell ref="BN1:BO1"/>
    <mergeCell ref="O1:U1"/>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F38"/>
  <sheetViews>
    <sheetView showGridLines="0" workbookViewId="0">
      <selection activeCell="A1" sqref="A1"/>
    </sheetView>
  </sheetViews>
  <sheetFormatPr baseColWidth="8" defaultRowHeight="15"/>
  <cols>
    <col width="27.9" customWidth="1" min="1" max="1"/>
    <col width="9.4" customWidth="1" min="2" max="2"/>
    <col width="27.9" customWidth="1" min="3" max="3"/>
    <col width="14" customWidth="1" min="4" max="4"/>
    <col width="14" customWidth="1" min="5" max="5"/>
    <col width="14" customWidth="1" min="6" max="6"/>
  </cols>
  <sheetData>
    <row r="1" ht="18" customHeight="1">
      <c r="A1" s="9" t="inlineStr">
        <is>
          <t>BALANCE SHEET — As of 2026-07-03</t>
        </is>
      </c>
    </row>
    <row r="2" ht="18" customHeight="1">
      <c r="A2" s="13" t="inlineStr">
        <is>
          <t>ASSETS</t>
        </is>
      </c>
      <c r="B2" s="13" t="inlineStr">
        <is>
          <t>Value ($)</t>
        </is>
      </c>
      <c r="C2" s="13" t="inlineStr">
        <is>
          <t>Notes</t>
        </is>
      </c>
    </row>
    <row r="3" ht="15" customHeight="1">
      <c r="A3" s="10" t="inlineStr">
        <is>
          <t>Annuities &amp; Pension (PV)</t>
        </is>
      </c>
      <c r="B3" s="3" t="n"/>
      <c r="C3" s="4" t="n"/>
    </row>
    <row r="4" ht="30" customHeight="1">
      <c r="A4" s="12" t="inlineStr">
        <is>
          <t xml:space="preserve">  Patricia Pension (PV of future income)</t>
        </is>
      </c>
      <c r="B4" s="27" t="n">
        <v>66618.91815552025</v>
      </c>
      <c r="C4" s="12" t="inlineStr">
        <is>
          <t>PV through mortality</t>
        </is>
      </c>
    </row>
    <row r="5" ht="30" customHeight="1">
      <c r="A5" s="12" t="inlineStr">
        <is>
          <t xml:space="preserve">  Patricia Single Annuity (PV)</t>
        </is>
      </c>
      <c r="B5" s="27" t="n">
        <v>53198.32320054132</v>
      </c>
      <c r="C5" s="33" t="inlineStr"/>
    </row>
    <row r="6" ht="30" customHeight="1">
      <c r="A6" s="12" t="inlineStr">
        <is>
          <t xml:space="preserve">  Patricia Joint Annuity (PV)</t>
        </is>
      </c>
      <c r="B6" s="27" t="n">
        <v>336263.3497205881</v>
      </c>
      <c r="C6" s="33" t="inlineStr"/>
    </row>
    <row r="7" ht="30" customHeight="1">
      <c r="A7" s="12" t="inlineStr">
        <is>
          <t xml:space="preserve">  Matthew Single Annuity (PV)</t>
        </is>
      </c>
      <c r="B7" s="27" t="n">
        <v>91417.59968588264</v>
      </c>
      <c r="C7" s="33" t="inlineStr"/>
    </row>
    <row r="8" ht="30" customHeight="1">
      <c r="A8" s="12" t="inlineStr">
        <is>
          <t xml:space="preserve">  Matthew Joint Annuity (PV)</t>
        </is>
      </c>
      <c r="B8" s="27" t="n">
        <v>813167.6252691793</v>
      </c>
      <c r="C8" s="33" t="inlineStr"/>
    </row>
    <row r="9" ht="30" customHeight="1">
      <c r="A9" s="11" t="inlineStr">
        <is>
          <t xml:space="preserve">  Total Annuities &amp; Pension (PV)</t>
        </is>
      </c>
      <c r="B9" s="28" t="n">
        <v>1360665.816031712</v>
      </c>
      <c r="C9" s="34" t="inlineStr"/>
    </row>
    <row r="10" ht="15" customHeight="1">
      <c r="A10" s="10" t="inlineStr">
        <is>
          <t>Pre-Tax (Tax-Deferred)</t>
        </is>
      </c>
      <c r="B10" s="3" t="n"/>
      <c r="C10" s="4" t="n"/>
    </row>
    <row r="11" ht="15" customHeight="1">
      <c r="A11" s="12" t="inlineStr">
        <is>
          <t xml:space="preserve">  Matthew's 401(k)</t>
        </is>
      </c>
      <c r="B11" s="27" t="n">
        <v>27634.22558934677</v>
      </c>
      <c r="C11" s="12" t="inlineStr">
        <is>
          <t>Tax-deferred</t>
        </is>
      </c>
    </row>
    <row r="12" ht="15" customHeight="1">
      <c r="A12" s="12" t="inlineStr">
        <is>
          <t xml:space="preserve">  Matthew's Traditional IRA</t>
        </is>
      </c>
      <c r="B12" s="27" t="n">
        <v>1371312.796834697</v>
      </c>
      <c r="C12" s="12" t="inlineStr">
        <is>
          <t>Tax-deferred</t>
        </is>
      </c>
    </row>
    <row r="13" ht="30" customHeight="1">
      <c r="A13" s="12" t="inlineStr">
        <is>
          <t xml:space="preserve">  Patricia's Traditional IRA</t>
        </is>
      </c>
      <c r="B13" s="27" t="n">
        <v>345846.0533732587</v>
      </c>
      <c r="C13" s="12" t="inlineStr">
        <is>
          <t>Tax-deferred</t>
        </is>
      </c>
    </row>
    <row r="14" ht="30" customHeight="1">
      <c r="A14" s="11" t="inlineStr">
        <is>
          <t xml:space="preserve">  Total Pre-Tax (Tax-Deferred)</t>
        </is>
      </c>
      <c r="B14" s="28" t="n">
        <v>1744793.075797302</v>
      </c>
      <c r="C14" s="34" t="inlineStr"/>
    </row>
    <row r="15" ht="15" customHeight="1">
      <c r="A15" s="10" t="inlineStr">
        <is>
          <t>Roth (Tax-Free)</t>
        </is>
      </c>
      <c r="B15" s="3" t="n"/>
      <c r="C15" s="4" t="n"/>
    </row>
    <row r="16" ht="15" customHeight="1">
      <c r="A16" s="12" t="inlineStr">
        <is>
          <t xml:space="preserve">  Matthew's Roth IRA</t>
        </is>
      </c>
      <c r="B16" s="27" t="n">
        <v>142433.6146766635</v>
      </c>
      <c r="C16" s="12" t="inlineStr">
        <is>
          <t>Tax-free</t>
        </is>
      </c>
    </row>
    <row r="17" ht="15" customHeight="1">
      <c r="A17" s="12" t="inlineStr">
        <is>
          <t xml:space="preserve">  Patricia's Roth IRA</t>
        </is>
      </c>
      <c r="B17" s="27" t="n">
        <v>340871.9533756516</v>
      </c>
      <c r="C17" s="12" t="inlineStr">
        <is>
          <t>Tax-free</t>
        </is>
      </c>
    </row>
    <row r="18" ht="15" customHeight="1">
      <c r="A18" s="11" t="inlineStr">
        <is>
          <t xml:space="preserve">  Total Roth (Tax-Free)</t>
        </is>
      </c>
      <c r="B18" s="28" t="n">
        <v>483305.5680523152</v>
      </c>
      <c r="C18" s="34" t="inlineStr"/>
    </row>
    <row r="19" ht="15" customHeight="1">
      <c r="A19" s="10" t="inlineStr">
        <is>
          <t>Taxable / Trust</t>
        </is>
      </c>
      <c r="B19" s="3" t="n"/>
      <c r="C19" s="4" t="n"/>
    </row>
    <row r="20" ht="15" customHeight="1">
      <c r="A20" s="12" t="inlineStr">
        <is>
          <t xml:space="preserve">  Matthew's Trust</t>
        </is>
      </c>
      <c r="B20" s="27" t="n">
        <v>155567.7390767829</v>
      </c>
      <c r="C20" s="12" t="inlineStr">
        <is>
          <t>Taxable</t>
        </is>
      </c>
    </row>
    <row r="21" ht="15" customHeight="1">
      <c r="A21" s="12" t="inlineStr">
        <is>
          <t xml:space="preserve">  Patricia's Trust</t>
        </is>
      </c>
      <c r="B21" s="27" t="n">
        <v>249615.8145924133</v>
      </c>
      <c r="C21" s="12" t="inlineStr">
        <is>
          <t>Taxable</t>
        </is>
      </c>
    </row>
    <row r="22" ht="15" customHeight="1">
      <c r="A22" s="11" t="inlineStr">
        <is>
          <t xml:space="preserve">  Total Taxable / Trust</t>
        </is>
      </c>
      <c r="B22" s="28" t="n">
        <v>405183.5536691962</v>
      </c>
      <c r="C22" s="34" t="inlineStr"/>
    </row>
    <row r="23" ht="15" customHeight="1">
      <c r="A23" s="10" t="inlineStr">
        <is>
          <t>Health Savings Account</t>
        </is>
      </c>
      <c r="B23" s="3" t="n"/>
      <c r="C23" s="4" t="n"/>
    </row>
    <row r="24" ht="15" customHeight="1">
      <c r="A24" s="12" t="inlineStr">
        <is>
          <t xml:space="preserve">  Matthew's HSA</t>
        </is>
      </c>
      <c r="B24" s="27" t="n">
        <v>78082.4731899976</v>
      </c>
      <c r="C24" s="12" t="inlineStr">
        <is>
          <t>Triple tax-advantaged</t>
        </is>
      </c>
    </row>
    <row r="25" ht="30" customHeight="1">
      <c r="A25" s="11" t="inlineStr">
        <is>
          <t xml:space="preserve">  Total Health Savings Account</t>
        </is>
      </c>
      <c r="B25" s="28" t="n">
        <v>78082.4731899976</v>
      </c>
      <c r="C25" s="34" t="inlineStr"/>
    </row>
    <row r="26" ht="15" customHeight="1">
      <c r="A26" s="10" t="inlineStr">
        <is>
          <t>Other Assets</t>
        </is>
      </c>
      <c r="B26" s="3" t="n"/>
      <c r="C26" s="4" t="n"/>
    </row>
    <row r="27" ht="30" customHeight="1">
      <c r="A27" s="12" t="inlineStr">
        <is>
          <t xml:space="preserve">  Primary Residence</t>
        </is>
      </c>
      <c r="B27" s="27" t="n">
        <v>1352390</v>
      </c>
      <c r="C27" s="12" t="inlineStr">
        <is>
          <t>Gross home value; mortgage shown in Liabilities</t>
        </is>
      </c>
    </row>
    <row r="28" ht="15" customHeight="1">
      <c r="A28" s="12" t="inlineStr">
        <is>
          <t xml:space="preserve">  Startup Equity</t>
        </is>
      </c>
      <c r="B28" s="27" t="n">
        <v>66000</v>
      </c>
      <c r="C28" s="12" t="inlineStr">
        <is>
          <t>Illiquid</t>
        </is>
      </c>
    </row>
    <row r="29" ht="15" customHeight="1">
      <c r="A29" s="12" t="inlineStr">
        <is>
          <t xml:space="preserve">  Autos</t>
        </is>
      </c>
      <c r="B29" s="27" t="n">
        <v>46654.28571428572</v>
      </c>
      <c r="C29" s="12" t="inlineStr">
        <is>
          <t>Depreciated Y0 value</t>
        </is>
      </c>
    </row>
    <row r="30" ht="15" customHeight="1">
      <c r="A30" s="12" t="inlineStr">
        <is>
          <t xml:space="preserve">  Cash (Checking Accounts)</t>
        </is>
      </c>
      <c r="B30" s="27" t="n">
        <v>20000</v>
      </c>
      <c r="C30" s="12" t="inlineStr">
        <is>
          <t>Sum of _Checking positions</t>
        </is>
      </c>
    </row>
    <row r="31" ht="30" customHeight="1">
      <c r="A31" s="12" t="inlineStr">
        <is>
          <t xml:space="preserve">  Note Receivable</t>
        </is>
      </c>
      <c r="B31" s="27" t="n">
        <v>414971.34</v>
      </c>
      <c r="C31" s="12" t="inlineStr">
        <is>
          <t>Projected balance through 2033</t>
        </is>
      </c>
    </row>
    <row r="32" ht="15" customHeight="1">
      <c r="A32" s="11" t="inlineStr">
        <is>
          <t xml:space="preserve">  Total Other Assets</t>
        </is>
      </c>
      <c r="B32" s="28" t="n">
        <v>1900015.625714286</v>
      </c>
      <c r="C32" s="34" t="inlineStr"/>
    </row>
    <row r="33"/>
    <row r="34" ht="15" customHeight="1">
      <c r="A34" s="13" t="inlineStr">
        <is>
          <t>LIABILITIES</t>
        </is>
      </c>
    </row>
    <row r="35" ht="45" customHeight="1">
      <c r="A35" s="12" t="inlineStr">
        <is>
          <t xml:space="preserve">  Mortgage</t>
        </is>
      </c>
      <c r="B35" s="27" t="n">
        <v>290769.3400000001</v>
      </c>
      <c r="C35" s="12" t="inlineStr">
        <is>
          <t>Offsets Primary Residence gross value; not double-counted as Home Equity</t>
        </is>
      </c>
    </row>
    <row r="36" ht="15" customHeight="1">
      <c r="A36" s="11" t="inlineStr">
        <is>
          <t xml:space="preserve">  Total Liabilities</t>
        </is>
      </c>
      <c r="B36" s="28" t="n">
        <v>290769.3400000001</v>
      </c>
      <c r="C36" s="34" t="inlineStr"/>
    </row>
    <row r="37"/>
    <row r="38" ht="15" customHeight="1">
      <c r="A38" s="35" t="inlineStr">
        <is>
          <t>NET WORTH</t>
        </is>
      </c>
      <c r="B38" s="36" t="n">
        <v>5681276.772454808</v>
      </c>
    </row>
  </sheetData>
  <mergeCells count="7">
    <mergeCell ref="A10:C10"/>
    <mergeCell ref="A19:C19"/>
    <mergeCell ref="A23:C23"/>
    <mergeCell ref="A1:F1"/>
    <mergeCell ref="A3:C3"/>
    <mergeCell ref="A15:C15"/>
    <mergeCell ref="A26:C26"/>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N2"/>
  <sheetViews>
    <sheetView showGridLines="0" workbookViewId="0">
      <selection activeCell="A1" sqref="A1"/>
    </sheetView>
  </sheetViews>
  <sheetFormatPr baseColWidth="8" defaultRowHeight="15"/>
  <cols>
    <col width="8.4" customWidth="1" min="1" max="1"/>
    <col width="8.4"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 width="8.4" customWidth="1" min="13" max="13"/>
    <col width="8.4" customWidth="1" min="14" max="14"/>
  </cols>
  <sheetData>
    <row r="1" ht="18" customHeight="1">
      <c r="A1" s="37" t="inlineStr">
        <is>
          <t>CHARTS DASHBOARD — Matthew &amp; Patricia  ·  2026–2056</t>
        </is>
      </c>
    </row>
    <row r="2" ht="36" customHeight="1">
      <c r="A2" s="38" t="inlineStr">
        <is>
          <t>Chart source data is stored on a hidden helper sheet. Use this page and the app explorer for visuals; use detailed result sheets for tabular audits.</t>
        </is>
      </c>
    </row>
  </sheetData>
  <mergeCells count="2">
    <mergeCell ref="A2:N2"/>
    <mergeCell ref="A1:N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E75B6"/>
    <outlinePr summaryBelow="1" summaryRight="1"/>
    <pageSetUpPr/>
  </sheetPr>
  <dimension ref="A1:N38"/>
  <sheetViews>
    <sheetView showGridLines="0" workbookViewId="0">
      <selection activeCell="A1" sqref="A1"/>
    </sheetView>
  </sheetViews>
  <sheetFormatPr baseColWidth="8" defaultRowHeight="15"/>
  <cols>
    <col width="9.4" customWidth="1" min="1" max="1"/>
    <col width="9.4" customWidth="1" min="2" max="2"/>
    <col width="9.4" customWidth="1" min="3" max="3"/>
    <col width="8" customWidth="1" min="4" max="4"/>
    <col width="9.4" customWidth="1" min="5" max="5"/>
    <col width="9.4" customWidth="1" min="6" max="6"/>
    <col width="9.4" customWidth="1" min="7" max="7"/>
    <col width="9.4" customWidth="1" min="8" max="8"/>
    <col width="9.4" customWidth="1" min="9" max="9"/>
    <col width="9.4" customWidth="1" min="10" max="10"/>
    <col width="9.4" customWidth="1" min="11" max="11"/>
    <col width="9.4" customWidth="1" min="12" max="12"/>
    <col width="5.5" customWidth="1" min="13" max="13"/>
    <col width="5.5" customWidth="1" min="14" max="14"/>
  </cols>
  <sheetData>
    <row r="1" ht="18" customHeight="1">
      <c r="A1" s="9" t="inlineStr">
        <is>
          <t>LIFETIME TAX PROJECTION</t>
        </is>
      </c>
    </row>
    <row r="2" ht="54" customHeight="1">
      <c r="A2" s="39" t="inlineStr">
        <is>
          <t>Year</t>
        </is>
      </c>
      <c r="B2" s="39" t="inlineStr">
        <is>
          <t>Matthew Age</t>
        </is>
      </c>
      <c r="C2" s="39" t="inlineStr">
        <is>
          <t>Patricia Age</t>
        </is>
      </c>
      <c r="D2" s="39" t="inlineStr">
        <is>
          <t>Filing</t>
        </is>
      </c>
      <c r="E2" s="39" t="inlineStr">
        <is>
          <t>AGI</t>
        </is>
      </c>
      <c r="F2" s="39" t="inlineStr">
        <is>
          <t>Taxable Income</t>
        </is>
      </c>
      <c r="G2" s="39" t="inlineStr">
        <is>
          <t>Fed Tax</t>
        </is>
      </c>
      <c r="H2" s="39" t="inlineStr">
        <is>
          <t>State Tax</t>
        </is>
      </c>
      <c r="I2" s="39" t="inlineStr">
        <is>
          <t>NIIT</t>
        </is>
      </c>
      <c r="J2" s="39" t="inlineStr">
        <is>
          <t>Payroll Tax</t>
        </is>
      </c>
      <c r="K2" s="39" t="inlineStr">
        <is>
          <t>IRMAA</t>
        </is>
      </c>
      <c r="L2" s="39" t="inlineStr">
        <is>
          <t>Total Tax</t>
        </is>
      </c>
      <c r="M2" s="39" t="inlineStr">
        <is>
          <t>Effective Rate</t>
        </is>
      </c>
      <c r="N2" s="39" t="inlineStr">
        <is>
          <t>Marginal Rate</t>
        </is>
      </c>
    </row>
    <row r="3" ht="15" customHeight="1">
      <c r="A3" s="26" t="n">
        <v>2026</v>
      </c>
      <c r="B3" s="40" t="n">
        <v>64</v>
      </c>
      <c r="C3" s="40" t="n">
        <v>65</v>
      </c>
      <c r="D3" s="41" t="inlineStr">
        <is>
          <t>MFJ</t>
        </is>
      </c>
      <c r="E3" s="27" t="n">
        <v>447372.89762428</v>
      </c>
      <c r="F3" s="27" t="n">
        <v>364148.5178139996</v>
      </c>
      <c r="G3" s="27" t="n">
        <v>72803.5242753599</v>
      </c>
      <c r="H3" s="27" t="n">
        <v>15734.11443240186</v>
      </c>
      <c r="I3" s="27" t="n">
        <v>2399.897797239785</v>
      </c>
      <c r="J3" s="27" t="n">
        <v>9180</v>
      </c>
      <c r="K3" s="27" t="n">
        <v>5335.200000000001</v>
      </c>
      <c r="L3" s="27" t="n">
        <v>107182.8646399376</v>
      </c>
      <c r="M3" s="29" t="n">
        <v>0.2395828294675859</v>
      </c>
      <c r="N3" s="29" t="n">
        <v>0.24</v>
      </c>
    </row>
    <row r="4" ht="15" customHeight="1">
      <c r="A4" s="26" t="n">
        <v>2027</v>
      </c>
      <c r="B4" s="40" t="n">
        <v>65</v>
      </c>
      <c r="C4" s="40" t="n">
        <v>66</v>
      </c>
      <c r="D4" s="41" t="inlineStr">
        <is>
          <t>MFJ</t>
        </is>
      </c>
      <c r="E4" s="27" t="n">
        <v>273360</v>
      </c>
      <c r="F4" s="27" t="n">
        <v>234220.32</v>
      </c>
      <c r="G4" s="27" t="n">
        <v>41328.9144</v>
      </c>
      <c r="H4" s="27" t="n">
        <v>1976.659516365503</v>
      </c>
      <c r="I4" s="27" t="n">
        <v>887.6799999999999</v>
      </c>
      <c r="J4" s="27" t="n">
        <v>0</v>
      </c>
      <c r="K4" s="27" t="n">
        <v>2167.2</v>
      </c>
      <c r="L4" s="27" t="n">
        <v>50613.9641653717</v>
      </c>
      <c r="M4" s="29" t="n">
        <v>0.1851549757293375</v>
      </c>
      <c r="N4" s="29" t="n">
        <v>0.24</v>
      </c>
    </row>
    <row r="5" ht="15" customHeight="1">
      <c r="A5" s="26" t="n">
        <v>2028</v>
      </c>
      <c r="B5" s="40" t="n">
        <v>66</v>
      </c>
      <c r="C5" s="40" t="n">
        <v>67</v>
      </c>
      <c r="D5" s="41" t="inlineStr">
        <is>
          <t>MFJ</t>
        </is>
      </c>
      <c r="E5" s="27" t="n">
        <v>278827.2</v>
      </c>
      <c r="F5" s="27" t="n">
        <v>239324.7264</v>
      </c>
      <c r="G5" s="27" t="n">
        <v>42256.292688</v>
      </c>
      <c r="H5" s="27" t="n">
        <v>1445.635911040165</v>
      </c>
      <c r="I5" s="27" t="n">
        <v>1095.433600000001</v>
      </c>
      <c r="J5" s="27" t="n">
        <v>0</v>
      </c>
      <c r="K5" s="27" t="n">
        <v>10670.4</v>
      </c>
      <c r="L5" s="27" t="n">
        <v>56538.82679916287</v>
      </c>
      <c r="M5" s="29" t="n">
        <v>0.2027737136088691</v>
      </c>
      <c r="N5" s="29" t="n">
        <v>0.24</v>
      </c>
    </row>
    <row r="6" ht="15" customHeight="1">
      <c r="A6" s="26" t="n">
        <v>2029</v>
      </c>
      <c r="B6" s="40" t="n">
        <v>67</v>
      </c>
      <c r="C6" s="40" t="n">
        <v>68</v>
      </c>
      <c r="D6" s="41" t="inlineStr">
        <is>
          <t>MFJ</t>
        </is>
      </c>
      <c r="E6" s="27" t="n">
        <v>281484.7492599302</v>
      </c>
      <c r="F6" s="27" t="n">
        <v>242628.2269751293</v>
      </c>
      <c r="G6" s="27" t="n">
        <v>42745.49999307103</v>
      </c>
      <c r="H6" s="27" t="n">
        <v>1610.646421316397</v>
      </c>
      <c r="I6" s="27" t="n">
        <v>0</v>
      </c>
      <c r="J6" s="27" t="n">
        <v>0</v>
      </c>
      <c r="K6" s="27" t="n">
        <v>2167.2</v>
      </c>
      <c r="L6" s="27" t="n">
        <v>46523.34641438743</v>
      </c>
      <c r="M6" s="29" t="n">
        <v>0.1652783908780315</v>
      </c>
      <c r="N6" s="29" t="n">
        <v>0.24</v>
      </c>
    </row>
    <row r="7" ht="15" customHeight="1">
      <c r="A7" s="26" t="n">
        <v>2030</v>
      </c>
      <c r="B7" s="40" t="n">
        <v>68</v>
      </c>
      <c r="C7" s="40" t="n">
        <v>69</v>
      </c>
      <c r="D7" s="41" t="inlineStr">
        <is>
          <t>MFJ</t>
        </is>
      </c>
      <c r="E7" s="27" t="n">
        <v>287184.5138177453</v>
      </c>
      <c r="F7" s="27" t="n">
        <v>250529.0311515053</v>
      </c>
      <c r="G7" s="27" t="n">
        <v>44331.98750578208</v>
      </c>
      <c r="H7" s="27" t="n">
        <v>1445.045672662552</v>
      </c>
      <c r="I7" s="27" t="n">
        <v>1109.327991134888</v>
      </c>
      <c r="J7" s="27" t="n">
        <v>0</v>
      </c>
      <c r="K7" s="27" t="n">
        <v>2167.2</v>
      </c>
      <c r="L7" s="27" t="n">
        <v>49053.56116957951</v>
      </c>
      <c r="M7" s="29" t="n">
        <v>0.1708085179018746</v>
      </c>
      <c r="N7" s="29" t="n">
        <v>0.24</v>
      </c>
    </row>
    <row r="8" ht="15" customHeight="1">
      <c r="A8" s="26" t="n">
        <v>2031</v>
      </c>
      <c r="B8" s="40" t="n">
        <v>69</v>
      </c>
      <c r="C8" s="40" t="n">
        <v>70</v>
      </c>
      <c r="D8" s="41" t="inlineStr">
        <is>
          <t>MFJ</t>
        </is>
      </c>
      <c r="E8" s="27" t="n">
        <v>292997.574795145</v>
      </c>
      <c r="F8" s="27" t="n">
        <v>255608.9824755802</v>
      </c>
      <c r="G8" s="27" t="n">
        <v>45235.27622414845</v>
      </c>
      <c r="H8" s="27" t="n">
        <v>1140.061355787559</v>
      </c>
      <c r="I8" s="27" t="n">
        <v>0</v>
      </c>
      <c r="J8" s="27" t="n">
        <v>0</v>
      </c>
      <c r="K8" s="27" t="n">
        <v>2167.2</v>
      </c>
      <c r="L8" s="27" t="n">
        <v>48542.537579936</v>
      </c>
      <c r="M8" s="29" t="n">
        <v>0.1656755610140305</v>
      </c>
      <c r="N8" s="29" t="n">
        <v>0.24</v>
      </c>
    </row>
    <row r="9" ht="15" customHeight="1">
      <c r="A9" s="26" t="n">
        <v>2032</v>
      </c>
      <c r="B9" s="40" t="n">
        <v>70</v>
      </c>
      <c r="C9" s="40" t="n">
        <v>71</v>
      </c>
      <c r="D9" s="41" t="inlineStr">
        <is>
          <t>MFJ</t>
        </is>
      </c>
      <c r="E9" s="27" t="n">
        <v>298925.9473851025</v>
      </c>
      <c r="F9" s="27" t="n">
        <v>260789.5832191464</v>
      </c>
      <c r="G9" s="27" t="n">
        <v>46156.40281120454</v>
      </c>
      <c r="H9" s="27" t="n">
        <v>699.8239249735219</v>
      </c>
      <c r="I9" s="27" t="n">
        <v>0</v>
      </c>
      <c r="J9" s="27" t="n">
        <v>0</v>
      </c>
      <c r="K9" s="27" t="n">
        <v>2167.2</v>
      </c>
      <c r="L9" s="27" t="n">
        <v>49023.42673617806</v>
      </c>
      <c r="M9" s="29" t="n">
        <v>0.1639985660830634</v>
      </c>
      <c r="N9" s="29" t="n">
        <v>0.24</v>
      </c>
    </row>
    <row r="10" ht="15" customHeight="1">
      <c r="A10" s="26" t="n">
        <v>2033</v>
      </c>
      <c r="B10" s="40" t="n">
        <v>71</v>
      </c>
      <c r="C10" s="40" t="n">
        <v>72</v>
      </c>
      <c r="D10" s="41" t="inlineStr">
        <is>
          <t>MFJ</t>
        </is>
      </c>
      <c r="E10" s="27" t="n">
        <v>304971.9815625441</v>
      </c>
      <c r="F10" s="27" t="n">
        <v>266072.8901132689</v>
      </c>
      <c r="G10" s="27" t="n">
        <v>47095.73452256613</v>
      </c>
      <c r="H10" s="27" t="n">
        <v>588.1244857183825</v>
      </c>
      <c r="I10" s="27" t="n">
        <v>0</v>
      </c>
      <c r="J10" s="27" t="n">
        <v>0</v>
      </c>
      <c r="K10" s="27" t="n">
        <v>2167.2</v>
      </c>
      <c r="L10" s="27" t="n">
        <v>49851.05900828451</v>
      </c>
      <c r="M10" s="29" t="n">
        <v>0.1634611112564155</v>
      </c>
      <c r="N10" s="29" t="n">
        <v>0.24</v>
      </c>
    </row>
    <row r="11" ht="15" customHeight="1">
      <c r="A11" s="26" t="n">
        <v>2034</v>
      </c>
      <c r="B11" s="40" t="n">
        <v>72</v>
      </c>
      <c r="C11" s="40" t="n">
        <v>73</v>
      </c>
      <c r="D11" s="41" t="inlineStr">
        <is>
          <t>MFJ</t>
        </is>
      </c>
      <c r="E11" s="27" t="n">
        <v>268906.1633201263</v>
      </c>
      <c r="F11" s="27" t="n">
        <v>229229.0900418656</v>
      </c>
      <c r="G11" s="27" t="n">
        <v>38273.91820118428</v>
      </c>
      <c r="H11" s="27" t="n">
        <v>476.460953213454</v>
      </c>
      <c r="I11" s="27" t="n">
        <v>0</v>
      </c>
      <c r="J11" s="27" t="n">
        <v>0</v>
      </c>
      <c r="K11" s="27" t="n">
        <v>2167.2</v>
      </c>
      <c r="L11" s="27" t="n">
        <v>40917.57915439773</v>
      </c>
      <c r="M11" s="29" t="n">
        <v>0.1521630395123608</v>
      </c>
      <c r="N11" s="29" t="n">
        <v>0.22</v>
      </c>
    </row>
    <row r="12" ht="15" customHeight="1">
      <c r="A12" s="26" t="n">
        <v>2035</v>
      </c>
      <c r="B12" s="40" t="n">
        <v>73</v>
      </c>
      <c r="C12" s="40" t="n">
        <v>74</v>
      </c>
      <c r="D12" s="41" t="inlineStr">
        <is>
          <t>MFJ</t>
        </is>
      </c>
      <c r="E12" s="27" t="n">
        <v>191780.9034798605</v>
      </c>
      <c r="F12" s="27" t="n">
        <v>151310.2887360346</v>
      </c>
      <c r="G12" s="27" t="n">
        <v>20888.65228174093</v>
      </c>
      <c r="H12" s="27" t="n">
        <v>475.0310965926355</v>
      </c>
      <c r="I12" s="27" t="n">
        <v>0</v>
      </c>
      <c r="J12" s="27" t="n">
        <v>0</v>
      </c>
      <c r="K12" s="27" t="n">
        <v>2167.2</v>
      </c>
      <c r="L12" s="27" t="n">
        <v>23530.88337833357</v>
      </c>
      <c r="M12" s="29" t="n">
        <v>0.1226966968627542</v>
      </c>
      <c r="N12" s="29" t="n">
        <v>0.22</v>
      </c>
    </row>
    <row r="13" ht="15" customHeight="1">
      <c r="A13" s="26" t="n">
        <v>2036</v>
      </c>
      <c r="B13" s="40" t="n">
        <v>74</v>
      </c>
      <c r="C13" s="40" t="n">
        <v>75</v>
      </c>
      <c r="D13" s="41" t="inlineStr">
        <is>
          <t>MFJ</t>
        </is>
      </c>
      <c r="E13" s="27" t="n">
        <v>201030.8325321935</v>
      </c>
      <c r="F13" s="27" t="n">
        <v>159750.805493491</v>
      </c>
      <c r="G13" s="27" t="n">
        <v>22497.57374357762</v>
      </c>
      <c r="H13" s="27" t="n">
        <v>509.2092867766376</v>
      </c>
      <c r="I13" s="27" t="n">
        <v>0</v>
      </c>
      <c r="J13" s="27" t="n">
        <v>0</v>
      </c>
      <c r="K13" s="27" t="n">
        <v>2167.2</v>
      </c>
      <c r="L13" s="27" t="n">
        <v>25173.98303035425</v>
      </c>
      <c r="M13" s="29" t="n">
        <v>0.1252244877726547</v>
      </c>
      <c r="N13" s="29" t="n">
        <v>0.22</v>
      </c>
    </row>
    <row r="14" ht="15" customHeight="1">
      <c r="A14" s="26" t="n">
        <v>2037</v>
      </c>
      <c r="B14" s="40" t="n">
        <v>75</v>
      </c>
      <c r="C14" s="40" t="n">
        <v>76</v>
      </c>
      <c r="D14" s="41" t="inlineStr">
        <is>
          <t>MFJ</t>
        </is>
      </c>
      <c r="E14" s="27" t="n">
        <v>201336.0152089051</v>
      </c>
      <c r="F14" s="27" t="n">
        <v>159230.3876294286</v>
      </c>
      <c r="G14" s="27" t="n">
        <v>22130.12974418408</v>
      </c>
      <c r="H14" s="27" t="n">
        <v>505.1458054834306</v>
      </c>
      <c r="I14" s="27" t="n">
        <v>0</v>
      </c>
      <c r="J14" s="27" t="n">
        <v>0</v>
      </c>
      <c r="K14" s="27" t="n">
        <v>0</v>
      </c>
      <c r="L14" s="27" t="n">
        <v>22635.27554966751</v>
      </c>
      <c r="M14" s="29" t="n">
        <v>0.112425367742484</v>
      </c>
      <c r="N14" s="29" t="n">
        <v>0.22</v>
      </c>
    </row>
    <row r="15" ht="15" customHeight="1">
      <c r="A15" s="26" t="n">
        <v>2038</v>
      </c>
      <c r="B15" s="40" t="n">
        <v>76</v>
      </c>
      <c r="C15" s="40" t="n">
        <v>77</v>
      </c>
      <c r="D15" s="41" t="inlineStr">
        <is>
          <t>MFJ</t>
        </is>
      </c>
      <c r="E15" s="27" t="n">
        <v>201762.1732600342</v>
      </c>
      <c r="F15" s="27" t="n">
        <v>158814.4331289682</v>
      </c>
      <c r="G15" s="27" t="n">
        <v>21780.60864339698</v>
      </c>
      <c r="H15" s="27" t="n">
        <v>501.3628549573895</v>
      </c>
      <c r="I15" s="27" t="n">
        <v>0</v>
      </c>
      <c r="J15" s="27" t="n">
        <v>0</v>
      </c>
      <c r="K15" s="27" t="n">
        <v>0</v>
      </c>
      <c r="L15" s="27" t="n">
        <v>22281.97149835437</v>
      </c>
      <c r="M15" s="29" t="n">
        <v>0.110436813493464</v>
      </c>
      <c r="N15" s="29" t="n">
        <v>0.22</v>
      </c>
    </row>
    <row r="16" ht="15" customHeight="1">
      <c r="A16" s="26" t="n">
        <v>2039</v>
      </c>
      <c r="B16" s="40" t="n">
        <v>77</v>
      </c>
      <c r="C16" s="40" t="n">
        <v>78</v>
      </c>
      <c r="D16" s="41" t="inlineStr">
        <is>
          <t>MFJ</t>
        </is>
      </c>
      <c r="E16" s="27" t="n">
        <v>202331.3407241465</v>
      </c>
      <c r="F16" s="27" t="n">
        <v>158524.6457904591</v>
      </c>
      <c r="G16" s="27" t="n">
        <v>21453.68409602546</v>
      </c>
      <c r="H16" s="27" t="n">
        <v>497.9235254186502</v>
      </c>
      <c r="I16" s="27" t="n">
        <v>0</v>
      </c>
      <c r="J16" s="27" t="n">
        <v>0</v>
      </c>
      <c r="K16" s="27" t="n">
        <v>0</v>
      </c>
      <c r="L16" s="27" t="n">
        <v>21951.60762144411</v>
      </c>
      <c r="M16" s="29" t="n">
        <v>0.1084933631284161</v>
      </c>
      <c r="N16" s="29" t="n">
        <v>0.22</v>
      </c>
    </row>
    <row r="17" ht="15" customHeight="1">
      <c r="A17" s="26" t="n">
        <v>2040</v>
      </c>
      <c r="B17" s="40" t="n">
        <v>78</v>
      </c>
      <c r="C17" s="40" t="n">
        <v>79</v>
      </c>
      <c r="D17" s="41" t="inlineStr">
        <is>
          <t>MFJ</t>
        </is>
      </c>
      <c r="E17" s="27" t="n">
        <v>203037.3005108291</v>
      </c>
      <c r="F17" s="27" t="n">
        <v>158354.4716784679</v>
      </c>
      <c r="G17" s="27" t="n">
        <v>21147.8110318299</v>
      </c>
      <c r="H17" s="27" t="n">
        <v>494.80637990907</v>
      </c>
      <c r="I17" s="27" t="n">
        <v>0</v>
      </c>
      <c r="J17" s="27" t="n">
        <v>0</v>
      </c>
      <c r="K17" s="27" t="n">
        <v>0</v>
      </c>
      <c r="L17" s="27" t="n">
        <v>21642.61741173897</v>
      </c>
      <c r="M17" s="29" t="n">
        <v>0.1065942925624381</v>
      </c>
      <c r="N17" s="29" t="n">
        <v>0.22</v>
      </c>
    </row>
    <row r="18" ht="15" customHeight="1">
      <c r="A18" s="26" t="n">
        <v>2041</v>
      </c>
      <c r="B18" s="40" t="n">
        <v>79</v>
      </c>
      <c r="C18" s="40" t="n">
        <v>80</v>
      </c>
      <c r="D18" s="41" t="inlineStr">
        <is>
          <t>MFJ</t>
        </is>
      </c>
      <c r="E18" s="27" t="n">
        <v>203874.2221921518</v>
      </c>
      <c r="F18" s="27" t="n">
        <v>158297.7367831435</v>
      </c>
      <c r="G18" s="27" t="n">
        <v>20861.52590010986</v>
      </c>
      <c r="H18" s="27" t="n">
        <v>491.9911466335784</v>
      </c>
      <c r="I18" s="27" t="n">
        <v>0</v>
      </c>
      <c r="J18" s="27" t="n">
        <v>0</v>
      </c>
      <c r="K18" s="27" t="n">
        <v>0</v>
      </c>
      <c r="L18" s="27" t="n">
        <v>21353.51704674344</v>
      </c>
      <c r="M18" s="29" t="n">
        <v>0.1047386806293623</v>
      </c>
      <c r="N18" s="29" t="n">
        <v>0.22</v>
      </c>
    </row>
    <row r="19" ht="15" customHeight="1">
      <c r="A19" s="26" t="n">
        <v>2042</v>
      </c>
      <c r="B19" s="40" t="n">
        <v>80</v>
      </c>
      <c r="C19" s="40" t="n">
        <v>81</v>
      </c>
      <c r="D19" s="41" t="inlineStr">
        <is>
          <t>MFJ</t>
        </is>
      </c>
      <c r="E19" s="27" t="n">
        <v>204836.6433792192</v>
      </c>
      <c r="F19" s="27" t="n">
        <v>158348.6282620307</v>
      </c>
      <c r="G19" s="27" t="n">
        <v>20593.44250162141</v>
      </c>
      <c r="H19" s="27" t="n">
        <v>489.4586600462634</v>
      </c>
      <c r="I19" s="27" t="n">
        <v>0</v>
      </c>
      <c r="J19" s="27" t="n">
        <v>0</v>
      </c>
      <c r="K19" s="27" t="n">
        <v>0</v>
      </c>
      <c r="L19" s="27" t="n">
        <v>21082.90116166768</v>
      </c>
      <c r="M19" s="29" t="n">
        <v>0.1029254376261008</v>
      </c>
      <c r="N19" s="29" t="n">
        <v>0.22</v>
      </c>
    </row>
    <row r="20" ht="15" customHeight="1">
      <c r="A20" s="26" t="n">
        <v>2043</v>
      </c>
      <c r="B20" s="40" t="n">
        <v>81</v>
      </c>
      <c r="C20" s="40" t="n">
        <v>82</v>
      </c>
      <c r="D20" s="41" t="inlineStr">
        <is>
          <t>MFJ</t>
        </is>
      </c>
      <c r="E20" s="27" t="n">
        <v>205919.4520171825</v>
      </c>
      <c r="F20" s="27" t="n">
        <v>158501.6765976503</v>
      </c>
      <c r="G20" s="27" t="n">
        <v>20342.24802113721</v>
      </c>
      <c r="H20" s="27" t="n">
        <v>487.190804785312</v>
      </c>
      <c r="I20" s="27" t="n">
        <v>0</v>
      </c>
      <c r="J20" s="27" t="n">
        <v>0</v>
      </c>
      <c r="K20" s="27" t="n">
        <v>0</v>
      </c>
      <c r="L20" s="27" t="n">
        <v>20829.43882592252</v>
      </c>
      <c r="M20" s="29" t="n">
        <v>0.101153332635056</v>
      </c>
      <c r="N20" s="29" t="n">
        <v>0.22</v>
      </c>
    </row>
    <row r="21" ht="15" customHeight="1">
      <c r="A21" s="26" t="n">
        <v>2044</v>
      </c>
      <c r="B21" s="40" t="n">
        <v>82</v>
      </c>
      <c r="C21" s="40" t="n">
        <v>83</v>
      </c>
      <c r="D21" s="41" t="inlineStr">
        <is>
          <t>MFJ</t>
        </is>
      </c>
      <c r="E21" s="27" t="n">
        <v>207117.8695559779</v>
      </c>
      <c r="F21" s="27" t="n">
        <v>158751.738628055</v>
      </c>
      <c r="G21" s="27" t="n">
        <v>20106.69925121932</v>
      </c>
      <c r="H21" s="27" t="n">
        <v>485.1704623231544</v>
      </c>
      <c r="I21" s="27" t="n">
        <v>0</v>
      </c>
      <c r="J21" s="27" t="n">
        <v>0</v>
      </c>
      <c r="K21" s="27" t="n">
        <v>0</v>
      </c>
      <c r="L21" s="27" t="n">
        <v>20591.86971354248</v>
      </c>
      <c r="M21" s="29" t="n">
        <v>0.09942101933400342</v>
      </c>
      <c r="N21" s="29" t="n">
        <v>0.22</v>
      </c>
    </row>
    <row r="22" ht="15" customHeight="1">
      <c r="A22" s="26" t="n">
        <v>2045</v>
      </c>
      <c r="B22" s="40" t="n">
        <v>83</v>
      </c>
      <c r="C22" s="40" t="n">
        <v>84</v>
      </c>
      <c r="D22" s="41" t="inlineStr">
        <is>
          <t>MFJ</t>
        </is>
      </c>
      <c r="E22" s="27" t="n">
        <v>208427.4349560231</v>
      </c>
      <c r="F22" s="27" t="n">
        <v>159093.9814095417</v>
      </c>
      <c r="G22" s="27" t="n">
        <v>19885.61899820736</v>
      </c>
      <c r="H22" s="27" t="n">
        <v>483.3814602043048</v>
      </c>
      <c r="I22" s="27" t="n">
        <v>0</v>
      </c>
      <c r="J22" s="27" t="n">
        <v>0</v>
      </c>
      <c r="K22" s="27" t="n">
        <v>0</v>
      </c>
      <c r="L22" s="27" t="n">
        <v>20369.00045841167</v>
      </c>
      <c r="M22" s="29" t="n">
        <v>0.09772706008069137</v>
      </c>
      <c r="N22" s="29" t="n">
        <v>0.22</v>
      </c>
    </row>
    <row r="23" ht="15" customHeight="1">
      <c r="A23" s="26" t="n">
        <v>2046</v>
      </c>
      <c r="B23" s="40" t="n">
        <v>84</v>
      </c>
      <c r="C23" s="40" t="n">
        <v>85</v>
      </c>
      <c r="D23" s="41" t="inlineStr">
        <is>
          <t>MFJ</t>
        </is>
      </c>
      <c r="E23" s="27" t="n">
        <v>209843.9894899875</v>
      </c>
      <c r="F23" s="27" t="n">
        <v>159523.8668725765</v>
      </c>
      <c r="G23" s="27" t="n">
        <v>19677.89266183716</v>
      </c>
      <c r="H23" s="27" t="n">
        <v>481.8085237492381</v>
      </c>
      <c r="I23" s="27" t="n">
        <v>0</v>
      </c>
      <c r="J23" s="27" t="n">
        <v>0</v>
      </c>
      <c r="K23" s="27" t="n">
        <v>0</v>
      </c>
      <c r="L23" s="27" t="n">
        <v>20159.7011855864</v>
      </c>
      <c r="M23" s="29" t="n">
        <v>0.09606994812948075</v>
      </c>
      <c r="N23" s="29" t="n">
        <v>0.22</v>
      </c>
    </row>
    <row r="24" ht="15" customHeight="1">
      <c r="A24" s="26" t="n">
        <v>2047</v>
      </c>
      <c r="B24" s="40" t="n">
        <v>85</v>
      </c>
      <c r="C24" s="40" t="n">
        <v>86</v>
      </c>
      <c r="D24" s="41" t="inlineStr">
        <is>
          <t>MFJ</t>
        </is>
      </c>
      <c r="E24" s="27" t="n">
        <v>201605.7232830391</v>
      </c>
      <c r="F24" s="27" t="n">
        <v>150279.1982132799</v>
      </c>
      <c r="G24" s="27" t="n">
        <v>17335.71839578932</v>
      </c>
      <c r="H24" s="27" t="n">
        <v>446.8717986683122</v>
      </c>
      <c r="I24" s="27" t="n">
        <v>0</v>
      </c>
      <c r="J24" s="27" t="n">
        <v>0</v>
      </c>
      <c r="K24" s="27" t="n">
        <v>0</v>
      </c>
      <c r="L24" s="27" t="n">
        <v>17782.59019445763</v>
      </c>
      <c r="M24" s="29" t="n">
        <v>0.0882047885589648</v>
      </c>
      <c r="N24" s="29" t="n">
        <v>0.22</v>
      </c>
    </row>
    <row r="25" ht="15" customHeight="1">
      <c r="A25" s="26" t="n">
        <v>2048</v>
      </c>
      <c r="B25" s="40" t="n">
        <v>86</v>
      </c>
      <c r="C25" s="40" t="n">
        <v>87</v>
      </c>
      <c r="D25" s="41" t="inlineStr">
        <is>
          <t>MFJ</t>
        </is>
      </c>
      <c r="E25" s="27" t="n">
        <v>164308.9943644842</v>
      </c>
      <c r="F25" s="27" t="n">
        <v>111955.9387933298</v>
      </c>
      <c r="G25" s="27" t="n">
        <v>12682.53170618027</v>
      </c>
      <c r="H25" s="27" t="n">
        <v>376.9913168961097</v>
      </c>
      <c r="I25" s="27" t="n">
        <v>0</v>
      </c>
      <c r="J25" s="27" t="n">
        <v>0</v>
      </c>
      <c r="K25" s="27" t="n">
        <v>0</v>
      </c>
      <c r="L25" s="27" t="n">
        <v>13059.52302307638</v>
      </c>
      <c r="M25" s="29" t="n">
        <v>0.07948148592588085</v>
      </c>
      <c r="N25" s="29" t="n">
        <v>0.12</v>
      </c>
    </row>
    <row r="26" ht="15" customHeight="1">
      <c r="A26" s="26" t="n">
        <v>2049</v>
      </c>
      <c r="B26" s="40" t="n">
        <v>87</v>
      </c>
      <c r="C26" s="40" t="n">
        <v>88</v>
      </c>
      <c r="D26" s="41" t="inlineStr">
        <is>
          <t>MFJ</t>
        </is>
      </c>
      <c r="E26" s="27" t="n">
        <v>167193.554525845</v>
      </c>
      <c r="F26" s="27" t="n">
        <v>113793.4378432675</v>
      </c>
      <c r="G26" s="27" t="n">
        <v>12887.98797319242</v>
      </c>
      <c r="H26" s="27" t="n">
        <v>380.1416595897462</v>
      </c>
      <c r="I26" s="27" t="n">
        <v>0</v>
      </c>
      <c r="J26" s="27" t="n">
        <v>0</v>
      </c>
      <c r="K26" s="27" t="n">
        <v>0</v>
      </c>
      <c r="L26" s="27" t="n">
        <v>13268.12963278216</v>
      </c>
      <c r="M26" s="29" t="n">
        <v>0.07935790150768736</v>
      </c>
      <c r="N26" s="29" t="n">
        <v>0.12</v>
      </c>
    </row>
    <row r="27" ht="15" customHeight="1">
      <c r="A27" s="26" t="n">
        <v>2050</v>
      </c>
      <c r="B27" s="40" t="n">
        <v>88</v>
      </c>
      <c r="C27" s="40" t="n">
        <v>89</v>
      </c>
      <c r="D27" s="41" t="inlineStr">
        <is>
          <t>MFJ</t>
        </is>
      </c>
      <c r="E27" s="27" t="n">
        <v>170125.7996343165</v>
      </c>
      <c r="F27" s="27" t="n">
        <v>115657.6806180874</v>
      </c>
      <c r="G27" s="27" t="n">
        <v>13096.35261481081</v>
      </c>
      <c r="H27" s="27" t="n">
        <v>383.3378180186657</v>
      </c>
      <c r="I27" s="27" t="n">
        <v>0</v>
      </c>
      <c r="J27" s="27" t="n">
        <v>0</v>
      </c>
      <c r="K27" s="27" t="n">
        <v>0</v>
      </c>
      <c r="L27" s="27" t="n">
        <v>13479.69043282948</v>
      </c>
      <c r="M27" s="29" t="n">
        <v>0.07923366392283784</v>
      </c>
      <c r="N27" s="29" t="n">
        <v>0.12</v>
      </c>
    </row>
    <row r="28" ht="15" customHeight="1">
      <c r="A28" s="26" t="n">
        <v>2051</v>
      </c>
      <c r="B28" s="40" t="n">
        <v>89</v>
      </c>
      <c r="C28" s="40" t="n">
        <v>90</v>
      </c>
      <c r="D28" s="41" t="inlineStr">
        <is>
          <t>MFJ</t>
        </is>
      </c>
      <c r="E28" s="27" t="n">
        <v>173100.9709810019</v>
      </c>
      <c r="F28" s="27" t="n">
        <v>117543.4895844482</v>
      </c>
      <c r="G28" s="27" t="n">
        <v>13306.99830958692</v>
      </c>
      <c r="H28" s="27" t="n">
        <v>386.5710863757359</v>
      </c>
      <c r="I28" s="27" t="n">
        <v>0</v>
      </c>
      <c r="J28" s="27" t="n">
        <v>0</v>
      </c>
      <c r="K28" s="27" t="n">
        <v>0</v>
      </c>
      <c r="L28" s="27" t="n">
        <v>13693.56939596265</v>
      </c>
      <c r="M28" s="29" t="n">
        <v>0.07910740949838778</v>
      </c>
      <c r="N28" s="29" t="n">
        <v>0.12</v>
      </c>
    </row>
    <row r="29" ht="15" customHeight="1">
      <c r="A29" s="26" t="n">
        <v>2052</v>
      </c>
      <c r="B29" s="40" t="n">
        <v>90</v>
      </c>
      <c r="C29" s="40" t="n">
        <v>91</v>
      </c>
      <c r="D29" s="41" t="inlineStr">
        <is>
          <t>MFJ</t>
        </is>
      </c>
      <c r="E29" s="27" t="n">
        <v>176175.5828824479</v>
      </c>
      <c r="F29" s="27" t="n">
        <v>119506.9518579632</v>
      </c>
      <c r="G29" s="27" t="n">
        <v>13526.64937359778</v>
      </c>
      <c r="H29" s="27" t="n">
        <v>389.8333820132183</v>
      </c>
      <c r="I29" s="27" t="n">
        <v>0</v>
      </c>
      <c r="J29" s="27" t="n">
        <v>0</v>
      </c>
      <c r="K29" s="27" t="n">
        <v>0</v>
      </c>
      <c r="L29" s="27" t="n">
        <v>13916.482755611</v>
      </c>
      <c r="M29" s="29" t="n">
        <v>0.07899211983817692</v>
      </c>
      <c r="N29" s="29" t="n">
        <v>0.12</v>
      </c>
    </row>
    <row r="30" ht="15" customHeight="1">
      <c r="A30" s="26" t="n">
        <v>2053</v>
      </c>
      <c r="B30" s="40" t="n">
        <v>91</v>
      </c>
      <c r="C30" s="40" t="n">
        <v>92</v>
      </c>
      <c r="D30" s="41" t="inlineStr">
        <is>
          <t>MFJ</t>
        </is>
      </c>
      <c r="E30" s="27" t="n">
        <v>179514.8289667321</v>
      </c>
      <c r="F30" s="27" t="n">
        <v>121712.8253217577</v>
      </c>
      <c r="G30" s="27" t="n">
        <v>13775.07049226596</v>
      </c>
      <c r="H30" s="27" t="n">
        <v>393.4934814210483</v>
      </c>
      <c r="I30" s="27" t="n">
        <v>0</v>
      </c>
      <c r="J30" s="27" t="n">
        <v>0</v>
      </c>
      <c r="K30" s="27" t="n">
        <v>0</v>
      </c>
      <c r="L30" s="27" t="n">
        <v>14168.56397368701</v>
      </c>
      <c r="M30" s="29" t="n">
        <v>0.07892698366613904</v>
      </c>
      <c r="N30" s="29" t="n">
        <v>0.12</v>
      </c>
    </row>
    <row r="31" ht="15" customHeight="1">
      <c r="A31" s="26" t="n">
        <v>2054</v>
      </c>
      <c r="B31" s="40" t="n">
        <v>92</v>
      </c>
      <c r="C31" s="40" t="n">
        <v>93</v>
      </c>
      <c r="D31" s="41" t="inlineStr">
        <is>
          <t>MFJ</t>
        </is>
      </c>
      <c r="E31" s="27" t="n">
        <v>183143.3980469325</v>
      </c>
      <c r="F31" s="27" t="n">
        <v>124185.3543290586</v>
      </c>
      <c r="G31" s="27" t="n">
        <v>14055.16460221517</v>
      </c>
      <c r="H31" s="27" t="n">
        <v>397.5910918784509</v>
      </c>
      <c r="I31" s="27" t="n">
        <v>0</v>
      </c>
      <c r="J31" s="27" t="n">
        <v>0</v>
      </c>
      <c r="K31" s="27" t="n">
        <v>0</v>
      </c>
      <c r="L31" s="27" t="n">
        <v>14452.75569409362</v>
      </c>
      <c r="M31" s="29" t="n">
        <v>0.07891496962609562</v>
      </c>
      <c r="N31" s="29" t="n">
        <v>0.12</v>
      </c>
    </row>
    <row r="32" ht="15" customHeight="1">
      <c r="A32" s="26" t="n">
        <v>2055</v>
      </c>
      <c r="B32" s="40" t="n">
        <v>93</v>
      </c>
      <c r="C32" s="40" t="n">
        <v>94</v>
      </c>
      <c r="D32" s="41" t="inlineStr">
        <is>
          <t>Single</t>
        </is>
      </c>
      <c r="E32" s="27" t="n">
        <v>143680.4494740978</v>
      </c>
      <c r="F32" s="27" t="n">
        <v>109264.5793761341</v>
      </c>
      <c r="G32" s="27" t="n">
        <v>14825.62244599984</v>
      </c>
      <c r="H32" s="27" t="n">
        <v>402.1695304452676</v>
      </c>
      <c r="I32" s="27" t="n">
        <v>0</v>
      </c>
      <c r="J32" s="27" t="n">
        <v>0</v>
      </c>
      <c r="K32" s="27" t="n">
        <v>0</v>
      </c>
      <c r="L32" s="27" t="n">
        <v>15227.79197644511</v>
      </c>
      <c r="M32" s="29" t="n">
        <v>0.1059837440109784</v>
      </c>
      <c r="N32" s="29" t="n">
        <v>0.22</v>
      </c>
    </row>
    <row r="33" ht="15" customHeight="1">
      <c r="A33" s="26" t="n">
        <v>2056</v>
      </c>
      <c r="B33" s="40" t="n">
        <v>94</v>
      </c>
      <c r="C33" s="40" t="n">
        <v>95</v>
      </c>
      <c r="D33" s="41" t="inlineStr">
        <is>
          <t>Single</t>
        </is>
      </c>
      <c r="E33" s="27" t="n">
        <v>145296.5660808042</v>
      </c>
      <c r="F33" s="27" t="n">
        <v>110192.3785808811</v>
      </c>
      <c r="G33" s="27" t="n">
        <v>14845.48657070919</v>
      </c>
      <c r="H33" s="27" t="n">
        <v>407.2760347655755</v>
      </c>
      <c r="I33" s="27" t="n">
        <v>0</v>
      </c>
      <c r="J33" s="27" t="n">
        <v>0</v>
      </c>
      <c r="K33" s="27" t="n">
        <v>0</v>
      </c>
      <c r="L33" s="27" t="n">
        <v>15252.76260547477</v>
      </c>
      <c r="M33" s="29" t="n">
        <v>0.1049767590308515</v>
      </c>
      <c r="N33" s="29" t="n">
        <v>0.22</v>
      </c>
    </row>
    <row r="34"/>
    <row r="35" ht="30" customHeight="1">
      <c r="A35" s="35" t="inlineStr">
        <is>
          <t>Lifetime Federal Tax</t>
        </is>
      </c>
      <c r="B35" s="3" t="n"/>
      <c r="C35" s="3" t="n"/>
      <c r="D35" s="3" t="n"/>
      <c r="E35" s="3" t="n"/>
      <c r="F35" s="4" t="n"/>
      <c r="G35" s="42" t="n">
        <v>811931.0199805514</v>
      </c>
    </row>
    <row r="36" ht="30" customHeight="1">
      <c r="A36" s="35" t="inlineStr">
        <is>
          <t>Lifetime State Tax (Il)</t>
        </is>
      </c>
      <c r="B36" s="3" t="n"/>
      <c r="C36" s="3" t="n"/>
      <c r="D36" s="3" t="n"/>
      <c r="E36" s="3" t="n"/>
      <c r="F36" s="4" t="n"/>
      <c r="G36" s="42" t="n">
        <v>34983.32988043119</v>
      </c>
    </row>
    <row r="37" ht="30" customHeight="1">
      <c r="A37" s="35" t="inlineStr">
        <is>
          <t>Lifetime NIIT</t>
        </is>
      </c>
      <c r="B37" s="3" t="n"/>
      <c r="C37" s="3" t="n"/>
      <c r="D37" s="3" t="n"/>
      <c r="E37" s="3" t="n"/>
      <c r="F37" s="4" t="n"/>
      <c r="G37" s="42" t="n">
        <v>5492.339388374673</v>
      </c>
    </row>
    <row r="38" ht="30" customHeight="1">
      <c r="A38" s="35" t="inlineStr">
        <is>
          <t>Lifetime Total Tax</t>
        </is>
      </c>
      <c r="B38" s="3" t="n"/>
      <c r="C38" s="3" t="n"/>
      <c r="D38" s="3" t="n"/>
      <c r="E38" s="3" t="n"/>
      <c r="F38" s="4" t="n"/>
      <c r="G38" s="42" t="n">
        <v>904151.7922334222</v>
      </c>
    </row>
  </sheetData>
  <mergeCells count="5">
    <mergeCell ref="A38:F38"/>
    <mergeCell ref="A1:J1"/>
    <mergeCell ref="A36:F36"/>
    <mergeCell ref="A37:F37"/>
    <mergeCell ref="A35:F35"/>
  </mergeCells>
  <pageMargins left="0.75" right="0.75" top="1" bottom="1" header="0.5" footer="0.5"/>
</worksheet>
</file>

<file path=xl/worksheets/sheet8.xml><?xml version="1.0" encoding="utf-8"?>
<worksheet xmlns="http://schemas.openxmlformats.org/spreadsheetml/2006/main">
  <sheetPr>
    <tabColor rgb="002E75B6"/>
    <outlinePr summaryBelow="0" summaryRight="1"/>
    <pageSetUpPr/>
  </sheetPr>
  <dimension ref="A1:E8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7.9" customWidth="1" min="1" max="1"/>
    <col width="9.4" customWidth="1" min="2" max="2"/>
    <col width="9.4" customWidth="1" min="3" max="3"/>
    <col width="7" customWidth="1" min="4" max="4"/>
    <col width="14" customWidth="1" min="5" max="5"/>
  </cols>
  <sheetData>
    <row r="1" ht="18" customHeight="1">
      <c r="A1" s="43" t="inlineStr">
        <is>
          <t>CORE SPENDING BREAKDOWN — 2026 YTD  (184 days elapsed)</t>
        </is>
      </c>
    </row>
    <row r="2" ht="36" customHeight="1">
      <c r="A2" s="44" t="inlineStr">
        <is>
          <t>Model core spending assumption (annual)</t>
        </is>
      </c>
      <c r="B2" s="45" t="n">
        <v>129059</v>
      </c>
    </row>
    <row r="3" ht="30" customHeight="1">
      <c r="A3" s="44" t="inlineStr">
        <is>
          <t>YTD core spending — actual (184 days)</t>
        </is>
      </c>
      <c r="B3" s="46" t="n">
        <v>78558.53</v>
      </c>
    </row>
    <row r="4" ht="15" customHeight="1">
      <c r="A4" s="44" t="inlineStr">
        <is>
          <t>Annualized at current pace</t>
        </is>
      </c>
      <c r="B4" s="46" t="n">
        <v>155836.21</v>
      </c>
    </row>
    <row r="5" ht="30" customHeight="1">
      <c r="A5" s="44" t="inlineStr">
        <is>
          <t>Annualized vs model (121%  OVER budget)</t>
        </is>
      </c>
      <c r="B5" s="47" t="n">
        <v>26777.20999999999</v>
      </c>
    </row>
    <row r="6"/>
    <row r="7" ht="30" customHeight="1">
      <c r="A7" s="5" t="inlineStr">
        <is>
          <t>Spending Group / Category</t>
        </is>
      </c>
      <c r="B7" s="5" t="inlineStr">
        <is>
          <t>YTD Actual</t>
        </is>
      </c>
      <c r="C7" s="5" t="inlineStr">
        <is>
          <t>Annualized</t>
        </is>
      </c>
      <c r="D7" s="5" t="inlineStr">
        <is>
          <t>% of Core</t>
        </is>
      </c>
      <c r="E7" s="5" t="inlineStr">
        <is>
          <t>Budget</t>
        </is>
      </c>
    </row>
    <row r="8" ht="45" customHeight="1">
      <c r="A8" s="48" t="inlineStr">
        <is>
          <t>Auto &amp; Transport</t>
        </is>
      </c>
      <c r="B8" s="49" t="n">
        <v>3219.58</v>
      </c>
      <c r="C8" s="49" t="n">
        <v>6386.67</v>
      </c>
      <c r="D8" s="50" t="n">
        <v>0.04098320067852593</v>
      </c>
      <c r="E8" s="49" t="n">
        <v>4388.01</v>
      </c>
    </row>
    <row r="9" hidden="1" outlineLevel="1" ht="15" customHeight="1">
      <c r="A9" s="12" t="inlineStr">
        <is>
          <t xml:space="preserve">    Auto Insurance</t>
        </is>
      </c>
      <c r="B9" s="27" t="n">
        <v>1164</v>
      </c>
      <c r="C9" s="27" t="n">
        <v>2309.03</v>
      </c>
      <c r="D9" s="29" t="n">
        <v>0.01481697786351145</v>
      </c>
      <c r="E9" s="33" t="inlineStr"/>
    </row>
    <row r="10" hidden="1" outlineLevel="1" ht="15" customHeight="1">
      <c r="A10" s="12" t="inlineStr">
        <is>
          <t xml:space="preserve">    Taxi &amp; Ride Shares</t>
        </is>
      </c>
      <c r="B10" s="27" t="n">
        <v>628.74</v>
      </c>
      <c r="C10" s="27" t="n">
        <v>1247.23</v>
      </c>
      <c r="D10" s="29" t="n">
        <v>0.008003459331532807</v>
      </c>
      <c r="E10" s="33" t="inlineStr"/>
    </row>
    <row r="11" hidden="1" outlineLevel="1" ht="15" customHeight="1">
      <c r="A11" s="12" t="inlineStr">
        <is>
          <t xml:space="preserve">    Auto Fuel</t>
        </is>
      </c>
      <c r="B11" s="27" t="n">
        <v>575.6799999999999</v>
      </c>
      <c r="C11" s="27" t="n">
        <v>1141.98</v>
      </c>
      <c r="D11" s="29" t="n">
        <v>0.007328039361225318</v>
      </c>
      <c r="E11" s="33" t="inlineStr"/>
    </row>
    <row r="12" hidden="1" outlineLevel="1" ht="15" customHeight="1">
      <c r="A12" s="12" t="inlineStr">
        <is>
          <t xml:space="preserve">    Auto Maintenance</t>
        </is>
      </c>
      <c r="B12" s="27" t="n">
        <v>405.86</v>
      </c>
      <c r="C12" s="27" t="n">
        <v>805.1</v>
      </c>
      <c r="D12" s="29" t="n">
        <v>0.005166339034093434</v>
      </c>
      <c r="E12" s="33" t="inlineStr"/>
    </row>
    <row r="13" hidden="1" outlineLevel="1" ht="15" customHeight="1">
      <c r="A13" s="12" t="inlineStr">
        <is>
          <t xml:space="preserve">    Parking &amp; Tolls</t>
        </is>
      </c>
      <c r="B13" s="27" t="n">
        <v>269.8</v>
      </c>
      <c r="C13" s="27" t="n">
        <v>535.2</v>
      </c>
      <c r="D13" s="29" t="n">
        <v>0.003434381982453083</v>
      </c>
      <c r="E13" s="33" t="inlineStr"/>
    </row>
    <row r="14" hidden="1" outlineLevel="1" ht="15" customHeight="1">
      <c r="A14" s="12" t="inlineStr">
        <is>
          <t xml:space="preserve">    Car Wash</t>
        </is>
      </c>
      <c r="B14" s="27" t="n">
        <v>170</v>
      </c>
      <c r="C14" s="27" t="n">
        <v>337.23</v>
      </c>
      <c r="D14" s="29" t="n">
        <v>0.002163991612368511</v>
      </c>
      <c r="E14" s="33" t="inlineStr"/>
    </row>
    <row r="15" hidden="1" outlineLevel="1" ht="15" customHeight="1">
      <c r="A15" s="12" t="inlineStr">
        <is>
          <t xml:space="preserve">    Public Transit</t>
        </is>
      </c>
      <c r="B15" s="27" t="n">
        <v>5.5</v>
      </c>
      <c r="C15" s="27" t="n">
        <v>10.91</v>
      </c>
      <c r="D15" s="29" t="n">
        <v>7.001149334133417e-05</v>
      </c>
      <c r="E15" s="33" t="inlineStr"/>
    </row>
    <row r="16" ht="45" customHeight="1">
      <c r="A16" s="48" t="inlineStr">
        <is>
          <t>Business</t>
        </is>
      </c>
      <c r="B16" s="49" t="n">
        <v>4046.79</v>
      </c>
      <c r="C16" s="49" t="n">
        <v>8027.6</v>
      </c>
      <c r="D16" s="50" t="n">
        <v>0.05151305657068685</v>
      </c>
      <c r="E16" s="51" t="inlineStr"/>
    </row>
    <row r="17" hidden="1" outlineLevel="1" ht="15" customHeight="1">
      <c r="A17" s="12" t="inlineStr">
        <is>
          <t xml:space="preserve">    Business Services</t>
        </is>
      </c>
      <c r="B17" s="27" t="n">
        <v>1577.94</v>
      </c>
      <c r="C17" s="27" t="n">
        <v>3130.16</v>
      </c>
      <c r="D17" s="29" t="n">
        <v>0.02008617014600451</v>
      </c>
      <c r="E17" s="33" t="inlineStr"/>
    </row>
    <row r="18" hidden="1" outlineLevel="1" ht="15" customHeight="1">
      <c r="A18" s="12" t="inlineStr">
        <is>
          <t xml:space="preserve">    Business Memberships</t>
        </is>
      </c>
      <c r="B18" s="27" t="n">
        <v>1004.85</v>
      </c>
      <c r="C18" s="27" t="n">
        <v>1993.32</v>
      </c>
      <c r="D18" s="29" t="n">
        <v>0.01279109983346175</v>
      </c>
      <c r="E18" s="33" t="inlineStr"/>
    </row>
    <row r="19" hidden="1" outlineLevel="1" ht="15" customHeight="1">
      <c r="A19" s="12" t="inlineStr">
        <is>
          <t xml:space="preserve">    Business Travel &amp; Meals</t>
        </is>
      </c>
      <c r="B19" s="27" t="n">
        <v>800.37</v>
      </c>
      <c r="C19" s="27" t="n">
        <v>1587.69</v>
      </c>
      <c r="D19" s="29" t="n">
        <v>0.0101881998046552</v>
      </c>
      <c r="E19" s="33" t="inlineStr"/>
    </row>
    <row r="20" hidden="1" outlineLevel="1" ht="15" customHeight="1">
      <c r="A20" s="12" t="inlineStr">
        <is>
          <t xml:space="preserve">    Business Events</t>
        </is>
      </c>
      <c r="B20" s="27" t="n">
        <v>301.73</v>
      </c>
      <c r="C20" s="27" t="n">
        <v>598.54</v>
      </c>
      <c r="D20" s="29" t="n">
        <v>0.003840830524705592</v>
      </c>
      <c r="E20" s="33" t="inlineStr"/>
    </row>
    <row r="21" hidden="1" outlineLevel="1" ht="30" customHeight="1">
      <c r="A21" s="12" t="inlineStr">
        <is>
          <t xml:space="preserve">    Business Hardware and Software</t>
        </is>
      </c>
      <c r="B21" s="27" t="n">
        <v>162.01</v>
      </c>
      <c r="C21" s="27" t="n">
        <v>321.38</v>
      </c>
      <c r="D21" s="29" t="n">
        <v>0.002062284006587191</v>
      </c>
      <c r="E21" s="33" t="inlineStr"/>
    </row>
    <row r="22" hidden="1" outlineLevel="1" ht="15" customHeight="1">
      <c r="A22" s="12" t="inlineStr">
        <is>
          <t xml:space="preserve">    Business Auto Expenses</t>
        </is>
      </c>
      <c r="B22" s="27" t="n">
        <v>99.73999999999999</v>
      </c>
      <c r="C22" s="27" t="n">
        <v>197.85</v>
      </c>
      <c r="D22" s="29" t="n">
        <v>0.001269626608339031</v>
      </c>
      <c r="E22" s="33" t="inlineStr"/>
    </row>
    <row r="23" hidden="1" outlineLevel="1" ht="30" customHeight="1">
      <c r="A23" s="12" t="inlineStr">
        <is>
          <t xml:space="preserve">    Office Supplies &amp; Expenses</t>
        </is>
      </c>
      <c r="B23" s="27" t="n">
        <v>75.70999999999999</v>
      </c>
      <c r="C23" s="27" t="n">
        <v>150.19</v>
      </c>
      <c r="D23" s="29" t="n">
        <v>0.0009637400292495289</v>
      </c>
      <c r="E23" s="33" t="inlineStr"/>
    </row>
    <row r="24" hidden="1" outlineLevel="1" ht="15" customHeight="1">
      <c r="A24" s="12" t="inlineStr">
        <is>
          <t xml:space="preserve">    Business Taxi - Uber</t>
        </is>
      </c>
      <c r="B24" s="27" t="n">
        <v>24.44</v>
      </c>
      <c r="C24" s="27" t="n">
        <v>48.48</v>
      </c>
      <c r="D24" s="29" t="n">
        <v>0.0003111056176840376</v>
      </c>
      <c r="E24" s="33" t="inlineStr"/>
    </row>
    <row r="25" ht="45" customHeight="1">
      <c r="A25" s="48" t="inlineStr">
        <is>
          <t>Financial</t>
        </is>
      </c>
      <c r="B25" s="49" t="n">
        <v>1958.74</v>
      </c>
      <c r="C25" s="49" t="n">
        <v>3885.54</v>
      </c>
      <c r="D25" s="50" t="n">
        <v>0.02493351135770998</v>
      </c>
      <c r="E25" s="49" t="n">
        <v>3226.47</v>
      </c>
    </row>
    <row r="26" hidden="1" outlineLevel="1" ht="15" customHeight="1">
      <c r="A26" s="12" t="inlineStr">
        <is>
          <t xml:space="preserve">    Cash &amp; ATM</t>
        </is>
      </c>
      <c r="B26" s="27" t="n">
        <v>1116.26</v>
      </c>
      <c r="C26" s="27" t="n">
        <v>2214.32</v>
      </c>
      <c r="D26" s="29" t="n">
        <v>0.01420927810130867</v>
      </c>
      <c r="E26" s="33" t="inlineStr"/>
    </row>
    <row r="27" hidden="1" outlineLevel="1" ht="30" customHeight="1">
      <c r="A27" s="12" t="inlineStr">
        <is>
          <t xml:space="preserve">    Financial &amp; Legal Services</t>
        </is>
      </c>
      <c r="B27" s="27" t="n">
        <v>749.99</v>
      </c>
      <c r="C27" s="27" t="n">
        <v>1487.76</v>
      </c>
      <c r="D27" s="29" t="n">
        <v>0.009546894525648584</v>
      </c>
      <c r="E27" s="33" t="inlineStr"/>
    </row>
    <row r="28" hidden="1" outlineLevel="1" ht="15" customHeight="1">
      <c r="A28" s="12" t="inlineStr">
        <is>
          <t xml:space="preserve">    Financial Fees</t>
        </is>
      </c>
      <c r="B28" s="27" t="n">
        <v>92.48999999999999</v>
      </c>
      <c r="C28" s="27" t="n">
        <v>183.47</v>
      </c>
      <c r="D28" s="29" t="n">
        <v>0.001177338730752727</v>
      </c>
      <c r="E28" s="33" t="inlineStr"/>
    </row>
    <row r="29" ht="45" customHeight="1">
      <c r="A29" s="48" t="inlineStr">
        <is>
          <t>Food &amp; Dining</t>
        </is>
      </c>
      <c r="B29" s="49" t="n">
        <v>16116.37</v>
      </c>
      <c r="C29" s="49" t="n">
        <v>31969.97</v>
      </c>
      <c r="D29" s="50" t="n">
        <v>0.2051511147166323</v>
      </c>
      <c r="E29" s="49" t="n">
        <v>21552.85</v>
      </c>
    </row>
    <row r="30" hidden="1" outlineLevel="1" ht="15" customHeight="1">
      <c r="A30" s="12" t="inlineStr">
        <is>
          <t xml:space="preserve">    Restaurants &amp; Bars</t>
        </is>
      </c>
      <c r="B30" s="27" t="n">
        <v>7857.88</v>
      </c>
      <c r="C30" s="27" t="n">
        <v>15587.68</v>
      </c>
      <c r="D30" s="29" t="n">
        <v>0.1000258024176369</v>
      </c>
      <c r="E30" s="33" t="inlineStr"/>
    </row>
    <row r="31" hidden="1" outlineLevel="1" ht="15" customHeight="1">
      <c r="A31" s="12" t="inlineStr">
        <is>
          <t xml:space="preserve">    Groceries</t>
        </is>
      </c>
      <c r="B31" s="27" t="n">
        <v>7175.5</v>
      </c>
      <c r="C31" s="27" t="n">
        <v>14234.04</v>
      </c>
      <c r="D31" s="29" t="n">
        <v>0.09133954008558968</v>
      </c>
      <c r="E31" s="33" t="inlineStr"/>
    </row>
    <row r="32" hidden="1" outlineLevel="1" ht="15" customHeight="1">
      <c r="A32" s="12" t="inlineStr">
        <is>
          <t xml:space="preserve">    Fast Food</t>
        </is>
      </c>
      <c r="B32" s="27" t="n">
        <v>884.34</v>
      </c>
      <c r="C32" s="27" t="n">
        <v>1754.27</v>
      </c>
      <c r="D32" s="29" t="n">
        <v>0.01125708436754099</v>
      </c>
      <c r="E32" s="33" t="inlineStr"/>
    </row>
    <row r="33" hidden="1" outlineLevel="1" ht="15" customHeight="1">
      <c r="A33" s="12" t="inlineStr">
        <is>
          <t xml:space="preserve">    Coffee Shops</t>
        </is>
      </c>
      <c r="B33" s="27" t="n">
        <v>198.65</v>
      </c>
      <c r="C33" s="27" t="n">
        <v>394.06</v>
      </c>
      <c r="D33" s="29" t="n">
        <v>0.002528687845864733</v>
      </c>
      <c r="E33" s="33" t="inlineStr"/>
    </row>
    <row r="34" ht="45" customHeight="1">
      <c r="A34" s="48" t="inlineStr">
        <is>
          <t>Gifts Charity</t>
        </is>
      </c>
      <c r="B34" s="49" t="n">
        <v>42411.79</v>
      </c>
      <c r="C34" s="49" t="n">
        <v>84132.08</v>
      </c>
      <c r="D34" s="50" t="n">
        <v>0.5398750460325569</v>
      </c>
      <c r="E34" s="51" t="inlineStr"/>
    </row>
    <row r="35" hidden="1" outlineLevel="1" ht="15" customHeight="1">
      <c r="A35" s="12" t="inlineStr">
        <is>
          <t xml:space="preserve">    Gifts - Family 12</t>
        </is>
      </c>
      <c r="B35" s="27" t="n">
        <v>40868.65</v>
      </c>
      <c r="C35" s="27" t="n">
        <v>81071.14</v>
      </c>
      <c r="D35" s="29" t="n">
        <v>0.5202318576989666</v>
      </c>
      <c r="E35" s="33" t="inlineStr"/>
    </row>
    <row r="36" hidden="1" outlineLevel="1" ht="15" customHeight="1">
      <c r="A36" s="12" t="inlineStr">
        <is>
          <t xml:space="preserve">    Gifts - Other</t>
        </is>
      </c>
      <c r="B36" s="27" t="n">
        <v>813.14</v>
      </c>
      <c r="C36" s="27" t="n">
        <v>1613.03</v>
      </c>
      <c r="D36" s="29" t="n">
        <v>0.01035075376283136</v>
      </c>
      <c r="E36" s="33" t="inlineStr"/>
    </row>
    <row r="37" hidden="1" outlineLevel="1" ht="15" customHeight="1">
      <c r="A37" s="12" t="inlineStr">
        <is>
          <t xml:space="preserve">    Church</t>
        </is>
      </c>
      <c r="B37" s="27" t="n">
        <v>625</v>
      </c>
      <c r="C37" s="27" t="n">
        <v>1239.81</v>
      </c>
      <c r="D37" s="29" t="n">
        <v>0.007955851516060701</v>
      </c>
      <c r="E37" s="33" t="inlineStr"/>
    </row>
    <row r="38" hidden="1" outlineLevel="1" ht="15" customHeight="1">
      <c r="A38" s="12" t="inlineStr">
        <is>
          <t xml:space="preserve">    Donation</t>
        </is>
      </c>
      <c r="B38" s="27" t="n">
        <v>105</v>
      </c>
      <c r="C38" s="27" t="n">
        <v>208.29</v>
      </c>
      <c r="D38" s="29" t="n">
        <v>0.001336583054698198</v>
      </c>
      <c r="E38" s="33" t="inlineStr"/>
    </row>
    <row r="39" ht="45" customHeight="1">
      <c r="A39" s="48" t="inlineStr">
        <is>
          <t>Lifestyle</t>
        </is>
      </c>
      <c r="B39" s="49" t="n">
        <v>8481.84</v>
      </c>
      <c r="C39" s="49" t="n">
        <v>16825.39</v>
      </c>
      <c r="D39" s="50" t="n">
        <v>0.1079684153967749</v>
      </c>
      <c r="E39" s="49" t="n">
        <v>20907.56</v>
      </c>
    </row>
    <row r="40" hidden="1" outlineLevel="1" ht="15" customHeight="1">
      <c r="A40" s="12" t="inlineStr">
        <is>
          <t xml:space="preserve">    Cubs Tickets</t>
        </is>
      </c>
      <c r="B40" s="27" t="n">
        <v>5076.64</v>
      </c>
      <c r="C40" s="27" t="n">
        <v>10070.53</v>
      </c>
      <c r="D40" s="29" t="n">
        <v>0.06462239046479104</v>
      </c>
      <c r="E40" s="33" t="inlineStr"/>
    </row>
    <row r="41" hidden="1" outlineLevel="1" ht="15" customHeight="1">
      <c r="A41" s="12" t="inlineStr">
        <is>
          <t xml:space="preserve">    Hair/Make-up</t>
        </is>
      </c>
      <c r="B41" s="27" t="n">
        <v>1754.09</v>
      </c>
      <c r="C41" s="27" t="n">
        <v>3479.59</v>
      </c>
      <c r="D41" s="29" t="n">
        <v>0.02232844733729106</v>
      </c>
      <c r="E41" s="33" t="inlineStr"/>
    </row>
    <row r="42" hidden="1" outlineLevel="1" ht="15" customHeight="1">
      <c r="A42" s="12" t="inlineStr">
        <is>
          <t xml:space="preserve">    Electronics</t>
        </is>
      </c>
      <c r="B42" s="27" t="n">
        <v>614.58</v>
      </c>
      <c r="C42" s="27" t="n">
        <v>1219.14</v>
      </c>
      <c r="D42" s="29" t="n">
        <v>0.007823211559584937</v>
      </c>
      <c r="E42" s="33" t="inlineStr"/>
    </row>
    <row r="43" hidden="1" outlineLevel="1" ht="15" customHeight="1">
      <c r="A43" s="12" t="inlineStr">
        <is>
          <t xml:space="preserve">    Mani-Pedi</t>
        </is>
      </c>
      <c r="B43" s="27" t="n">
        <v>524.77</v>
      </c>
      <c r="C43" s="27" t="n">
        <v>1040.99</v>
      </c>
      <c r="D43" s="29" t="n">
        <v>0.006679987520133077</v>
      </c>
      <c r="E43" s="33" t="inlineStr"/>
    </row>
    <row r="44" hidden="1" outlineLevel="1" ht="15" customHeight="1">
      <c r="A44" s="12" t="inlineStr">
        <is>
          <t xml:space="preserve">    Personal</t>
        </is>
      </c>
      <c r="B44" s="27" t="n">
        <v>360</v>
      </c>
      <c r="C44" s="27" t="n">
        <v>714.13</v>
      </c>
      <c r="D44" s="29" t="n">
        <v>0.004582570473250964</v>
      </c>
      <c r="E44" s="33" t="inlineStr"/>
    </row>
    <row r="45" hidden="1" outlineLevel="1" ht="15" customHeight="1">
      <c r="A45" s="12" t="inlineStr">
        <is>
          <t xml:space="preserve">    Movie Theater</t>
        </is>
      </c>
      <c r="B45" s="27" t="n">
        <v>151.76</v>
      </c>
      <c r="C45" s="27" t="n">
        <v>301.05</v>
      </c>
      <c r="D45" s="29" t="n">
        <v>0.001931808041723795</v>
      </c>
      <c r="E45" s="33" t="inlineStr"/>
    </row>
    <row r="46" ht="45" customHeight="1">
      <c r="A46" s="48" t="inlineStr">
        <is>
          <t>Other</t>
        </is>
      </c>
      <c r="B46" s="49" t="n">
        <v>20.6</v>
      </c>
      <c r="C46" s="49" t="n">
        <v>40.86</v>
      </c>
      <c r="D46" s="50" t="n">
        <v>0.0002622248659693607</v>
      </c>
      <c r="E46" s="49" t="n">
        <v>4258.95</v>
      </c>
    </row>
    <row r="47" hidden="1" outlineLevel="1" ht="15" customHeight="1">
      <c r="A47" s="12" t="inlineStr">
        <is>
          <t xml:space="preserve">    Postage &amp; Shipping</t>
        </is>
      </c>
      <c r="B47" s="27" t="n">
        <v>20.6</v>
      </c>
      <c r="C47" s="27" t="n">
        <v>40.86</v>
      </c>
      <c r="D47" s="29" t="n">
        <v>0.0002622248659693607</v>
      </c>
      <c r="E47" s="33" t="inlineStr"/>
    </row>
    <row r="48" ht="45" customHeight="1">
      <c r="A48" s="48" t="inlineStr">
        <is>
          <t>Shopping</t>
        </is>
      </c>
      <c r="B48" s="49" t="n">
        <v>6349.61</v>
      </c>
      <c r="C48" s="49" t="n">
        <v>12595.69</v>
      </c>
      <c r="D48" s="50" t="n">
        <v>0.08082648695183069</v>
      </c>
      <c r="E48" s="49" t="n">
        <v>9163.190000000001</v>
      </c>
    </row>
    <row r="49" hidden="1" outlineLevel="1" ht="15" customHeight="1">
      <c r="A49" s="12" t="inlineStr">
        <is>
          <t xml:space="preserve">    Clothing &amp; Jewelry</t>
        </is>
      </c>
      <c r="B49" s="27" t="n">
        <v>6326.62</v>
      </c>
      <c r="C49" s="27" t="n">
        <v>12550.12</v>
      </c>
      <c r="D49" s="29" t="n">
        <v>0.08053383890966391</v>
      </c>
      <c r="E49" s="33" t="inlineStr"/>
    </row>
    <row r="50" hidden="1" outlineLevel="1" ht="15" customHeight="1">
      <c r="A50" s="12" t="inlineStr">
        <is>
          <t xml:space="preserve">    Shopping</t>
        </is>
      </c>
      <c r="B50" s="27" t="n">
        <v>22.99</v>
      </c>
      <c r="C50" s="27" t="n">
        <v>45.61</v>
      </c>
      <c r="D50" s="29" t="n">
        <v>0.0002926480421667768</v>
      </c>
      <c r="E50" s="33" t="inlineStr"/>
    </row>
    <row r="51"/>
    <row r="52" ht="15" customHeight="1">
      <c r="A52" s="11" t="inlineStr">
        <is>
          <t>TOTAL CORE SPENDING</t>
        </is>
      </c>
      <c r="B52" s="30" t="n">
        <v>78558.53</v>
      </c>
      <c r="C52" s="30" t="n">
        <v>155836.21</v>
      </c>
      <c r="D52" s="31" t="n">
        <v>1</v>
      </c>
      <c r="E52" s="30" t="n">
        <v>63497.03</v>
      </c>
    </row>
    <row r="53"/>
    <row r="54" ht="15" customHeight="1">
      <c r="A54" s="52" t="inlineStr">
        <is>
          <t>EXCLUDED — Tracked Separately by the Retirement Projection Model</t>
        </is>
      </c>
    </row>
    <row r="55" ht="45" customHeight="1">
      <c r="A55" s="53" t="inlineStr">
        <is>
          <t>These categories appear in your transaction data but are already modelled in the Cash Flow projection. They are excluded here to prevent double-counting.</t>
        </is>
      </c>
    </row>
    <row r="56" ht="30" customHeight="1">
      <c r="A56" s="54" t="inlineStr">
        <is>
          <t>Wellness (premiums, Medicare, out-of-pocket)</t>
        </is>
      </c>
      <c r="B56" s="55" t="n">
        <v>30469.79</v>
      </c>
      <c r="C56" s="56" t="inlineStr"/>
      <c r="D56" s="56" t="inlineStr"/>
      <c r="E56" s="56" t="inlineStr"/>
    </row>
    <row r="57" hidden="1" outlineLevel="1" ht="15" customHeight="1">
      <c r="A57" s="12" t="inlineStr">
        <is>
          <t xml:space="preserve">    Drugs - Rx and OTC</t>
        </is>
      </c>
      <c r="B57" s="27" t="n">
        <v>14098.27</v>
      </c>
      <c r="C57" s="33" t="inlineStr"/>
      <c r="D57" s="33" t="inlineStr"/>
      <c r="E57" s="33" t="inlineStr"/>
    </row>
    <row r="58" hidden="1" outlineLevel="1" ht="15" customHeight="1">
      <c r="A58" s="12" t="inlineStr">
        <is>
          <t xml:space="preserve">    Healthcare Premium</t>
        </is>
      </c>
      <c r="B58" s="27" t="n">
        <v>8790.610000000001</v>
      </c>
      <c r="C58" s="33" t="inlineStr"/>
      <c r="D58" s="33" t="inlineStr"/>
      <c r="E58" s="33" t="inlineStr"/>
    </row>
    <row r="59" hidden="1" outlineLevel="1" ht="15" customHeight="1">
      <c r="A59" s="12" t="inlineStr">
        <is>
          <t xml:space="preserve">    Medical</t>
        </is>
      </c>
      <c r="B59" s="27" t="n">
        <v>1651.51</v>
      </c>
      <c r="C59" s="33" t="inlineStr"/>
      <c r="D59" s="33" t="inlineStr"/>
      <c r="E59" s="33" t="inlineStr"/>
    </row>
    <row r="60" hidden="1" outlineLevel="1" ht="15" customHeight="1">
      <c r="A60" s="12" t="inlineStr">
        <is>
          <t xml:space="preserve">    Health Club</t>
        </is>
      </c>
      <c r="B60" s="27" t="n">
        <v>1616.25</v>
      </c>
      <c r="C60" s="33" t="inlineStr"/>
      <c r="D60" s="33" t="inlineStr"/>
      <c r="E60" s="33" t="inlineStr"/>
    </row>
    <row r="61" hidden="1" outlineLevel="1" ht="15" customHeight="1">
      <c r="A61" s="12" t="inlineStr">
        <is>
          <t xml:space="preserve">    Vitamins &amp; Supplements</t>
        </is>
      </c>
      <c r="B61" s="27" t="n">
        <v>1546.56</v>
      </c>
      <c r="C61" s="33" t="inlineStr"/>
      <c r="D61" s="33" t="inlineStr"/>
      <c r="E61" s="33" t="inlineStr"/>
    </row>
    <row r="62" hidden="1" outlineLevel="1" ht="15" customHeight="1">
      <c r="A62" s="12" t="inlineStr">
        <is>
          <t xml:space="preserve">    Vision</t>
        </is>
      </c>
      <c r="B62" s="27" t="n">
        <v>1335</v>
      </c>
      <c r="C62" s="33" t="inlineStr"/>
      <c r="D62" s="33" t="inlineStr"/>
      <c r="E62" s="33" t="inlineStr"/>
    </row>
    <row r="63" hidden="1" outlineLevel="1" ht="15" customHeight="1">
      <c r="A63" s="12" t="inlineStr">
        <is>
          <t xml:space="preserve">    Dermatologist</t>
        </is>
      </c>
      <c r="B63" s="27" t="n">
        <v>728</v>
      </c>
      <c r="C63" s="33" t="inlineStr"/>
      <c r="D63" s="33" t="inlineStr"/>
      <c r="E63" s="33" t="inlineStr"/>
    </row>
    <row r="64" hidden="1" outlineLevel="1" ht="15" customHeight="1">
      <c r="A64" s="12" t="inlineStr">
        <is>
          <t xml:space="preserve">    Dentist</t>
        </is>
      </c>
      <c r="B64" s="27" t="n">
        <v>400.9</v>
      </c>
      <c r="C64" s="33" t="inlineStr"/>
      <c r="D64" s="33" t="inlineStr"/>
      <c r="E64" s="33" t="inlineStr"/>
    </row>
    <row r="65" hidden="1" outlineLevel="1" ht="30" customHeight="1">
      <c r="A65" s="12" t="inlineStr">
        <is>
          <t xml:space="preserve">    Exercise &amp; Health Equipment</t>
        </is>
      </c>
      <c r="B65" s="27" t="n">
        <v>302.69</v>
      </c>
      <c r="C65" s="33" t="inlineStr"/>
      <c r="D65" s="33" t="inlineStr"/>
      <c r="E65" s="33" t="inlineStr"/>
    </row>
    <row r="66" ht="45" customHeight="1">
      <c r="A66" s="54" t="inlineStr">
        <is>
          <t>Housing (mortgage, property tax, home improvement, rent)</t>
        </is>
      </c>
      <c r="B66" s="55" t="n">
        <v>67591.06</v>
      </c>
      <c r="C66" s="56" t="inlineStr"/>
      <c r="D66" s="56" t="inlineStr"/>
      <c r="E66" s="56" t="inlineStr"/>
    </row>
    <row r="67" hidden="1" outlineLevel="1" ht="15" customHeight="1">
      <c r="A67" s="12" t="inlineStr">
        <is>
          <t xml:space="preserve">    Home Improvement</t>
        </is>
      </c>
      <c r="B67" s="27" t="n">
        <v>25689.11</v>
      </c>
      <c r="C67" s="33" t="inlineStr"/>
      <c r="D67" s="33" t="inlineStr"/>
      <c r="E67" s="33" t="inlineStr"/>
    </row>
    <row r="68" hidden="1" outlineLevel="1" ht="15" customHeight="1">
      <c r="A68" s="12" t="inlineStr">
        <is>
          <t xml:space="preserve">    Mortgage</t>
        </is>
      </c>
      <c r="B68" s="27" t="n">
        <v>18000</v>
      </c>
      <c r="C68" s="33" t="inlineStr"/>
      <c r="D68" s="33" t="inlineStr"/>
      <c r="E68" s="33" t="inlineStr"/>
    </row>
    <row r="69" hidden="1" outlineLevel="1" ht="15" customHeight="1">
      <c r="A69" s="12" t="inlineStr">
        <is>
          <t xml:space="preserve">    Real Estate Taxes</t>
        </is>
      </c>
      <c r="B69" s="27" t="n">
        <v>8645.74</v>
      </c>
      <c r="C69" s="33" t="inlineStr"/>
      <c r="D69" s="33" t="inlineStr"/>
      <c r="E69" s="33" t="inlineStr"/>
    </row>
    <row r="70" hidden="1" outlineLevel="1" ht="30" customHeight="1">
      <c r="A70" s="12" t="inlineStr">
        <is>
          <t xml:space="preserve">    Furniture/Home Decor/Kitchenware</t>
        </is>
      </c>
      <c r="B70" s="27" t="n">
        <v>2713.78</v>
      </c>
      <c r="C70" s="33" t="inlineStr"/>
      <c r="D70" s="33" t="inlineStr"/>
      <c r="E70" s="33" t="inlineStr"/>
    </row>
    <row r="71" hidden="1" outlineLevel="1" ht="15" customHeight="1">
      <c r="A71" s="12" t="inlineStr">
        <is>
          <t xml:space="preserve">    Gas &amp; Electric</t>
        </is>
      </c>
      <c r="B71" s="27" t="n">
        <v>2692.38</v>
      </c>
      <c r="C71" s="33" t="inlineStr"/>
      <c r="D71" s="33" t="inlineStr"/>
      <c r="E71" s="33" t="inlineStr"/>
    </row>
    <row r="72" hidden="1" outlineLevel="1" ht="15" customHeight="1">
      <c r="A72" s="12" t="inlineStr">
        <is>
          <t xml:space="preserve">    Home Maintenance</t>
        </is>
      </c>
      <c r="B72" s="27" t="n">
        <v>2293.42</v>
      </c>
      <c r="C72" s="33" t="inlineStr"/>
      <c r="D72" s="33" t="inlineStr"/>
      <c r="E72" s="33" t="inlineStr"/>
    </row>
    <row r="73" hidden="1" outlineLevel="1" ht="15" customHeight="1">
      <c r="A73" s="12" t="inlineStr">
        <is>
          <t xml:space="preserve">    Internet &amp; Cable</t>
        </is>
      </c>
      <c r="B73" s="27" t="n">
        <v>2261</v>
      </c>
      <c r="C73" s="33" t="inlineStr"/>
      <c r="D73" s="33" t="inlineStr"/>
      <c r="E73" s="33" t="inlineStr"/>
    </row>
    <row r="74" hidden="1" outlineLevel="1" ht="30" customHeight="1">
      <c r="A74" s="12" t="inlineStr">
        <is>
          <t xml:space="preserve">    Lawn Service/Garden/Flowers</t>
        </is>
      </c>
      <c r="B74" s="27" t="n">
        <v>2091.94</v>
      </c>
      <c r="C74" s="33" t="inlineStr"/>
      <c r="D74" s="33" t="inlineStr"/>
      <c r="E74" s="33" t="inlineStr"/>
    </row>
    <row r="75" hidden="1" outlineLevel="1" ht="15" customHeight="1">
      <c r="A75" s="12" t="inlineStr">
        <is>
          <t xml:space="preserve">    House Cleaning</t>
        </is>
      </c>
      <c r="B75" s="27" t="n">
        <v>1600</v>
      </c>
      <c r="C75" s="33" t="inlineStr"/>
      <c r="D75" s="33" t="inlineStr"/>
      <c r="E75" s="33" t="inlineStr"/>
    </row>
    <row r="76" hidden="1" outlineLevel="1" ht="15" customHeight="1">
      <c r="A76" s="12" t="inlineStr">
        <is>
          <t xml:space="preserve">    Phone</t>
        </is>
      </c>
      <c r="B76" s="27" t="n">
        <v>672</v>
      </c>
      <c r="C76" s="33" t="inlineStr"/>
      <c r="D76" s="33" t="inlineStr"/>
      <c r="E76" s="33" t="inlineStr"/>
    </row>
    <row r="77" hidden="1" outlineLevel="1" ht="15" customHeight="1">
      <c r="A77" s="12" t="inlineStr">
        <is>
          <t xml:space="preserve">    Pest Control</t>
        </is>
      </c>
      <c r="B77" s="27" t="n">
        <v>319.44</v>
      </c>
      <c r="C77" s="33" t="inlineStr"/>
      <c r="D77" s="33" t="inlineStr"/>
      <c r="E77" s="33" t="inlineStr"/>
    </row>
    <row r="78" hidden="1" outlineLevel="1" ht="15" customHeight="1">
      <c r="A78" s="12" t="inlineStr">
        <is>
          <t xml:space="preserve">    Garbage</t>
        </is>
      </c>
      <c r="B78" s="27" t="n">
        <v>231.8</v>
      </c>
      <c r="C78" s="33" t="inlineStr"/>
      <c r="D78" s="33" t="inlineStr"/>
      <c r="E78" s="33" t="inlineStr"/>
    </row>
    <row r="79" hidden="1" outlineLevel="1" ht="15" customHeight="1">
      <c r="A79" s="12" t="inlineStr">
        <is>
          <t xml:space="preserve">    Water</t>
        </is>
      </c>
      <c r="B79" s="27" t="n">
        <v>155.77</v>
      </c>
      <c r="C79" s="33" t="inlineStr"/>
      <c r="D79" s="33" t="inlineStr"/>
      <c r="E79" s="33" t="inlineStr"/>
    </row>
    <row r="80" hidden="1" outlineLevel="1" ht="15" customHeight="1">
      <c r="A80" s="12" t="inlineStr">
        <is>
          <t xml:space="preserve">    Dry Cleaners</t>
        </is>
      </c>
      <c r="B80" s="27" t="n">
        <v>131.34</v>
      </c>
      <c r="C80" s="33" t="inlineStr"/>
      <c r="D80" s="33" t="inlineStr"/>
      <c r="E80" s="33" t="inlineStr"/>
    </row>
    <row r="81" hidden="1" outlineLevel="1" ht="15" customHeight="1">
      <c r="A81" s="12" t="inlineStr">
        <is>
          <t xml:space="preserve">    Sewer</t>
        </is>
      </c>
      <c r="B81" s="27" t="n">
        <v>93.34</v>
      </c>
      <c r="C81" s="33" t="inlineStr"/>
      <c r="D81" s="33" t="inlineStr"/>
      <c r="E81" s="33" t="inlineStr"/>
    </row>
    <row r="82" ht="15" customHeight="1">
      <c r="A82" s="54" t="inlineStr">
        <is>
          <t>Travel &amp; Vacations</t>
        </is>
      </c>
      <c r="B82" s="55" t="n">
        <v>17066.25</v>
      </c>
      <c r="C82" s="56" t="inlineStr"/>
      <c r="D82" s="56" t="inlineStr"/>
      <c r="E82" s="56" t="inlineStr"/>
    </row>
    <row r="83" hidden="1" outlineLevel="1" ht="30" customHeight="1">
      <c r="A83" s="12" t="inlineStr">
        <is>
          <t xml:space="preserve">    Entertainment &amp; Recreation</t>
        </is>
      </c>
      <c r="B83" s="27" t="n">
        <v>8830.26</v>
      </c>
      <c r="C83" s="33" t="inlineStr"/>
      <c r="D83" s="33" t="inlineStr"/>
      <c r="E83" s="33" t="inlineStr"/>
    </row>
    <row r="84" hidden="1" outlineLevel="1" ht="15" customHeight="1">
      <c r="A84" s="12" t="inlineStr">
        <is>
          <t xml:space="preserve">    Travel &amp; Vacation</t>
        </is>
      </c>
      <c r="B84" s="27" t="n">
        <v>4192.97</v>
      </c>
      <c r="C84" s="33" t="inlineStr"/>
      <c r="D84" s="33" t="inlineStr"/>
      <c r="E84" s="33" t="inlineStr"/>
    </row>
    <row r="85" hidden="1" outlineLevel="1" ht="15" customHeight="1">
      <c r="A85" s="12" t="inlineStr">
        <is>
          <t xml:space="preserve">    Travel - Housing</t>
        </is>
      </c>
      <c r="B85" s="27" t="n">
        <v>2293.94</v>
      </c>
      <c r="C85" s="33" t="inlineStr"/>
      <c r="D85" s="33" t="inlineStr"/>
      <c r="E85" s="33" t="inlineStr"/>
    </row>
    <row r="86" hidden="1" outlineLevel="1" ht="30" customHeight="1">
      <c r="A86" s="12" t="inlineStr">
        <is>
          <t xml:space="preserve">    Travel - Plane/Train/Bus</t>
        </is>
      </c>
      <c r="B86" s="27" t="n">
        <v>1673.08</v>
      </c>
      <c r="C86" s="33" t="inlineStr"/>
      <c r="D86" s="33" t="inlineStr"/>
      <c r="E86" s="33" t="inlineStr"/>
    </row>
    <row r="87" hidden="1" outlineLevel="1" ht="15" customHeight="1">
      <c r="A87" s="12" t="inlineStr">
        <is>
          <t xml:space="preserve">    Travel - Insurance</t>
        </is>
      </c>
      <c r="B87" s="27" t="n">
        <v>76</v>
      </c>
      <c r="C87" s="33" t="inlineStr"/>
      <c r="D87" s="33" t="inlineStr"/>
      <c r="E87" s="33" t="inlineStr"/>
    </row>
  </sheetData>
  <mergeCells count="7">
    <mergeCell ref="A55:E55"/>
    <mergeCell ref="A4"/>
    <mergeCell ref="A54:E54"/>
    <mergeCell ref="A3"/>
    <mergeCell ref="A2"/>
    <mergeCell ref="A1:E1"/>
    <mergeCell ref="A5"/>
  </mergeCells>
  <pageMargins left="0.75" right="0.75" top="1" bottom="1" header="0.5" footer="0.5"/>
</worksheet>
</file>

<file path=xl/worksheets/sheet9.xml><?xml version="1.0" encoding="utf-8"?>
<worksheet xmlns="http://schemas.openxmlformats.org/spreadsheetml/2006/main">
  <sheetPr>
    <tabColor rgb="002E75B6"/>
    <outlinePr summaryBelow="0" summaryRight="1"/>
    <pageSetUpPr/>
  </sheetPr>
  <dimension ref="A1:F1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7.9" customWidth="1" min="1" max="1"/>
    <col width="9.4" customWidth="1" min="2" max="2"/>
    <col width="9.4" customWidth="1" min="3" max="3"/>
    <col width="9.4" customWidth="1" min="4" max="4"/>
    <col width="9.4" customWidth="1" min="5" max="5"/>
    <col width="7" customWidth="1" min="6" max="6"/>
  </cols>
  <sheetData>
    <row r="1" ht="18" customHeight="1">
      <c r="A1" s="43" t="inlineStr">
        <is>
          <t>SPENDING SUMMARY — 2026 YTD  (184 days elapsed)</t>
        </is>
      </c>
    </row>
    <row r="2" ht="36" customHeight="1">
      <c r="A2" s="44" t="inlineStr">
        <is>
          <t>YTD total spending — actual (184 days)</t>
        </is>
      </c>
      <c r="B2" s="45" t="n">
        <v>178133.81</v>
      </c>
    </row>
    <row r="3" ht="15" customHeight="1">
      <c r="A3" s="44" t="inlineStr">
        <is>
          <t>Annualized at current pace</t>
        </is>
      </c>
      <c r="B3" s="46" t="n">
        <v>353363.26</v>
      </c>
    </row>
    <row r="4" ht="30" customHeight="1">
      <c r="A4" s="44" t="inlineStr">
        <is>
          <t>Total annual budget (categories with budgets set)</t>
        </is>
      </c>
      <c r="B4" s="46" t="n">
        <v>321560</v>
      </c>
    </row>
    <row r="5"/>
    <row r="6" ht="30" customHeight="1">
      <c r="A6" s="5" t="inlineStr">
        <is>
          <t>Tracking Type / Group / Category</t>
        </is>
      </c>
      <c r="B6" s="5" t="inlineStr">
        <is>
          <t>YTD Actual</t>
        </is>
      </c>
      <c r="C6" s="5" t="inlineStr">
        <is>
          <t>Annualized</t>
        </is>
      </c>
      <c r="D6" s="5" t="inlineStr">
        <is>
          <t>Budget</t>
        </is>
      </c>
      <c r="E6" s="5" t="inlineStr">
        <is>
          <t>vs Budget</t>
        </is>
      </c>
      <c r="F6" s="5" t="inlineStr">
        <is>
          <t>% of Total</t>
        </is>
      </c>
    </row>
    <row r="7" ht="45" customHeight="1">
      <c r="A7" s="57" t="inlineStr">
        <is>
          <t>Income</t>
        </is>
      </c>
      <c r="B7" s="58" t="n">
        <v>352500.42</v>
      </c>
      <c r="C7" s="58" t="n">
        <v>699253.55</v>
      </c>
      <c r="D7" s="59" t="inlineStr"/>
      <c r="E7" s="59" t="inlineStr"/>
      <c r="F7" s="60" t="n">
        <v>1.978851852997474</v>
      </c>
    </row>
    <row r="8" hidden="1" outlineLevel="1" ht="45" customHeight="1">
      <c r="A8" s="6" t="inlineStr">
        <is>
          <t xml:space="preserve">  Income</t>
        </is>
      </c>
      <c r="B8" s="61" t="n">
        <v>352500.42</v>
      </c>
      <c r="C8" s="61" t="n">
        <v>699253.55</v>
      </c>
      <c r="D8" s="62" t="inlineStr"/>
      <c r="E8" s="62" t="inlineStr"/>
      <c r="F8" s="63" t="n">
        <v>1.978851852997474</v>
      </c>
    </row>
    <row r="9" hidden="1" outlineLevel="2" ht="30" customHeight="1">
      <c r="A9" s="12" t="inlineStr">
        <is>
          <t xml:space="preserve">    Dividends &amp; Capital Gains</t>
        </is>
      </c>
      <c r="B9" s="27" t="n">
        <v>14994.06</v>
      </c>
      <c r="C9" s="27" t="n">
        <v>29743.65</v>
      </c>
      <c r="D9" s="64" t="inlineStr"/>
      <c r="E9" s="64" t="inlineStr"/>
      <c r="F9" s="29" t="n">
        <v>0.08417301577954235</v>
      </c>
    </row>
    <row r="10" hidden="1" outlineLevel="2" ht="15" customHeight="1">
      <c r="A10" s="12" t="inlineStr">
        <is>
          <t xml:space="preserve">    Interest</t>
        </is>
      </c>
      <c r="B10" s="27" t="n">
        <v>2.88</v>
      </c>
      <c r="C10" s="27" t="n">
        <v>5.71</v>
      </c>
      <c r="D10" s="64" t="inlineStr"/>
      <c r="E10" s="64" t="inlineStr"/>
      <c r="F10" s="29" t="n">
        <v>1.61676214077496e-05</v>
      </c>
    </row>
    <row r="11" hidden="1" outlineLevel="2" ht="15" customHeight="1">
      <c r="A11" s="12" t="inlineStr">
        <is>
          <t xml:space="preserve">    Other Income</t>
        </is>
      </c>
      <c r="B11" s="27" t="n">
        <v>6.85</v>
      </c>
      <c r="C11" s="27" t="n">
        <v>13.59</v>
      </c>
      <c r="D11" s="64" t="inlineStr"/>
      <c r="E11" s="64" t="inlineStr"/>
      <c r="F11" s="29" t="n">
        <v>3.845423841773776e-05</v>
      </c>
    </row>
    <row r="12" hidden="1" outlineLevel="2" ht="15" customHeight="1">
      <c r="A12" s="12" t="inlineStr">
        <is>
          <t xml:space="preserve">    Paychecks</t>
        </is>
      </c>
      <c r="B12" s="27" t="n">
        <v>236950</v>
      </c>
      <c r="C12" s="27" t="n">
        <v>470036.68</v>
      </c>
      <c r="D12" s="64" t="inlineStr"/>
      <c r="E12" s="64" t="inlineStr"/>
      <c r="F12" s="29" t="n">
        <v>1.330179823807732</v>
      </c>
    </row>
    <row r="13" hidden="1" outlineLevel="2" ht="15" customHeight="1">
      <c r="A13" s="12" t="inlineStr">
        <is>
          <t xml:space="preserve">    RedMane Annual Note P&amp;I</t>
        </is>
      </c>
      <c r="B13" s="27" t="n">
        <v>100546.63</v>
      </c>
      <c r="C13" s="27" t="n">
        <v>199453.91</v>
      </c>
      <c r="D13" s="64" t="inlineStr"/>
      <c r="E13" s="64" t="inlineStr"/>
      <c r="F13" s="29" t="n">
        <v>0.5644443915503744</v>
      </c>
    </row>
    <row r="14" ht="45" customHeight="1">
      <c r="A14" s="57" t="inlineStr">
        <is>
          <t>Core Expenses</t>
        </is>
      </c>
      <c r="B14" s="58" t="n">
        <v>73468.7</v>
      </c>
      <c r="C14" s="58" t="n">
        <v>145739.54</v>
      </c>
      <c r="D14" s="58" t="n">
        <v>120789</v>
      </c>
      <c r="E14" s="65" t="n">
        <v>24950.54000000001</v>
      </c>
      <c r="F14" s="60" t="n">
        <v>0.412435460735949</v>
      </c>
    </row>
    <row r="15" hidden="1" outlineLevel="1" ht="45" customHeight="1">
      <c r="A15" s="6" t="inlineStr">
        <is>
          <t xml:space="preserve">  Auto &amp; Transport</t>
        </is>
      </c>
      <c r="B15" s="61" t="n">
        <v>3219.58</v>
      </c>
      <c r="C15" s="61" t="n">
        <v>6386.67</v>
      </c>
      <c r="D15" s="61" t="n">
        <v>6315</v>
      </c>
      <c r="E15" s="66" t="n">
        <v>71.67000000000007</v>
      </c>
      <c r="F15" s="63" t="n">
        <v>0.01807394115693141</v>
      </c>
    </row>
    <row r="16" hidden="1" outlineLevel="2" ht="15" customHeight="1">
      <c r="A16" s="12" t="inlineStr">
        <is>
          <t xml:space="preserve">    Auto Fuel</t>
        </is>
      </c>
      <c r="B16" s="27" t="n">
        <v>575.6799999999999</v>
      </c>
      <c r="C16" s="27" t="n">
        <v>1141.97</v>
      </c>
      <c r="D16" s="27" t="n">
        <v>1200</v>
      </c>
      <c r="E16" s="27" t="n">
        <v>-58.02999999999997</v>
      </c>
      <c r="F16" s="29" t="n">
        <v>0.003231727879171281</v>
      </c>
    </row>
    <row r="17" hidden="1" outlineLevel="2" ht="15" customHeight="1">
      <c r="A17" s="12" t="inlineStr">
        <is>
          <t xml:space="preserve">    Auto Insurance</t>
        </is>
      </c>
      <c r="B17" s="27" t="n">
        <v>1164</v>
      </c>
      <c r="C17" s="27" t="n">
        <v>2309.02</v>
      </c>
      <c r="D17" s="27" t="n">
        <v>2400</v>
      </c>
      <c r="E17" s="27" t="n">
        <v>-90.98000000000002</v>
      </c>
      <c r="F17" s="29" t="n">
        <v>0.006534413652298798</v>
      </c>
    </row>
    <row r="18" hidden="1" outlineLevel="2" ht="15" customHeight="1">
      <c r="A18" s="12" t="inlineStr">
        <is>
          <t xml:space="preserve">    Auto Maintenance</t>
        </is>
      </c>
      <c r="B18" s="27" t="n">
        <v>405.86</v>
      </c>
      <c r="C18" s="27" t="n">
        <v>805.1</v>
      </c>
      <c r="D18" s="27" t="n">
        <v>800</v>
      </c>
      <c r="E18" s="67" t="n">
        <v>5.100000000000023</v>
      </c>
      <c r="F18" s="29" t="n">
        <v>0.002278399591857379</v>
      </c>
    </row>
    <row r="19" hidden="1" outlineLevel="2" ht="15" customHeight="1">
      <c r="A19" s="12" t="inlineStr">
        <is>
          <t xml:space="preserve">    Car Wash</t>
        </is>
      </c>
      <c r="B19" s="27" t="n">
        <v>170</v>
      </c>
      <c r="C19" s="27" t="n">
        <v>337.23</v>
      </c>
      <c r="D19" s="27" t="n">
        <v>300</v>
      </c>
      <c r="E19" s="67" t="n">
        <v>37.23000000000002</v>
      </c>
      <c r="F19" s="29" t="n">
        <v>0.0009543387636518862</v>
      </c>
    </row>
    <row r="20" hidden="1" outlineLevel="2" ht="15" customHeight="1">
      <c r="A20" s="12" t="inlineStr">
        <is>
          <t xml:space="preserve">    Parking / Tolls</t>
        </is>
      </c>
      <c r="B20" s="27" t="n">
        <v>269.8</v>
      </c>
      <c r="C20" s="27" t="n">
        <v>535.2</v>
      </c>
      <c r="D20" s="27" t="n">
        <v>600</v>
      </c>
      <c r="E20" s="27" t="n">
        <v>-64.79999999999995</v>
      </c>
      <c r="F20" s="29" t="n">
        <v>0.001514591755489876</v>
      </c>
    </row>
    <row r="21" hidden="1" outlineLevel="2" ht="15" customHeight="1">
      <c r="A21" s="12" t="inlineStr">
        <is>
          <t xml:space="preserve">    Public Transit</t>
        </is>
      </c>
      <c r="B21" s="27" t="n">
        <v>5.5</v>
      </c>
      <c r="C21" s="27" t="n">
        <v>10.91</v>
      </c>
      <c r="D21" s="27" t="n">
        <v>15</v>
      </c>
      <c r="E21" s="27" t="n">
        <v>-4.09</v>
      </c>
      <c r="F21" s="29" t="n">
        <v>3.087566588285514e-05</v>
      </c>
    </row>
    <row r="22" hidden="1" outlineLevel="2" ht="15" customHeight="1">
      <c r="A22" s="12" t="inlineStr">
        <is>
          <t xml:space="preserve">    Taxi &amp; Ride Shares</t>
        </is>
      </c>
      <c r="B22" s="27" t="n">
        <v>628.74</v>
      </c>
      <c r="C22" s="27" t="n">
        <v>1247.23</v>
      </c>
      <c r="D22" s="27" t="n">
        <v>1000</v>
      </c>
      <c r="E22" s="67" t="n">
        <v>247.23</v>
      </c>
      <c r="F22" s="29" t="n">
        <v>0.003529593848579335</v>
      </c>
    </row>
    <row r="23" hidden="1" outlineLevel="1" ht="45" customHeight="1">
      <c r="A23" s="6" t="inlineStr">
        <is>
          <t xml:space="preserve">  Financial</t>
        </is>
      </c>
      <c r="B23" s="61" t="n">
        <v>1958.74</v>
      </c>
      <c r="C23" s="61" t="n">
        <v>3885.54</v>
      </c>
      <c r="D23" s="61" t="n">
        <v>1910</v>
      </c>
      <c r="E23" s="66" t="n">
        <v>1975.54</v>
      </c>
      <c r="F23" s="63" t="n">
        <v>0.01099589123479703</v>
      </c>
    </row>
    <row r="24" hidden="1" outlineLevel="2" ht="15" customHeight="1">
      <c r="A24" s="12" t="inlineStr">
        <is>
          <t xml:space="preserve">    Cash &amp; ATM</t>
        </is>
      </c>
      <c r="B24" s="27" t="n">
        <v>1116.26</v>
      </c>
      <c r="C24" s="27" t="n">
        <v>2214.32</v>
      </c>
      <c r="D24" s="27" t="n">
        <v>1500</v>
      </c>
      <c r="E24" s="67" t="n">
        <v>714.3200000000002</v>
      </c>
      <c r="F24" s="29" t="n">
        <v>0.006266412872435615</v>
      </c>
    </row>
    <row r="25" hidden="1" outlineLevel="2" ht="30" customHeight="1">
      <c r="A25" s="12" t="inlineStr">
        <is>
          <t xml:space="preserve">    Financial &amp; Legal Services</t>
        </is>
      </c>
      <c r="B25" s="27" t="n">
        <v>749.99</v>
      </c>
      <c r="C25" s="27" t="n">
        <v>1487.75</v>
      </c>
      <c r="D25" s="27" t="n">
        <v>210</v>
      </c>
      <c r="E25" s="67" t="n">
        <v>1277.75</v>
      </c>
      <c r="F25" s="29" t="n">
        <v>0.00421026193736046</v>
      </c>
    </row>
    <row r="26" hidden="1" outlineLevel="2" ht="15" customHeight="1">
      <c r="A26" s="12" t="inlineStr">
        <is>
          <t xml:space="preserve">    Financial Fees</t>
        </is>
      </c>
      <c r="B26" s="27" t="n">
        <v>92.48999999999999</v>
      </c>
      <c r="C26" s="27" t="n">
        <v>183.47</v>
      </c>
      <c r="D26" s="27" t="n">
        <v>200</v>
      </c>
      <c r="E26" s="27" t="n">
        <v>-16.53</v>
      </c>
      <c r="F26" s="29" t="n">
        <v>0.0005192164250009585</v>
      </c>
    </row>
    <row r="27" hidden="1" outlineLevel="1" ht="45" customHeight="1">
      <c r="A27" s="6" t="inlineStr">
        <is>
          <t xml:space="preserve">  Food &amp; Dining</t>
        </is>
      </c>
      <c r="B27" s="61" t="n">
        <v>15769.65</v>
      </c>
      <c r="C27" s="61" t="n">
        <v>31282.19</v>
      </c>
      <c r="D27" s="61" t="n">
        <v>32200</v>
      </c>
      <c r="E27" s="61" t="n">
        <v>-917.8100000000013</v>
      </c>
      <c r="F27" s="63" t="n">
        <v>0.08852698990719392</v>
      </c>
    </row>
    <row r="28" hidden="1" outlineLevel="2" ht="15" customHeight="1">
      <c r="A28" s="12" t="inlineStr">
        <is>
          <t xml:space="preserve">    Coffee Shops</t>
        </is>
      </c>
      <c r="B28" s="27" t="n">
        <v>198.65</v>
      </c>
      <c r="C28" s="27" t="n">
        <v>394.06</v>
      </c>
      <c r="D28" s="27" t="n">
        <v>400</v>
      </c>
      <c r="E28" s="27" t="n">
        <v>-5.939999999999998</v>
      </c>
      <c r="F28" s="29" t="n">
        <v>0.001115172914114395</v>
      </c>
    </row>
    <row r="29" hidden="1" outlineLevel="2" ht="15" customHeight="1">
      <c r="A29" s="12" t="inlineStr">
        <is>
          <t xml:space="preserve">    Fast Food / Takeout</t>
        </is>
      </c>
      <c r="B29" s="27" t="n">
        <v>884.34</v>
      </c>
      <c r="C29" s="27" t="n">
        <v>1754.26</v>
      </c>
      <c r="D29" s="27" t="n">
        <v>1800</v>
      </c>
      <c r="E29" s="27" t="n">
        <v>-45.74000000000001</v>
      </c>
      <c r="F29" s="29" t="n">
        <v>0.004964470248517113</v>
      </c>
    </row>
    <row r="30" hidden="1" outlineLevel="2" ht="15" customHeight="1">
      <c r="A30" s="12" t="inlineStr">
        <is>
          <t xml:space="preserve">    Groceries</t>
        </is>
      </c>
      <c r="B30" s="27" t="n">
        <v>7079.89</v>
      </c>
      <c r="C30" s="27" t="n">
        <v>14044.35</v>
      </c>
      <c r="D30" s="27" t="n">
        <v>15000</v>
      </c>
      <c r="E30" s="27" t="n">
        <v>-955.6499999999996</v>
      </c>
      <c r="F30" s="29" t="n">
        <v>0.03974478511406678</v>
      </c>
    </row>
    <row r="31" hidden="1" outlineLevel="2" ht="15" customHeight="1">
      <c r="A31" s="12" t="inlineStr">
        <is>
          <t xml:space="preserve">    Restaurants &amp; Bars</t>
        </is>
      </c>
      <c r="B31" s="27" t="n">
        <v>7606.77</v>
      </c>
      <c r="C31" s="27" t="n">
        <v>15089.52</v>
      </c>
      <c r="D31" s="27" t="n">
        <v>15000</v>
      </c>
      <c r="E31" s="67" t="n">
        <v>89.52000000000044</v>
      </c>
      <c r="F31" s="29" t="n">
        <v>0.04270256163049564</v>
      </c>
    </row>
    <row r="32" hidden="1" outlineLevel="1" ht="45" customHeight="1">
      <c r="A32" s="6" t="inlineStr">
        <is>
          <t xml:space="preserve">  Gifts Charity</t>
        </is>
      </c>
      <c r="B32" s="61" t="n">
        <v>42411.79</v>
      </c>
      <c r="C32" s="61" t="n">
        <v>84132.08</v>
      </c>
      <c r="D32" s="61" t="n">
        <v>49800</v>
      </c>
      <c r="E32" s="66" t="n">
        <v>34332.08</v>
      </c>
      <c r="F32" s="63" t="n">
        <v>0.2380895013697849</v>
      </c>
    </row>
    <row r="33" hidden="1" outlineLevel="2" ht="15" customHeight="1">
      <c r="A33" s="12" t="inlineStr">
        <is>
          <t xml:space="preserve">    Charitable Donations</t>
        </is>
      </c>
      <c r="B33" s="27" t="n">
        <v>105</v>
      </c>
      <c r="C33" s="27" t="n">
        <v>208.29</v>
      </c>
      <c r="D33" s="27" t="n">
        <v>5000</v>
      </c>
      <c r="E33" s="27" t="n">
        <v>-4791.71</v>
      </c>
      <c r="F33" s="29" t="n">
        <v>0.0005894445304908709</v>
      </c>
    </row>
    <row r="34" hidden="1" outlineLevel="2" ht="15" customHeight="1">
      <c r="A34" s="12" t="inlineStr">
        <is>
          <t xml:space="preserve">    Church</t>
        </is>
      </c>
      <c r="B34" s="27" t="n">
        <v>625</v>
      </c>
      <c r="C34" s="27" t="n">
        <v>1239.81</v>
      </c>
      <c r="D34" s="27" t="n">
        <v>1300</v>
      </c>
      <c r="E34" s="27" t="n">
        <v>-60.19000000000005</v>
      </c>
      <c r="F34" s="29" t="n">
        <v>0.003508598395778993</v>
      </c>
    </row>
    <row r="35" hidden="1" outlineLevel="2" ht="15" customHeight="1">
      <c r="A35" s="12" t="inlineStr">
        <is>
          <t xml:space="preserve">    Gifts - Family 12</t>
        </is>
      </c>
      <c r="B35" s="27" t="n">
        <v>40868.65</v>
      </c>
      <c r="C35" s="27" t="n">
        <v>81070.96000000001</v>
      </c>
      <c r="D35" s="27" t="n">
        <v>42000</v>
      </c>
      <c r="E35" s="67" t="n">
        <v>39070.96000000001</v>
      </c>
      <c r="F35" s="29" t="n">
        <v>0.2294266877242451</v>
      </c>
    </row>
    <row r="36" hidden="1" outlineLevel="2" ht="15" customHeight="1">
      <c r="A36" s="12" t="inlineStr">
        <is>
          <t xml:space="preserve">    Gifts - Other</t>
        </is>
      </c>
      <c r="B36" s="27" t="n">
        <v>813.14</v>
      </c>
      <c r="C36" s="27" t="n">
        <v>1613.02</v>
      </c>
      <c r="D36" s="27" t="n">
        <v>1500</v>
      </c>
      <c r="E36" s="67" t="n">
        <v>113.02</v>
      </c>
      <c r="F36" s="29" t="n">
        <v>0.004564770719269969</v>
      </c>
    </row>
    <row r="37" hidden="1" outlineLevel="1" ht="45" customHeight="1">
      <c r="A37" s="6" t="inlineStr">
        <is>
          <t xml:space="preserve">  Lifestyle</t>
        </is>
      </c>
      <c r="B37" s="61" t="n">
        <v>5822.34</v>
      </c>
      <c r="C37" s="61" t="n">
        <v>11549.75</v>
      </c>
      <c r="D37" s="61" t="n">
        <v>14300</v>
      </c>
      <c r="E37" s="61" t="n">
        <v>-2750.25</v>
      </c>
      <c r="F37" s="63" t="n">
        <v>0.03268520445388778</v>
      </c>
    </row>
    <row r="38" hidden="1" outlineLevel="2" ht="15" customHeight="1">
      <c r="A38" s="12" t="inlineStr">
        <is>
          <t xml:space="preserve">    Cubs Tickets</t>
        </is>
      </c>
      <c r="B38" s="27" t="n">
        <v>2417.14</v>
      </c>
      <c r="C38" s="27" t="n">
        <v>4794.87</v>
      </c>
      <c r="D38" s="27" t="n">
        <v>8000</v>
      </c>
      <c r="E38" s="27" t="n">
        <v>-3205.13</v>
      </c>
      <c r="F38" s="29" t="n">
        <v>0.01356923764219718</v>
      </c>
    </row>
    <row r="39" hidden="1" outlineLevel="2" ht="15" customHeight="1">
      <c r="A39" s="12" t="inlineStr">
        <is>
          <t xml:space="preserve">    Electronics</t>
        </is>
      </c>
      <c r="B39" s="27" t="n">
        <v>614.58</v>
      </c>
      <c r="C39" s="27" t="n">
        <v>1219.14</v>
      </c>
      <c r="D39" s="27" t="n">
        <v>1000</v>
      </c>
      <c r="E39" s="67" t="n">
        <v>219.1400000000001</v>
      </c>
      <c r="F39" s="29" t="n">
        <v>0.003450103043324566</v>
      </c>
    </row>
    <row r="40" hidden="1" outlineLevel="2" ht="15" customHeight="1">
      <c r="A40" s="12" t="inlineStr">
        <is>
          <t xml:space="preserve">    Hair/Make-up</t>
        </is>
      </c>
      <c r="B40" s="27" t="n">
        <v>1754.09</v>
      </c>
      <c r="C40" s="27" t="n">
        <v>3479.58</v>
      </c>
      <c r="D40" s="27" t="n">
        <v>3500</v>
      </c>
      <c r="E40" s="27" t="n">
        <v>-20.42000000000007</v>
      </c>
      <c r="F40" s="29" t="n">
        <v>0.009847035776083158</v>
      </c>
    </row>
    <row r="41" hidden="1" outlineLevel="2" ht="15" customHeight="1">
      <c r="A41" s="12" t="inlineStr">
        <is>
          <t xml:space="preserve">    Mani-Pedi</t>
        </is>
      </c>
      <c r="B41" s="27" t="n">
        <v>524.77</v>
      </c>
      <c r="C41" s="27" t="n">
        <v>1040.98</v>
      </c>
      <c r="D41" s="27" t="n">
        <v>1000</v>
      </c>
      <c r="E41" s="67" t="n">
        <v>40.98000000000002</v>
      </c>
      <c r="F41" s="29" t="n">
        <v>0.002945931488244708</v>
      </c>
    </row>
    <row r="42" hidden="1" outlineLevel="2" ht="15" customHeight="1">
      <c r="A42" s="12" t="inlineStr">
        <is>
          <t xml:space="preserve">    Movie Theater</t>
        </is>
      </c>
      <c r="B42" s="27" t="n">
        <v>151.76</v>
      </c>
      <c r="C42" s="27" t="n">
        <v>301.05</v>
      </c>
      <c r="D42" s="27" t="n">
        <v>300</v>
      </c>
      <c r="E42" s="67" t="n">
        <v>1.050000000000011</v>
      </c>
      <c r="F42" s="29" t="n">
        <v>0.000851943828069472</v>
      </c>
    </row>
    <row r="43" hidden="1" outlineLevel="2" ht="15" customHeight="1">
      <c r="A43" s="12" t="inlineStr">
        <is>
          <t xml:space="preserve">    Personal</t>
        </is>
      </c>
      <c r="B43" s="27" t="n">
        <v>360</v>
      </c>
      <c r="C43" s="27" t="n">
        <v>714.13</v>
      </c>
      <c r="D43" s="27" t="n">
        <v>500</v>
      </c>
      <c r="E43" s="67" t="n">
        <v>214.13</v>
      </c>
      <c r="F43" s="29" t="n">
        <v>0.0020209526759687</v>
      </c>
    </row>
    <row r="44" hidden="1" outlineLevel="1" ht="60" customHeight="1">
      <c r="A44" s="6" t="inlineStr">
        <is>
          <t xml:space="preserve">  Other</t>
        </is>
      </c>
      <c r="B44" s="61" t="n">
        <v>20.6</v>
      </c>
      <c r="C44" s="61" t="n">
        <v>40.86</v>
      </c>
      <c r="D44" s="61" t="n">
        <v>6164</v>
      </c>
      <c r="E44" s="61" t="n">
        <v>-6123.14</v>
      </c>
      <c r="F44" s="63" t="n">
        <v>0.0001156434031248756</v>
      </c>
    </row>
    <row r="45" hidden="1" outlineLevel="2" ht="15" customHeight="1">
      <c r="A45" s="12" t="inlineStr">
        <is>
          <t xml:space="preserve">    Check</t>
        </is>
      </c>
      <c r="B45" s="27" t="n">
        <v>0</v>
      </c>
      <c r="C45" s="27" t="n">
        <v>0</v>
      </c>
      <c r="D45" s="27" t="n">
        <v>2305</v>
      </c>
      <c r="E45" s="27" t="n">
        <v>-2305</v>
      </c>
      <c r="F45" s="29" t="n">
        <v>0</v>
      </c>
    </row>
    <row r="46" hidden="1" outlineLevel="2" ht="15" customHeight="1">
      <c r="A46" s="12" t="inlineStr">
        <is>
          <t xml:space="preserve">    Miscellaneous</t>
        </is>
      </c>
      <c r="B46" s="27" t="n">
        <v>0</v>
      </c>
      <c r="C46" s="27" t="n">
        <v>0</v>
      </c>
      <c r="D46" s="27" t="n">
        <v>2</v>
      </c>
      <c r="E46" s="27" t="n">
        <v>-2</v>
      </c>
      <c r="F46" s="29" t="n">
        <v>0</v>
      </c>
    </row>
    <row r="47" hidden="1" outlineLevel="2" ht="15" customHeight="1">
      <c r="A47" s="12" t="inlineStr">
        <is>
          <t xml:space="preserve">    Uncategorized</t>
        </is>
      </c>
      <c r="B47" s="27" t="n">
        <v>20.6</v>
      </c>
      <c r="C47" s="27" t="n">
        <v>40.86</v>
      </c>
      <c r="D47" s="27" t="n">
        <v>3857</v>
      </c>
      <c r="E47" s="27" t="n">
        <v>-3816.14</v>
      </c>
      <c r="F47" s="29" t="n">
        <v>0.0001156434031248756</v>
      </c>
    </row>
    <row r="48" hidden="1" outlineLevel="1" ht="45" customHeight="1">
      <c r="A48" s="6" t="inlineStr">
        <is>
          <t xml:space="preserve">  Shopping</t>
        </is>
      </c>
      <c r="B48" s="61" t="n">
        <v>4266</v>
      </c>
      <c r="C48" s="61" t="n">
        <v>8462.450000000001</v>
      </c>
      <c r="D48" s="61" t="n">
        <v>10100</v>
      </c>
      <c r="E48" s="61" t="n">
        <v>-1637.549999999999</v>
      </c>
      <c r="F48" s="63" t="n">
        <v>0.0239482892102291</v>
      </c>
    </row>
    <row r="49" hidden="1" outlineLevel="2" ht="15" customHeight="1">
      <c r="A49" s="12" t="inlineStr">
        <is>
          <t xml:space="preserve">    Clothing &amp; Jewelry</t>
        </is>
      </c>
      <c r="B49" s="27" t="n">
        <v>4243.01</v>
      </c>
      <c r="C49" s="27" t="n">
        <v>8416.84</v>
      </c>
      <c r="D49" s="27" t="n">
        <v>10000</v>
      </c>
      <c r="E49" s="27" t="n">
        <v>-1583.16</v>
      </c>
      <c r="F49" s="29" t="n">
        <v>0.02381922892683876</v>
      </c>
    </row>
    <row r="50" hidden="1" outlineLevel="2" ht="15" customHeight="1">
      <c r="A50" s="12" t="inlineStr">
        <is>
          <t xml:space="preserve">    Shopping</t>
        </is>
      </c>
      <c r="B50" s="27" t="n">
        <v>22.99</v>
      </c>
      <c r="C50" s="27" t="n">
        <v>45.61</v>
      </c>
      <c r="D50" s="27" t="n">
        <v>100</v>
      </c>
      <c r="E50" s="27" t="n">
        <v>-54.39</v>
      </c>
      <c r="F50" s="29" t="n">
        <v>0.0001290602833903345</v>
      </c>
    </row>
    <row r="51" ht="45" customHeight="1">
      <c r="A51" s="57" t="inlineStr">
        <is>
          <t>Wellness</t>
        </is>
      </c>
      <c r="B51" s="58" t="n">
        <v>18388.85</v>
      </c>
      <c r="C51" s="58" t="n">
        <v>36477.88</v>
      </c>
      <c r="D51" s="58" t="n">
        <v>50364</v>
      </c>
      <c r="E51" s="58" t="n">
        <v>-13886.12</v>
      </c>
      <c r="F51" s="60" t="n">
        <v>0.1032305433763529</v>
      </c>
    </row>
    <row r="52" hidden="1" outlineLevel="1" ht="45" customHeight="1">
      <c r="A52" s="6" t="inlineStr">
        <is>
          <t xml:space="preserve">  Healthcare Premium</t>
        </is>
      </c>
      <c r="B52" s="61" t="n">
        <v>8790.610000000001</v>
      </c>
      <c r="C52" s="61" t="n">
        <v>17437.89</v>
      </c>
      <c r="D52" s="61" t="n">
        <v>23760</v>
      </c>
      <c r="E52" s="61" t="n">
        <v>-6322.110000000001</v>
      </c>
      <c r="F52" s="63" t="n">
        <v>0.04934835223027004</v>
      </c>
    </row>
    <row r="53" hidden="1" outlineLevel="2" ht="15" customHeight="1">
      <c r="A53" s="12" t="inlineStr">
        <is>
          <t xml:space="preserve">    Medicare Part B Premium</t>
        </is>
      </c>
      <c r="B53" s="27" t="n">
        <v>0</v>
      </c>
      <c r="C53" s="27" t="n">
        <v>0</v>
      </c>
      <c r="D53" s="27" t="n">
        <v>5356</v>
      </c>
      <c r="E53" s="27" t="n">
        <v>-5356</v>
      </c>
      <c r="F53" s="29" t="n">
        <v>0</v>
      </c>
    </row>
    <row r="54" hidden="1" outlineLevel="2" ht="15" customHeight="1">
      <c r="A54" s="12" t="inlineStr">
        <is>
          <t xml:space="preserve">    Medicare Part D Premium</t>
        </is>
      </c>
      <c r="B54" s="27" t="n">
        <v>0</v>
      </c>
      <c r="C54" s="27" t="n">
        <v>0</v>
      </c>
      <c r="D54" s="27" t="n">
        <v>2095</v>
      </c>
      <c r="E54" s="27" t="n">
        <v>-2095</v>
      </c>
      <c r="F54" s="29" t="n">
        <v>0</v>
      </c>
    </row>
    <row r="55" hidden="1" outlineLevel="2" ht="30" customHeight="1">
      <c r="A55" s="12" t="inlineStr">
        <is>
          <t xml:space="preserve">    Medicare Part G / Medigap Premium</t>
        </is>
      </c>
      <c r="B55" s="27" t="n">
        <v>0</v>
      </c>
      <c r="C55" s="27" t="n">
        <v>0</v>
      </c>
      <c r="D55" s="27" t="n">
        <v>4309</v>
      </c>
      <c r="E55" s="27" t="n">
        <v>-4309</v>
      </c>
      <c r="F55" s="29" t="n">
        <v>0</v>
      </c>
    </row>
    <row r="56" hidden="1" outlineLevel="2" ht="30" customHeight="1">
      <c r="A56" s="12" t="inlineStr">
        <is>
          <t xml:space="preserve">    Pre-65 Healthcare Premium</t>
        </is>
      </c>
      <c r="B56" s="27" t="n">
        <v>8790.610000000001</v>
      </c>
      <c r="C56" s="27" t="n">
        <v>17437.89</v>
      </c>
      <c r="D56" s="27" t="n">
        <v>12000</v>
      </c>
      <c r="E56" s="67" t="n">
        <v>5437.889999999999</v>
      </c>
      <c r="F56" s="29" t="n">
        <v>0.04934835223027004</v>
      </c>
    </row>
    <row r="57" hidden="1" outlineLevel="1" ht="45" customHeight="1">
      <c r="A57" s="6" t="inlineStr">
        <is>
          <t xml:space="preserve">  Wellness Budget Detail</t>
        </is>
      </c>
      <c r="B57" s="61" t="n">
        <v>9598.24</v>
      </c>
      <c r="C57" s="61" t="n">
        <v>19039.99</v>
      </c>
      <c r="D57" s="61" t="n">
        <v>26604</v>
      </c>
      <c r="E57" s="61" t="n">
        <v>-7564.009999999998</v>
      </c>
      <c r="F57" s="63" t="n">
        <v>0.05388219114608282</v>
      </c>
    </row>
    <row r="58" hidden="1" outlineLevel="2" ht="15" customHeight="1">
      <c r="A58" s="12" t="inlineStr">
        <is>
          <t xml:space="preserve">    Dentist</t>
        </is>
      </c>
      <c r="B58" s="27" t="n">
        <v>400.9</v>
      </c>
      <c r="C58" s="27" t="n">
        <v>795.26</v>
      </c>
      <c r="D58" s="27" t="n">
        <v>2900</v>
      </c>
      <c r="E58" s="27" t="n">
        <v>-2104.74</v>
      </c>
      <c r="F58" s="29" t="n">
        <v>0.002250555354988477</v>
      </c>
    </row>
    <row r="59" hidden="1" outlineLevel="2" ht="15" customHeight="1">
      <c r="A59" s="12" t="inlineStr">
        <is>
          <t xml:space="preserve">    Dermatologist</t>
        </is>
      </c>
      <c r="B59" s="27" t="n">
        <v>728</v>
      </c>
      <c r="C59" s="27" t="n">
        <v>1444.13</v>
      </c>
      <c r="D59" s="27" t="n">
        <v>1527</v>
      </c>
      <c r="E59" s="27" t="n">
        <v>-82.86999999999989</v>
      </c>
      <c r="F59" s="29" t="n">
        <v>0.004086815411403371</v>
      </c>
    </row>
    <row r="60" hidden="1" outlineLevel="2" ht="15" customHeight="1">
      <c r="A60" s="12" t="inlineStr">
        <is>
          <t xml:space="preserve">    Drugs - Rx and OTC</t>
        </is>
      </c>
      <c r="B60" s="27" t="n">
        <v>3278.39</v>
      </c>
      <c r="C60" s="27" t="n">
        <v>6503.33</v>
      </c>
      <c r="D60" s="27" t="n">
        <v>5000</v>
      </c>
      <c r="E60" s="67" t="n">
        <v>1503.33</v>
      </c>
      <c r="F60" s="29" t="n">
        <v>0.01840408623158063</v>
      </c>
    </row>
    <row r="61" hidden="1" outlineLevel="2" ht="30" customHeight="1">
      <c r="A61" s="12" t="inlineStr">
        <is>
          <t xml:space="preserve">    Exercise &amp; Health Equipment</t>
        </is>
      </c>
      <c r="B61" s="27" t="n">
        <v>102.69</v>
      </c>
      <c r="C61" s="27" t="n">
        <v>203.71</v>
      </c>
      <c r="D61" s="27" t="n">
        <v>485</v>
      </c>
      <c r="E61" s="27" t="n">
        <v>-281.29</v>
      </c>
      <c r="F61" s="29" t="n">
        <v>0.0005764767508200717</v>
      </c>
    </row>
    <row r="62" hidden="1" outlineLevel="2" ht="15" customHeight="1">
      <c r="A62" s="12" t="inlineStr">
        <is>
          <t xml:space="preserve">    Health Club</t>
        </is>
      </c>
      <c r="B62" s="27" t="n">
        <v>1616.25</v>
      </c>
      <c r="C62" s="27" t="n">
        <v>3206.15</v>
      </c>
      <c r="D62" s="27" t="n">
        <v>2668</v>
      </c>
      <c r="E62" s="67" t="n">
        <v>538.1500000000001</v>
      </c>
      <c r="F62" s="29" t="n">
        <v>0.009073235451484477</v>
      </c>
    </row>
    <row r="63" hidden="1" outlineLevel="2" ht="15" customHeight="1">
      <c r="A63" s="12" t="inlineStr">
        <is>
          <t xml:space="preserve">    Medical</t>
        </is>
      </c>
      <c r="B63" s="27" t="n">
        <v>590.45</v>
      </c>
      <c r="C63" s="27" t="n">
        <v>1171.27</v>
      </c>
      <c r="D63" s="27" t="n">
        <v>10000</v>
      </c>
      <c r="E63" s="27" t="n">
        <v>-8828.73</v>
      </c>
      <c r="F63" s="29" t="n">
        <v>0.003314643076460331</v>
      </c>
    </row>
    <row r="64" hidden="1" outlineLevel="2" ht="15" customHeight="1">
      <c r="A64" s="12" t="inlineStr">
        <is>
          <t xml:space="preserve">    Vision</t>
        </is>
      </c>
      <c r="B64" s="27" t="n">
        <v>1335</v>
      </c>
      <c r="C64" s="27" t="n">
        <v>2648.23</v>
      </c>
      <c r="D64" s="27" t="n">
        <v>2100</v>
      </c>
      <c r="E64" s="67" t="n">
        <v>548.23</v>
      </c>
      <c r="F64" s="29" t="n">
        <v>0.00749436617338393</v>
      </c>
    </row>
    <row r="65" hidden="1" outlineLevel="2" ht="15" customHeight="1">
      <c r="A65" s="12" t="inlineStr">
        <is>
          <t xml:space="preserve">    Vitamins &amp; Supplements</t>
        </is>
      </c>
      <c r="B65" s="27" t="n">
        <v>1546.56</v>
      </c>
      <c r="C65" s="27" t="n">
        <v>3067.9</v>
      </c>
      <c r="D65" s="27" t="n">
        <v>1924</v>
      </c>
      <c r="E65" s="67" t="n">
        <v>1143.9</v>
      </c>
      <c r="F65" s="29" t="n">
        <v>0.008682012695961536</v>
      </c>
    </row>
    <row r="66" ht="45" customHeight="1">
      <c r="A66" s="57" t="inlineStr">
        <is>
          <t>Housing</t>
        </is>
      </c>
      <c r="B66" s="58" t="n">
        <v>66947.95</v>
      </c>
      <c r="C66" s="58" t="n">
        <v>132804.36</v>
      </c>
      <c r="D66" s="58" t="n">
        <v>105600</v>
      </c>
      <c r="E66" s="65" t="n">
        <v>27204.35999999999</v>
      </c>
      <c r="F66" s="60" t="n">
        <v>0.3758295519531076</v>
      </c>
    </row>
    <row r="67" hidden="1" outlineLevel="1" ht="45" customHeight="1">
      <c r="A67" s="6" t="inlineStr">
        <is>
          <t xml:space="preserve">  Home Improvement</t>
        </is>
      </c>
      <c r="B67" s="61" t="n">
        <v>25689.11</v>
      </c>
      <c r="C67" s="61" t="n">
        <v>50959.38</v>
      </c>
      <c r="D67" s="61" t="n">
        <v>25000</v>
      </c>
      <c r="E67" s="66" t="n">
        <v>25959.38</v>
      </c>
      <c r="F67" s="63" t="n">
        <v>0.1442124322159841</v>
      </c>
    </row>
    <row r="68" hidden="1" outlineLevel="2" ht="15" customHeight="1">
      <c r="A68" s="12" t="inlineStr">
        <is>
          <t xml:space="preserve">    Home Improvement</t>
        </is>
      </c>
      <c r="B68" s="27" t="n">
        <v>25689.11</v>
      </c>
      <c r="C68" s="27" t="n">
        <v>50959.38</v>
      </c>
      <c r="D68" s="27" t="n">
        <v>25000</v>
      </c>
      <c r="E68" s="67" t="n">
        <v>25959.38</v>
      </c>
      <c r="F68" s="29" t="n">
        <v>0.1442124322159841</v>
      </c>
    </row>
    <row r="69" hidden="1" outlineLevel="1" ht="45" customHeight="1">
      <c r="A69" s="6" t="inlineStr">
        <is>
          <t xml:space="preserve">  Maintenance</t>
        </is>
      </c>
      <c r="B69" s="61" t="n">
        <v>2214.24</v>
      </c>
      <c r="C69" s="61" t="n">
        <v>4392.38</v>
      </c>
      <c r="D69" s="61" t="n">
        <v>2100</v>
      </c>
      <c r="E69" s="66" t="n">
        <v>2292.38</v>
      </c>
      <c r="F69" s="63" t="n">
        <v>0.01243020625899148</v>
      </c>
    </row>
    <row r="70" hidden="1" outlineLevel="2" ht="15" customHeight="1">
      <c r="A70" s="12" t="inlineStr">
        <is>
          <t xml:space="preserve">    Home Maintenance</t>
        </is>
      </c>
      <c r="B70" s="27" t="n">
        <v>2214.24</v>
      </c>
      <c r="C70" s="27" t="n">
        <v>4392.38</v>
      </c>
      <c r="D70" s="27" t="n">
        <v>2100</v>
      </c>
      <c r="E70" s="67" t="n">
        <v>2292.38</v>
      </c>
      <c r="F70" s="29" t="n">
        <v>0.01243020625899148</v>
      </c>
    </row>
    <row r="71" hidden="1" outlineLevel="1" ht="45" customHeight="1">
      <c r="A71" s="6" t="inlineStr">
        <is>
          <t xml:space="preserve">  Mortgage</t>
        </is>
      </c>
      <c r="B71" s="61" t="n">
        <v>18000</v>
      </c>
      <c r="C71" s="61" t="n">
        <v>35706.52</v>
      </c>
      <c r="D71" s="61" t="n">
        <v>36000</v>
      </c>
      <c r="E71" s="61" t="n">
        <v>-293.4800000000032</v>
      </c>
      <c r="F71" s="63" t="n">
        <v>0.101047633798435</v>
      </c>
    </row>
    <row r="72" hidden="1" outlineLevel="2" ht="15" customHeight="1">
      <c r="A72" s="12" t="inlineStr">
        <is>
          <t xml:space="preserve">    Mortgage</t>
        </is>
      </c>
      <c r="B72" s="27" t="n">
        <v>18000</v>
      </c>
      <c r="C72" s="27" t="n">
        <v>35706.52</v>
      </c>
      <c r="D72" s="27" t="n">
        <v>36000</v>
      </c>
      <c r="E72" s="27" t="n">
        <v>-293.4800000000032</v>
      </c>
      <c r="F72" s="29" t="n">
        <v>0.101047633798435</v>
      </c>
    </row>
    <row r="73" hidden="1" outlineLevel="1" ht="45" customHeight="1">
      <c r="A73" s="6" t="inlineStr">
        <is>
          <t xml:space="preserve">  Other</t>
        </is>
      </c>
      <c r="B73" s="61" t="n">
        <v>5841.79</v>
      </c>
      <c r="C73" s="61" t="n">
        <v>11588.33</v>
      </c>
      <c r="D73" s="61" t="n">
        <v>11315</v>
      </c>
      <c r="E73" s="66" t="n">
        <v>273.3299999999999</v>
      </c>
      <c r="F73" s="63" t="n">
        <v>0.03279439203596442</v>
      </c>
    </row>
    <row r="74" hidden="1" outlineLevel="2" ht="30" customHeight="1">
      <c r="A74" s="12" t="inlineStr">
        <is>
          <t xml:space="preserve">    Furniture/Home Decor/Kitchenware</t>
        </is>
      </c>
      <c r="B74" s="27" t="n">
        <v>2149.85</v>
      </c>
      <c r="C74" s="27" t="n">
        <v>4264.65</v>
      </c>
      <c r="D74" s="27" t="n">
        <v>2115</v>
      </c>
      <c r="E74" s="67" t="n">
        <v>2149.65</v>
      </c>
      <c r="F74" s="29" t="n">
        <v>0.01206873641786475</v>
      </c>
    </row>
    <row r="75" hidden="1" outlineLevel="2" ht="15" customHeight="1">
      <c r="A75" s="12" t="inlineStr">
        <is>
          <t xml:space="preserve">    Homeowners Insurance</t>
        </is>
      </c>
      <c r="B75" s="27" t="n">
        <v>0</v>
      </c>
      <c r="C75" s="27" t="n">
        <v>0</v>
      </c>
      <c r="D75" s="27" t="n">
        <v>2000</v>
      </c>
      <c r="E75" s="27" t="n">
        <v>-2000</v>
      </c>
      <c r="F75" s="29" t="n">
        <v>0</v>
      </c>
    </row>
    <row r="76" hidden="1" outlineLevel="2" ht="15" customHeight="1">
      <c r="A76" s="12" t="inlineStr">
        <is>
          <t xml:space="preserve">    House Cleaning</t>
        </is>
      </c>
      <c r="B76" s="27" t="n">
        <v>1600</v>
      </c>
      <c r="C76" s="27" t="n">
        <v>3173.91</v>
      </c>
      <c r="D76" s="27" t="n">
        <v>4800</v>
      </c>
      <c r="E76" s="27" t="n">
        <v>-1626.09</v>
      </c>
      <c r="F76" s="29" t="n">
        <v>0.008982011893194223</v>
      </c>
    </row>
    <row r="77" hidden="1" outlineLevel="2" ht="30" customHeight="1">
      <c r="A77" s="12" t="inlineStr">
        <is>
          <t xml:space="preserve">    Lawn Service/Garden/Flowers</t>
        </is>
      </c>
      <c r="B77" s="27" t="n">
        <v>2091.94</v>
      </c>
      <c r="C77" s="27" t="n">
        <v>4149.77</v>
      </c>
      <c r="D77" s="27" t="n">
        <v>2400</v>
      </c>
      <c r="E77" s="67" t="n">
        <v>1749.77</v>
      </c>
      <c r="F77" s="29" t="n">
        <v>0.01174364372490545</v>
      </c>
    </row>
    <row r="78" hidden="1" outlineLevel="1" ht="45" customHeight="1">
      <c r="A78" s="6" t="inlineStr">
        <is>
          <t xml:space="preserve">  Real Estate Taxes</t>
        </is>
      </c>
      <c r="B78" s="61" t="n">
        <v>8645.74</v>
      </c>
      <c r="C78" s="61" t="n">
        <v>17150.52</v>
      </c>
      <c r="D78" s="61" t="n">
        <v>18000</v>
      </c>
      <c r="E78" s="61" t="n">
        <v>-849.4799999999996</v>
      </c>
      <c r="F78" s="63" t="n">
        <v>0.04853508719091564</v>
      </c>
    </row>
    <row r="79" hidden="1" outlineLevel="2" ht="15" customHeight="1">
      <c r="A79" s="12" t="inlineStr">
        <is>
          <t xml:space="preserve">    Real Estate Taxes</t>
        </is>
      </c>
      <c r="B79" s="27" t="n">
        <v>8645.74</v>
      </c>
      <c r="C79" s="27" t="n">
        <v>17150.52</v>
      </c>
      <c r="D79" s="27" t="n">
        <v>18000</v>
      </c>
      <c r="E79" s="27" t="n">
        <v>-849.4799999999996</v>
      </c>
      <c r="F79" s="29" t="n">
        <v>0.04853508719091564</v>
      </c>
    </row>
    <row r="80" hidden="1" outlineLevel="1" ht="45" customHeight="1">
      <c r="A80" s="6" t="inlineStr">
        <is>
          <t xml:space="preserve">  Utilities</t>
        </is>
      </c>
      <c r="B80" s="61" t="n">
        <v>6557.07</v>
      </c>
      <c r="C80" s="61" t="n">
        <v>13007.23</v>
      </c>
      <c r="D80" s="61" t="n">
        <v>13185</v>
      </c>
      <c r="E80" s="61" t="n">
        <v>-177.7700000000004</v>
      </c>
      <c r="F80" s="63" t="n">
        <v>0.0368098004528169</v>
      </c>
    </row>
    <row r="81" hidden="1" outlineLevel="2" ht="15" customHeight="1">
      <c r="A81" s="12" t="inlineStr">
        <is>
          <t xml:space="preserve">    Dry Cleaners</t>
        </is>
      </c>
      <c r="B81" s="27" t="n">
        <v>131.34</v>
      </c>
      <c r="C81" s="27" t="n">
        <v>260.54</v>
      </c>
      <c r="D81" s="64" t="inlineStr"/>
      <c r="E81" s="64" t="inlineStr"/>
      <c r="F81" s="29" t="n">
        <v>0.0007373109012825808</v>
      </c>
    </row>
    <row r="82" hidden="1" outlineLevel="2" ht="15" customHeight="1">
      <c r="A82" s="12" t="inlineStr">
        <is>
          <t xml:space="preserve">    Garbage</t>
        </is>
      </c>
      <c r="B82" s="27" t="n">
        <v>231.8</v>
      </c>
      <c r="C82" s="27" t="n">
        <v>459.82</v>
      </c>
      <c r="D82" s="27" t="n">
        <v>475</v>
      </c>
      <c r="E82" s="27" t="n">
        <v>-15.18000000000001</v>
      </c>
      <c r="F82" s="29" t="n">
        <v>0.001301268973026513</v>
      </c>
    </row>
    <row r="83" hidden="1" outlineLevel="2" ht="15" customHeight="1">
      <c r="A83" s="12" t="inlineStr">
        <is>
          <t xml:space="preserve">    Gas &amp; Electric</t>
        </is>
      </c>
      <c r="B83" s="27" t="n">
        <v>2692.38</v>
      </c>
      <c r="C83" s="27" t="n">
        <v>5340.86</v>
      </c>
      <c r="D83" s="27" t="n">
        <v>5500</v>
      </c>
      <c r="E83" s="27" t="n">
        <v>-159.1400000000003</v>
      </c>
      <c r="F83" s="29" t="n">
        <v>0.01511436823812391</v>
      </c>
    </row>
    <row r="84" hidden="1" outlineLevel="2" ht="15" customHeight="1">
      <c r="A84" s="12" t="inlineStr">
        <is>
          <t xml:space="preserve">    Internet &amp; Cable</t>
        </is>
      </c>
      <c r="B84" s="27" t="n">
        <v>2261</v>
      </c>
      <c r="C84" s="27" t="n">
        <v>4485.14</v>
      </c>
      <c r="D84" s="27" t="n">
        <v>4510</v>
      </c>
      <c r="E84" s="27" t="n">
        <v>-24.85999999999967</v>
      </c>
      <c r="F84" s="29" t="n">
        <v>0.01269270555657009</v>
      </c>
    </row>
    <row r="85" hidden="1" outlineLevel="2" ht="15" customHeight="1">
      <c r="A85" s="12" t="inlineStr">
        <is>
          <t xml:space="preserve">    Pest Control</t>
        </is>
      </c>
      <c r="B85" s="27" t="n">
        <v>319.44</v>
      </c>
      <c r="C85" s="27" t="n">
        <v>633.67</v>
      </c>
      <c r="D85" s="27" t="n">
        <v>650</v>
      </c>
      <c r="E85" s="27" t="n">
        <v>-16.33000000000004</v>
      </c>
      <c r="F85" s="29" t="n">
        <v>0.001793258674476227</v>
      </c>
    </row>
    <row r="86" hidden="1" outlineLevel="2" ht="15" customHeight="1">
      <c r="A86" s="12" t="inlineStr">
        <is>
          <t xml:space="preserve">    Phone</t>
        </is>
      </c>
      <c r="B86" s="27" t="n">
        <v>672</v>
      </c>
      <c r="C86" s="27" t="n">
        <v>1333.04</v>
      </c>
      <c r="D86" s="27" t="n">
        <v>1350</v>
      </c>
      <c r="E86" s="27" t="n">
        <v>-16.96000000000004</v>
      </c>
      <c r="F86" s="29" t="n">
        <v>0.003772444995141574</v>
      </c>
    </row>
    <row r="87" hidden="1" outlineLevel="2" ht="15" customHeight="1">
      <c r="A87" s="12" t="inlineStr">
        <is>
          <t xml:space="preserve">    Sewer</t>
        </is>
      </c>
      <c r="B87" s="27" t="n">
        <v>93.34</v>
      </c>
      <c r="C87" s="27" t="n">
        <v>185.16</v>
      </c>
      <c r="D87" s="27" t="n">
        <v>200</v>
      </c>
      <c r="E87" s="27" t="n">
        <v>-14.84</v>
      </c>
      <c r="F87" s="29" t="n">
        <v>0.000523988118819218</v>
      </c>
    </row>
    <row r="88" hidden="1" outlineLevel="2" ht="15" customHeight="1">
      <c r="A88" s="12" t="inlineStr">
        <is>
          <t xml:space="preserve">    Water</t>
        </is>
      </c>
      <c r="B88" s="27" t="n">
        <v>155.77</v>
      </c>
      <c r="C88" s="27" t="n">
        <v>309</v>
      </c>
      <c r="D88" s="27" t="n">
        <v>500</v>
      </c>
      <c r="E88" s="27" t="n">
        <v>-191</v>
      </c>
      <c r="F88" s="29" t="n">
        <v>0.0008744549953767901</v>
      </c>
    </row>
    <row r="89" ht="45" customHeight="1">
      <c r="A89" s="57" t="inlineStr">
        <is>
          <t>Travel</t>
        </is>
      </c>
      <c r="B89" s="58" t="n">
        <v>16222.26</v>
      </c>
      <c r="C89" s="58" t="n">
        <v>32180.03</v>
      </c>
      <c r="D89" s="58" t="n">
        <v>16917</v>
      </c>
      <c r="E89" s="65" t="n">
        <v>15263.03</v>
      </c>
      <c r="F89" s="60" t="n">
        <v>0.09106783265905558</v>
      </c>
    </row>
    <row r="90" hidden="1" outlineLevel="1" ht="45" customHeight="1">
      <c r="A90" s="6" t="inlineStr">
        <is>
          <t xml:space="preserve">  Travel</t>
        </is>
      </c>
      <c r="B90" s="61" t="n">
        <v>16222.26</v>
      </c>
      <c r="C90" s="61" t="n">
        <v>32180.03</v>
      </c>
      <c r="D90" s="61" t="n">
        <v>16917</v>
      </c>
      <c r="E90" s="66" t="n">
        <v>15263.03</v>
      </c>
      <c r="F90" s="63" t="n">
        <v>0.09106783265905558</v>
      </c>
    </row>
    <row r="91" hidden="1" outlineLevel="2" ht="30" customHeight="1">
      <c r="A91" s="12" t="inlineStr">
        <is>
          <t xml:space="preserve">    Entertainment &amp; Recreation</t>
        </is>
      </c>
      <c r="B91" s="27" t="n">
        <v>8761.709999999999</v>
      </c>
      <c r="C91" s="27" t="n">
        <v>17380.57</v>
      </c>
      <c r="D91" s="27" t="n">
        <v>3270</v>
      </c>
      <c r="E91" s="67" t="n">
        <v>14110.57</v>
      </c>
      <c r="F91" s="29" t="n">
        <v>0.04918611464044922</v>
      </c>
    </row>
    <row r="92" hidden="1" outlineLevel="2" ht="15" customHeight="1">
      <c r="A92" s="12" t="inlineStr">
        <is>
          <t xml:space="preserve">    Travel &amp; Vacation</t>
        </is>
      </c>
      <c r="B92" s="27" t="n">
        <v>3722.02</v>
      </c>
      <c r="C92" s="27" t="n">
        <v>7383.35</v>
      </c>
      <c r="D92" s="27" t="n">
        <v>8127</v>
      </c>
      <c r="E92" s="27" t="n">
        <v>-743.6499999999996</v>
      </c>
      <c r="F92" s="29" t="n">
        <v>0.02089451744169173</v>
      </c>
    </row>
    <row r="93" hidden="1" outlineLevel="2" ht="15" customHeight="1">
      <c r="A93" s="12" t="inlineStr">
        <is>
          <t xml:space="preserve">    Travel - Housing</t>
        </is>
      </c>
      <c r="B93" s="27" t="n">
        <v>2248</v>
      </c>
      <c r="C93" s="27" t="n">
        <v>4459.35</v>
      </c>
      <c r="D93" s="27" t="n">
        <v>2617</v>
      </c>
      <c r="E93" s="67" t="n">
        <v>1842.35</v>
      </c>
      <c r="F93" s="29" t="n">
        <v>0.01261972670993788</v>
      </c>
    </row>
    <row r="94" hidden="1" outlineLevel="2" ht="15" customHeight="1">
      <c r="A94" s="12" t="inlineStr">
        <is>
          <t xml:space="preserve">    Travel - Insurance</t>
        </is>
      </c>
      <c r="B94" s="27" t="n">
        <v>76</v>
      </c>
      <c r="C94" s="27" t="n">
        <v>150.76</v>
      </c>
      <c r="D94" s="27" t="n">
        <v>159</v>
      </c>
      <c r="E94" s="27" t="n">
        <v>-8.240000000000009</v>
      </c>
      <c r="F94" s="29" t="n">
        <v>0.0004266455649267256</v>
      </c>
    </row>
    <row r="95" hidden="1" outlineLevel="2" ht="30" customHeight="1">
      <c r="A95" s="12" t="inlineStr">
        <is>
          <t xml:space="preserve">    Travel - Plane/Train/Bus</t>
        </is>
      </c>
      <c r="B95" s="27" t="n">
        <v>1414.53</v>
      </c>
      <c r="C95" s="27" t="n">
        <v>2806</v>
      </c>
      <c r="D95" s="27" t="n">
        <v>2744</v>
      </c>
      <c r="E95" s="67" t="n">
        <v>62</v>
      </c>
      <c r="F95" s="29" t="n">
        <v>0.007940828302050016</v>
      </c>
    </row>
    <row r="96" ht="15" customHeight="1">
      <c r="A96" s="57" t="inlineStr">
        <is>
          <t>Large Discretionary</t>
        </is>
      </c>
      <c r="B96" s="58" t="n">
        <v>0</v>
      </c>
      <c r="C96" s="58" t="n">
        <v>0</v>
      </c>
      <c r="D96" s="59" t="inlineStr"/>
      <c r="E96" s="59" t="inlineStr"/>
      <c r="F96" s="60" t="n">
        <v>0</v>
      </c>
    </row>
    <row r="97" hidden="1" outlineLevel="1" ht="15" customHeight="1">
      <c r="A97" s="6" t="inlineStr">
        <is>
          <t xml:space="preserve">  Wedding</t>
        </is>
      </c>
      <c r="B97" s="61" t="n">
        <v>0</v>
      </c>
      <c r="C97" s="61" t="n">
        <v>0</v>
      </c>
      <c r="D97" s="62" t="inlineStr"/>
      <c r="E97" s="62" t="inlineStr"/>
      <c r="F97" s="63" t="n">
        <v>0</v>
      </c>
    </row>
    <row r="98" hidden="1" outlineLevel="2" ht="15" customHeight="1">
      <c r="A98" s="12" t="inlineStr">
        <is>
          <t xml:space="preserve">    Children Weddings</t>
        </is>
      </c>
      <c r="B98" s="27" t="n">
        <v>0</v>
      </c>
      <c r="C98" s="27" t="n">
        <v>0</v>
      </c>
      <c r="D98" s="64" t="inlineStr"/>
      <c r="E98" s="64" t="inlineStr"/>
      <c r="F98" s="29" t="n">
        <v>0</v>
      </c>
    </row>
    <row r="99" hidden="1" outlineLevel="2" ht="15" customHeight="1">
      <c r="A99" s="12" t="inlineStr">
        <is>
          <t xml:space="preserve">    Weddings</t>
        </is>
      </c>
      <c r="B99" s="27" t="n">
        <v>0</v>
      </c>
      <c r="C99" s="27" t="n">
        <v>0</v>
      </c>
      <c r="D99" s="64" t="inlineStr"/>
      <c r="E99" s="64" t="inlineStr"/>
      <c r="F99" s="29" t="n">
        <v>0</v>
      </c>
    </row>
    <row r="100" ht="45" customHeight="1">
      <c r="A100" s="57" t="inlineStr">
        <is>
          <t>Business</t>
        </is>
      </c>
      <c r="B100" s="58" t="n">
        <v>3106.05</v>
      </c>
      <c r="C100" s="58" t="n">
        <v>6161.46</v>
      </c>
      <c r="D100" s="58" t="n">
        <v>27890</v>
      </c>
      <c r="E100" s="58" t="n">
        <v>-21728.54</v>
      </c>
      <c r="F100" s="60" t="n">
        <v>0.01743661127553495</v>
      </c>
    </row>
    <row r="101" hidden="1" outlineLevel="1" ht="45" customHeight="1">
      <c r="A101" s="6" t="inlineStr">
        <is>
          <t xml:space="preserve">  Business</t>
        </is>
      </c>
      <c r="B101" s="61" t="n">
        <v>3106.05</v>
      </c>
      <c r="C101" s="61" t="n">
        <v>6161.46</v>
      </c>
      <c r="D101" s="61" t="n">
        <v>27890</v>
      </c>
      <c r="E101" s="61" t="n">
        <v>-21728.54</v>
      </c>
      <c r="F101" s="63" t="n">
        <v>0.01743661127553495</v>
      </c>
    </row>
    <row r="102" hidden="1" outlineLevel="2" ht="15" customHeight="1">
      <c r="A102" s="12" t="inlineStr">
        <is>
          <t xml:space="preserve">    Business Auto Expenses</t>
        </is>
      </c>
      <c r="B102" s="27" t="n">
        <v>99.73999999999999</v>
      </c>
      <c r="C102" s="27" t="n">
        <v>197.85</v>
      </c>
      <c r="D102" s="27" t="n">
        <v>200</v>
      </c>
      <c r="E102" s="27" t="n">
        <v>-2.150000000000006</v>
      </c>
      <c r="F102" s="29" t="n">
        <v>0.0005599161663919948</v>
      </c>
    </row>
    <row r="103" hidden="1" outlineLevel="2" ht="15" customHeight="1">
      <c r="A103" s="12" t="inlineStr">
        <is>
          <t xml:space="preserve">    Business Events</t>
        </is>
      </c>
      <c r="B103" s="27" t="n">
        <v>-48.27</v>
      </c>
      <c r="C103" s="27" t="n">
        <v>-95.75</v>
      </c>
      <c r="D103" s="27" t="n">
        <v>200</v>
      </c>
      <c r="E103" s="27" t="n">
        <v>-295.75</v>
      </c>
      <c r="F103" s="29" t="n">
        <v>-0.0002709760713028032</v>
      </c>
    </row>
    <row r="104" hidden="1" outlineLevel="2" ht="30" customHeight="1">
      <c r="A104" s="12" t="inlineStr">
        <is>
          <t xml:space="preserve">    Business Hardware and Software</t>
        </is>
      </c>
      <c r="B104" s="27" t="n">
        <v>379.95</v>
      </c>
      <c r="C104" s="27" t="n">
        <v>753.71</v>
      </c>
      <c r="D104" s="27" t="n">
        <v>500</v>
      </c>
      <c r="E104" s="67" t="n">
        <v>253.71</v>
      </c>
      <c r="F104" s="29" t="n">
        <v>0.002132947136761966</v>
      </c>
    </row>
    <row r="105" hidden="1" outlineLevel="2" ht="15" customHeight="1">
      <c r="A105" s="12" t="inlineStr">
        <is>
          <t xml:space="preserve">    Business Memberships</t>
        </is>
      </c>
      <c r="B105" s="27" t="n">
        <v>495</v>
      </c>
      <c r="C105" s="27" t="n">
        <v>981.9299999999999</v>
      </c>
      <c r="D105" s="27" t="n">
        <v>2000</v>
      </c>
      <c r="E105" s="27" t="n">
        <v>-1018.07</v>
      </c>
      <c r="F105" s="29" t="n">
        <v>0.002778809929456963</v>
      </c>
    </row>
    <row r="106" hidden="1" outlineLevel="2" ht="15" customHeight="1">
      <c r="A106" s="12" t="inlineStr">
        <is>
          <t xml:space="preserve">    Business Services</t>
        </is>
      </c>
      <c r="B106" s="27" t="n">
        <v>0</v>
      </c>
      <c r="C106" s="27" t="n">
        <v>0</v>
      </c>
      <c r="D106" s="27" t="n">
        <v>21690</v>
      </c>
      <c r="E106" s="27" t="n">
        <v>-21690</v>
      </c>
      <c r="F106" s="29" t="n">
        <v>0</v>
      </c>
    </row>
    <row r="107" hidden="1" outlineLevel="2" ht="15" customHeight="1">
      <c r="A107" s="12" t="inlineStr">
        <is>
          <t xml:space="preserve">    Business Taxi - Uber</t>
        </is>
      </c>
      <c r="B107" s="27" t="n">
        <v>24.44</v>
      </c>
      <c r="C107" s="27" t="n">
        <v>48.48</v>
      </c>
      <c r="D107" s="27" t="n">
        <v>100</v>
      </c>
      <c r="E107" s="27" t="n">
        <v>-51.52</v>
      </c>
      <c r="F107" s="29" t="n">
        <v>0.0001372002316685418</v>
      </c>
    </row>
    <row r="108" hidden="1" outlineLevel="2" ht="15" customHeight="1">
      <c r="A108" s="12" t="inlineStr">
        <is>
          <t xml:space="preserve">    Business Travel &amp; Meals</t>
        </is>
      </c>
      <c r="B108" s="27" t="n">
        <v>800.37</v>
      </c>
      <c r="C108" s="27" t="n">
        <v>1587.69</v>
      </c>
      <c r="D108" s="27" t="n">
        <v>1700</v>
      </c>
      <c r="E108" s="27" t="n">
        <v>-112.3099999999999</v>
      </c>
      <c r="F108" s="29" t="n">
        <v>0.004493083036847412</v>
      </c>
    </row>
    <row r="109" hidden="1" outlineLevel="2" ht="30" customHeight="1">
      <c r="A109" s="12" t="inlineStr">
        <is>
          <t xml:space="preserve">    Office Supplies &amp; Expenses</t>
        </is>
      </c>
      <c r="B109" s="27" t="n">
        <v>1354.82</v>
      </c>
      <c r="C109" s="27" t="n">
        <v>2687.55</v>
      </c>
      <c r="D109" s="27" t="n">
        <v>1500</v>
      </c>
      <c r="E109" s="67" t="n">
        <v>1187.55</v>
      </c>
      <c r="F109" s="29" t="n">
        <v>0.007605630845710873</v>
      </c>
    </row>
    <row r="110"/>
    <row r="111" ht="30" customHeight="1">
      <c r="A111" s="11" t="inlineStr">
        <is>
          <t>TOTAL SPENDING</t>
        </is>
      </c>
      <c r="B111" s="30" t="n">
        <v>178133.81</v>
      </c>
      <c r="C111" s="30" t="n">
        <v>353363.26</v>
      </c>
      <c r="D111" s="30" t="n">
        <v>321560</v>
      </c>
      <c r="E111" s="68" t="n">
        <v>31803.26000000001</v>
      </c>
      <c r="F111" s="31" t="n">
        <v>1</v>
      </c>
    </row>
  </sheetData>
  <mergeCells count="4">
    <mergeCell ref="A3"/>
    <mergeCell ref="A2"/>
    <mergeCell ref="A1:F1"/>
    <mergeCell ref="A4"/>
  </mergeCell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H15"/>
  <sheetViews>
    <sheetView showGridLines="0" workbookViewId="0">
      <selection activeCell="A1" sqref="A1"/>
    </sheetView>
  </sheetViews>
  <sheetFormatPr baseColWidth="8" defaultRowHeight="15"/>
  <cols>
    <col width="14.6" customWidth="1" min="1" max="1"/>
    <col width="13.7" customWidth="1" min="2" max="2"/>
    <col width="21.3" customWidth="1" min="3" max="3"/>
    <col width="13.7" customWidth="1" min="4" max="4"/>
    <col width="13.7" customWidth="1" min="5" max="5"/>
    <col width="13.7" customWidth="1" min="6" max="6"/>
    <col width="13.7" customWidth="1" min="7" max="7"/>
    <col width="13.7" customWidth="1" min="8" max="8"/>
  </cols>
  <sheetData>
    <row r="1" ht="18" customHeight="1">
      <c r="A1" s="69" t="inlineStr">
        <is>
          <t>2. OPTIMIZERS</t>
        </is>
      </c>
    </row>
    <row r="2" ht="20" customHeight="1"/>
    <row r="3" ht="15" customHeight="1">
      <c r="A3" s="2" t="inlineStr">
        <is>
          <t>Decision-support modules and optimization outputs.</t>
        </is>
      </c>
      <c r="B3" s="3" t="n"/>
      <c r="C3" s="3" t="n"/>
      <c r="D3" s="3" t="n"/>
      <c r="E3" s="3" t="n"/>
      <c r="F3" s="3" t="n"/>
      <c r="G3" s="3" t="n"/>
      <c r="H3" s="4" t="n"/>
    </row>
    <row r="4" ht="20" customHeight="1"/>
    <row r="5" ht="15" customHeight="1">
      <c r="A5" s="5" t="inlineStr">
        <is>
          <t>Workbook area</t>
        </is>
      </c>
      <c r="B5" s="4" t="n"/>
      <c r="C5" s="5" t="inlineStr">
        <is>
          <t>Included sheets</t>
        </is>
      </c>
      <c r="D5" s="3" t="n"/>
      <c r="E5" s="3" t="n"/>
      <c r="F5" s="3" t="n"/>
      <c r="G5" s="4" t="n"/>
    </row>
    <row r="6" ht="15" customHeight="1">
      <c r="A6" s="6" t="inlineStr">
        <is>
          <t>2. Optimizers</t>
        </is>
      </c>
      <c r="B6" s="4" t="n"/>
      <c r="C6" s="7" t="inlineStr">
        <is>
          <t>2A. Roth Conversion</t>
        </is>
      </c>
      <c r="D6" s="3" t="n"/>
      <c r="E6" s="3" t="n"/>
      <c r="F6" s="3" t="n"/>
      <c r="G6" s="4" t="n"/>
    </row>
    <row r="7" ht="15" customHeight="1">
      <c r="C7" s="7" t="inlineStr">
        <is>
          <t>2B. Asset Allocation</t>
        </is>
      </c>
      <c r="D7" s="3" t="n"/>
      <c r="E7" s="3" t="n"/>
      <c r="F7" s="3" t="n"/>
      <c r="G7" s="4" t="n"/>
    </row>
    <row r="8" ht="15" customHeight="1">
      <c r="C8" s="7" t="inlineStr">
        <is>
          <t>2C. State Residency</t>
        </is>
      </c>
      <c r="D8" s="3" t="n"/>
      <c r="E8" s="3" t="n"/>
      <c r="F8" s="3" t="n"/>
      <c r="G8" s="4" t="n"/>
    </row>
    <row r="9" ht="15" customHeight="1">
      <c r="C9" s="7" t="inlineStr">
        <is>
          <t>2D. Social Security</t>
        </is>
      </c>
      <c r="D9" s="3" t="n"/>
      <c r="E9" s="3" t="n"/>
      <c r="F9" s="3" t="n"/>
      <c r="G9" s="4" t="n"/>
    </row>
    <row r="10" ht="15" customHeight="1">
      <c r="C10" s="7" t="inlineStr">
        <is>
          <t>2E. S-Corp vs LLC</t>
        </is>
      </c>
      <c r="D10" s="3" t="n"/>
      <c r="E10" s="3" t="n"/>
      <c r="F10" s="3" t="n"/>
      <c r="G10" s="4" t="n"/>
    </row>
    <row r="11" ht="15" customHeight="1">
      <c r="C11" s="7" t="inlineStr">
        <is>
          <t>2F. Charitable Giving</t>
        </is>
      </c>
      <c r="D11" s="3" t="n"/>
      <c r="E11" s="3" t="n"/>
      <c r="F11" s="3" t="n"/>
      <c r="G11" s="4" t="n"/>
    </row>
    <row r="12" ht="15" customHeight="1">
      <c r="C12" s="7" t="inlineStr">
        <is>
          <t>2G. Estate &amp; Legacy Planning</t>
        </is>
      </c>
      <c r="D12" s="3" t="n"/>
      <c r="E12" s="3" t="n"/>
      <c r="F12" s="3" t="n"/>
      <c r="G12" s="4" t="n"/>
    </row>
    <row r="13" ht="15" customHeight="1">
      <c r="C13" s="7" t="inlineStr">
        <is>
          <t>2H. Planning Levers</t>
        </is>
      </c>
      <c r="D13" s="3" t="n"/>
      <c r="E13" s="3" t="n"/>
      <c r="F13" s="3" t="n"/>
      <c r="G13" s="4" t="n"/>
    </row>
    <row r="14" ht="20" customHeight="1"/>
    <row r="15" ht="30" customHeight="1">
      <c r="A15" s="8" t="inlineStr">
        <is>
          <t>This workbook is an output/reporting surface. Edit plan data in the app database; use CSV only for import/export utilities.</t>
        </is>
      </c>
      <c r="B15" s="3" t="n"/>
      <c r="C15" s="3" t="n"/>
      <c r="D15" s="3" t="n"/>
      <c r="E15" s="3" t="n"/>
      <c r="F15" s="3" t="n"/>
      <c r="G15" s="3" t="n"/>
      <c r="H15" s="4" t="n"/>
    </row>
    <row r="16" ht="20" customHeight="1"/>
  </sheetData>
  <mergeCells count="14">
    <mergeCell ref="A3:H3"/>
    <mergeCell ref="C7:G7"/>
    <mergeCell ref="C12:G12"/>
    <mergeCell ref="A15:H15"/>
    <mergeCell ref="C6:G6"/>
    <mergeCell ref="C10:G10"/>
    <mergeCell ref="A5:B5"/>
    <mergeCell ref="C11:G11"/>
    <mergeCell ref="C5:G5"/>
    <mergeCell ref="A1:H1"/>
    <mergeCell ref="C13:G13"/>
    <mergeCell ref="C8:G8"/>
    <mergeCell ref="C9:G9"/>
    <mergeCell ref="A6:B6"/>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s>
  <pageMargins left="0.75" right="0.75" top="1" bottom="1" header="0.5" footer="0.5"/>
</worksheet>
</file>

<file path=xl/worksheets/sheet11.xml><?xml version="1.0" encoding="utf-8"?>
<worksheet xmlns="http://schemas.openxmlformats.org/spreadsheetml/2006/main">
  <sheetPr>
    <tabColor rgb="007030A0"/>
    <outlinePr summaryBelow="1" summaryRight="1"/>
    <pageSetUpPr/>
  </sheetPr>
  <dimension ref="A1:O38"/>
  <sheetViews>
    <sheetView showGridLines="0" workbookViewId="0">
      <selection activeCell="A1" sqref="A1"/>
    </sheetView>
  </sheetViews>
  <sheetFormatPr baseColWidth="8" defaultRowHeight="15"/>
  <cols>
    <col width="8" customWidth="1" min="1" max="1"/>
    <col width="8" customWidth="1" min="2" max="2"/>
    <col width="8" customWidth="1" min="3" max="3"/>
    <col width="9.4" customWidth="1" min="4" max="4"/>
    <col width="9.4" customWidth="1" min="5" max="5"/>
    <col width="9.4" customWidth="1" min="6" max="6"/>
    <col width="9.4" customWidth="1" min="7" max="7"/>
    <col width="9.4" customWidth="1" min="8" max="8"/>
    <col width="9.4" customWidth="1" min="9" max="9"/>
    <col width="9.4" customWidth="1" min="10" max="10"/>
    <col width="8" customWidth="1" min="11" max="11"/>
    <col width="8" customWidth="1" min="12" max="12"/>
    <col width="9.4" customWidth="1" min="13" max="13"/>
    <col width="9.4" customWidth="1" min="14" max="14"/>
    <col width="8" customWidth="1" min="15" max="15"/>
  </cols>
  <sheetData>
    <row r="1" ht="18" customHeight="1">
      <c r="A1" s="9" t="inlineStr">
        <is>
          <t>ROTH CONVERSION PLAN — Canonical Strategy Result</t>
        </is>
      </c>
    </row>
    <row r="2"/>
    <row r="3" ht="15" customHeight="1">
      <c r="A3" s="13" t="inlineStr">
        <is>
          <t>AUTO-OPTIMIZED ROTH CONVERSION STRATEGY — WHY THIS STRATEGY WAS SELECTED</t>
        </is>
      </c>
      <c r="B3" s="3" t="n"/>
      <c r="C3" s="3" t="n"/>
      <c r="D3" s="3" t="n"/>
      <c r="E3" s="3" t="n"/>
      <c r="F3" s="3" t="n"/>
      <c r="G3" s="3" t="n"/>
      <c r="H3" s="3" t="n"/>
      <c r="I3" s="3" t="n"/>
      <c r="J3" s="3" t="n"/>
      <c r="K3" s="3" t="n"/>
      <c r="L3" s="3" t="n"/>
      <c r="M3" s="3" t="n"/>
      <c r="N3" s="4" t="n"/>
    </row>
    <row r="4" ht="45" customHeight="1">
      <c r="A4" s="11" t="inlineStr">
        <is>
          <t>Selected Strategy</t>
        </is>
      </c>
      <c r="B4" s="2" t="inlineStr">
        <is>
          <t>fill_to_irmaa</t>
        </is>
      </c>
      <c r="D4" s="11" t="inlineStr">
        <is>
          <t>Objective Mode</t>
        </is>
      </c>
      <c r="E4" s="12" t="inlineStr">
        <is>
          <t>BALANCED_RETIREMENT</t>
        </is>
      </c>
      <c r="G4" s="11" t="inlineStr">
        <is>
          <t>Target Bracket</t>
        </is>
      </c>
      <c r="H4" s="70" t="n">
        <v>0.22</v>
      </c>
    </row>
    <row r="5" ht="30" customHeight="1">
      <c r="A5" s="11" t="inlineStr">
        <is>
          <t>Explanation</t>
        </is>
      </c>
      <c r="B5" s="12" t="inlineStr">
        <is>
          <t>The optimizer selected the top total objective score from the candidate strategy table below.</t>
        </is>
      </c>
      <c r="C5" s="3" t="n"/>
      <c r="D5" s="3" t="n"/>
      <c r="E5" s="3" t="n"/>
      <c r="F5" s="3" t="n"/>
      <c r="G5" s="3" t="n"/>
      <c r="H5" s="3" t="n"/>
      <c r="I5" s="3" t="n"/>
      <c r="J5" s="3" t="n"/>
      <c r="K5" s="3" t="n"/>
      <c r="L5" s="3" t="n"/>
      <c r="M5" s="3" t="n"/>
      <c r="N5" s="4" t="n"/>
    </row>
    <row r="6" ht="45" customHeight="1">
      <c r="A6" s="11" t="inlineStr">
        <is>
          <t>Conversion Totals</t>
        </is>
      </c>
      <c r="B6" s="12" t="inlineStr">
        <is>
          <t>Forced/user-directed conversions are shown separately from optimizer-selected voluntary conversions. The strategy uses 100% tax-bracket headroom and 100% IRMAA headroom.</t>
        </is>
      </c>
      <c r="C6" s="3" t="n"/>
      <c r="D6" s="3" t="n"/>
      <c r="E6" s="3" t="n"/>
      <c r="F6" s="3" t="n"/>
      <c r="G6" s="3" t="n"/>
      <c r="H6" s="3" t="n"/>
      <c r="I6" s="3" t="n"/>
      <c r="J6" s="3" t="n"/>
      <c r="K6" s="3" t="n"/>
      <c r="L6" s="3" t="n"/>
      <c r="M6" s="3" t="n"/>
      <c r="N6" s="4" t="n"/>
    </row>
    <row r="7"/>
    <row r="8" ht="15" customHeight="1">
      <c r="A8" s="13" t="inlineStr">
        <is>
          <t>Candidate Strategy Comparison — Score Components and Rejection Reasons</t>
        </is>
      </c>
      <c r="B8" s="3" t="n"/>
      <c r="C8" s="3" t="n"/>
      <c r="D8" s="3" t="n"/>
      <c r="E8" s="3" t="n"/>
      <c r="F8" s="3" t="n"/>
      <c r="G8" s="3" t="n"/>
      <c r="H8" s="3" t="n"/>
      <c r="I8" s="3" t="n"/>
      <c r="J8" s="3" t="n"/>
      <c r="K8" s="3" t="n"/>
      <c r="L8" s="3" t="n"/>
      <c r="M8" s="3" t="n"/>
      <c r="N8" s="4" t="n"/>
    </row>
    <row r="9" ht="45" customHeight="1">
      <c r="A9" s="71" t="inlineStr">
        <is>
          <t>Rank</t>
        </is>
      </c>
      <c r="B9" s="71" t="inlineStr">
        <is>
          <t>Candidate</t>
        </is>
      </c>
      <c r="C9" s="71" t="inlineStr">
        <is>
          <t>Policy</t>
        </is>
      </c>
      <c r="D9" s="71" t="inlineStr">
        <is>
          <t>Total Score</t>
        </is>
      </c>
      <c r="E9" s="71" t="inlineStr">
        <is>
          <t>Terminal Wealth Score</t>
        </is>
      </c>
      <c r="F9" s="71" t="inlineStr">
        <is>
          <t>Tax Efficiency Score</t>
        </is>
      </c>
      <c r="G9" s="71" t="inlineStr">
        <is>
          <t>Roth Legacy Score</t>
        </is>
      </c>
      <c r="H9" s="71" t="inlineStr">
        <is>
          <t>Estate-Tax Score</t>
        </is>
      </c>
      <c r="I9" s="71" t="inlineStr">
        <is>
          <t>Survivor-Risk Score</t>
        </is>
      </c>
      <c r="J9" s="71" t="inlineStr">
        <is>
          <t>Liquidity Score</t>
        </is>
      </c>
      <c r="K9" s="71" t="inlineStr">
        <is>
          <t>Conversions</t>
        </is>
      </c>
      <c r="L9" s="71" t="inlineStr">
        <is>
          <t>Lifetime Tax</t>
        </is>
      </c>
      <c r="M9" s="71" t="inlineStr">
        <is>
          <t>After-Tax Terminal NW</t>
        </is>
      </c>
      <c r="N9" s="71" t="inlineStr">
        <is>
          <t>Why selected / rejected</t>
        </is>
      </c>
    </row>
    <row r="10"/>
    <row r="11"/>
    <row r="12" ht="15" customHeight="1">
      <c r="A12" s="13" t="inlineStr">
        <is>
          <t>Year-by-Year Conversion Schedule with Binding Constraints</t>
        </is>
      </c>
      <c r="B12" s="3" t="n"/>
      <c r="C12" s="3" t="n"/>
      <c r="D12" s="3" t="n"/>
      <c r="E12" s="3" t="n"/>
      <c r="F12" s="3" t="n"/>
      <c r="G12" s="3" t="n"/>
      <c r="H12" s="3" t="n"/>
      <c r="I12" s="3" t="n"/>
      <c r="J12" s="3" t="n"/>
      <c r="K12" s="3" t="n"/>
      <c r="L12" s="3" t="n"/>
      <c r="M12" s="3" t="n"/>
      <c r="N12" s="3" t="n"/>
      <c r="O12" s="4" t="n"/>
    </row>
    <row r="13" ht="45" customHeight="1">
      <c r="A13" s="71" t="inlineStr">
        <is>
          <t>Year</t>
        </is>
      </c>
      <c r="B13" s="71" t="inlineStr">
        <is>
          <t>Type</t>
        </is>
      </c>
      <c r="C13" s="71" t="inlineStr">
        <is>
          <t>Source Account</t>
        </is>
      </c>
      <c r="D13" s="71" t="inlineStr">
        <is>
          <t>Pre-Conv AGI</t>
        </is>
      </c>
      <c r="E13" s="71" t="inlineStr">
        <is>
          <t>Target Bracket Top</t>
        </is>
      </c>
      <c r="F13" s="71" t="inlineStr">
        <is>
          <t>Brkt Headroom</t>
        </is>
      </c>
      <c r="G13" s="71" t="inlineStr">
        <is>
          <t>Matthew IRA Avail</t>
        </is>
      </c>
      <c r="H13" s="71" t="inlineStr">
        <is>
          <t>Patricia IRA Avail</t>
        </is>
      </c>
      <c r="I13" s="71" t="inlineStr">
        <is>
          <t>Non-Roth Surplus</t>
        </is>
      </c>
      <c r="J13" s="72" t="inlineStr">
        <is>
          <t>Conversion</t>
        </is>
      </c>
      <c r="K13" s="71" t="inlineStr">
        <is>
          <t>Primary Binding Limit</t>
        </is>
      </c>
      <c r="L13" s="71" t="inlineStr">
        <is>
          <t>Secondary Binding Limit</t>
        </is>
      </c>
      <c r="M13" s="72" t="inlineStr">
        <is>
          <t>Post-Conv AGI</t>
        </is>
      </c>
      <c r="N13" s="71" t="inlineStr">
        <is>
          <t>IRMAA Thr</t>
        </is>
      </c>
      <c r="O13" s="72" t="inlineStr">
        <is>
          <t>Status</t>
        </is>
      </c>
    </row>
    <row r="14" ht="90" customHeight="1">
      <c r="A14" s="73" t="n">
        <v>2026</v>
      </c>
      <c r="B14" s="41" t="inlineStr">
        <is>
          <t>Forced</t>
        </is>
      </c>
      <c r="C14" s="12" t="inlineStr">
        <is>
          <t>Patricia IRA $125,000→Patricia Roth (forced)</t>
        </is>
      </c>
      <c r="D14" s="27" t="n">
        <v>0</v>
      </c>
      <c r="E14" s="27" t="n">
        <v>0</v>
      </c>
      <c r="F14" s="27" t="n">
        <v>0</v>
      </c>
      <c r="G14" s="27" t="n">
        <v>0</v>
      </c>
      <c r="H14" s="27" t="n">
        <v>0</v>
      </c>
      <c r="I14" s="27" t="n">
        <v>0</v>
      </c>
      <c r="J14" s="28" t="n">
        <v>125000</v>
      </c>
      <c r="K14" s="12" t="inlineStr">
        <is>
          <t>Forced action</t>
        </is>
      </c>
      <c r="L14" s="12" t="inlineStr">
        <is>
          <t>User-entered forced action</t>
        </is>
      </c>
      <c r="M14" s="27" t="n">
        <v>447372.89762428</v>
      </c>
      <c r="N14" s="27" t="n">
        <v>268000</v>
      </c>
      <c r="O14" s="74" t="inlineStr">
        <is>
          <t>★ FORCED</t>
        </is>
      </c>
    </row>
    <row r="15" ht="75" customHeight="1">
      <c r="A15" s="73" t="n">
        <v>2027</v>
      </c>
      <c r="B15" s="41" t="inlineStr">
        <is>
          <t>Voluntary</t>
        </is>
      </c>
      <c r="C15" s="12" t="inlineStr">
        <is>
          <t>Patricia IRA $228,915→Patricia Roth</t>
        </is>
      </c>
      <c r="D15" s="27" t="n">
        <v>44444.51548213138</v>
      </c>
      <c r="E15" s="27" t="n">
        <v>215050.68</v>
      </c>
      <c r="F15" s="27" t="n">
        <v>170606.1645178686</v>
      </c>
      <c r="G15" s="27" t="n">
        <v>1398947.022424043</v>
      </c>
      <c r="H15" s="27" t="n">
        <v>345846.0533732587</v>
      </c>
      <c r="I15" s="27" t="n">
        <v>136583.6286349621</v>
      </c>
      <c r="J15" s="28" t="n">
        <v>228915.4845178686</v>
      </c>
      <c r="K15" s="12" t="inlineStr">
        <is>
          <t>Tier 2</t>
        </is>
      </c>
      <c r="L15" s="12" t="inlineStr">
        <is>
          <t>IRA balance</t>
        </is>
      </c>
      <c r="M15" s="27" t="n">
        <v>273360</v>
      </c>
      <c r="N15" s="27" t="n">
        <v>273360</v>
      </c>
      <c r="O15" s="75" t="inlineStr">
        <is>
          <t>✓ OK</t>
        </is>
      </c>
    </row>
    <row r="16" ht="90" customHeight="1">
      <c r="A16" s="73" t="n">
        <v>2028</v>
      </c>
      <c r="B16" s="41" t="inlineStr">
        <is>
          <t>Voluntary</t>
        </is>
      </c>
      <c r="C16" s="12" t="inlineStr">
        <is>
          <t>Patricia IRA $123,946→Patricia Roth + Matthew 401k $29,292→Matthew Roth + Matthew IRA $64,260→Matthew Roth</t>
        </is>
      </c>
      <c r="D16" s="27" t="n">
        <v>61328.21311746868</v>
      </c>
      <c r="E16" s="27" t="n">
        <v>219351.6936</v>
      </c>
      <c r="F16" s="27" t="n">
        <v>158023.4804825314</v>
      </c>
      <c r="G16" s="27" t="n">
        <v>1482883.819134008</v>
      </c>
      <c r="H16" s="27" t="n">
        <v>123946.4009275645</v>
      </c>
      <c r="I16" s="27" t="n">
        <v>-117791.8502149378</v>
      </c>
      <c r="J16" s="28" t="n">
        <v>217498.9868825313</v>
      </c>
      <c r="K16" s="12" t="inlineStr">
        <is>
          <t>Tier 2</t>
        </is>
      </c>
      <c r="L16" s="12" t="inlineStr">
        <is>
          <t>IRA balance</t>
        </is>
      </c>
      <c r="M16" s="27" t="n">
        <v>278827.2</v>
      </c>
      <c r="N16" s="27" t="n">
        <v>278827.2</v>
      </c>
      <c r="O16" s="75" t="inlineStr">
        <is>
          <t>✓ OK</t>
        </is>
      </c>
    </row>
    <row r="17" ht="75" customHeight="1">
      <c r="A17" s="73" t="n">
        <v>2029</v>
      </c>
      <c r="B17" s="41" t="inlineStr">
        <is>
          <t>Voluntary</t>
        </is>
      </c>
      <c r="C17" s="12" t="inlineStr">
        <is>
          <t>Matthew IRA $145,661→Matthew Roth</t>
        </is>
      </c>
      <c r="D17" s="27" t="n">
        <v>138743.0690029636</v>
      </c>
      <c r="E17" s="27" t="n">
        <v>223738.727472</v>
      </c>
      <c r="F17" s="27" t="n">
        <v>84995.6584690364</v>
      </c>
      <c r="G17" s="27" t="n">
        <v>1233528.006942952</v>
      </c>
      <c r="H17" s="27" t="n">
        <v>0</v>
      </c>
      <c r="I17" s="27" t="n">
        <v>-99442.49699374211</v>
      </c>
      <c r="J17" s="28" t="n">
        <v>145660.6749970365</v>
      </c>
      <c r="K17" s="12" t="inlineStr">
        <is>
          <t>Tier 2</t>
        </is>
      </c>
      <c r="L17" s="12" t="inlineStr">
        <is>
          <t>IRA balance</t>
        </is>
      </c>
      <c r="M17" s="27" t="n">
        <v>281484.7492599302</v>
      </c>
      <c r="N17" s="27" t="n">
        <v>284403.7440000001</v>
      </c>
      <c r="O17" s="75" t="inlineStr">
        <is>
          <t>✓ OK</t>
        </is>
      </c>
    </row>
    <row r="18" ht="75" customHeight="1">
      <c r="A18" s="73" t="n">
        <v>2030</v>
      </c>
      <c r="B18" s="41" t="inlineStr">
        <is>
          <t>Voluntary</t>
        </is>
      </c>
      <c r="C18" s="12" t="inlineStr">
        <is>
          <t>Matthew IRA $155,297→Matthew Roth</t>
        </is>
      </c>
      <c r="D18" s="27" t="n">
        <v>134794.3354959987</v>
      </c>
      <c r="E18" s="27" t="n">
        <v>228213.50202144</v>
      </c>
      <c r="F18" s="27" t="n">
        <v>93419.16652544131</v>
      </c>
      <c r="G18" s="27" t="n">
        <v>968288.2612224719</v>
      </c>
      <c r="H18" s="27" t="n">
        <v>0</v>
      </c>
      <c r="I18" s="27" t="n">
        <v>-43834.93853854621</v>
      </c>
      <c r="J18" s="28" t="n">
        <v>155297.4833840013</v>
      </c>
      <c r="K18" s="12" t="inlineStr">
        <is>
          <t>Tier 2</t>
        </is>
      </c>
      <c r="L18" s="12" t="inlineStr">
        <is>
          <t>IRA balance</t>
        </is>
      </c>
      <c r="M18" s="27" t="n">
        <v>287184.5138177453</v>
      </c>
      <c r="N18" s="27" t="n">
        <v>290091.81888</v>
      </c>
      <c r="O18" s="75" t="inlineStr">
        <is>
          <t>✓ OK</t>
        </is>
      </c>
    </row>
    <row r="19" ht="75" customHeight="1">
      <c r="A19" s="73" t="n">
        <v>2031</v>
      </c>
      <c r="B19" s="41" t="inlineStr">
        <is>
          <t>Voluntary</t>
        </is>
      </c>
      <c r="C19" s="12" t="inlineStr">
        <is>
          <t>Matthew IRA $125,267→Matthew Roth</t>
        </is>
      </c>
      <c r="D19" s="27" t="n">
        <v>170626.4476207162</v>
      </c>
      <c r="E19" s="27" t="n">
        <v>232777.7720618688</v>
      </c>
      <c r="F19" s="27" t="n">
        <v>62151.3244411526</v>
      </c>
      <c r="G19" s="27" t="n">
        <v>749921.4817017267</v>
      </c>
      <c r="H19" s="27" t="n">
        <v>0</v>
      </c>
      <c r="I19" s="27" t="n">
        <v>-51921.79610448479</v>
      </c>
      <c r="J19" s="28" t="n">
        <v>125267.2076368838</v>
      </c>
      <c r="K19" s="12" t="inlineStr">
        <is>
          <t>Tier 2</t>
        </is>
      </c>
      <c r="L19" s="12" t="inlineStr">
        <is>
          <t>IRA balance</t>
        </is>
      </c>
      <c r="M19" s="27" t="n">
        <v>292997.574795145</v>
      </c>
      <c r="N19" s="27" t="n">
        <v>295893.6552576</v>
      </c>
      <c r="O19" s="75" t="inlineStr">
        <is>
          <t>✓ OK</t>
        </is>
      </c>
    </row>
    <row r="20" ht="75" customHeight="1">
      <c r="A20" s="73" t="n">
        <v>2032</v>
      </c>
      <c r="B20" s="41" t="inlineStr">
        <is>
          <t>Voluntary</t>
        </is>
      </c>
      <c r="C20" s="12" t="inlineStr">
        <is>
          <t>Matthew IRA $108,908→Matthew Roth</t>
        </is>
      </c>
      <c r="D20" s="27" t="n">
        <v>192903.0383062721</v>
      </c>
      <c r="E20" s="27" t="n">
        <v>237433.3275031062</v>
      </c>
      <c r="F20" s="27" t="n">
        <v>44530.28919683411</v>
      </c>
      <c r="G20" s="27" t="n">
        <v>562257.0724691423</v>
      </c>
      <c r="H20" s="27" t="n">
        <v>0</v>
      </c>
      <c r="I20" s="27" t="n">
        <v>-135068.4682991199</v>
      </c>
      <c r="J20" s="28" t="n">
        <v>108908.4900564799</v>
      </c>
      <c r="K20" s="12" t="inlineStr">
        <is>
          <t>Tier 2</t>
        </is>
      </c>
      <c r="L20" s="12" t="inlineStr">
        <is>
          <t>IRA balance</t>
        </is>
      </c>
      <c r="M20" s="27" t="n">
        <v>298925.9473851025</v>
      </c>
      <c r="N20" s="27" t="n">
        <v>301811.528362752</v>
      </c>
      <c r="O20" s="75" t="inlineStr">
        <is>
          <t>✓ OK</t>
        </is>
      </c>
    </row>
    <row r="21" ht="75" customHeight="1">
      <c r="A21" s="73" t="n">
        <v>2033</v>
      </c>
      <c r="B21" s="41" t="inlineStr">
        <is>
          <t>Voluntary</t>
        </is>
      </c>
      <c r="C21" s="12" t="inlineStr">
        <is>
          <t>Matthew IRA $116,223→Matthew Roth</t>
        </is>
      </c>
      <c r="D21" s="27" t="n">
        <v>191624.3125698421</v>
      </c>
      <c r="E21" s="27" t="n">
        <v>242181.9940531683</v>
      </c>
      <c r="F21" s="27" t="n">
        <v>50557.68148332619</v>
      </c>
      <c r="G21" s="27" t="n">
        <v>270531.9245150437</v>
      </c>
      <c r="H21" s="27" t="n">
        <v>0</v>
      </c>
      <c r="I21" s="27" t="n">
        <v>-42433.87273025494</v>
      </c>
      <c r="J21" s="28" t="n">
        <v>116223.4463601649</v>
      </c>
      <c r="K21" s="12" t="inlineStr">
        <is>
          <t>Tier 2</t>
        </is>
      </c>
      <c r="L21" s="12" t="inlineStr">
        <is>
          <t>IRA balance</t>
        </is>
      </c>
      <c r="M21" s="27" t="n">
        <v>304971.9815625441</v>
      </c>
      <c r="N21" s="27" t="n">
        <v>307847.7589300071</v>
      </c>
      <c r="O21" s="75" t="inlineStr">
        <is>
          <t>✓ OK</t>
        </is>
      </c>
    </row>
    <row r="22" ht="60" customHeight="1">
      <c r="A22" s="73" t="n">
        <v>2034</v>
      </c>
      <c r="B22" s="41" t="inlineStr">
        <is>
          <t>Voluntary</t>
        </is>
      </c>
      <c r="C22" s="12" t="inlineStr">
        <is>
          <t>Matthew IRA $81,362→Matthew Roth</t>
        </is>
      </c>
      <c r="D22" s="27" t="n">
        <v>190410.5330882793</v>
      </c>
      <c r="E22" s="27" t="n">
        <v>247025.6339342317</v>
      </c>
      <c r="F22" s="27" t="n">
        <v>56615.1008459524</v>
      </c>
      <c r="G22" s="27" t="n">
        <v>81362.27163218954</v>
      </c>
      <c r="H22" s="27" t="n">
        <v>0</v>
      </c>
      <c r="I22" s="27" t="n">
        <v>-109354.5149006441</v>
      </c>
      <c r="J22" s="28" t="n">
        <v>81362.27163218954</v>
      </c>
      <c r="K22" s="12" t="inlineStr">
        <is>
          <t>IRA balance</t>
        </is>
      </c>
      <c r="L22" s="12" t="inlineStr">
        <is>
          <t>Annual IRA percentage cap</t>
        </is>
      </c>
      <c r="M22" s="27" t="n">
        <v>268906.1633201263</v>
      </c>
      <c r="N22" s="27" t="n">
        <v>314004.7141086072</v>
      </c>
      <c r="O22" s="75" t="inlineStr">
        <is>
          <t>✓ OK</t>
        </is>
      </c>
    </row>
    <row r="23" ht="45" customHeight="1">
      <c r="A23" s="73" t="n">
        <v>2035</v>
      </c>
      <c r="B23" s="41" t="inlineStr">
        <is>
          <t>—</t>
        </is>
      </c>
      <c r="C23" s="12" t="inlineStr">
        <is>
          <t>—</t>
        </is>
      </c>
      <c r="D23" s="27" t="n">
        <v>194639.0493012519</v>
      </c>
      <c r="E23" s="27" t="n">
        <v>251966.1466129163</v>
      </c>
      <c r="F23" s="27" t="n">
        <v>57327.09731166446</v>
      </c>
      <c r="G23" s="27" t="n">
        <v>0</v>
      </c>
      <c r="H23" s="27" t="n">
        <v>0</v>
      </c>
      <c r="I23" s="27" t="n">
        <v>-77054.9195769548</v>
      </c>
      <c r="J23" s="27" t="n">
        <v>0</v>
      </c>
      <c r="K23" s="12" t="inlineStr">
        <is>
          <t>—</t>
        </is>
      </c>
      <c r="L23" s="12" t="inlineStr">
        <is>
          <t>—</t>
        </is>
      </c>
      <c r="M23" s="27" t="n">
        <v>191780.9034798605</v>
      </c>
      <c r="N23" s="27" t="n">
        <v>320284.8083907794</v>
      </c>
      <c r="O23" s="76" t="inlineStr">
        <is>
          <t>No non-Roth surplus</t>
        </is>
      </c>
    </row>
    <row r="24" ht="45" customHeight="1">
      <c r="A24" s="73" t="n">
        <v>2036</v>
      </c>
      <c r="B24" s="41" t="inlineStr">
        <is>
          <t>—</t>
        </is>
      </c>
      <c r="C24" s="12" t="inlineStr">
        <is>
          <t>—</t>
        </is>
      </c>
      <c r="D24" s="27" t="n">
        <v>0</v>
      </c>
      <c r="E24" s="27" t="n">
        <v>0</v>
      </c>
      <c r="F24" s="27" t="n">
        <v>0</v>
      </c>
      <c r="G24" s="27" t="n">
        <v>0</v>
      </c>
      <c r="H24" s="27" t="n">
        <v>0</v>
      </c>
      <c r="I24" s="27" t="n">
        <v>0</v>
      </c>
      <c r="J24" s="27" t="n">
        <v>0</v>
      </c>
      <c r="K24" s="12" t="inlineStr">
        <is>
          <t>—</t>
        </is>
      </c>
      <c r="L24" s="12" t="inlineStr">
        <is>
          <t>—</t>
        </is>
      </c>
      <c r="M24" s="27" t="n">
        <v>201030.8325321935</v>
      </c>
      <c r="N24" s="27" t="n">
        <v>326690.504558595</v>
      </c>
      <c r="O24" s="76" t="inlineStr">
        <is>
          <t>AGI &gt; target bracket</t>
        </is>
      </c>
    </row>
    <row r="25" ht="45" customHeight="1">
      <c r="A25" s="73" t="n">
        <v>2037</v>
      </c>
      <c r="B25" s="41" t="inlineStr">
        <is>
          <t>—</t>
        </is>
      </c>
      <c r="C25" s="12" t="inlineStr">
        <is>
          <t>—</t>
        </is>
      </c>
      <c r="D25" s="27" t="n">
        <v>0</v>
      </c>
      <c r="E25" s="27" t="n">
        <v>0</v>
      </c>
      <c r="F25" s="27" t="n">
        <v>0</v>
      </c>
      <c r="G25" s="27" t="n">
        <v>0</v>
      </c>
      <c r="H25" s="27" t="n">
        <v>0</v>
      </c>
      <c r="I25" s="27" t="n">
        <v>0</v>
      </c>
      <c r="J25" s="27" t="n">
        <v>0</v>
      </c>
      <c r="K25" s="12" t="inlineStr">
        <is>
          <t>—</t>
        </is>
      </c>
      <c r="L25" s="12" t="inlineStr">
        <is>
          <t>—</t>
        </is>
      </c>
      <c r="M25" s="27" t="n">
        <v>201336.0152089051</v>
      </c>
      <c r="N25" s="27" t="n">
        <v>333224.3146497668</v>
      </c>
      <c r="O25" s="19" t="inlineStr">
        <is>
          <t>Post-RMD — no conv</t>
        </is>
      </c>
    </row>
    <row r="26" ht="45" customHeight="1">
      <c r="A26" s="73" t="n">
        <v>2038</v>
      </c>
      <c r="B26" s="41" t="inlineStr">
        <is>
          <t>—</t>
        </is>
      </c>
      <c r="C26" s="12" t="inlineStr">
        <is>
          <t>—</t>
        </is>
      </c>
      <c r="D26" s="27" t="n">
        <v>0</v>
      </c>
      <c r="E26" s="27" t="n">
        <v>0</v>
      </c>
      <c r="F26" s="27" t="n">
        <v>0</v>
      </c>
      <c r="G26" s="27" t="n">
        <v>0</v>
      </c>
      <c r="H26" s="27" t="n">
        <v>0</v>
      </c>
      <c r="I26" s="27" t="n">
        <v>0</v>
      </c>
      <c r="J26" s="27" t="n">
        <v>0</v>
      </c>
      <c r="K26" s="12" t="inlineStr">
        <is>
          <t>—</t>
        </is>
      </c>
      <c r="L26" s="12" t="inlineStr">
        <is>
          <t>—</t>
        </is>
      </c>
      <c r="M26" s="27" t="n">
        <v>201762.1732600342</v>
      </c>
      <c r="N26" s="27" t="n">
        <v>339888.8009427622</v>
      </c>
      <c r="O26" s="19" t="inlineStr">
        <is>
          <t>Post-RMD — no conv</t>
        </is>
      </c>
    </row>
    <row r="27" ht="45" customHeight="1">
      <c r="A27" s="73" t="n">
        <v>2039</v>
      </c>
      <c r="B27" s="41" t="inlineStr">
        <is>
          <t>—</t>
        </is>
      </c>
      <c r="C27" s="12" t="inlineStr">
        <is>
          <t>—</t>
        </is>
      </c>
      <c r="D27" s="27" t="n">
        <v>0</v>
      </c>
      <c r="E27" s="27" t="n">
        <v>0</v>
      </c>
      <c r="F27" s="27" t="n">
        <v>0</v>
      </c>
      <c r="G27" s="27" t="n">
        <v>0</v>
      </c>
      <c r="H27" s="27" t="n">
        <v>0</v>
      </c>
      <c r="I27" s="27" t="n">
        <v>0</v>
      </c>
      <c r="J27" s="27" t="n">
        <v>0</v>
      </c>
      <c r="K27" s="12" t="inlineStr">
        <is>
          <t>—</t>
        </is>
      </c>
      <c r="L27" s="12" t="inlineStr">
        <is>
          <t>—</t>
        </is>
      </c>
      <c r="M27" s="27" t="n">
        <v>202331.3407241465</v>
      </c>
      <c r="N27" s="27" t="n">
        <v>346686.5769616175</v>
      </c>
      <c r="O27" s="19" t="inlineStr">
        <is>
          <t>Post-RMD — no conv</t>
        </is>
      </c>
    </row>
    <row r="28" ht="45" customHeight="1">
      <c r="A28" s="73" t="n">
        <v>2040</v>
      </c>
      <c r="B28" s="41" t="inlineStr">
        <is>
          <t>—</t>
        </is>
      </c>
      <c r="C28" s="12" t="inlineStr">
        <is>
          <t>—</t>
        </is>
      </c>
      <c r="D28" s="27" t="n">
        <v>0</v>
      </c>
      <c r="E28" s="27" t="n">
        <v>0</v>
      </c>
      <c r="F28" s="27" t="n">
        <v>0</v>
      </c>
      <c r="G28" s="27" t="n">
        <v>0</v>
      </c>
      <c r="H28" s="27" t="n">
        <v>0</v>
      </c>
      <c r="I28" s="27" t="n">
        <v>0</v>
      </c>
      <c r="J28" s="27" t="n">
        <v>0</v>
      </c>
      <c r="K28" s="12" t="inlineStr">
        <is>
          <t>—</t>
        </is>
      </c>
      <c r="L28" s="12" t="inlineStr">
        <is>
          <t>—</t>
        </is>
      </c>
      <c r="M28" s="27" t="n">
        <v>203037.3005108291</v>
      </c>
      <c r="N28" s="27" t="n">
        <v>353620.3085008498</v>
      </c>
      <c r="O28" s="19" t="inlineStr">
        <is>
          <t>Post-RMD — no conv</t>
        </is>
      </c>
    </row>
    <row r="29" ht="45" customHeight="1">
      <c r="A29" s="73" t="n">
        <v>2041</v>
      </c>
      <c r="B29" s="41" t="inlineStr">
        <is>
          <t>—</t>
        </is>
      </c>
      <c r="C29" s="12" t="inlineStr">
        <is>
          <t>—</t>
        </is>
      </c>
      <c r="D29" s="27" t="n">
        <v>0</v>
      </c>
      <c r="E29" s="27" t="n">
        <v>0</v>
      </c>
      <c r="F29" s="27" t="n">
        <v>0</v>
      </c>
      <c r="G29" s="27" t="n">
        <v>0</v>
      </c>
      <c r="H29" s="27" t="n">
        <v>0</v>
      </c>
      <c r="I29" s="27" t="n">
        <v>0</v>
      </c>
      <c r="J29" s="27" t="n">
        <v>0</v>
      </c>
      <c r="K29" s="12" t="inlineStr">
        <is>
          <t>—</t>
        </is>
      </c>
      <c r="L29" s="12" t="inlineStr">
        <is>
          <t>—</t>
        </is>
      </c>
      <c r="M29" s="27" t="n">
        <v>203874.2221921518</v>
      </c>
      <c r="N29" s="27" t="n">
        <v>360692.7146708668</v>
      </c>
      <c r="O29" s="19" t="inlineStr">
        <is>
          <t>Post-RMD — no conv</t>
        </is>
      </c>
    </row>
    <row r="30"/>
    <row r="31" ht="45" customHeight="1">
      <c r="A31" s="11" t="inlineStr">
        <is>
          <t>Total Conversions in Displayed Window: $1,304,134</t>
        </is>
      </c>
      <c r="B31" s="3" t="n"/>
      <c r="C31" s="3" t="n"/>
      <c r="D31" s="3" t="n"/>
      <c r="E31" s="3" t="n"/>
      <c r="F31" s="3" t="n"/>
      <c r="G31" s="3" t="n"/>
      <c r="H31" s="4" t="n"/>
      <c r="I31" s="11" t="inlineStr">
        <is>
          <t>Forced</t>
        </is>
      </c>
      <c r="J31" s="77" t="n">
        <v>125000</v>
      </c>
      <c r="K31" s="11" t="inlineStr">
        <is>
          <t>Voluntary</t>
        </is>
      </c>
      <c r="L31" s="77" t="n">
        <v>1179134.045467156</v>
      </c>
      <c r="M31" s="11" t="inlineStr">
        <is>
          <t>Grand Total</t>
        </is>
      </c>
      <c r="N31" s="77" t="n">
        <v>1304134.045467156</v>
      </c>
    </row>
    <row r="32"/>
    <row r="33" ht="15" customHeight="1">
      <c r="A33" s="10" t="inlineStr">
        <is>
          <t>Conversion Strategy — Key Rules</t>
        </is>
      </c>
      <c r="B33" s="3" t="n"/>
      <c r="C33" s="3" t="n"/>
      <c r="D33" s="3" t="n"/>
      <c r="E33" s="3" t="n"/>
      <c r="F33" s="3" t="n"/>
      <c r="G33" s="3" t="n"/>
      <c r="H33" s="3" t="n"/>
      <c r="I33" s="3" t="n"/>
      <c r="J33" s="3" t="n"/>
      <c r="K33" s="3" t="n"/>
      <c r="L33" s="3" t="n"/>
      <c r="M33" s="3" t="n"/>
      <c r="N33" s="3" t="n"/>
      <c r="O33" s="4" t="n"/>
    </row>
    <row r="34" ht="30" customHeight="1">
      <c r="A34" s="12" t="inlineStr">
        <is>
          <t>• The workbook renders Roth narrative, strategy labels, candidate ranking, and schedule totals from the canonical RothStrategyResult contract.</t>
        </is>
      </c>
      <c r="B34" s="3" t="n"/>
      <c r="C34" s="3" t="n"/>
      <c r="D34" s="3" t="n"/>
      <c r="E34" s="3" t="n"/>
      <c r="F34" s="3" t="n"/>
      <c r="G34" s="3" t="n"/>
      <c r="H34" s="3" t="n"/>
      <c r="I34" s="3" t="n"/>
      <c r="J34" s="3" t="n"/>
      <c r="K34" s="3" t="n"/>
      <c r="L34" s="3" t="n"/>
      <c r="M34" s="3" t="n"/>
      <c r="N34" s="3" t="n"/>
      <c r="O34" s="4" t="n"/>
    </row>
    <row r="35" ht="30" customHeight="1">
      <c r="A35" s="12" t="inlineStr">
        <is>
          <t>• The selected strategy can differ from the lowest-tax or highest-terminal-wealth candidate because Balanced Retirement also scores estate-tax exposure, survivor tax risk, Roth legacy value, liquidity, and guardrail compliance.</t>
        </is>
      </c>
      <c r="B35" s="3" t="n"/>
      <c r="C35" s="3" t="n"/>
      <c r="D35" s="3" t="n"/>
      <c r="E35" s="3" t="n"/>
      <c r="F35" s="3" t="n"/>
      <c r="G35" s="3" t="n"/>
      <c r="H35" s="3" t="n"/>
      <c r="I35" s="3" t="n"/>
      <c r="J35" s="3" t="n"/>
      <c r="K35" s="3" t="n"/>
      <c r="L35" s="3" t="n"/>
      <c r="M35" s="3" t="n"/>
      <c r="N35" s="3" t="n"/>
      <c r="O35" s="4" t="n"/>
    </row>
    <row r="36" ht="30" customHeight="1">
      <c r="A36" s="12" t="inlineStr">
        <is>
          <t>• Primary and secondary constraint columns show the binding cap and next-nearest cap for each year, such as target bracket, IRMAA tier, IRA balance, annual IRA percentage cap, fixed dollar amount, or forced action.</t>
        </is>
      </c>
      <c r="B36" s="3" t="n"/>
      <c r="C36" s="3" t="n"/>
      <c r="D36" s="3" t="n"/>
      <c r="E36" s="3" t="n"/>
      <c r="F36" s="3" t="n"/>
      <c r="G36" s="3" t="n"/>
      <c r="H36" s="3" t="n"/>
      <c r="I36" s="3" t="n"/>
      <c r="J36" s="3" t="n"/>
      <c r="K36" s="3" t="n"/>
      <c r="L36" s="3" t="n"/>
      <c r="M36" s="3" t="n"/>
      <c r="N36" s="3" t="n"/>
      <c r="O36" s="4" t="n"/>
    </row>
    <row r="37" ht="15" customHeight="1">
      <c r="A37" s="12" t="inlineStr">
        <is>
          <t>• Current configurable headroom defaults: tax bracket 100%, IRMAA 100%, annual IRA percentage cap 100%.</t>
        </is>
      </c>
      <c r="B37" s="3" t="n"/>
      <c r="C37" s="3" t="n"/>
      <c r="D37" s="3" t="n"/>
      <c r="E37" s="3" t="n"/>
      <c r="F37" s="3" t="n"/>
      <c r="G37" s="3" t="n"/>
      <c r="H37" s="3" t="n"/>
      <c r="I37" s="3" t="n"/>
      <c r="J37" s="3" t="n"/>
      <c r="K37" s="3" t="n"/>
      <c r="L37" s="3" t="n"/>
      <c r="M37" s="3" t="n"/>
      <c r="N37" s="3" t="n"/>
      <c r="O37" s="4" t="n"/>
    </row>
    <row r="38" ht="15" customHeight="1">
      <c r="A38" s="12" t="inlineStr">
        <is>
          <t>• Current explicit conversion-window cap: 10 year(s), also bounded by the RMD-age window.</t>
        </is>
      </c>
      <c r="B38" s="3" t="n"/>
      <c r="C38" s="3" t="n"/>
      <c r="D38" s="3" t="n"/>
      <c r="E38" s="3" t="n"/>
      <c r="F38" s="3" t="n"/>
      <c r="G38" s="3" t="n"/>
      <c r="H38" s="3" t="n"/>
      <c r="I38" s="3" t="n"/>
      <c r="J38" s="3" t="n"/>
      <c r="K38" s="3" t="n"/>
      <c r="L38" s="3" t="n"/>
      <c r="M38" s="3" t="n"/>
      <c r="N38" s="3" t="n"/>
      <c r="O38" s="4" t="n"/>
    </row>
  </sheetData>
  <mergeCells count="13">
    <mergeCell ref="A12:O12"/>
    <mergeCell ref="B5:N5"/>
    <mergeCell ref="A8:N8"/>
    <mergeCell ref="A3:N3"/>
    <mergeCell ref="A35:O35"/>
    <mergeCell ref="A38:O38"/>
    <mergeCell ref="A34:O34"/>
    <mergeCell ref="A33:O33"/>
    <mergeCell ref="A36:O36"/>
    <mergeCell ref="A37:O37"/>
    <mergeCell ref="B6:N6"/>
    <mergeCell ref="A31:H31"/>
    <mergeCell ref="A1:N1"/>
  </mergeCells>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J324"/>
  <sheetViews>
    <sheetView showGridLines="0" workbookViewId="0">
      <selection activeCell="A1" sqref="A1"/>
    </sheetView>
  </sheetViews>
  <sheetFormatPr baseColWidth="8" defaultRowHeight="15"/>
  <cols>
    <col width="13.9" customWidth="1" min="1" max="1"/>
    <col width="10.2" customWidth="1" min="2" max="2"/>
    <col width="9.5" customWidth="1" min="3" max="3"/>
    <col width="9.5" customWidth="1" min="4" max="4"/>
    <col width="9.5" customWidth="1" min="5" max="5"/>
    <col width="9.1" customWidth="1" min="6" max="6"/>
    <col width="10.6" customWidth="1" min="7" max="7"/>
    <col width="15.3" customWidth="1" min="8" max="8"/>
    <col width="15.3" customWidth="1" min="9" max="9"/>
    <col width="15.3" customWidth="1" min="10" max="10"/>
  </cols>
  <sheetData>
    <row r="1" ht="18" customHeight="1">
      <c r="A1" s="9" t="inlineStr">
        <is>
          <t>ASSET ALLOCATION &amp; LOCATION</t>
        </is>
      </c>
    </row>
    <row r="2" ht="18" customHeight="1">
      <c r="A2" s="10" t="inlineStr">
        <is>
          <t>Asset Allocation Recommendation Source</t>
        </is>
      </c>
      <c r="B2" s="3" t="n"/>
      <c r="C2" s="3" t="n"/>
      <c r="D2" s="3" t="n"/>
      <c r="E2" s="3" t="n"/>
      <c r="F2" s="3" t="n"/>
      <c r="G2" s="3" t="n"/>
      <c r="H2" s="4" t="n"/>
    </row>
    <row r="3" ht="45" customHeight="1">
      <c r="A3" s="78" t="inlineStr">
        <is>
          <t>User-defined allocation</t>
        </is>
      </c>
      <c r="B3" s="12" t="inlineStr">
        <is>
          <t>Selected in the UI and stored in database-backed Plan Data as allocation_selection_mode=user_target; this source drives the selected target %, liquid target-vs-actual table, and rebalance recommendations.</t>
        </is>
      </c>
      <c r="C3" s="3" t="n"/>
      <c r="D3" s="3" t="n"/>
      <c r="E3" s="3" t="n"/>
      <c r="F3" s="3" t="n"/>
      <c r="G3" s="3" t="n"/>
      <c r="H3" s="4" t="n"/>
    </row>
    <row r="4" ht="15" customHeight="1">
      <c r="A4" s="10" t="inlineStr">
        <is>
          <t>Workbook Pricing Source</t>
        </is>
      </c>
      <c r="B4" s="3" t="n"/>
      <c r="C4" s="3" t="n"/>
      <c r="D4" s="3" t="n"/>
      <c r="E4" s="3" t="n"/>
      <c r="F4" s="3" t="n"/>
      <c r="G4" s="3" t="n"/>
      <c r="H4" s="4" t="n"/>
    </row>
    <row r="5" ht="60" customHeight="1">
      <c r="A5" s="78" t="inlineStr">
        <is>
          <t>CACHE — as of 07/03/2026 11:32 AM</t>
        </is>
      </c>
      <c r="B5" s="12" t="inlineStr">
        <is>
          <t>Cached quotes were used as of 07/03/2026 11:32 AM; cache TTL is 24.0 hours. CACHE mode checks the cache before calling live providers; the cache is still valid until 07/04/2026 11:32 AM. Ticker-level source counts: cash: 1, fresh_cache_24h_from_yahoo: 7.</t>
        </is>
      </c>
      <c r="C5" s="3" t="n"/>
      <c r="D5" s="3" t="n"/>
      <c r="E5" s="3" t="n"/>
      <c r="F5" s="3" t="n"/>
      <c r="G5" s="3" t="n"/>
      <c r="H5" s="4" t="n"/>
    </row>
    <row r="6"/>
    <row r="7" ht="15" customHeight="1">
      <c r="A7" s="13" t="inlineStr">
        <is>
          <t>Total Portfolio Mix (Liquid + Non-Liquid)</t>
        </is>
      </c>
      <c r="B7" s="3" t="n"/>
      <c r="C7" s="3" t="n"/>
      <c r="D7" s="3" t="n"/>
      <c r="E7" s="3" t="n"/>
      <c r="F7" s="3" t="n"/>
      <c r="G7" s="3" t="n"/>
      <c r="H7" s="3" t="n"/>
      <c r="I7" s="4" t="n"/>
    </row>
    <row r="8" ht="30" customHeight="1">
      <c r="A8" s="5" t="inlineStr">
        <is>
          <t>Asset Class</t>
        </is>
      </c>
      <c r="B8" s="5" t="inlineStr">
        <is>
          <t>Current Value</t>
        </is>
      </c>
      <c r="C8" s="5" t="inlineStr">
        <is>
          <t>Current %</t>
        </is>
      </c>
      <c r="D8" s="5" t="inlineStr">
        <is>
          <t>After Trades Value</t>
        </is>
      </c>
      <c r="E8" s="5" t="inlineStr">
        <is>
          <t>After Trades %</t>
        </is>
      </c>
      <c r="F8" s="5" t="inlineStr">
        <is>
          <t>Type</t>
        </is>
      </c>
      <c r="G8" s="5" t="inlineStr">
        <is>
          <t>Target %</t>
        </is>
      </c>
      <c r="H8" s="5" t="inlineStr">
        <is>
          <t>Current Status</t>
        </is>
      </c>
      <c r="I8" s="5" t="inlineStr">
        <is>
          <t>After Trade Status</t>
        </is>
      </c>
    </row>
    <row r="9" ht="45" customHeight="1">
      <c r="A9" s="12" t="inlineStr">
        <is>
          <t>US Large Cap</t>
        </is>
      </c>
      <c r="B9" s="79" t="n">
        <v>1357238.41112</v>
      </c>
      <c r="C9" s="80" t="n">
        <v>0.253628988303966</v>
      </c>
      <c r="D9" s="81" t="n">
        <v>1209226.55896</v>
      </c>
      <c r="E9" s="82" t="n">
        <v>0.2259698121321402</v>
      </c>
      <c r="F9" s="12" t="inlineStr">
        <is>
          <t>Liquid</t>
        </is>
      </c>
      <c r="G9" s="80" t="n">
        <v>0.35</v>
      </c>
      <c r="H9" s="12" t="inlineStr">
        <is>
          <t>Under 9.6%</t>
        </is>
      </c>
      <c r="I9" s="75" t="inlineStr">
        <is>
          <t>Under 12.4%</t>
        </is>
      </c>
    </row>
    <row r="10" ht="45" customHeight="1">
      <c r="A10" s="2" t="inlineStr">
        <is>
          <t>Real Estate Coverage (Home Equity)</t>
        </is>
      </c>
      <c r="B10" s="79" t="n">
        <v>1313000</v>
      </c>
      <c r="C10" s="80" t="n">
        <v>0.245362096235032</v>
      </c>
      <c r="D10" s="79" t="n">
        <v>1313000</v>
      </c>
      <c r="E10" s="80" t="n">
        <v>0.245362096235032</v>
      </c>
      <c r="F10" s="74" t="inlineStr">
        <is>
          <t>Non-liquid</t>
        </is>
      </c>
      <c r="G10" s="64" t="inlineStr"/>
      <c r="H10" s="12" t="inlineStr">
        <is>
          <t>Shown for context; no liquid target</t>
        </is>
      </c>
      <c r="I10" s="12" t="inlineStr">
        <is>
          <t>Shown for context; no liquid target</t>
        </is>
      </c>
    </row>
    <row r="11" ht="75" customHeight="1">
      <c r="A11" s="2" t="inlineStr">
        <is>
          <t>Fixed Income Coverage (Pension, Annuities, Note Receivable)</t>
        </is>
      </c>
      <c r="B11" s="79" t="n">
        <v>1274327.16356137</v>
      </c>
      <c r="C11" s="80" t="n">
        <v>0.2381352506783397</v>
      </c>
      <c r="D11" s="79" t="n">
        <v>1274327.16356137</v>
      </c>
      <c r="E11" s="80" t="n">
        <v>0.2381352506783397</v>
      </c>
      <c r="F11" s="74" t="inlineStr">
        <is>
          <t>Non-liquid</t>
        </is>
      </c>
      <c r="G11" s="80" t="n">
        <v>0.2</v>
      </c>
      <c r="H11" s="12" t="inlineStr">
        <is>
          <t>✓ Covered</t>
        </is>
      </c>
      <c r="I11" s="12" t="inlineStr">
        <is>
          <t>✓ Covered</t>
        </is>
      </c>
    </row>
    <row r="12" ht="45" customHeight="1">
      <c r="A12" s="12" t="inlineStr">
        <is>
          <t>International</t>
        </is>
      </c>
      <c r="B12" s="79" t="n">
        <v>910327.1116479998</v>
      </c>
      <c r="C12" s="80" t="n">
        <v>0.1701140657833475</v>
      </c>
      <c r="D12" s="81" t="n">
        <v>690987.1116479998</v>
      </c>
      <c r="E12" s="82" t="n">
        <v>0.129125701588228</v>
      </c>
      <c r="F12" s="12" t="inlineStr">
        <is>
          <t>Liquid</t>
        </is>
      </c>
      <c r="G12" s="80" t="n">
        <v>0.2</v>
      </c>
      <c r="H12" s="12" t="inlineStr">
        <is>
          <t>✓</t>
        </is>
      </c>
      <c r="I12" s="75" t="inlineStr">
        <is>
          <t>Under 7.1%</t>
        </is>
      </c>
    </row>
    <row r="13" ht="45" customHeight="1">
      <c r="A13" s="12" t="inlineStr">
        <is>
          <t>US Small Cap</t>
        </is>
      </c>
      <c r="B13" s="79" t="n">
        <v>309683.143654</v>
      </c>
      <c r="C13" s="80" t="n">
        <v>0.05787091035460776</v>
      </c>
      <c r="D13" s="81" t="n">
        <v>172747.143654</v>
      </c>
      <c r="E13" s="82" t="n">
        <v>0.0322814937437621</v>
      </c>
      <c r="F13" s="12" t="inlineStr">
        <is>
          <t>Liquid</t>
        </is>
      </c>
      <c r="G13" s="80" t="n">
        <v>0.05</v>
      </c>
      <c r="H13" s="12" t="inlineStr">
        <is>
          <t>✓</t>
        </is>
      </c>
      <c r="I13" s="75" t="inlineStr">
        <is>
          <t>✓</t>
        </is>
      </c>
    </row>
    <row r="14" ht="45" customHeight="1">
      <c r="A14" s="12" t="inlineStr">
        <is>
          <t>Commodities</t>
        </is>
      </c>
      <c r="B14" s="79" t="n">
        <v>166714.35</v>
      </c>
      <c r="C14" s="80" t="n">
        <v>0.03115413738648956</v>
      </c>
      <c r="D14" s="81" t="n">
        <v>172746.35</v>
      </c>
      <c r="E14" s="82" t="n">
        <v>0.03228134543255941</v>
      </c>
      <c r="F14" s="12" t="inlineStr">
        <is>
          <t>Liquid</t>
        </is>
      </c>
      <c r="G14" s="80" t="n">
        <v>0.05</v>
      </c>
      <c r="H14" s="12" t="inlineStr">
        <is>
          <t>✓</t>
        </is>
      </c>
      <c r="I14" s="75" t="inlineStr">
        <is>
          <t>✓</t>
        </is>
      </c>
    </row>
    <row r="15" ht="45" customHeight="1">
      <c r="A15" s="12" t="inlineStr">
        <is>
          <t>Cash</t>
        </is>
      </c>
      <c r="B15" s="79" t="n">
        <v>19984.61</v>
      </c>
      <c r="C15" s="80" t="n">
        <v>0.003734551258217504</v>
      </c>
      <c r="D15" s="81" t="n">
        <v>172746.61</v>
      </c>
      <c r="E15" s="82" t="n">
        <v>0.03228139401911312</v>
      </c>
      <c r="F15" s="12" t="inlineStr">
        <is>
          <t>Liquid</t>
        </is>
      </c>
      <c r="G15" s="80" t="n">
        <v>0.05</v>
      </c>
      <c r="H15" s="12" t="inlineStr">
        <is>
          <t>Under 4.6%</t>
        </is>
      </c>
      <c r="I15" s="75" t="inlineStr">
        <is>
          <t>✓</t>
        </is>
      </c>
    </row>
    <row r="16" ht="45" customHeight="1">
      <c r="A16" s="12" t="inlineStr">
        <is>
          <t>Bonds</t>
        </is>
      </c>
      <c r="B16" s="79" t="n">
        <v>0</v>
      </c>
      <c r="C16" s="80" t="n">
        <v>0</v>
      </c>
      <c r="D16" s="79" t="n">
        <v>0</v>
      </c>
      <c r="E16" s="80" t="n">
        <v>0</v>
      </c>
      <c r="F16" s="12" t="inlineStr">
        <is>
          <t>Liquid</t>
        </is>
      </c>
      <c r="G16" s="80" t="n">
        <v>0.15</v>
      </c>
      <c r="H16" s="12" t="inlineStr">
        <is>
          <t>✓ Covered by fixed-income coverage</t>
        </is>
      </c>
      <c r="I16" s="12" t="inlineStr">
        <is>
          <t>✓ Covered by fixed-income coverage</t>
        </is>
      </c>
    </row>
    <row r="17" ht="45" customHeight="1">
      <c r="A17" s="12" t="inlineStr">
        <is>
          <t>Emerging Markets</t>
        </is>
      </c>
      <c r="B17" s="79" t="n">
        <v>0</v>
      </c>
      <c r="C17" s="80" t="n">
        <v>0</v>
      </c>
      <c r="D17" s="81" t="n">
        <v>172747</v>
      </c>
      <c r="E17" s="82" t="n">
        <v>0.03228146689894369</v>
      </c>
      <c r="F17" s="12" t="inlineStr">
        <is>
          <t>Liquid</t>
        </is>
      </c>
      <c r="G17" s="80" t="n">
        <v>0.05</v>
      </c>
      <c r="H17" s="12" t="inlineStr">
        <is>
          <t>Under 5.0%</t>
        </is>
      </c>
      <c r="I17" s="75" t="inlineStr">
        <is>
          <t>✓</t>
        </is>
      </c>
    </row>
    <row r="18" ht="45" customHeight="1">
      <c r="A18" s="12" t="inlineStr">
        <is>
          <t>Municipal Bonds</t>
        </is>
      </c>
      <c r="B18" s="79" t="n">
        <v>0</v>
      </c>
      <c r="C18" s="80" t="n">
        <v>0</v>
      </c>
      <c r="D18" s="79" t="n">
        <v>0</v>
      </c>
      <c r="E18" s="80" t="n">
        <v>0</v>
      </c>
      <c r="F18" s="12" t="inlineStr">
        <is>
          <t>Liquid</t>
        </is>
      </c>
      <c r="G18" s="64" t="inlineStr"/>
      <c r="H18" s="12" t="inlineStr">
        <is>
          <t>✓ Covered by fixed-income coverage</t>
        </is>
      </c>
      <c r="I18" s="12" t="inlineStr">
        <is>
          <t>✓ Covered by fixed-income coverage</t>
        </is>
      </c>
    </row>
    <row r="19" ht="15" customHeight="1">
      <c r="A19" s="12" t="inlineStr">
        <is>
          <t>REITs</t>
        </is>
      </c>
      <c r="B19" s="79" t="n">
        <v>0</v>
      </c>
      <c r="C19" s="80" t="n">
        <v>0</v>
      </c>
      <c r="D19" s="79" t="n">
        <v>0</v>
      </c>
      <c r="E19" s="80" t="n">
        <v>0</v>
      </c>
      <c r="F19" s="12" t="inlineStr">
        <is>
          <t>Liquid</t>
        </is>
      </c>
      <c r="G19" s="64" t="inlineStr"/>
      <c r="H19" s="33" t="inlineStr"/>
      <c r="I19" s="33" t="inlineStr"/>
    </row>
    <row r="20" ht="45" customHeight="1">
      <c r="A20" s="12" t="inlineStr">
        <is>
          <t>Short-Term Bonds</t>
        </is>
      </c>
      <c r="B20" s="79" t="n">
        <v>0</v>
      </c>
      <c r="C20" s="80" t="n">
        <v>0</v>
      </c>
      <c r="D20" s="79" t="n">
        <v>0</v>
      </c>
      <c r="E20" s="80" t="n">
        <v>0</v>
      </c>
      <c r="F20" s="12" t="inlineStr">
        <is>
          <t>Liquid</t>
        </is>
      </c>
      <c r="G20" s="80" t="n">
        <v>0.05</v>
      </c>
      <c r="H20" s="12" t="inlineStr">
        <is>
          <t>✓ Covered by fixed-income coverage</t>
        </is>
      </c>
      <c r="I20" s="12" t="inlineStr">
        <is>
          <t>✓ Covered by fixed-income coverage</t>
        </is>
      </c>
    </row>
    <row r="21" ht="45" customHeight="1">
      <c r="A21" s="12" t="inlineStr">
        <is>
          <t>TIPS</t>
        </is>
      </c>
      <c r="B21" s="79" t="n">
        <v>0</v>
      </c>
      <c r="C21" s="80" t="n">
        <v>0</v>
      </c>
      <c r="D21" s="79" t="n">
        <v>0</v>
      </c>
      <c r="E21" s="80" t="n">
        <v>0</v>
      </c>
      <c r="F21" s="12" t="inlineStr">
        <is>
          <t>Liquid</t>
        </is>
      </c>
      <c r="G21" s="64" t="inlineStr"/>
      <c r="H21" s="12" t="inlineStr">
        <is>
          <t>✓ Covered by fixed-income coverage</t>
        </is>
      </c>
      <c r="I21" s="12" t="inlineStr">
        <is>
          <t>✓ Covered by fixed-income coverage</t>
        </is>
      </c>
    </row>
    <row r="22" ht="45" customHeight="1">
      <c r="A22" s="12" t="inlineStr">
        <is>
          <t>US Mid Cap</t>
        </is>
      </c>
      <c r="B22" s="79" t="n">
        <v>0</v>
      </c>
      <c r="C22" s="80" t="n">
        <v>0</v>
      </c>
      <c r="D22" s="81" t="n">
        <v>172747</v>
      </c>
      <c r="E22" s="82" t="n">
        <v>0.03228146689894369</v>
      </c>
      <c r="F22" s="12" t="inlineStr">
        <is>
          <t>Liquid</t>
        </is>
      </c>
      <c r="G22" s="80" t="n">
        <v>0.05</v>
      </c>
      <c r="H22" s="12" t="inlineStr">
        <is>
          <t>Under 5.0%</t>
        </is>
      </c>
      <c r="I22" s="75" t="inlineStr">
        <is>
          <t>✓</t>
        </is>
      </c>
    </row>
    <row r="23" ht="30" customHeight="1">
      <c r="A23" s="2" t="inlineStr">
        <is>
          <t>TOTAL PORTFOLIO</t>
        </is>
      </c>
      <c r="B23" s="83" t="n">
        <v>5351274.789983369</v>
      </c>
      <c r="C23" s="84" t="n">
        <v>1</v>
      </c>
      <c r="D23" s="83" t="n">
        <v>5351274.789983369</v>
      </c>
      <c r="E23" s="84" t="n">
        <v>1</v>
      </c>
    </row>
    <row r="24"/>
    <row r="25" ht="30" customHeight="1">
      <c r="A25" s="2" t="inlineStr">
        <is>
          <t>Non-Liquid Coverage:</t>
        </is>
      </c>
    </row>
    <row r="26" ht="45" customHeight="1">
      <c r="A26" s="12" t="inlineStr">
        <is>
          <t>Fixed Income Coverage: selected guaranteed/bond-like assets cover 23.8% of total portfolio (target 20%). ✓ Fully covered — no bonds/TIPS/short-term bonds needed in liquid portfolio. Included sources: Pension, Annuities, Note Receivable.</t>
        </is>
      </c>
      <c r="B26" s="3" t="n"/>
      <c r="C26" s="3" t="n"/>
      <c r="D26" s="3" t="n"/>
      <c r="E26" s="3" t="n"/>
      <c r="F26" s="3" t="n"/>
      <c r="G26" s="3" t="n"/>
      <c r="H26" s="3" t="n"/>
      <c r="I26" s="4" t="n"/>
    </row>
    <row r="27" ht="45" customHeight="1">
      <c r="A27" s="12" t="inlineStr">
        <is>
          <t>Real Estate Coverage: home equity is counted toward REIT/real-estate target; coverage equals 24.5% of total portfolio (target 0%). No selected liquid REIT target; home equity is shown for context and is not under target.</t>
        </is>
      </c>
      <c r="B27" s="3" t="n"/>
      <c r="C27" s="3" t="n"/>
      <c r="D27" s="3" t="n"/>
      <c r="E27" s="3" t="n"/>
      <c r="F27" s="3" t="n"/>
      <c r="G27" s="3" t="n"/>
      <c r="H27" s="3" t="n"/>
      <c r="I27" s="4" t="n"/>
    </row>
    <row r="28"/>
    <row r="29" ht="15" customHeight="1">
      <c r="A29" s="10" t="inlineStr">
        <is>
          <t>Allocation Selection and Optimizer Recommendation</t>
        </is>
      </c>
      <c r="B29" s="3" t="n"/>
      <c r="C29" s="3" t="n"/>
      <c r="D29" s="3" t="n"/>
      <c r="E29" s="3" t="n"/>
      <c r="F29" s="4" t="n"/>
    </row>
    <row r="30" ht="45" customHeight="1">
      <c r="A30" s="2" t="inlineStr">
        <is>
          <t>Selected Mode</t>
        </is>
      </c>
      <c r="B30" s="12" t="inlineStr">
        <is>
          <t>Use user-specified allocation</t>
        </is>
      </c>
      <c r="C30" s="12" t="inlineStr">
        <is>
          <t>Toggle in the guided UI between the optimizer recommendation and the user-specified target_pct allocation.</t>
        </is>
      </c>
      <c r="D30" s="3" t="n"/>
      <c r="E30" s="3" t="n"/>
      <c r="F30" s="4" t="n"/>
    </row>
    <row r="31" ht="90" customHeight="1">
      <c r="A31" s="2" t="inlineStr">
        <is>
          <t>Recommendation Source</t>
        </is>
      </c>
      <c r="B31" s="78" t="inlineStr">
        <is>
          <t>User-defined allocation</t>
        </is>
      </c>
      <c r="C31" s="12" t="inlineStr">
        <is>
          <t>Selected in the UI and stored in database-backed Plan Data as allocation_selection_mode=user_target; this source drives the selected target %, liquid target-vs-actual table, and rebalance recommendations.</t>
        </is>
      </c>
      <c r="D31" s="3" t="n"/>
      <c r="E31" s="3" t="n"/>
      <c r="F31" s="4" t="n"/>
    </row>
    <row r="32" ht="90" customHeight="1">
      <c r="A32" s="2" t="inlineStr">
        <is>
          <t>Pricing Source</t>
        </is>
      </c>
      <c r="B32" s="78" t="inlineStr">
        <is>
          <t>CACHE — as of 07/03/2026 11:32 AM</t>
        </is>
      </c>
      <c r="C32" s="12" t="inlineStr">
        <is>
          <t>Cached quotes were used as of 07/03/2026 11:32 AM; cache TTL is 24.0 hours. CACHE mode checks the cache before calling live providers; the cache is still valid until 07/04/2026 11:32 AM. Ticker-level source counts: cash: 1, fresh_cache_24h_from_yahoo: 7.</t>
        </is>
      </c>
      <c r="D32" s="3" t="n"/>
      <c r="E32" s="3" t="n"/>
      <c r="F32" s="4" t="n"/>
    </row>
    <row r="33" ht="90" customHeight="1">
      <c r="A33" s="2" t="inlineStr">
        <is>
          <t>Why consider optimizer?</t>
        </is>
      </c>
      <c r="B33" s="12" t="inlineStr">
        <is>
          <t>Optimizer recommendation is based on risk tolerance or auto risk score, age, withdrawal rate, years to retirement, human-capital stability, guaranteed-income alternate-crediting mappings, home-equity/REIT coverage switches, concentration flags, enabled asset classes, capital-market assumptions, pairwise correlations, glide path, and inflation-sensitive spending. Consider it as a second-opinion allocation because it can account for household-specific risk capacity and diversification relationships that a static target mix cannot see.</t>
        </is>
      </c>
      <c r="C33" s="3" t="n"/>
      <c r="D33" s="3" t="n"/>
      <c r="E33" s="3" t="n"/>
      <c r="F33" s="4" t="n"/>
    </row>
    <row r="34"/>
    <row r="35" ht="30" customHeight="1">
      <c r="A35" s="85" t="inlineStr">
        <is>
          <t>Asset Class</t>
        </is>
      </c>
      <c r="B35" s="85" t="inlineStr">
        <is>
          <t>User Target %</t>
        </is>
      </c>
      <c r="C35" s="85" t="inlineStr">
        <is>
          <t>Optimizer Target %</t>
        </is>
      </c>
      <c r="D35" s="85" t="inlineStr">
        <is>
          <t>Selected Target %</t>
        </is>
      </c>
      <c r="E35" s="5" t="inlineStr">
        <is>
          <t>Comment</t>
        </is>
      </c>
      <c r="F35" s="4" t="n"/>
    </row>
    <row r="36" ht="60" customHeight="1">
      <c r="A36" s="86" t="inlineStr">
        <is>
          <t>Orange italic percentages show the initial target for a class fully satisfied by an alternate existing asset; those covered classes are excluded from the 100% liquid target completeness.</t>
        </is>
      </c>
      <c r="B36" s="3" t="n"/>
      <c r="C36" s="3" t="n"/>
      <c r="D36" s="3" t="n"/>
      <c r="E36" s="3" t="n"/>
      <c r="F36" s="4" t="n"/>
    </row>
    <row r="37" ht="45" customHeight="1">
      <c r="A37" s="12" t="inlineStr">
        <is>
          <t>US Large Cap</t>
        </is>
      </c>
      <c r="B37" s="80" t="n">
        <v>0.4374999999999999</v>
      </c>
      <c r="C37" s="80" t="n">
        <v>0.612712653784277</v>
      </c>
      <c r="D37" s="87" t="n">
        <v>0.4374999999999999</v>
      </c>
      <c r="E37" s="12" t="inlineStr">
        <is>
          <t>Included in selected liquid target recommendation.</t>
        </is>
      </c>
      <c r="F37" s="4" t="n"/>
    </row>
    <row r="38" ht="45" customHeight="1">
      <c r="A38" s="12" t="inlineStr">
        <is>
          <t>US Mid Cap</t>
        </is>
      </c>
      <c r="B38" s="80" t="n">
        <v>0.0625</v>
      </c>
      <c r="C38" s="80" t="n">
        <v>0</v>
      </c>
      <c r="D38" s="87" t="n">
        <v>0.0625</v>
      </c>
      <c r="E38" s="12" t="inlineStr">
        <is>
          <t>Included in selected liquid target recommendation.</t>
        </is>
      </c>
      <c r="F38" s="4" t="n"/>
    </row>
    <row r="39" ht="45" customHeight="1">
      <c r="A39" s="12" t="inlineStr">
        <is>
          <t>US Small Cap</t>
        </is>
      </c>
      <c r="B39" s="80" t="n">
        <v>0.0625</v>
      </c>
      <c r="C39" s="80" t="n">
        <v>0</v>
      </c>
      <c r="D39" s="87" t="n">
        <v>0.0625</v>
      </c>
      <c r="E39" s="12" t="inlineStr">
        <is>
          <t>Included in selected liquid target recommendation.</t>
        </is>
      </c>
      <c r="F39" s="4" t="n"/>
    </row>
    <row r="40" ht="45" customHeight="1">
      <c r="A40" s="12" t="inlineStr">
        <is>
          <t>International</t>
        </is>
      </c>
      <c r="B40" s="80" t="n">
        <v>0.25</v>
      </c>
      <c r="C40" s="80" t="n">
        <v>0.2168060159544365</v>
      </c>
      <c r="D40" s="87" t="n">
        <v>0.25</v>
      </c>
      <c r="E40" s="12" t="inlineStr">
        <is>
          <t>Included in selected liquid target recommendation.</t>
        </is>
      </c>
      <c r="F40" s="4" t="n"/>
    </row>
    <row r="41" ht="45" customHeight="1">
      <c r="A41" s="12" t="inlineStr">
        <is>
          <t>Emerging Markets</t>
        </is>
      </c>
      <c r="B41" s="80" t="n">
        <v>0.0625</v>
      </c>
      <c r="C41" s="80" t="n">
        <v>0</v>
      </c>
      <c r="D41" s="87" t="n">
        <v>0.0625</v>
      </c>
      <c r="E41" s="12" t="inlineStr">
        <is>
          <t>Included in selected liquid target recommendation.</t>
        </is>
      </c>
      <c r="F41" s="4" t="n"/>
    </row>
    <row r="42" ht="45" customHeight="1">
      <c r="A42" s="12" t="inlineStr">
        <is>
          <t>Commodities</t>
        </is>
      </c>
      <c r="B42" s="80" t="n">
        <v>0.0625</v>
      </c>
      <c r="C42" s="80" t="n">
        <v>0.1131161822370973</v>
      </c>
      <c r="D42" s="87" t="n">
        <v>0.0625</v>
      </c>
      <c r="E42" s="12" t="inlineStr">
        <is>
          <t>Included in selected liquid target recommendation.</t>
        </is>
      </c>
      <c r="F42" s="4" t="n"/>
    </row>
    <row r="43" ht="90" customHeight="1">
      <c r="A43" s="12" t="inlineStr">
        <is>
          <t>Bonds</t>
        </is>
      </c>
      <c r="B43" s="88" t="n">
        <v>0.15</v>
      </c>
      <c r="C43" s="88" t="n">
        <v>0.0127757876522447</v>
      </c>
      <c r="D43" s="89" t="n">
        <v>0.15</v>
      </c>
      <c r="E43" s="12" t="inlineStr">
        <is>
          <t>Covered by Pension, Annuities, Note Receivable; initial target is shown but not counted in the 100% liquid recommendation.</t>
        </is>
      </c>
      <c r="F43" s="4" t="n"/>
    </row>
    <row r="44" ht="90" customHeight="1">
      <c r="A44" s="12" t="inlineStr">
        <is>
          <t>Short-Term Bonds</t>
        </is>
      </c>
      <c r="B44" s="88" t="n">
        <v>0.05</v>
      </c>
      <c r="C44" s="88" t="n">
        <v>0.005678127845442088</v>
      </c>
      <c r="D44" s="89" t="n">
        <v>0.05</v>
      </c>
      <c r="E44" s="12" t="inlineStr">
        <is>
          <t>Covered by Pension, Annuities, Note Receivable; initial target is shown but not counted in the 100% liquid recommendation.</t>
        </is>
      </c>
      <c r="F44" s="4" t="n"/>
    </row>
    <row r="45" ht="30" customHeight="1">
      <c r="A45" s="12" t="inlineStr">
        <is>
          <t>TIPS</t>
        </is>
      </c>
      <c r="B45" s="80" t="n">
        <v>0</v>
      </c>
      <c r="C45" s="80" t="n">
        <v>0</v>
      </c>
      <c r="D45" s="87" t="n">
        <v>0</v>
      </c>
      <c r="E45" s="12" t="inlineStr">
        <is>
          <t>No selected liquid target.</t>
        </is>
      </c>
      <c r="F45" s="4" t="n"/>
    </row>
    <row r="46" ht="30" customHeight="1">
      <c r="A46" s="12" t="inlineStr">
        <is>
          <t>Municipal Bonds</t>
        </is>
      </c>
      <c r="B46" s="80" t="n">
        <v>0</v>
      </c>
      <c r="C46" s="80" t="n">
        <v>0</v>
      </c>
      <c r="D46" s="87" t="n">
        <v>0</v>
      </c>
      <c r="E46" s="12" t="inlineStr">
        <is>
          <t>No selected liquid target.</t>
        </is>
      </c>
      <c r="F46" s="4" t="n"/>
    </row>
    <row r="47" ht="45" customHeight="1">
      <c r="A47" s="12" t="inlineStr">
        <is>
          <t>Managed Futures</t>
        </is>
      </c>
      <c r="B47" s="80" t="n">
        <v>0</v>
      </c>
      <c r="C47" s="80" t="n">
        <v>0</v>
      </c>
      <c r="D47" s="87" t="n">
        <v>0</v>
      </c>
      <c r="E47" s="12" t="inlineStr">
        <is>
          <t>Excluded from recommendation by UI selection.</t>
        </is>
      </c>
      <c r="F47" s="4" t="n"/>
    </row>
    <row r="48" ht="45" customHeight="1">
      <c r="A48" s="12" t="inlineStr">
        <is>
          <t>Private Credit</t>
        </is>
      </c>
      <c r="B48" s="80" t="n">
        <v>0</v>
      </c>
      <c r="C48" s="80" t="n">
        <v>0</v>
      </c>
      <c r="D48" s="87" t="n">
        <v>0</v>
      </c>
      <c r="E48" s="12" t="inlineStr">
        <is>
          <t>Excluded from recommendation by UI selection.</t>
        </is>
      </c>
      <c r="F48" s="4" t="n"/>
    </row>
    <row r="49" ht="30" customHeight="1">
      <c r="A49" s="12" t="inlineStr">
        <is>
          <t>REITs</t>
        </is>
      </c>
      <c r="B49" s="80" t="n">
        <v>0</v>
      </c>
      <c r="C49" s="80" t="n">
        <v>0</v>
      </c>
      <c r="D49" s="87" t="n">
        <v>0</v>
      </c>
      <c r="E49" s="12" t="inlineStr">
        <is>
          <t>No selected liquid target.</t>
        </is>
      </c>
      <c r="F49" s="4" t="n"/>
    </row>
    <row r="50" ht="45" customHeight="1">
      <c r="A50" s="12" t="inlineStr">
        <is>
          <t>Cash</t>
        </is>
      </c>
      <c r="B50" s="80" t="n">
        <v>0.0625</v>
      </c>
      <c r="C50" s="80" t="n">
        <v>0.0573651480241892</v>
      </c>
      <c r="D50" s="87" t="n">
        <v>0.0625</v>
      </c>
      <c r="E50" s="12" t="inlineStr">
        <is>
          <t>Included in selected liquid target recommendation.</t>
        </is>
      </c>
      <c r="F50" s="4" t="n"/>
    </row>
    <row r="51"/>
    <row r="52" ht="15" customHeight="1">
      <c r="A52" s="10" t="inlineStr">
        <is>
          <t>Allocation Policy Inputs</t>
        </is>
      </c>
      <c r="B52" s="3" t="n"/>
      <c r="C52" s="3" t="n"/>
      <c r="D52" s="3" t="n"/>
      <c r="E52" s="3" t="n"/>
      <c r="F52" s="4" t="n"/>
    </row>
    <row r="53" ht="30" customHeight="1">
      <c r="A53" s="2" t="inlineStr">
        <is>
          <t>Risk Tolerance Score</t>
        </is>
      </c>
      <c r="B53" s="12" t="inlineStr">
        <is>
          <t>8.0 / 10</t>
        </is>
      </c>
      <c r="C53" s="12" t="inlineStr">
        <is>
          <t>User-provided</t>
        </is>
      </c>
      <c r="D53" s="3" t="n"/>
      <c r="E53" s="3" t="n"/>
      <c r="F53" s="4" t="n"/>
    </row>
    <row r="54" ht="45" customHeight="1">
      <c r="A54" s="2" t="inlineStr">
        <is>
          <t>Target Growth/Diversifier Allocation</t>
        </is>
      </c>
      <c r="B54" s="12" t="inlineStr">
        <is>
          <t>93.8%</t>
        </is>
      </c>
      <c r="C54" s="12" t="inlineStr">
        <is>
          <t>Selected allocation mode drives this target; optimizer recommendation remains visible above for comparison.</t>
        </is>
      </c>
      <c r="D54" s="3" t="n"/>
      <c r="E54" s="3" t="n"/>
      <c r="F54" s="4" t="n"/>
    </row>
    <row r="55" ht="30" customHeight="1">
      <c r="A55" s="2" t="inlineStr">
        <is>
          <t>Human Capital (PV earnings)</t>
        </is>
      </c>
      <c r="B55" s="12" t="inlineStr">
        <is>
          <t>$140,777</t>
        </is>
      </c>
      <c r="C55" s="12" t="inlineStr">
        <is>
          <t>1 years to retirement × stability 0.5</t>
        </is>
      </c>
      <c r="D55" s="3" t="n"/>
      <c r="E55" s="3" t="n"/>
      <c r="F55" s="4" t="n"/>
    </row>
    <row r="56" ht="60" customHeight="1">
      <c r="A56" s="2" t="inlineStr">
        <is>
          <t>Fixed-Income Coverage PV</t>
        </is>
      </c>
      <c r="B56" s="12" t="inlineStr">
        <is>
          <t>$1,274,327</t>
        </is>
      </c>
      <c r="C56" s="12" t="inlineStr">
        <is>
          <t>Sources counted toward fixed-income target: Pension, Annuities, Note Receivable; funded ratio from guaranteed income: 45.0%</t>
        </is>
      </c>
      <c r="D56" s="3" t="n"/>
      <c r="E56" s="3" t="n"/>
      <c r="F56" s="4" t="n"/>
    </row>
    <row r="57" ht="45" customHeight="1">
      <c r="A57" s="2" t="inlineStr">
        <is>
          <t>Home Equity REIT Coverage</t>
        </is>
      </c>
      <c r="B57" s="12" t="inlineStr">
        <is>
          <t>YES</t>
        </is>
      </c>
      <c r="C57" s="12" t="inlineStr">
        <is>
          <t>Controls whether primary residence equity satisfies the REIT/real-estate target before recommending liquid REITs</t>
        </is>
      </c>
      <c r="D57" s="3" t="n"/>
      <c r="E57" s="3" t="n"/>
      <c r="F57" s="4" t="n"/>
    </row>
    <row r="58" ht="30" customHeight="1">
      <c r="A58" s="2" t="inlineStr">
        <is>
          <t>Withdrawal Rate</t>
        </is>
      </c>
      <c r="B58" s="12" t="inlineStr">
        <is>
          <t>4.6%</t>
        </is>
      </c>
      <c r="C58" s="12" t="inlineStr">
        <is>
          <t>Annual spending / liquid portfolio</t>
        </is>
      </c>
      <c r="D58" s="3" t="n"/>
      <c r="E58" s="3" t="n"/>
      <c r="F58" s="4" t="n"/>
    </row>
    <row r="59" ht="30" customHeight="1">
      <c r="A59" s="2" t="inlineStr">
        <is>
          <t>Glide Path Mode</t>
        </is>
      </c>
      <c r="B59" s="12" t="inlineStr">
        <is>
          <t>Static</t>
        </is>
      </c>
      <c r="C59" s="12" t="inlineStr">
        <is>
          <t>Target-date: de-risk approaching retirement; Static: fixed allocation</t>
        </is>
      </c>
      <c r="D59" s="3" t="n"/>
      <c r="E59" s="3" t="n"/>
      <c r="F59" s="4" t="n"/>
    </row>
    <row r="60" ht="60" customHeight="1">
      <c r="A60" s="2" t="inlineStr">
        <is>
          <t>Inflation-Sensitive Spending</t>
        </is>
      </c>
      <c r="B60" s="12" t="inlineStr">
        <is>
          <t>10%</t>
        </is>
      </c>
      <c r="C60" s="12" t="inlineStr">
        <is>
          <t>Higher → more broad commodities/TIPS/managed futures; precious-metal sleeves are excluded from the recommendation model</t>
        </is>
      </c>
      <c r="D60" s="3" t="n"/>
      <c r="E60" s="3" t="n"/>
      <c r="F60" s="4" t="n"/>
    </row>
    <row r="61" ht="60" customHeight="1">
      <c r="A61" s="2" t="inlineStr">
        <is>
          <t>Disabled Recommended Classes</t>
        </is>
      </c>
      <c r="B61" s="12" t="inlineStr">
        <is>
          <t>Managed Futures, Private Credit</t>
        </is>
      </c>
      <c r="C61" s="12" t="inlineStr">
        <is>
          <t>Disabled classes remain visible if currently held but are excluded from target recommendations</t>
        </is>
      </c>
      <c r="D61" s="3" t="n"/>
      <c r="E61" s="3" t="n"/>
      <c r="F61" s="4" t="n"/>
    </row>
    <row r="62"/>
    <row r="63" ht="15" customHeight="1">
      <c r="A63" s="13" t="inlineStr">
        <is>
          <t>Liquid Portfolio: Target vs Actual</t>
        </is>
      </c>
      <c r="B63" s="3" t="n"/>
      <c r="C63" s="3" t="n"/>
      <c r="D63" s="3" t="n"/>
      <c r="E63" s="3" t="n"/>
      <c r="F63" s="4" t="n"/>
    </row>
    <row r="64" ht="75" customHeight="1">
      <c r="A64" s="12" t="inlineStr">
        <is>
          <t>Asset allocation recommendation source: User-defined allocation. The selected target, target-vs-actual table, and rebalance guidance use this source. Cash is included as its own class. The UI requires user-specified target percentages to total 100% before saving or building.</t>
        </is>
      </c>
      <c r="B64" s="3" t="n"/>
      <c r="C64" s="3" t="n"/>
      <c r="D64" s="3" t="n"/>
      <c r="E64" s="3" t="n"/>
      <c r="F64" s="4" t="n"/>
    </row>
    <row r="65" ht="15" customHeight="1">
      <c r="A65" s="5" t="inlineStr">
        <is>
          <t>Bucket</t>
        </is>
      </c>
      <c r="B65" s="5" t="inlineStr">
        <is>
          <t>Target %</t>
        </is>
      </c>
      <c r="C65" s="5" t="inlineStr">
        <is>
          <t>Actual $</t>
        </is>
      </c>
      <c r="D65" s="5" t="inlineStr">
        <is>
          <t>Actual %</t>
        </is>
      </c>
      <c r="E65" s="5" t="inlineStr">
        <is>
          <t>Delta pp</t>
        </is>
      </c>
      <c r="F65" s="5" t="inlineStr">
        <is>
          <t>Action</t>
        </is>
      </c>
    </row>
    <row r="66" ht="45" customHeight="1">
      <c r="A66" s="12" t="inlineStr">
        <is>
          <t>US Large Cap</t>
        </is>
      </c>
      <c r="B66" s="80" t="n">
        <v>0.4374999999999999</v>
      </c>
      <c r="C66" s="79" t="n">
        <v>1357238.41112</v>
      </c>
      <c r="D66" s="80" t="n">
        <v>0.4910506979746858</v>
      </c>
      <c r="E66" s="90" t="n">
        <v>0.05355069797468587</v>
      </c>
      <c r="F66" s="12" t="inlineStr">
        <is>
          <t>Rebalance</t>
        </is>
      </c>
    </row>
    <row r="67" ht="30" customHeight="1">
      <c r="A67" s="12" t="inlineStr">
        <is>
          <t>International</t>
        </is>
      </c>
      <c r="B67" s="80" t="n">
        <v>0.25</v>
      </c>
      <c r="C67" s="79" t="n">
        <v>910327.1116479998</v>
      </c>
      <c r="D67" s="80" t="n">
        <v>0.329357583676953</v>
      </c>
      <c r="E67" s="90" t="n">
        <v>0.079357583676953</v>
      </c>
      <c r="F67" s="12" t="inlineStr">
        <is>
          <t>Rebalance</t>
        </is>
      </c>
    </row>
    <row r="68" ht="45" customHeight="1">
      <c r="A68" s="12" t="inlineStr">
        <is>
          <t>US Small Cap</t>
        </is>
      </c>
      <c r="B68" s="80" t="n">
        <v>0.0625</v>
      </c>
      <c r="C68" s="79" t="n">
        <v>309683.143654</v>
      </c>
      <c r="D68" s="80" t="n">
        <v>0.1120437813993214</v>
      </c>
      <c r="E68" s="90" t="n">
        <v>0.04954378139932143</v>
      </c>
      <c r="F68" s="12" t="inlineStr">
        <is>
          <t>Rebalance</t>
        </is>
      </c>
    </row>
    <row r="69" ht="45" customHeight="1">
      <c r="A69" s="12" t="inlineStr">
        <is>
          <t>Commodities</t>
        </is>
      </c>
      <c r="B69" s="80" t="n">
        <v>0.0625</v>
      </c>
      <c r="C69" s="79" t="n">
        <v>166714.35</v>
      </c>
      <c r="D69" s="80" t="n">
        <v>0.06031747794577998</v>
      </c>
      <c r="E69" s="80" t="n">
        <v>-0.002182522054220017</v>
      </c>
      <c r="F69" s="12" t="inlineStr">
        <is>
          <t>Hold</t>
        </is>
      </c>
    </row>
    <row r="70" ht="45" customHeight="1">
      <c r="A70" s="12" t="inlineStr">
        <is>
          <t>Cash</t>
        </is>
      </c>
      <c r="B70" s="80" t="n">
        <v>0.0625</v>
      </c>
      <c r="C70" s="79" t="n">
        <v>19984.61</v>
      </c>
      <c r="D70" s="80" t="n">
        <v>0.007230459003259253</v>
      </c>
      <c r="E70" s="90" t="n">
        <v>-0.05526954099674074</v>
      </c>
      <c r="F70" s="12" t="inlineStr">
        <is>
          <t>Rebalance</t>
        </is>
      </c>
    </row>
    <row r="71" ht="15" customHeight="1">
      <c r="A71" s="12" t="inlineStr">
        <is>
          <t>Bonds</t>
        </is>
      </c>
      <c r="B71" s="80" t="n">
        <v>0</v>
      </c>
      <c r="C71" s="79" t="n">
        <v>0</v>
      </c>
      <c r="D71" s="80" t="n">
        <v>0</v>
      </c>
      <c r="E71" s="80" t="n">
        <v>0</v>
      </c>
      <c r="F71" s="12" t="inlineStr">
        <is>
          <t>Covered</t>
        </is>
      </c>
    </row>
    <row r="72" ht="30" customHeight="1">
      <c r="A72" s="12" t="inlineStr">
        <is>
          <t>Emerging Markets</t>
        </is>
      </c>
      <c r="B72" s="80" t="n">
        <v>0.0625</v>
      </c>
      <c r="C72" s="79" t="n">
        <v>0</v>
      </c>
      <c r="D72" s="80" t="n">
        <v>0</v>
      </c>
      <c r="E72" s="90" t="n">
        <v>-0.0625</v>
      </c>
      <c r="F72" s="12" t="inlineStr">
        <is>
          <t>Rebalance</t>
        </is>
      </c>
    </row>
    <row r="73" ht="30" customHeight="1">
      <c r="A73" s="12" t="inlineStr">
        <is>
          <t>Municipal Bonds</t>
        </is>
      </c>
      <c r="B73" s="80" t="n">
        <v>0</v>
      </c>
      <c r="C73" s="79" t="n">
        <v>0</v>
      </c>
      <c r="D73" s="80" t="n">
        <v>0</v>
      </c>
      <c r="E73" s="80" t="n">
        <v>0</v>
      </c>
      <c r="F73" s="12" t="inlineStr">
        <is>
          <t>Covered</t>
        </is>
      </c>
    </row>
    <row r="74" ht="15" customHeight="1">
      <c r="A74" s="12" t="inlineStr">
        <is>
          <t>REITs</t>
        </is>
      </c>
      <c r="B74" s="80" t="n">
        <v>0</v>
      </c>
      <c r="C74" s="79" t="n">
        <v>0</v>
      </c>
      <c r="D74" s="80" t="n">
        <v>0</v>
      </c>
      <c r="E74" s="80" t="n">
        <v>0</v>
      </c>
      <c r="F74" s="12" t="inlineStr">
        <is>
          <t>Hold</t>
        </is>
      </c>
    </row>
    <row r="75" ht="30" customHeight="1">
      <c r="A75" s="12" t="inlineStr">
        <is>
          <t>Short-Term Bonds</t>
        </is>
      </c>
      <c r="B75" s="80" t="n">
        <v>0</v>
      </c>
      <c r="C75" s="79" t="n">
        <v>0</v>
      </c>
      <c r="D75" s="80" t="n">
        <v>0</v>
      </c>
      <c r="E75" s="80" t="n">
        <v>0</v>
      </c>
      <c r="F75" s="12" t="inlineStr">
        <is>
          <t>Covered</t>
        </is>
      </c>
    </row>
    <row r="76" ht="15" customHeight="1">
      <c r="A76" s="12" t="inlineStr">
        <is>
          <t>TIPS</t>
        </is>
      </c>
      <c r="B76" s="80" t="n">
        <v>0</v>
      </c>
      <c r="C76" s="79" t="n">
        <v>0</v>
      </c>
      <c r="D76" s="80" t="n">
        <v>0</v>
      </c>
      <c r="E76" s="80" t="n">
        <v>0</v>
      </c>
      <c r="F76" s="12" t="inlineStr">
        <is>
          <t>Covered</t>
        </is>
      </c>
    </row>
    <row r="77" ht="15" customHeight="1">
      <c r="A77" s="12" t="inlineStr">
        <is>
          <t>US Mid Cap</t>
        </is>
      </c>
      <c r="B77" s="80" t="n">
        <v>0.0625</v>
      </c>
      <c r="C77" s="79" t="n">
        <v>0</v>
      </c>
      <c r="D77" s="80" t="n">
        <v>0</v>
      </c>
      <c r="E77" s="90" t="n">
        <v>-0.0625</v>
      </c>
      <c r="F77" s="12" t="inlineStr">
        <is>
          <t>Rebalance</t>
        </is>
      </c>
    </row>
    <row r="78"/>
    <row r="79"/>
    <row r="80" ht="15" customHeight="1">
      <c r="A80" s="10" t="inlineStr">
        <is>
          <t>ETF Ideas for Recommended but Unrepresented Sleeves</t>
        </is>
      </c>
      <c r="B80" s="3" t="n"/>
      <c r="C80" s="3" t="n"/>
      <c r="D80" s="3" t="n"/>
      <c r="E80" s="3" t="n"/>
      <c r="F80" s="4" t="n"/>
    </row>
    <row r="81" ht="45" customHeight="1">
      <c r="A81" s="85" t="inlineStr">
        <is>
          <t>Sleeve</t>
        </is>
      </c>
      <c r="B81" s="85" t="inlineStr">
        <is>
          <t>Target %</t>
        </is>
      </c>
      <c r="C81" s="85" t="inlineStr">
        <is>
          <t>Current $</t>
        </is>
      </c>
      <c r="D81" s="5" t="inlineStr">
        <is>
          <t>Possible ETFs / specific vehicles</t>
        </is>
      </c>
      <c r="E81" s="4" t="n"/>
      <c r="F81" s="85" t="inlineStr">
        <is>
          <t>How used in trade guidance</t>
        </is>
      </c>
    </row>
    <row r="82" ht="90" customHeight="1">
      <c r="A82" s="2" t="inlineStr">
        <is>
          <t>Emerging Markets</t>
        </is>
      </c>
      <c r="B82" s="80" t="n">
        <v>0.0625</v>
      </c>
      <c r="C82" s="79" t="n">
        <v>0</v>
      </c>
      <c r="D82" s="12" t="inlineStr">
        <is>
          <t>VWO, IEMG, EEM</t>
        </is>
      </c>
      <c r="E82" s="4" t="n"/>
      <c r="F82" s="12" t="inlineStr">
        <is>
          <t>Trade guidance selects one ETF per account for this unrepresented Emerging Markets sleeve; other listed ETFs are alternatives only.</t>
        </is>
      </c>
    </row>
    <row r="83" ht="90" customHeight="1">
      <c r="A83" s="2" t="inlineStr">
        <is>
          <t>US Mid Cap</t>
        </is>
      </c>
      <c r="B83" s="80" t="n">
        <v>0.0625</v>
      </c>
      <c r="C83" s="79" t="n">
        <v>0</v>
      </c>
      <c r="D83" s="12" t="inlineStr">
        <is>
          <t>VO, IJH, SCHM</t>
        </is>
      </c>
      <c r="E83" s="4" t="n"/>
      <c r="F83" s="12" t="inlineStr">
        <is>
          <t>Trade guidance selects one ETF per account for this unrepresented US Mid Cap sleeve; other listed ETFs are alternatives only.</t>
        </is>
      </c>
    </row>
    <row r="84"/>
    <row r="85" ht="15" customHeight="1">
      <c r="A85" s="10" t="inlineStr">
        <is>
          <t>Asset Location Guidance</t>
        </is>
      </c>
      <c r="B85" s="3" t="n"/>
      <c r="C85" s="3" t="n"/>
      <c r="D85" s="3" t="n"/>
      <c r="E85" s="3" t="n"/>
      <c r="F85" s="4" t="n"/>
    </row>
    <row r="86" ht="30" customHeight="1">
      <c r="A86" s="5" t="inlineStr">
        <is>
          <t>Account Type</t>
        </is>
      </c>
      <c r="B86" s="5" t="inlineStr">
        <is>
          <t>Recommended Asset Class</t>
        </is>
      </c>
      <c r="C86" s="4" t="n"/>
      <c r="D86" s="5" t="inlineStr">
        <is>
          <t>Tax Rationale</t>
        </is>
      </c>
      <c r="E86" s="3" t="n"/>
      <c r="F86" s="4" t="n"/>
    </row>
    <row r="87" ht="45" customHeight="1">
      <c r="A87" s="2" t="inlineStr">
        <is>
          <t>Tax-Deferred (IRA/401k)</t>
        </is>
      </c>
      <c r="B87" s="12" t="inlineStr">
        <is>
          <t>Bonds, REITs, High-turnover funds, PDBC (commodities)</t>
        </is>
      </c>
      <c r="C87" s="4" t="n"/>
      <c r="D87" s="12" t="inlineStr">
        <is>
          <t>Interest/dividends shielded from current tax</t>
        </is>
      </c>
      <c r="E87" s="3" t="n"/>
      <c r="F87" s="4" t="n"/>
    </row>
    <row r="88" ht="45" customHeight="1">
      <c r="A88" s="2" t="inlineStr">
        <is>
          <t>Roth (Tax-Free)</t>
        </is>
      </c>
      <c r="B88" s="12" t="inlineStr">
        <is>
          <t>Highest-growth assets (AVUV, VBR small-cap)</t>
        </is>
      </c>
      <c r="C88" s="4" t="n"/>
      <c r="D88" s="12" t="inlineStr">
        <is>
          <t>Growth compounds tax-free; no RMD</t>
        </is>
      </c>
      <c r="E88" s="3" t="n"/>
      <c r="F88" s="4" t="n"/>
    </row>
    <row r="89" ht="45" customHeight="1">
      <c r="A89" s="2" t="inlineStr">
        <is>
          <t>Taxable Trust</t>
        </is>
      </c>
      <c r="B89" s="12" t="inlineStr">
        <is>
          <t>Tax-efficient equity (ITOT, VTI, IXUS, VXUS)</t>
        </is>
      </c>
      <c r="C89" s="4" t="n"/>
      <c r="D89" s="12" t="inlineStr">
        <is>
          <t>Qualified dividends + LTCG rates; step-up at death</t>
        </is>
      </c>
      <c r="E89" s="3" t="n"/>
      <c r="F89" s="4" t="n"/>
    </row>
    <row r="90"/>
    <row r="91"/>
    <row r="92" ht="45" customHeight="1">
      <c r="A92" s="2" t="inlineStr">
        <is>
          <t>Weighted Portfolio Expense Ratio</t>
        </is>
      </c>
      <c r="B92" s="91" t="n">
        <v>0.0008556479093536615</v>
      </c>
      <c r="C92" s="12" t="inlineStr">
        <is>
          <t>Annual fee drag: $2,365</t>
        </is>
      </c>
    </row>
    <row r="93"/>
    <row r="94"/>
    <row r="95" ht="15" customHeight="1">
      <c r="A95" s="9" t="inlineStr">
        <is>
          <t>HOLDINGS DETAIL BY ACCOUNT</t>
        </is>
      </c>
    </row>
    <row r="96" ht="30" customHeight="1">
      <c r="A96" s="5" t="inlineStr">
        <is>
          <t>Account</t>
        </is>
      </c>
      <c r="B96" s="5" t="inlineStr">
        <is>
          <t>Symbol</t>
        </is>
      </c>
      <c r="C96" s="5" t="inlineStr">
        <is>
          <t>Shares</t>
        </is>
      </c>
      <c r="D96" s="5" t="inlineStr">
        <is>
          <t>Price</t>
        </is>
      </c>
      <c r="E96" s="5" t="inlineStr">
        <is>
          <t>Market Value</t>
        </is>
      </c>
      <c r="F96" s="5" t="inlineStr">
        <is>
          <t>Weight</t>
        </is>
      </c>
      <c r="G96" s="5" t="inlineStr">
        <is>
          <t>Bucket</t>
        </is>
      </c>
      <c r="H96" s="5" t="inlineStr">
        <is>
          <t>Pricing Source</t>
        </is>
      </c>
    </row>
    <row r="97" ht="45" customHeight="1">
      <c r="A97" s="92" t="inlineStr">
        <is>
          <t>Matthew 401k</t>
        </is>
      </c>
      <c r="B97" s="3" t="n"/>
      <c r="C97" s="3" t="n"/>
      <c r="D97" s="4" t="n"/>
      <c r="E97" s="93" t="n">
        <v>14934.4</v>
      </c>
      <c r="F97" s="92" t="inlineStr">
        <is>
          <t>Account Total</t>
        </is>
      </c>
      <c r="G97" s="92" t="inlineStr">
        <is>
          <t>Sources:</t>
        </is>
      </c>
      <c r="H97" s="75" t="inlineStr">
        <is>
          <t>cash, fresh_cache_24h_from_yahoo</t>
        </is>
      </c>
    </row>
    <row r="98" ht="45" customHeight="1">
      <c r="A98" s="33" t="inlineStr"/>
      <c r="B98" s="12" t="inlineStr">
        <is>
          <t>AVUV</t>
        </is>
      </c>
      <c r="C98" s="94" t="n">
        <v>88</v>
      </c>
      <c r="D98" s="79" t="n">
        <v>123.51</v>
      </c>
      <c r="E98" s="79" t="n">
        <v>10868.88</v>
      </c>
      <c r="F98" s="80" t="n">
        <v>0.003932375525534121</v>
      </c>
      <c r="G98" s="12" t="inlineStr">
        <is>
          <t>US Small Cap</t>
        </is>
      </c>
      <c r="H98" s="12" t="inlineStr">
        <is>
          <t>fresh_cache_24h_from_yahoo</t>
        </is>
      </c>
    </row>
    <row r="99" ht="45" customHeight="1">
      <c r="A99" s="33" t="inlineStr"/>
      <c r="B99" s="12" t="inlineStr">
        <is>
          <t>CASH</t>
        </is>
      </c>
      <c r="C99" s="94" t="n">
        <v>4065.52</v>
      </c>
      <c r="D99" s="79" t="n">
        <v>1</v>
      </c>
      <c r="E99" s="79" t="n">
        <v>4065.52</v>
      </c>
      <c r="F99" s="80" t="n">
        <v>0.001470910650091774</v>
      </c>
      <c r="G99" s="12" t="inlineStr">
        <is>
          <t>Cash</t>
        </is>
      </c>
      <c r="H99" s="12" t="inlineStr">
        <is>
          <t>cash</t>
        </is>
      </c>
    </row>
    <row r="100"/>
    <row r="101" ht="45" customHeight="1">
      <c r="A101" s="92" t="inlineStr">
        <is>
          <t>Matthew HSA</t>
        </is>
      </c>
      <c r="B101" s="3" t="n"/>
      <c r="C101" s="3" t="n"/>
      <c r="D101" s="4" t="n"/>
      <c r="E101" s="93" t="n">
        <v>72070.00887999999</v>
      </c>
      <c r="F101" s="92" t="inlineStr">
        <is>
          <t>Account Total</t>
        </is>
      </c>
      <c r="G101" s="92" t="inlineStr">
        <is>
          <t>Sources:</t>
        </is>
      </c>
      <c r="H101" s="75" t="inlineStr">
        <is>
          <t>cash, fresh_cache_24h_from_yahoo</t>
        </is>
      </c>
    </row>
    <row r="102" ht="45" customHeight="1">
      <c r="A102" s="33" t="inlineStr"/>
      <c r="B102" s="12" t="inlineStr">
        <is>
          <t>CASH</t>
        </is>
      </c>
      <c r="C102" s="94" t="n">
        <v>279.59</v>
      </c>
      <c r="D102" s="79" t="n">
        <v>1</v>
      </c>
      <c r="E102" s="79" t="n">
        <v>279.59</v>
      </c>
      <c r="F102" s="80" t="n">
        <v>0.0001011560412097736</v>
      </c>
      <c r="G102" s="12" t="inlineStr">
        <is>
          <t>Cash</t>
        </is>
      </c>
      <c r="H102" s="12" t="inlineStr">
        <is>
          <t>cash</t>
        </is>
      </c>
    </row>
    <row r="103" ht="45" customHeight="1">
      <c r="A103" s="33" t="inlineStr"/>
      <c r="B103" s="12" t="inlineStr">
        <is>
          <t>ITOT</t>
        </is>
      </c>
      <c r="C103" s="94" t="n">
        <v>438.388</v>
      </c>
      <c r="D103" s="79" t="n">
        <v>163.76</v>
      </c>
      <c r="E103" s="79" t="n">
        <v>71790.41888</v>
      </c>
      <c r="F103" s="80" t="n">
        <v>0.02597387092060586</v>
      </c>
      <c r="G103" s="12" t="inlineStr">
        <is>
          <t>US Large Cap</t>
        </is>
      </c>
      <c r="H103" s="12" t="inlineStr">
        <is>
          <t>fresh_cache_24h_from_yahoo</t>
        </is>
      </c>
    </row>
    <row r="104"/>
    <row r="105" ht="45" customHeight="1">
      <c r="A105" s="92" t="inlineStr">
        <is>
          <t>Matthew IRA</t>
        </is>
      </c>
      <c r="B105" s="3" t="n"/>
      <c r="C105" s="3" t="n"/>
      <c r="D105" s="4" t="n"/>
      <c r="E105" s="93" t="n">
        <v>1331690.46142</v>
      </c>
      <c r="F105" s="92" t="inlineStr">
        <is>
          <t>Account Total</t>
        </is>
      </c>
      <c r="G105" s="92" t="inlineStr">
        <is>
          <t>Sources:</t>
        </is>
      </c>
      <c r="H105" s="75" t="inlineStr">
        <is>
          <t>cash, fresh_cache_24h_from_yahoo</t>
        </is>
      </c>
    </row>
    <row r="106" ht="30" customHeight="1">
      <c r="A106" s="33" t="inlineStr"/>
      <c r="B106" s="12" t="inlineStr">
        <is>
          <t>AVUV</t>
        </is>
      </c>
      <c r="C106" s="94" t="n">
        <v>855.082</v>
      </c>
      <c r="D106" s="79" t="n">
        <v>123.51</v>
      </c>
      <c r="E106" s="79" t="n">
        <v>105611.17782</v>
      </c>
      <c r="F106" s="80" t="n">
        <v>0.0382102673764178</v>
      </c>
      <c r="G106" s="12" t="inlineStr">
        <is>
          <t>US Small Cap</t>
        </is>
      </c>
      <c r="H106" s="12" t="inlineStr">
        <is>
          <t>fresh_cache_24h_from_yahoo</t>
        </is>
      </c>
    </row>
    <row r="107" ht="45" customHeight="1">
      <c r="A107" s="33" t="inlineStr"/>
      <c r="B107" s="12" t="inlineStr">
        <is>
          <t>CASH</t>
        </is>
      </c>
      <c r="C107" s="94" t="n">
        <v>67.36</v>
      </c>
      <c r="D107" s="79" t="n">
        <v>1</v>
      </c>
      <c r="E107" s="79" t="n">
        <v>67.36</v>
      </c>
      <c r="F107" s="80" t="n">
        <v>2.437093936081531e-05</v>
      </c>
      <c r="G107" s="12" t="inlineStr">
        <is>
          <t>Cash</t>
        </is>
      </c>
      <c r="H107" s="12" t="inlineStr">
        <is>
          <t>cash</t>
        </is>
      </c>
    </row>
    <row r="108" ht="30" customHeight="1">
      <c r="A108" s="33" t="inlineStr"/>
      <c r="B108" s="12" t="inlineStr">
        <is>
          <t>ITOT</t>
        </is>
      </c>
      <c r="C108" s="94" t="n">
        <v>3930.015</v>
      </c>
      <c r="D108" s="79" t="n">
        <v>163.76</v>
      </c>
      <c r="E108" s="79" t="n">
        <v>643579.2564</v>
      </c>
      <c r="F108" s="80" t="n">
        <v>0.2328478478563392</v>
      </c>
      <c r="G108" s="12" t="inlineStr">
        <is>
          <t>US Large Cap</t>
        </is>
      </c>
      <c r="H108" s="12" t="inlineStr">
        <is>
          <t>fresh_cache_24h_from_yahoo</t>
        </is>
      </c>
    </row>
    <row r="109" ht="45" customHeight="1">
      <c r="A109" s="33" t="inlineStr"/>
      <c r="B109" s="12" t="inlineStr">
        <is>
          <t>IXUS</t>
        </is>
      </c>
      <c r="C109" s="94" t="n">
        <v>4946.01</v>
      </c>
      <c r="D109" s="79" t="n">
        <v>94.72</v>
      </c>
      <c r="E109" s="79" t="n">
        <v>468486.0672</v>
      </c>
      <c r="F109" s="80" t="n">
        <v>0.169498894523724</v>
      </c>
      <c r="G109" s="12" t="inlineStr">
        <is>
          <t>International</t>
        </is>
      </c>
      <c r="H109" s="12" t="inlineStr">
        <is>
          <t>fresh_cache_24h_from_yahoo</t>
        </is>
      </c>
    </row>
    <row r="110" ht="45" customHeight="1">
      <c r="A110" s="33" t="inlineStr"/>
      <c r="B110" s="12" t="inlineStr">
        <is>
          <t>PDBC</t>
        </is>
      </c>
      <c r="C110" s="94" t="n">
        <v>7180</v>
      </c>
      <c r="D110" s="79" t="n">
        <v>15.87</v>
      </c>
      <c r="E110" s="79" t="n">
        <v>113946.6</v>
      </c>
      <c r="F110" s="80" t="n">
        <v>0.04122603442653025</v>
      </c>
      <c r="G110" s="12" t="inlineStr">
        <is>
          <t>Commodities</t>
        </is>
      </c>
      <c r="H110" s="12" t="inlineStr">
        <is>
          <t>fresh_cache_24h_from_yahoo</t>
        </is>
      </c>
    </row>
    <row r="111"/>
    <row r="112" ht="45" customHeight="1">
      <c r="A112" s="92" t="inlineStr">
        <is>
          <t>Matthew Roth</t>
        </is>
      </c>
      <c r="B112" s="3" t="n"/>
      <c r="C112" s="3" t="n"/>
      <c r="D112" s="4" t="n"/>
      <c r="E112" s="93" t="n">
        <v>138318.17527</v>
      </c>
      <c r="F112" s="92" t="inlineStr">
        <is>
          <t>Account Total</t>
        </is>
      </c>
      <c r="G112" s="92" t="inlineStr">
        <is>
          <t>Sources:</t>
        </is>
      </c>
      <c r="H112" s="75" t="inlineStr">
        <is>
          <t>cash, fresh_cache_24h_from_yahoo</t>
        </is>
      </c>
    </row>
    <row r="113" ht="45" customHeight="1">
      <c r="A113" s="33" t="inlineStr"/>
      <c r="B113" s="12" t="inlineStr">
        <is>
          <t>AVUV</t>
        </is>
      </c>
      <c r="C113" s="94" t="n">
        <v>505.713</v>
      </c>
      <c r="D113" s="79" t="n">
        <v>123.51</v>
      </c>
      <c r="E113" s="79" t="n">
        <v>62460.61263</v>
      </c>
      <c r="F113" s="80" t="n">
        <v>0.02259833436527768</v>
      </c>
      <c r="G113" s="12" t="inlineStr">
        <is>
          <t>US Small Cap</t>
        </is>
      </c>
      <c r="H113" s="12" t="inlineStr">
        <is>
          <t>fresh_cache_24h_from_yahoo</t>
        </is>
      </c>
    </row>
    <row r="114" ht="45" customHeight="1">
      <c r="A114" s="33" t="inlineStr"/>
      <c r="B114" s="12" t="inlineStr">
        <is>
          <t>CASH</t>
        </is>
      </c>
      <c r="C114" s="94" t="n">
        <v>10.09</v>
      </c>
      <c r="D114" s="79" t="n">
        <v>1</v>
      </c>
      <c r="E114" s="79" t="n">
        <v>10.09</v>
      </c>
      <c r="F114" s="80" t="n">
        <v>3.650575685134004e-06</v>
      </c>
      <c r="G114" s="12" t="inlineStr">
        <is>
          <t>Cash</t>
        </is>
      </c>
      <c r="H114" s="12" t="inlineStr">
        <is>
          <t>cash</t>
        </is>
      </c>
    </row>
    <row r="115" ht="45" customHeight="1">
      <c r="A115" s="33" t="inlineStr"/>
      <c r="B115" s="12" t="inlineStr">
        <is>
          <t>ITOT</t>
        </is>
      </c>
      <c r="C115" s="94" t="n">
        <v>173.216</v>
      </c>
      <c r="D115" s="79" t="n">
        <v>163.76</v>
      </c>
      <c r="E115" s="79" t="n">
        <v>28365.85216</v>
      </c>
      <c r="F115" s="80" t="n">
        <v>0.01026280378428165</v>
      </c>
      <c r="G115" s="12" t="inlineStr">
        <is>
          <t>US Large Cap</t>
        </is>
      </c>
      <c r="H115" s="12" t="inlineStr">
        <is>
          <t>fresh_cache_24h_from_yahoo</t>
        </is>
      </c>
    </row>
    <row r="116" ht="45" customHeight="1">
      <c r="A116" s="33" t="inlineStr"/>
      <c r="B116" s="12" t="inlineStr">
        <is>
          <t>IXUS</t>
        </is>
      </c>
      <c r="C116" s="94" t="n">
        <v>501.284</v>
      </c>
      <c r="D116" s="79" t="n">
        <v>94.72</v>
      </c>
      <c r="E116" s="79" t="n">
        <v>47481.62048</v>
      </c>
      <c r="F116" s="80" t="n">
        <v>0.01717891468930116</v>
      </c>
      <c r="G116" s="12" t="inlineStr">
        <is>
          <t>International</t>
        </is>
      </c>
      <c r="H116" s="12" t="inlineStr">
        <is>
          <t>fresh_cache_24h_from_yahoo</t>
        </is>
      </c>
    </row>
    <row r="117"/>
    <row r="118" ht="45" customHeight="1">
      <c r="A118" s="92" t="inlineStr">
        <is>
          <t>Matthew Trust</t>
        </is>
      </c>
      <c r="B118" s="3" t="n"/>
      <c r="C118" s="3" t="n"/>
      <c r="D118" s="4" t="n"/>
      <c r="E118" s="93" t="n">
        <v>207796.24624</v>
      </c>
      <c r="F118" s="92" t="inlineStr">
        <is>
          <t>Account Total</t>
        </is>
      </c>
      <c r="G118" s="92" t="inlineStr">
        <is>
          <t>Sources:</t>
        </is>
      </c>
      <c r="H118" s="75" t="inlineStr">
        <is>
          <t>cash, fresh_cache_24h_from_yahoo</t>
        </is>
      </c>
    </row>
    <row r="119" ht="45" customHeight="1">
      <c r="A119" s="33" t="inlineStr"/>
      <c r="B119" s="12" t="inlineStr">
        <is>
          <t>CASH</t>
        </is>
      </c>
      <c r="C119" s="94" t="n">
        <v>10282.62</v>
      </c>
      <c r="D119" s="79" t="n">
        <v>1</v>
      </c>
      <c r="E119" s="79" t="n">
        <v>10282.62</v>
      </c>
      <c r="F119" s="80" t="n">
        <v>0.003720265862385789</v>
      </c>
      <c r="G119" s="12" t="inlineStr">
        <is>
          <t>Cash</t>
        </is>
      </c>
      <c r="H119" s="12" t="inlineStr">
        <is>
          <t>cash</t>
        </is>
      </c>
    </row>
    <row r="120" ht="45" customHeight="1">
      <c r="A120" s="33" t="inlineStr"/>
      <c r="B120" s="12" t="inlineStr">
        <is>
          <t>ITOT</t>
        </is>
      </c>
      <c r="C120" s="94" t="n">
        <v>647.896</v>
      </c>
      <c r="D120" s="79" t="n">
        <v>163.76</v>
      </c>
      <c r="E120" s="79" t="n">
        <v>106099.44896</v>
      </c>
      <c r="F120" s="80" t="n">
        <v>0.03838692453711519</v>
      </c>
      <c r="G120" s="12" t="inlineStr">
        <is>
          <t>US Large Cap</t>
        </is>
      </c>
      <c r="H120" s="12" t="inlineStr">
        <is>
          <t>fresh_cache_24h_from_yahoo</t>
        </is>
      </c>
    </row>
    <row r="121" ht="45" customHeight="1">
      <c r="A121" s="33" t="inlineStr"/>
      <c r="B121" s="12" t="inlineStr">
        <is>
          <t>IXUS</t>
        </is>
      </c>
      <c r="C121" s="94" t="n">
        <v>965.099</v>
      </c>
      <c r="D121" s="79" t="n">
        <v>94.72</v>
      </c>
      <c r="E121" s="79" t="n">
        <v>91414.17728</v>
      </c>
      <c r="F121" s="80" t="n">
        <v>0.03307377332555969</v>
      </c>
      <c r="G121" s="12" t="inlineStr">
        <is>
          <t>International</t>
        </is>
      </c>
      <c r="H121" s="12" t="inlineStr">
        <is>
          <t>fresh_cache_24h_from_yahoo</t>
        </is>
      </c>
    </row>
    <row r="122"/>
    <row r="123" ht="45" customHeight="1">
      <c r="A123" s="92" t="inlineStr">
        <is>
          <t>Patricia IRA</t>
        </is>
      </c>
      <c r="B123" s="3" t="n"/>
      <c r="C123" s="3" t="n"/>
      <c r="D123" s="4" t="n"/>
      <c r="E123" s="93" t="n">
        <v>460853.27247</v>
      </c>
      <c r="F123" s="92" t="inlineStr">
        <is>
          <t>Account Total</t>
        </is>
      </c>
      <c r="G123" s="92" t="inlineStr">
        <is>
          <t>Sources:</t>
        </is>
      </c>
      <c r="H123" s="75" t="inlineStr">
        <is>
          <t>cash, fresh_cache_24h_from_yahoo</t>
        </is>
      </c>
    </row>
    <row r="124" ht="45" customHeight="1">
      <c r="A124" s="33" t="inlineStr"/>
      <c r="B124" s="12" t="inlineStr">
        <is>
          <t>CASH</t>
        </is>
      </c>
      <c r="C124" s="94" t="n">
        <v>182.31</v>
      </c>
      <c r="D124" s="79" t="n">
        <v>1</v>
      </c>
      <c r="E124" s="79" t="n">
        <v>182.31</v>
      </c>
      <c r="F124" s="80" t="n">
        <v>6.596000526826365e-05</v>
      </c>
      <c r="G124" s="12" t="inlineStr">
        <is>
          <t>Cash</t>
        </is>
      </c>
      <c r="H124" s="12" t="inlineStr">
        <is>
          <t>cash</t>
        </is>
      </c>
    </row>
    <row r="125" ht="45" customHeight="1">
      <c r="A125" s="33" t="inlineStr"/>
      <c r="B125" s="12" t="inlineStr">
        <is>
          <t>PDBC</t>
        </is>
      </c>
      <c r="C125" s="94" t="n">
        <v>3325</v>
      </c>
      <c r="D125" s="79" t="n">
        <v>15.87</v>
      </c>
      <c r="E125" s="79" t="n">
        <v>52767.75</v>
      </c>
      <c r="F125" s="80" t="n">
        <v>0.01909144351924974</v>
      </c>
      <c r="G125" s="12" t="inlineStr">
        <is>
          <t>Commodities</t>
        </is>
      </c>
      <c r="H125" s="12" t="inlineStr">
        <is>
          <t>fresh_cache_24h_from_yahoo</t>
        </is>
      </c>
    </row>
    <row r="126" ht="45" customHeight="1">
      <c r="A126" s="33" t="inlineStr"/>
      <c r="B126" s="12" t="inlineStr">
        <is>
          <t>VBR</t>
        </is>
      </c>
      <c r="C126" s="94" t="n">
        <v>157.6347</v>
      </c>
      <c r="D126" s="79" t="n">
        <v>243.22</v>
      </c>
      <c r="E126" s="79" t="n">
        <v>38339.91173399999</v>
      </c>
      <c r="F126" s="80" t="n">
        <v>0.01387143206603808</v>
      </c>
      <c r="G126" s="12" t="inlineStr">
        <is>
          <t>US Small Cap</t>
        </is>
      </c>
      <c r="H126" s="12" t="inlineStr">
        <is>
          <t>fresh_cache_24h_from_yahoo</t>
        </is>
      </c>
    </row>
    <row r="127" ht="45" customHeight="1">
      <c r="A127" s="33" t="inlineStr"/>
      <c r="B127" s="12" t="inlineStr">
        <is>
          <t>VTI</t>
        </is>
      </c>
      <c r="C127" s="94" t="n">
        <v>580.1444999999999</v>
      </c>
      <c r="D127" s="79" t="n">
        <v>368.76</v>
      </c>
      <c r="E127" s="79" t="n">
        <v>213934.0858199999</v>
      </c>
      <c r="F127" s="80" t="n">
        <v>0.07740164240989723</v>
      </c>
      <c r="G127" s="12" t="inlineStr">
        <is>
          <t>US Large Cap</t>
        </is>
      </c>
      <c r="H127" s="12" t="inlineStr">
        <is>
          <t>fresh_cache_24h_from_yahoo</t>
        </is>
      </c>
    </row>
    <row r="128" ht="45" customHeight="1">
      <c r="A128" s="33" t="inlineStr"/>
      <c r="B128" s="12" t="inlineStr">
        <is>
          <t>VXUS</t>
        </is>
      </c>
      <c r="C128" s="94" t="n">
        <v>1834.3849</v>
      </c>
      <c r="D128" s="79" t="n">
        <v>84.84</v>
      </c>
      <c r="E128" s="79" t="n">
        <v>155629.214916</v>
      </c>
      <c r="F128" s="80" t="n">
        <v>0.05630686103754647</v>
      </c>
      <c r="G128" s="12" t="inlineStr">
        <is>
          <t>International</t>
        </is>
      </c>
      <c r="H128" s="12" t="inlineStr">
        <is>
          <t>fresh_cache_24h_from_yahoo</t>
        </is>
      </c>
    </row>
    <row r="129"/>
    <row r="130" ht="45" customHeight="1">
      <c r="A130" s="92" t="inlineStr">
        <is>
          <t>Patricia Roth</t>
        </is>
      </c>
      <c r="B130" s="3" t="n"/>
      <c r="C130" s="3" t="n"/>
      <c r="D130" s="4" t="n"/>
      <c r="E130" s="93" t="n">
        <v>206022.888794</v>
      </c>
      <c r="F130" s="92" t="inlineStr">
        <is>
          <t>Account Total</t>
        </is>
      </c>
      <c r="G130" s="92" t="inlineStr">
        <is>
          <t>Sources:</t>
        </is>
      </c>
      <c r="H130" s="75" t="inlineStr">
        <is>
          <t>cash, fresh_cache_24h_from_yahoo</t>
        </is>
      </c>
    </row>
    <row r="131" ht="45" customHeight="1">
      <c r="A131" s="33" t="inlineStr"/>
      <c r="B131" s="12" t="inlineStr">
        <is>
          <t>CASH</t>
        </is>
      </c>
      <c r="C131" s="94" t="n">
        <v>226.45</v>
      </c>
      <c r="D131" s="79" t="n">
        <v>1</v>
      </c>
      <c r="E131" s="79" t="n">
        <v>226.45</v>
      </c>
      <c r="F131" s="80" t="n">
        <v>8.192991713563876e-05</v>
      </c>
      <c r="G131" s="12" t="inlineStr">
        <is>
          <t>Cash</t>
        </is>
      </c>
      <c r="H131" s="12" t="inlineStr">
        <is>
          <t>cash</t>
        </is>
      </c>
    </row>
    <row r="132" ht="45" customHeight="1">
      <c r="A132" s="33" t="inlineStr"/>
      <c r="B132" s="12" t="inlineStr">
        <is>
          <t>VBR</t>
        </is>
      </c>
      <c r="C132" s="94" t="n">
        <v>379.9135</v>
      </c>
      <c r="D132" s="79" t="n">
        <v>243.22</v>
      </c>
      <c r="E132" s="79" t="n">
        <v>92402.56147</v>
      </c>
      <c r="F132" s="80" t="n">
        <v>0.03343137206605373</v>
      </c>
      <c r="G132" s="12" t="inlineStr">
        <is>
          <t>US Small Cap</t>
        </is>
      </c>
      <c r="H132" s="12" t="inlineStr">
        <is>
          <t>fresh_cache_24h_from_yahoo</t>
        </is>
      </c>
    </row>
    <row r="133" ht="45" customHeight="1">
      <c r="A133" s="33" t="inlineStr"/>
      <c r="B133" s="12" t="inlineStr">
        <is>
          <t>VTI</t>
        </is>
      </c>
      <c r="C133" s="94" t="n">
        <v>118.4525</v>
      </c>
      <c r="D133" s="79" t="n">
        <v>368.76</v>
      </c>
      <c r="E133" s="79" t="n">
        <v>43680.5439</v>
      </c>
      <c r="F133" s="80" t="n">
        <v>0.01580368002723176</v>
      </c>
      <c r="G133" s="12" t="inlineStr">
        <is>
          <t>US Large Cap</t>
        </is>
      </c>
      <c r="H133" s="12" t="inlineStr">
        <is>
          <t>fresh_cache_24h_from_yahoo</t>
        </is>
      </c>
    </row>
    <row r="134" ht="45" customHeight="1">
      <c r="A134" s="33" t="inlineStr"/>
      <c r="B134" s="12" t="inlineStr">
        <is>
          <t>VXUS</t>
        </is>
      </c>
      <c r="C134" s="94" t="n">
        <v>821.7035999999999</v>
      </c>
      <c r="D134" s="79" t="n">
        <v>84.84</v>
      </c>
      <c r="E134" s="79" t="n">
        <v>69713.333424</v>
      </c>
      <c r="F134" s="80" t="n">
        <v>0.02522237858546026</v>
      </c>
      <c r="G134" s="12" t="inlineStr">
        <is>
          <t>International</t>
        </is>
      </c>
      <c r="H134" s="12" t="inlineStr">
        <is>
          <t>fresh_cache_24h_from_yahoo</t>
        </is>
      </c>
    </row>
    <row r="135"/>
    <row r="136" ht="45" customHeight="1">
      <c r="A136" s="92" t="inlineStr">
        <is>
          <t>Patricia Trust</t>
        </is>
      </c>
      <c r="B136" s="3" t="n"/>
      <c r="C136" s="3" t="n"/>
      <c r="D136" s="4" t="n"/>
      <c r="E136" s="93" t="n">
        <v>332262.173348</v>
      </c>
      <c r="F136" s="92" t="inlineStr">
        <is>
          <t>Account Total</t>
        </is>
      </c>
      <c r="G136" s="92" t="inlineStr">
        <is>
          <t>Sources:</t>
        </is>
      </c>
      <c r="H136" s="75" t="inlineStr">
        <is>
          <t>cash, fresh_cache_24h_from_yahoo</t>
        </is>
      </c>
    </row>
    <row r="137" ht="45" customHeight="1">
      <c r="A137" s="33" t="inlineStr"/>
      <c r="B137" s="12" t="inlineStr">
        <is>
          <t>CASH</t>
        </is>
      </c>
      <c r="C137" s="94" t="n">
        <v>4870.67</v>
      </c>
      <c r="D137" s="79" t="n">
        <v>1</v>
      </c>
      <c r="E137" s="79" t="n">
        <v>4870.67</v>
      </c>
      <c r="F137" s="80" t="n">
        <v>0.001762215012122065</v>
      </c>
      <c r="G137" s="12" t="inlineStr">
        <is>
          <t>Cash</t>
        </is>
      </c>
      <c r="H137" s="12" t="inlineStr">
        <is>
          <t>cash</t>
        </is>
      </c>
    </row>
    <row r="138" ht="45" customHeight="1">
      <c r="A138" s="33" t="inlineStr"/>
      <c r="B138" s="12" t="inlineStr">
        <is>
          <t>VTI</t>
        </is>
      </c>
      <c r="C138" s="94" t="n">
        <v>677.3749999999999</v>
      </c>
      <c r="D138" s="79" t="n">
        <v>368.76</v>
      </c>
      <c r="E138" s="79" t="n">
        <v>249788.805</v>
      </c>
      <c r="F138" s="80" t="n">
        <v>0.09037392843921496</v>
      </c>
      <c r="G138" s="12" t="inlineStr">
        <is>
          <t>US Large Cap</t>
        </is>
      </c>
      <c r="H138" s="12" t="inlineStr">
        <is>
          <t>fresh_cache_24h_from_yahoo</t>
        </is>
      </c>
    </row>
    <row r="139" ht="45" customHeight="1">
      <c r="A139" s="33" t="inlineStr"/>
      <c r="B139" s="12" t="inlineStr">
        <is>
          <t>VXUS</t>
        </is>
      </c>
      <c r="C139" s="94" t="n">
        <v>914.6947</v>
      </c>
      <c r="D139" s="79" t="n">
        <v>84.84</v>
      </c>
      <c r="E139" s="79" t="n">
        <v>77602.69834800001</v>
      </c>
      <c r="F139" s="80" t="n">
        <v>0.0280767615153615</v>
      </c>
      <c r="G139" s="12" t="inlineStr">
        <is>
          <t>International</t>
        </is>
      </c>
      <c r="H139" s="12" t="inlineStr">
        <is>
          <t>fresh_cache_24h_from_yahoo</t>
        </is>
      </c>
    </row>
    <row r="140" ht="30" customHeight="1">
      <c r="A140" s="2" t="inlineStr">
        <is>
          <t>TOTAL</t>
        </is>
      </c>
      <c r="E140" s="83" t="n">
        <v>2763947.626422001</v>
      </c>
      <c r="F140" s="84" t="n">
        <v>1</v>
      </c>
    </row>
    <row r="141"/>
    <row r="142"/>
    <row r="143" ht="15" customHeight="1">
      <c r="A143" s="9" t="inlineStr">
        <is>
          <t>REBALANCING TRADES</t>
        </is>
      </c>
    </row>
    <row r="144" ht="90" customHeight="1">
      <c r="A144" s="12" t="inlineStr">
        <is>
          <t>Trades use a configurable household-level tax-location optimizer with account-level tax optimization when enabled. Security-buy subtotals exclude CASH target/hold rows so the Ending Cash After Trades line reconciles to the Cash row in Total Portfolio Mix. The global mode minimizes selected-target drift, estimated tax cost, turnover, and account-location inefficiency across all accounts while respecting account cash constraints, tax-lot sales including short-term vs long-term gains, minimum trades, turnover caps, concentration caps, taxable-gain budget, and wash-sale review settings. The heuristic mode remains available as a fallback.</t>
        </is>
      </c>
      <c r="B144" s="3" t="n"/>
      <c r="C144" s="3" t="n"/>
      <c r="D144" s="3" t="n"/>
      <c r="E144" s="3" t="n"/>
      <c r="F144" s="3" t="n"/>
      <c r="G144" s="3" t="n"/>
      <c r="H144" s="3" t="n"/>
      <c r="I144" s="3" t="n"/>
      <c r="J144" s="4" t="n"/>
    </row>
    <row r="145"/>
    <row r="146" ht="15" customHeight="1">
      <c r="A146" s="10" t="inlineStr">
        <is>
          <t>Matthew HSA — HSA — Sells $32,432 | Security Buys $32,432 | Ending Cash After Trades $280</t>
        </is>
      </c>
      <c r="B146" s="3" t="n"/>
      <c r="C146" s="3" t="n"/>
      <c r="D146" s="3" t="n"/>
      <c r="E146" s="3" t="n"/>
      <c r="F146" s="3" t="n"/>
      <c r="G146" s="3" t="n"/>
      <c r="H146" s="3" t="n"/>
      <c r="I146" s="3" t="n"/>
      <c r="J146" s="4" t="n"/>
    </row>
    <row r="147" ht="30" customHeight="1">
      <c r="A147" s="5" t="inlineStr">
        <is>
          <t>Account</t>
        </is>
      </c>
      <c r="B147" s="5" t="inlineStr">
        <is>
          <t>Tax Treatment</t>
        </is>
      </c>
      <c r="C147" s="5" t="inlineStr">
        <is>
          <t>Symbol</t>
        </is>
      </c>
      <c r="D147" s="5" t="inlineStr">
        <is>
          <t>Action</t>
        </is>
      </c>
      <c r="E147" s="5" t="inlineStr">
        <is>
          <t>Amount</t>
        </is>
      </c>
      <c r="F147" s="5" t="inlineStr">
        <is>
          <t>Shares</t>
        </is>
      </c>
      <c r="G147" s="5" t="inlineStr">
        <is>
          <t>Bucket</t>
        </is>
      </c>
      <c r="H147" s="5" t="inlineStr">
        <is>
          <t>Est. Tax Cost</t>
        </is>
      </c>
      <c r="I147" s="5" t="inlineStr">
        <is>
          <t>Tax Logic</t>
        </is>
      </c>
      <c r="J147" s="5" t="inlineStr">
        <is>
          <t>Note</t>
        </is>
      </c>
    </row>
    <row r="148" ht="90" customHeight="1">
      <c r="A148" s="12" t="inlineStr">
        <is>
          <t>Matthew HSA</t>
        </is>
      </c>
      <c r="B148" s="12" t="inlineStr">
        <is>
          <t>HSA</t>
        </is>
      </c>
      <c r="C148" s="2" t="inlineStr">
        <is>
          <t>ITOT</t>
        </is>
      </c>
      <c r="D148" s="95" t="inlineStr">
        <is>
          <t>SELL</t>
        </is>
      </c>
      <c r="E148" s="79" t="n">
        <v>32432</v>
      </c>
      <c r="F148" s="96" t="n">
        <v>198.04</v>
      </c>
      <c r="G148" s="12" t="inlineStr">
        <is>
          <t>US Large Cap</t>
        </is>
      </c>
      <c r="H148" s="79" t="n">
        <v>0</v>
      </c>
      <c r="I148" s="12" t="inlineStr">
        <is>
          <t>No current tax inside tax-advantaged account.</t>
        </is>
      </c>
      <c r="J148" s="12" t="inlineStr">
        <is>
          <t>No current tax inside this account type. Global optimizer fit score 90%; household target/location/tax tradeoff selected this sale.</t>
        </is>
      </c>
    </row>
    <row r="149" ht="90" customHeight="1">
      <c r="A149" s="12" t="inlineStr">
        <is>
          <t>Matthew HSA</t>
        </is>
      </c>
      <c r="B149" s="12" t="inlineStr">
        <is>
          <t>HSA</t>
        </is>
      </c>
      <c r="C149" s="2" t="inlineStr">
        <is>
          <t>VWO</t>
        </is>
      </c>
      <c r="D149" s="92" t="inlineStr">
        <is>
          <t>BUY</t>
        </is>
      </c>
      <c r="E149" s="79" t="n">
        <v>32432</v>
      </c>
      <c r="F149" s="96" t="n">
        <v>553.63</v>
      </c>
      <c r="G149" s="12" t="inlineStr">
        <is>
          <t>Emerging Markets</t>
        </is>
      </c>
      <c r="H149" s="79" t="n">
        <v>0</v>
      </c>
      <c r="I149" s="12" t="inlineStr">
        <is>
          <t>Buy side has no realized gain; global optimizer places exposure by account tax treatment and constraints.</t>
        </is>
      </c>
      <c r="J149" s="12" t="inlineStr">
        <is>
          <t>Global optimizer selected this account for Emerging Markets based on tax treatment, household drift, and location fit 90%. Single ETF selected for this unrepresented Emerging Markets sleeve in this account; ETF alternatives remain informational only.</t>
        </is>
      </c>
    </row>
    <row r="150" ht="90" customHeight="1">
      <c r="A150" s="11" t="inlineStr">
        <is>
          <t>Matthew HSA Subtotal</t>
        </is>
      </c>
      <c r="D150" s="11" t="inlineStr">
        <is>
          <t>SELL</t>
        </is>
      </c>
      <c r="E150" s="30" t="n">
        <v>32432</v>
      </c>
      <c r="F150" s="11" t="inlineStr">
        <is>
          <t>SECURITY BUY</t>
        </is>
      </c>
      <c r="G150" s="30" t="n">
        <v>32432</v>
      </c>
      <c r="H150" s="11" t="inlineStr">
        <is>
          <t>Ending Cash After Trades</t>
        </is>
      </c>
      <c r="I150" s="30" t="n">
        <v>279.5900000000001</v>
      </c>
      <c r="J150" s="97" t="inlineStr">
        <is>
          <t>Beginning cash $280; cash change $0. CASH target/hold rows are not counted as security buys.</t>
        </is>
      </c>
    </row>
    <row r="151"/>
    <row r="152" ht="15" customHeight="1">
      <c r="A152" s="10" t="inlineStr">
        <is>
          <t>Matthew IRA — Tax-deferred — Sells $152,762 | Security Buys $0 | Ending Cash After Trades $152,829</t>
        </is>
      </c>
      <c r="B152" s="3" t="n"/>
      <c r="C152" s="3" t="n"/>
      <c r="D152" s="3" t="n"/>
      <c r="E152" s="3" t="n"/>
      <c r="F152" s="3" t="n"/>
      <c r="G152" s="3" t="n"/>
      <c r="H152" s="3" t="n"/>
      <c r="I152" s="3" t="n"/>
      <c r="J152" s="4" t="n"/>
    </row>
    <row r="153" ht="30" customHeight="1">
      <c r="A153" s="5" t="inlineStr">
        <is>
          <t>Account</t>
        </is>
      </c>
      <c r="B153" s="5" t="inlineStr">
        <is>
          <t>Tax Treatment</t>
        </is>
      </c>
      <c r="C153" s="5" t="inlineStr">
        <is>
          <t>Symbol</t>
        </is>
      </c>
      <c r="D153" s="5" t="inlineStr">
        <is>
          <t>Action</t>
        </is>
      </c>
      <c r="E153" s="5" t="inlineStr">
        <is>
          <t>Amount</t>
        </is>
      </c>
      <c r="F153" s="5" t="inlineStr">
        <is>
          <t>Shares</t>
        </is>
      </c>
      <c r="G153" s="5" t="inlineStr">
        <is>
          <t>Bucket</t>
        </is>
      </c>
      <c r="H153" s="5" t="inlineStr">
        <is>
          <t>Est. Tax Cost</t>
        </is>
      </c>
      <c r="I153" s="5" t="inlineStr">
        <is>
          <t>Tax Logic</t>
        </is>
      </c>
      <c r="J153" s="5" t="inlineStr">
        <is>
          <t>Note</t>
        </is>
      </c>
    </row>
    <row r="154" ht="90" customHeight="1">
      <c r="A154" s="12" t="inlineStr">
        <is>
          <t>Matthew IRA</t>
        </is>
      </c>
      <c r="B154" s="12" t="inlineStr">
        <is>
          <t>Tax-deferred</t>
        </is>
      </c>
      <c r="C154" s="2" t="inlineStr">
        <is>
          <t>ITOT</t>
        </is>
      </c>
      <c r="D154" s="95" t="inlineStr">
        <is>
          <t>SELL</t>
        </is>
      </c>
      <c r="E154" s="79" t="n">
        <v>47151</v>
      </c>
      <c r="F154" s="96" t="n">
        <v>287.93</v>
      </c>
      <c r="G154" s="12" t="inlineStr">
        <is>
          <t>US Large Cap</t>
        </is>
      </c>
      <c r="H154" s="79" t="n">
        <v>0</v>
      </c>
      <c r="I154" s="12" t="inlineStr">
        <is>
          <t>No current tax inside tax-advantaged account.</t>
        </is>
      </c>
      <c r="J154" s="12" t="inlineStr">
        <is>
          <t>No current tax inside this account type. Global optimizer fit score 65%; household target/location/tax tradeoff selected this sale.</t>
        </is>
      </c>
    </row>
    <row r="155" ht="90" customHeight="1">
      <c r="A155" s="12" t="inlineStr">
        <is>
          <t>Matthew IRA</t>
        </is>
      </c>
      <c r="B155" s="12" t="inlineStr">
        <is>
          <t>Tax-deferred</t>
        </is>
      </c>
      <c r="C155" s="2" t="inlineStr">
        <is>
          <t>AVUV</t>
        </is>
      </c>
      <c r="D155" s="95" t="inlineStr">
        <is>
          <t>SELL</t>
        </is>
      </c>
      <c r="E155" s="79" t="n">
        <v>105611</v>
      </c>
      <c r="F155" s="96" t="n">
        <v>855.08</v>
      </c>
      <c r="G155" s="12" t="inlineStr">
        <is>
          <t>US Small Cap</t>
        </is>
      </c>
      <c r="H155" s="79" t="n">
        <v>0</v>
      </c>
      <c r="I155" s="12" t="inlineStr">
        <is>
          <t>No current tax inside tax-advantaged account.</t>
        </is>
      </c>
      <c r="J155" s="12" t="inlineStr">
        <is>
          <t>No current tax inside this account type. Global optimizer fit score 50%; household target/location/tax tradeoff selected this sale.</t>
        </is>
      </c>
    </row>
    <row r="156" ht="90" customHeight="1">
      <c r="A156" s="12" t="inlineStr">
        <is>
          <t>Matthew IRA</t>
        </is>
      </c>
      <c r="B156" s="12" t="inlineStr">
        <is>
          <t>Tax-deferred</t>
        </is>
      </c>
      <c r="C156" s="2" t="inlineStr">
        <is>
          <t>CASH</t>
        </is>
      </c>
      <c r="D156" s="92" t="inlineStr">
        <is>
          <t>BUY</t>
        </is>
      </c>
      <c r="E156" s="79" t="n">
        <v>152762</v>
      </c>
      <c r="F156" s="96" t="n">
        <v>152762.12</v>
      </c>
      <c r="G156" s="12" t="inlineStr">
        <is>
          <t>Cash</t>
        </is>
      </c>
      <c r="H156" s="79" t="n">
        <v>0</v>
      </c>
      <c r="I156" s="12" t="inlineStr">
        <is>
          <t>Buy side has no realized gain; global optimizer places exposure by account tax treatment and constraints.</t>
        </is>
      </c>
      <c r="J156" s="12" t="inlineStr">
        <is>
          <t>Global optimizer selected this account for Cash based on tax treatment, household drift, and location fit 65%.</t>
        </is>
      </c>
    </row>
    <row r="157" ht="90" customHeight="1">
      <c r="A157" s="11" t="inlineStr">
        <is>
          <t>Matthew IRA Subtotal</t>
        </is>
      </c>
      <c r="D157" s="11" t="inlineStr">
        <is>
          <t>SELL</t>
        </is>
      </c>
      <c r="E157" s="30" t="n">
        <v>152762</v>
      </c>
      <c r="F157" s="11" t="inlineStr">
        <is>
          <t>SECURITY BUY</t>
        </is>
      </c>
      <c r="G157" s="30" t="n">
        <v>0</v>
      </c>
      <c r="H157" s="11" t="inlineStr">
        <is>
          <t>Ending Cash After Trades</t>
        </is>
      </c>
      <c r="I157" s="30" t="n">
        <v>152829.36</v>
      </c>
      <c r="J157" s="97" t="inlineStr">
        <is>
          <t>Beginning cash $67; cash change $152,762. CASH target/hold rows are not counted as security buys.</t>
        </is>
      </c>
    </row>
    <row r="158"/>
    <row r="159" ht="15" customHeight="1">
      <c r="A159" s="10" t="inlineStr">
        <is>
          <t>Matthew Roth — Tax-free (Roth) — Sells $47,605 | Security Buys $47,605 | Ending Cash After Trades $10</t>
        </is>
      </c>
      <c r="B159" s="3" t="n"/>
      <c r="C159" s="3" t="n"/>
      <c r="D159" s="3" t="n"/>
      <c r="E159" s="3" t="n"/>
      <c r="F159" s="3" t="n"/>
      <c r="G159" s="3" t="n"/>
      <c r="H159" s="3" t="n"/>
      <c r="I159" s="3" t="n"/>
      <c r="J159" s="4" t="n"/>
    </row>
    <row r="160" ht="30" customHeight="1">
      <c r="A160" s="5" t="inlineStr">
        <is>
          <t>Account</t>
        </is>
      </c>
      <c r="B160" s="5" t="inlineStr">
        <is>
          <t>Tax Treatment</t>
        </is>
      </c>
      <c r="C160" s="5" t="inlineStr">
        <is>
          <t>Symbol</t>
        </is>
      </c>
      <c r="D160" s="5" t="inlineStr">
        <is>
          <t>Action</t>
        </is>
      </c>
      <c r="E160" s="5" t="inlineStr">
        <is>
          <t>Amount</t>
        </is>
      </c>
      <c r="F160" s="5" t="inlineStr">
        <is>
          <t>Shares</t>
        </is>
      </c>
      <c r="G160" s="5" t="inlineStr">
        <is>
          <t>Bucket</t>
        </is>
      </c>
      <c r="H160" s="5" t="inlineStr">
        <is>
          <t>Est. Tax Cost</t>
        </is>
      </c>
      <c r="I160" s="5" t="inlineStr">
        <is>
          <t>Tax Logic</t>
        </is>
      </c>
      <c r="J160" s="5" t="inlineStr">
        <is>
          <t>Note</t>
        </is>
      </c>
    </row>
    <row r="161" ht="90" customHeight="1">
      <c r="A161" s="12" t="inlineStr">
        <is>
          <t>Matthew Roth</t>
        </is>
      </c>
      <c r="B161" s="12" t="inlineStr">
        <is>
          <t>Tax-free (Roth)</t>
        </is>
      </c>
      <c r="C161" s="2" t="inlineStr">
        <is>
          <t>IXUS</t>
        </is>
      </c>
      <c r="D161" s="95" t="inlineStr">
        <is>
          <t>SELL</t>
        </is>
      </c>
      <c r="E161" s="79" t="n">
        <v>19239</v>
      </c>
      <c r="F161" s="96" t="n">
        <v>203.12</v>
      </c>
      <c r="G161" s="12" t="inlineStr">
        <is>
          <t>International</t>
        </is>
      </c>
      <c r="H161" s="79" t="n">
        <v>0</v>
      </c>
      <c r="I161" s="12" t="inlineStr">
        <is>
          <t>No current tax inside tax-advantaged account.</t>
        </is>
      </c>
      <c r="J161" s="12" t="inlineStr">
        <is>
          <t>No current tax inside this account type. Global optimizer fit score 95%; household target/location/tax tradeoff selected this sale.</t>
        </is>
      </c>
    </row>
    <row r="162" ht="90" customHeight="1">
      <c r="A162" s="12" t="inlineStr">
        <is>
          <t>Matthew Roth</t>
        </is>
      </c>
      <c r="B162" s="12" t="inlineStr">
        <is>
          <t>Tax-free (Roth)</t>
        </is>
      </c>
      <c r="C162" s="2" t="inlineStr">
        <is>
          <t>ITOT</t>
        </is>
      </c>
      <c r="D162" s="95" t="inlineStr">
        <is>
          <t>SELL</t>
        </is>
      </c>
      <c r="E162" s="79" t="n">
        <v>28366</v>
      </c>
      <c r="F162" s="96" t="n">
        <v>173.22</v>
      </c>
      <c r="G162" s="12" t="inlineStr">
        <is>
          <t>US Large Cap</t>
        </is>
      </c>
      <c r="H162" s="79" t="n">
        <v>0</v>
      </c>
      <c r="I162" s="12" t="inlineStr">
        <is>
          <t>No current tax inside tax-advantaged account.</t>
        </is>
      </c>
      <c r="J162" s="12" t="inlineStr">
        <is>
          <t>No current tax inside this account type. Global optimizer fit score 95%; household target/location/tax tradeoff selected this sale.</t>
        </is>
      </c>
    </row>
    <row r="163" ht="90" customHeight="1">
      <c r="A163" s="12" t="inlineStr">
        <is>
          <t>Matthew Roth</t>
        </is>
      </c>
      <c r="B163" s="12" t="inlineStr">
        <is>
          <t>Tax-free (Roth)</t>
        </is>
      </c>
      <c r="C163" s="2" t="inlineStr">
        <is>
          <t>VWO</t>
        </is>
      </c>
      <c r="D163" s="92" t="inlineStr">
        <is>
          <t>BUY</t>
        </is>
      </c>
      <c r="E163" s="79" t="n">
        <v>47605</v>
      </c>
      <c r="F163" s="96" t="n">
        <v>812.65</v>
      </c>
      <c r="G163" s="12" t="inlineStr">
        <is>
          <t>Emerging Markets</t>
        </is>
      </c>
      <c r="H163" s="79" t="n">
        <v>0</v>
      </c>
      <c r="I163" s="12" t="inlineStr">
        <is>
          <t>Buy side has no realized gain; global optimizer places exposure by account tax treatment and constraints.</t>
        </is>
      </c>
      <c r="J163" s="12" t="inlineStr">
        <is>
          <t>Global optimizer selected this account for Emerging Markets based on tax treatment, household drift, and location fit 95%. Single ETF selected for this unrepresented Emerging Markets sleeve in this account; ETF alternatives remain informational only.</t>
        </is>
      </c>
    </row>
    <row r="164" ht="90" customHeight="1">
      <c r="A164" s="11" t="inlineStr">
        <is>
          <t>Matthew Roth Subtotal</t>
        </is>
      </c>
      <c r="D164" s="11" t="inlineStr">
        <is>
          <t>SELL</t>
        </is>
      </c>
      <c r="E164" s="30" t="n">
        <v>47605</v>
      </c>
      <c r="F164" s="11" t="inlineStr">
        <is>
          <t>SECURITY BUY</t>
        </is>
      </c>
      <c r="G164" s="30" t="n">
        <v>47605</v>
      </c>
      <c r="H164" s="11" t="inlineStr">
        <is>
          <t>Ending Cash After Trades</t>
        </is>
      </c>
      <c r="I164" s="30" t="n">
        <v>10.08999999999651</v>
      </c>
      <c r="J164" s="97" t="inlineStr">
        <is>
          <t>Beginning cash $10; cash change $-0. CASH target/hold rows are not counted as security buys.</t>
        </is>
      </c>
    </row>
    <row r="165"/>
    <row r="166" ht="15" customHeight="1">
      <c r="A166" s="10" t="inlineStr">
        <is>
          <t>Patricia IRA — Tax-deferred — Sells $178,779 | Security Buys $178,779 | Ending Cash After Trades $182</t>
        </is>
      </c>
      <c r="B166" s="3" t="n"/>
      <c r="C166" s="3" t="n"/>
      <c r="D166" s="3" t="n"/>
      <c r="E166" s="3" t="n"/>
      <c r="F166" s="3" t="n"/>
      <c r="G166" s="3" t="n"/>
      <c r="H166" s="3" t="n"/>
      <c r="I166" s="3" t="n"/>
      <c r="J166" s="4" t="n"/>
    </row>
    <row r="167" ht="30" customHeight="1">
      <c r="A167" s="5" t="inlineStr">
        <is>
          <t>Account</t>
        </is>
      </c>
      <c r="B167" s="5" t="inlineStr">
        <is>
          <t>Tax Treatment</t>
        </is>
      </c>
      <c r="C167" s="5" t="inlineStr">
        <is>
          <t>Symbol</t>
        </is>
      </c>
      <c r="D167" s="5" t="inlineStr">
        <is>
          <t>Action</t>
        </is>
      </c>
      <c r="E167" s="5" t="inlineStr">
        <is>
          <t>Amount</t>
        </is>
      </c>
      <c r="F167" s="5" t="inlineStr">
        <is>
          <t>Shares</t>
        </is>
      </c>
      <c r="G167" s="5" t="inlineStr">
        <is>
          <t>Bucket</t>
        </is>
      </c>
      <c r="H167" s="5" t="inlineStr">
        <is>
          <t>Est. Tax Cost</t>
        </is>
      </c>
      <c r="I167" s="5" t="inlineStr">
        <is>
          <t>Tax Logic</t>
        </is>
      </c>
      <c r="J167" s="5" t="inlineStr">
        <is>
          <t>Note</t>
        </is>
      </c>
    </row>
    <row r="168" ht="90" customHeight="1">
      <c r="A168" s="12" t="inlineStr">
        <is>
          <t>Patricia IRA</t>
        </is>
      </c>
      <c r="B168" s="12" t="inlineStr">
        <is>
          <t>Tax-deferred</t>
        </is>
      </c>
      <c r="C168" s="2" t="inlineStr">
        <is>
          <t>VXUS</t>
        </is>
      </c>
      <c r="D168" s="95" t="inlineStr">
        <is>
          <t>SELL</t>
        </is>
      </c>
      <c r="E168" s="79" t="n">
        <v>147454</v>
      </c>
      <c r="F168" s="96" t="n">
        <v>1738.02</v>
      </c>
      <c r="G168" s="12" t="inlineStr">
        <is>
          <t>International</t>
        </is>
      </c>
      <c r="H168" s="79" t="n">
        <v>0</v>
      </c>
      <c r="I168" s="12" t="inlineStr">
        <is>
          <t>No current tax inside tax-advantaged account.</t>
        </is>
      </c>
      <c r="J168" s="12" t="inlineStr">
        <is>
          <t>No current tax inside this account type. Global optimizer fit score 65%; household target/location/tax tradeoff selected this sale.</t>
        </is>
      </c>
    </row>
    <row r="169" ht="90" customHeight="1">
      <c r="A169" s="12" t="inlineStr">
        <is>
          <t>Patricia IRA</t>
        </is>
      </c>
      <c r="B169" s="12" t="inlineStr">
        <is>
          <t>Tax-deferred</t>
        </is>
      </c>
      <c r="C169" s="2" t="inlineStr">
        <is>
          <t>VBR</t>
        </is>
      </c>
      <c r="D169" s="95" t="inlineStr">
        <is>
          <t>SELL</t>
        </is>
      </c>
      <c r="E169" s="79" t="n">
        <v>31325</v>
      </c>
      <c r="F169" s="96" t="n">
        <v>128.79</v>
      </c>
      <c r="G169" s="12" t="inlineStr">
        <is>
          <t>US Small Cap</t>
        </is>
      </c>
      <c r="H169" s="79" t="n">
        <v>0</v>
      </c>
      <c r="I169" s="12" t="inlineStr">
        <is>
          <t>No current tax inside tax-advantaged account.</t>
        </is>
      </c>
      <c r="J169" s="12" t="inlineStr">
        <is>
          <t>No current tax inside this account type. Global optimizer fit score 50%; household target/location/tax tradeoff selected this sale.</t>
        </is>
      </c>
    </row>
    <row r="170" ht="90" customHeight="1">
      <c r="A170" s="12" t="inlineStr">
        <is>
          <t>Patricia IRA</t>
        </is>
      </c>
      <c r="B170" s="12" t="inlineStr">
        <is>
          <t>Tax-deferred</t>
        </is>
      </c>
      <c r="C170" s="2" t="inlineStr">
        <is>
          <t>PDBC</t>
        </is>
      </c>
      <c r="D170" s="92" t="inlineStr">
        <is>
          <t>BUY</t>
        </is>
      </c>
      <c r="E170" s="79" t="n">
        <v>6032</v>
      </c>
      <c r="F170" s="96" t="n">
        <v>380.11</v>
      </c>
      <c r="G170" s="12" t="inlineStr">
        <is>
          <t>Commodities</t>
        </is>
      </c>
      <c r="H170" s="79" t="n">
        <v>0</v>
      </c>
      <c r="I170" s="12" t="inlineStr">
        <is>
          <t>Buy side has no realized gain; global optimizer places exposure by account tax treatment and constraints.</t>
        </is>
      </c>
      <c r="J170" s="12" t="inlineStr">
        <is>
          <t>Global optimizer selected this account for Commodities based on tax treatment, household drift, and location fit 95%.</t>
        </is>
      </c>
    </row>
    <row r="171" ht="90" customHeight="1">
      <c r="A171" s="12" t="inlineStr">
        <is>
          <t>Patricia IRA</t>
        </is>
      </c>
      <c r="B171" s="12" t="inlineStr">
        <is>
          <t>Tax-deferred</t>
        </is>
      </c>
      <c r="C171" s="2" t="inlineStr">
        <is>
          <t>VO</t>
        </is>
      </c>
      <c r="D171" s="92" t="inlineStr">
        <is>
          <t>BUY</t>
        </is>
      </c>
      <c r="E171" s="79" t="n">
        <v>172747</v>
      </c>
      <c r="F171" s="96" t="n">
        <v>2159.6</v>
      </c>
      <c r="G171" s="12" t="inlineStr">
        <is>
          <t>US Mid Cap</t>
        </is>
      </c>
      <c r="H171" s="79" t="n">
        <v>0</v>
      </c>
      <c r="I171" s="12" t="inlineStr">
        <is>
          <t>Buy side has no realized gain; global optimizer places exposure by account tax treatment and constraints.</t>
        </is>
      </c>
      <c r="J171" s="12" t="inlineStr">
        <is>
          <t>Global optimizer selected this account for US Mid Cap based on tax treatment, household drift, and location fit 65%. Single ETF selected for this unrepresented US Mid Cap sleeve in this account; ETF alternatives remain informational only.</t>
        </is>
      </c>
    </row>
    <row r="172" ht="90" customHeight="1">
      <c r="A172" s="11" t="inlineStr">
        <is>
          <t>Patricia IRA Subtotal</t>
        </is>
      </c>
      <c r="D172" s="11" t="inlineStr">
        <is>
          <t>SELL</t>
        </is>
      </c>
      <c r="E172" s="30" t="n">
        <v>178779</v>
      </c>
      <c r="F172" s="11" t="inlineStr">
        <is>
          <t>SECURITY BUY</t>
        </is>
      </c>
      <c r="G172" s="30" t="n">
        <v>178779</v>
      </c>
      <c r="H172" s="11" t="inlineStr">
        <is>
          <t>Ending Cash After Trades</t>
        </is>
      </c>
      <c r="I172" s="30" t="n">
        <v>182.3099999999977</v>
      </c>
      <c r="J172" s="97" t="inlineStr">
        <is>
          <t>Beginning cash $182; cash change $-0. CASH target/hold rows are not counted as security buys.</t>
        </is>
      </c>
    </row>
    <row r="173"/>
    <row r="174" ht="15" customHeight="1">
      <c r="A174" s="10" t="inlineStr">
        <is>
          <t>Patricia Roth — Tax-free (Roth) — Sells $92,710 | Security Buys $92,710 | Ending Cash After Trades $226</t>
        </is>
      </c>
      <c r="B174" s="3" t="n"/>
      <c r="C174" s="3" t="n"/>
      <c r="D174" s="3" t="n"/>
      <c r="E174" s="3" t="n"/>
      <c r="F174" s="3" t="n"/>
      <c r="G174" s="3" t="n"/>
      <c r="H174" s="3" t="n"/>
      <c r="I174" s="3" t="n"/>
      <c r="J174" s="4" t="n"/>
    </row>
    <row r="175" ht="30" customHeight="1">
      <c r="A175" s="5" t="inlineStr">
        <is>
          <t>Account</t>
        </is>
      </c>
      <c r="B175" s="5" t="inlineStr">
        <is>
          <t>Tax Treatment</t>
        </is>
      </c>
      <c r="C175" s="5" t="inlineStr">
        <is>
          <t>Symbol</t>
        </is>
      </c>
      <c r="D175" s="5" t="inlineStr">
        <is>
          <t>Action</t>
        </is>
      </c>
      <c r="E175" s="5" t="inlineStr">
        <is>
          <t>Amount</t>
        </is>
      </c>
      <c r="F175" s="5" t="inlineStr">
        <is>
          <t>Shares</t>
        </is>
      </c>
      <c r="G175" s="5" t="inlineStr">
        <is>
          <t>Bucket</t>
        </is>
      </c>
      <c r="H175" s="5" t="inlineStr">
        <is>
          <t>Est. Tax Cost</t>
        </is>
      </c>
      <c r="I175" s="5" t="inlineStr">
        <is>
          <t>Tax Logic</t>
        </is>
      </c>
      <c r="J175" s="5" t="inlineStr">
        <is>
          <t>Note</t>
        </is>
      </c>
    </row>
    <row r="176" ht="90" customHeight="1">
      <c r="A176" s="12" t="inlineStr">
        <is>
          <t>Patricia Roth</t>
        </is>
      </c>
      <c r="B176" s="12" t="inlineStr">
        <is>
          <t>Tax-free (Roth)</t>
        </is>
      </c>
      <c r="C176" s="2" t="inlineStr">
        <is>
          <t>VXUS</t>
        </is>
      </c>
      <c r="D176" s="95" t="inlineStr">
        <is>
          <t>SELL</t>
        </is>
      </c>
      <c r="E176" s="79" t="n">
        <v>52647</v>
      </c>
      <c r="F176" s="96" t="n">
        <v>620.55</v>
      </c>
      <c r="G176" s="12" t="inlineStr">
        <is>
          <t>International</t>
        </is>
      </c>
      <c r="H176" s="79" t="n">
        <v>0</v>
      </c>
      <c r="I176" s="12" t="inlineStr">
        <is>
          <t>No current tax inside tax-advantaged account.</t>
        </is>
      </c>
      <c r="J176" s="12" t="inlineStr">
        <is>
          <t>No current tax inside this account type. Global optimizer fit score 95%; household target/location/tax tradeoff selected this sale.</t>
        </is>
      </c>
    </row>
    <row r="177" ht="90" customHeight="1">
      <c r="A177" s="12" t="inlineStr">
        <is>
          <t>Patricia Roth</t>
        </is>
      </c>
      <c r="B177" s="12" t="inlineStr">
        <is>
          <t>Tax-free (Roth)</t>
        </is>
      </c>
      <c r="C177" s="2" t="inlineStr">
        <is>
          <t>VTI</t>
        </is>
      </c>
      <c r="D177" s="95" t="inlineStr">
        <is>
          <t>SELL</t>
        </is>
      </c>
      <c r="E177" s="79" t="n">
        <v>40063</v>
      </c>
      <c r="F177" s="96" t="n">
        <v>108.64</v>
      </c>
      <c r="G177" s="12" t="inlineStr">
        <is>
          <t>US Large Cap</t>
        </is>
      </c>
      <c r="H177" s="79" t="n">
        <v>0</v>
      </c>
      <c r="I177" s="12" t="inlineStr">
        <is>
          <t>No current tax inside tax-advantaged account.</t>
        </is>
      </c>
      <c r="J177" s="12" t="inlineStr">
        <is>
          <t>No current tax inside this account type. Global optimizer fit score 95%; household target/location/tax tradeoff selected this sale.</t>
        </is>
      </c>
    </row>
    <row r="178" ht="90" customHeight="1">
      <c r="A178" s="12" t="inlineStr">
        <is>
          <t>Patricia Roth</t>
        </is>
      </c>
      <c r="B178" s="12" t="inlineStr">
        <is>
          <t>Tax-free (Roth)</t>
        </is>
      </c>
      <c r="C178" s="2" t="inlineStr">
        <is>
          <t>VWO</t>
        </is>
      </c>
      <c r="D178" s="92" t="inlineStr">
        <is>
          <t>BUY</t>
        </is>
      </c>
      <c r="E178" s="79" t="n">
        <v>92710</v>
      </c>
      <c r="F178" s="96" t="n">
        <v>1582.63</v>
      </c>
      <c r="G178" s="12" t="inlineStr">
        <is>
          <t>Emerging Markets</t>
        </is>
      </c>
      <c r="H178" s="79" t="n">
        <v>0</v>
      </c>
      <c r="I178" s="12" t="inlineStr">
        <is>
          <t>Buy side has no realized gain; global optimizer places exposure by account tax treatment and constraints.</t>
        </is>
      </c>
      <c r="J178" s="12" t="inlineStr">
        <is>
          <t>Global optimizer selected this account for Emerging Markets based on tax treatment, household drift, and location fit 95%. Single ETF selected for this unrepresented Emerging Markets sleeve in this account; ETF alternatives remain informational only.</t>
        </is>
      </c>
    </row>
    <row r="179" ht="90" customHeight="1">
      <c r="A179" s="11" t="inlineStr">
        <is>
          <t>Patricia Roth Subtotal</t>
        </is>
      </c>
      <c r="D179" s="11" t="inlineStr">
        <is>
          <t>SELL</t>
        </is>
      </c>
      <c r="E179" s="30" t="n">
        <v>92710</v>
      </c>
      <c r="F179" s="11" t="inlineStr">
        <is>
          <t>SECURITY BUY</t>
        </is>
      </c>
      <c r="G179" s="30" t="n">
        <v>92710</v>
      </c>
      <c r="H179" s="11" t="inlineStr">
        <is>
          <t>Ending Cash After Trades</t>
        </is>
      </c>
      <c r="I179" s="30" t="n">
        <v>226.4499999999971</v>
      </c>
      <c r="J179" s="97" t="inlineStr">
        <is>
          <t>Beginning cash $226; cash change $-0. CASH target/hold rows are not counted as security buys.</t>
        </is>
      </c>
    </row>
    <row r="180"/>
    <row r="181" ht="15" customHeight="1">
      <c r="A181" s="2" t="inlineStr">
        <is>
          <t>Grand Total</t>
        </is>
      </c>
      <c r="D181" s="2" t="inlineStr">
        <is>
          <t>SELL</t>
        </is>
      </c>
      <c r="E181" s="83" t="n">
        <v>504288</v>
      </c>
    </row>
    <row r="182" ht="30" customHeight="1">
      <c r="D182" s="2" t="inlineStr">
        <is>
          <t>SECURITY BUY</t>
        </is>
      </c>
      <c r="E182" s="83" t="n">
        <v>351526</v>
      </c>
    </row>
    <row r="183" ht="90" customHeight="1">
      <c r="D183" s="2" t="inlineStr">
        <is>
          <t>Cash Change</t>
        </is>
      </c>
      <c r="E183" s="83" t="n">
        <v>152762</v>
      </c>
      <c r="G183" s="12" t="inlineStr">
        <is>
          <t>Change in cash = sells minus non-cash security buys; CASH target/hold rows are not counted as buys.</t>
        </is>
      </c>
    </row>
    <row r="184" ht="90" customHeight="1">
      <c r="D184" s="2" t="inlineStr">
        <is>
          <t>Ending Cash After Trades</t>
        </is>
      </c>
      <c r="E184" s="93" t="n">
        <v>172746.61</v>
      </c>
      <c r="G184" s="12" t="inlineStr">
        <is>
          <t>This should reconcile to the Cash row in Total Portfolio Mix after trades. No cross-account transfers are assumed. Includes $19,219 of unchanged cash in investment accounts without recommended trades.</t>
        </is>
      </c>
    </row>
    <row r="185"/>
    <row r="186" ht="15" customHeight="1">
      <c r="A186" s="17" t="inlineStr">
        <is>
          <t>Tax optimization diagnostics</t>
        </is>
      </c>
      <c r="B186" s="3" t="n"/>
      <c r="C186" s="3" t="n"/>
      <c r="D186" s="3" t="n"/>
      <c r="E186" s="3" t="n"/>
      <c r="F186" s="3" t="n"/>
      <c r="G186" s="3" t="n"/>
      <c r="H186" s="3" t="n"/>
      <c r="I186" s="3" t="n"/>
      <c r="J186" s="4" t="n"/>
    </row>
    <row r="187" ht="30" customHeight="1">
      <c r="A187" s="5" t="inlineStr">
        <is>
          <t>Control / objective</t>
        </is>
      </c>
      <c r="B187" s="5" t="inlineStr">
        <is>
          <t>Setting / result</t>
        </is>
      </c>
      <c r="C187" s="5" t="inlineStr">
        <is>
          <t>What it protects against</t>
        </is>
      </c>
      <c r="D187" s="3" t="n"/>
      <c r="E187" s="3" t="n"/>
      <c r="F187" s="3" t="n"/>
      <c r="G187" s="3" t="n"/>
      <c r="H187" s="3" t="n"/>
      <c r="I187" s="3" t="n"/>
      <c r="J187" s="4" t="n"/>
    </row>
    <row r="188" ht="30" customHeight="1">
      <c r="A188" s="2" t="inlineStr">
        <is>
          <t>Trade optimizer mode</t>
        </is>
      </c>
      <c r="B188" s="12" t="inlineStr">
        <is>
          <t>GLOBAL_TAX_AWARE</t>
        </is>
      </c>
      <c r="C188" s="12" t="inlineStr">
        <is>
          <t>Household-level linear objective; account cash constraints are respected because assets generally cannot transfer directly across account types.</t>
        </is>
      </c>
      <c r="D188" s="3" t="n"/>
      <c r="E188" s="3" t="n"/>
      <c r="F188" s="3" t="n"/>
      <c r="G188" s="3" t="n"/>
      <c r="H188" s="3" t="n"/>
      <c r="I188" s="3" t="n"/>
      <c r="J188" s="4" t="n"/>
    </row>
    <row r="189" ht="90" customHeight="1">
      <c r="A189" s="2" t="inlineStr">
        <is>
          <t>Optimization objective</t>
        </is>
      </c>
      <c r="B189" s="12" t="inlineStr">
        <is>
          <t>Drift + tax cost + turnover + account-location penalty</t>
        </is>
      </c>
      <c r="C189" s="12" t="inlineStr">
        <is>
          <t>Balances diversification and after-tax asset-location rather than optimizing each account in isolation.</t>
        </is>
      </c>
      <c r="D189" s="3" t="n"/>
      <c r="E189" s="3" t="n"/>
      <c r="F189" s="3" t="n"/>
      <c r="G189" s="3" t="n"/>
      <c r="H189" s="3" t="n"/>
      <c r="I189" s="3" t="n"/>
      <c r="J189" s="4" t="n"/>
    </row>
    <row r="190" ht="30" customHeight="1">
      <c r="A190" s="2" t="inlineStr">
        <is>
          <t>Configured max turnover</t>
        </is>
      </c>
      <c r="B190" s="12" t="inlineStr">
        <is>
          <t>20.0%</t>
        </is>
      </c>
      <c r="C190" s="12" t="inlineStr">
        <is>
          <t>Actual recommended sell turnover: 18.2%; cash deployed from existing account cash: $0.</t>
        </is>
      </c>
      <c r="D190" s="3" t="n"/>
      <c r="E190" s="3" t="n"/>
      <c r="F190" s="3" t="n"/>
      <c r="G190" s="3" t="n"/>
      <c r="H190" s="3" t="n"/>
      <c r="I190" s="3" t="n"/>
      <c r="J190" s="4" t="n"/>
    </row>
    <row r="191" ht="30" customHeight="1">
      <c r="A191" s="2" t="inlineStr">
        <is>
          <t>Taxable gain budget</t>
        </is>
      </c>
      <c r="B191" s="12" t="inlineStr">
        <is>
          <t>$2,500</t>
        </is>
      </c>
      <c r="C191" s="12" t="inlineStr">
        <is>
          <t>Estimated realized tax cost in recommended sells: $0.</t>
        </is>
      </c>
      <c r="D191" s="3" t="n"/>
      <c r="E191" s="3" t="n"/>
      <c r="F191" s="3" t="n"/>
      <c r="G191" s="3" t="n"/>
      <c r="H191" s="3" t="n"/>
      <c r="I191" s="3" t="n"/>
      <c r="J191" s="4" t="n"/>
    </row>
    <row r="192" ht="30" customHeight="1">
      <c r="A192" s="2" t="inlineStr">
        <is>
          <t>Taxable gain sale policy</t>
        </is>
      </c>
      <c r="B192" s="12" t="inlineStr">
        <is>
          <t>DRIFT_THRESHOLD</t>
        </is>
      </c>
      <c r="C192" s="12" t="inlineStr">
        <is>
          <t>Addresses tax-tail-wagging-dog, legacy gains, and taxable income timing risk.</t>
        </is>
      </c>
      <c r="D192" s="3" t="n"/>
      <c r="E192" s="3" t="n"/>
      <c r="F192" s="3" t="n"/>
      <c r="G192" s="3" t="n"/>
      <c r="H192" s="3" t="n"/>
      <c r="I192" s="3" t="n"/>
      <c r="J192" s="4" t="n"/>
    </row>
    <row r="193" ht="30" customHeight="1">
      <c r="A193" s="2" t="inlineStr">
        <is>
          <t>Asset-location strength</t>
        </is>
      </c>
      <c r="B193" s="12" t="inlineStr">
        <is>
          <t>BALANCED</t>
        </is>
      </c>
      <c r="C193" s="12" t="inlineStr">
        <is>
          <t>Controls how hard the optimizer pushes Roth growth, pre-tax income assets, and taxable tax-efficient equity.</t>
        </is>
      </c>
      <c r="D193" s="3" t="n"/>
      <c r="E193" s="3" t="n"/>
      <c r="F193" s="3" t="n"/>
      <c r="G193" s="3" t="n"/>
      <c r="H193" s="3" t="n"/>
      <c r="I193" s="3" t="n"/>
      <c r="J193" s="4" t="n"/>
    </row>
    <row r="194" ht="90" customHeight="1">
      <c r="A194" s="2" t="inlineStr">
        <is>
          <t>Concentration / tilt caps</t>
        </is>
      </c>
      <c r="B194" s="12" t="inlineStr">
        <is>
          <t>single asset 45%; Roth growth 85%; pre-tax fixed income 85%</t>
        </is>
      </c>
      <c r="C194" s="12" t="inlineStr">
        <is>
          <t>Hard caps reduce odd account-level allocations and over-concentration.</t>
        </is>
      </c>
      <c r="D194" s="3" t="n"/>
      <c r="E194" s="3" t="n"/>
      <c r="F194" s="3" t="n"/>
      <c r="G194" s="3" t="n"/>
      <c r="H194" s="3" t="n"/>
      <c r="I194" s="3" t="n"/>
      <c r="J194" s="4" t="n"/>
    </row>
    <row r="195" ht="30" customHeight="1">
      <c r="A195" s="2" t="inlineStr">
        <is>
          <t>Wash-sale handling</t>
        </is>
      </c>
      <c r="B195" s="12" t="inlineStr">
        <is>
          <t>FLAG_ONLY</t>
        </is>
      </c>
      <c r="C195" s="12" t="inlineStr">
        <is>
          <t>The workbook flags review items; it does not certify tax compliance or see outside-account/spouse trades.</t>
        </is>
      </c>
      <c r="D195" s="3" t="n"/>
      <c r="E195" s="3" t="n"/>
      <c r="F195" s="3" t="n"/>
      <c r="G195" s="3" t="n"/>
      <c r="H195" s="3" t="n"/>
      <c r="I195" s="3" t="n"/>
      <c r="J195" s="4" t="n"/>
    </row>
    <row r="196" ht="30" customHeight="1">
      <c r="A196" s="2" t="inlineStr">
        <is>
          <t>Deferred taxable sales</t>
        </is>
      </c>
      <c r="B196" s="12" t="inlineStr">
        <is>
          <t>4</t>
        </is>
      </c>
      <c r="C196" s="12" t="inlineStr">
        <is>
          <t>High-tax-drag or policy-blocked taxable sales are shown below instead of forced into the recommendation.</t>
        </is>
      </c>
      <c r="D196" s="3" t="n"/>
      <c r="E196" s="3" t="n"/>
      <c r="F196" s="3" t="n"/>
      <c r="G196" s="3" t="n"/>
      <c r="H196" s="3" t="n"/>
      <c r="I196" s="3" t="n"/>
      <c r="J196" s="4" t="n"/>
    </row>
    <row r="197"/>
    <row r="198" ht="45" customHeight="1">
      <c r="A198" s="86" t="inlineStr">
        <is>
          <t>Tax-aware deferred taxable sales: candidate taxable-account sells below were not recommended now because estimated realized-tax drag was high relative to the rebalance benefit. Use new contributions, dividends, tax-advantaged trades, or staged sales first.</t>
        </is>
      </c>
      <c r="B198" s="3" t="n"/>
      <c r="C198" s="3" t="n"/>
      <c r="D198" s="3" t="n"/>
      <c r="E198" s="3" t="n"/>
      <c r="F198" s="3" t="n"/>
      <c r="G198" s="3" t="n"/>
      <c r="H198" s="3" t="n"/>
      <c r="I198" s="3" t="n"/>
      <c r="J198" s="4" t="n"/>
    </row>
    <row r="199" ht="30" customHeight="1">
      <c r="A199" s="5" t="inlineStr">
        <is>
          <t>Account</t>
        </is>
      </c>
      <c r="B199" s="5" t="inlineStr">
        <is>
          <t>Symbol</t>
        </is>
      </c>
      <c r="C199" s="5" t="inlineStr">
        <is>
          <t>Deferred Amount</t>
        </is>
      </c>
      <c r="D199" s="5" t="inlineStr">
        <is>
          <t>Bucket</t>
        </is>
      </c>
      <c r="E199" s="5" t="inlineStr">
        <is>
          <t>Est. Tax Cost</t>
        </is>
      </c>
      <c r="F199" s="5" t="inlineStr">
        <is>
          <t>Tax Drag</t>
        </is>
      </c>
      <c r="G199" s="5" t="inlineStr">
        <is>
          <t>Reason</t>
        </is>
      </c>
    </row>
    <row r="200" ht="60" customHeight="1">
      <c r="A200" s="12" t="inlineStr">
        <is>
          <t>Matthew Trust</t>
        </is>
      </c>
      <c r="B200" s="2" t="inlineStr">
        <is>
          <t>ITOT</t>
        </is>
      </c>
      <c r="C200" s="79" t="n">
        <v>106099</v>
      </c>
      <c r="D200" s="12" t="inlineStr">
        <is>
          <t>US Large Cap</t>
        </is>
      </c>
      <c r="E200" s="79" t="n">
        <v>2137</v>
      </c>
      <c r="F200" s="80" t="n">
        <v>0.02014134935514561</v>
      </c>
      <c r="G200" s="12" t="inlineStr">
        <is>
          <t>Deferred: estimated tax drag 2.0% exceeds 1.5%; use contributions, dividends, tax-advantaged accounts, or staged sales first. Taxable gain sale allowed only when low-drag or drift threshold is large.</t>
        </is>
      </c>
      <c r="H200" s="3" t="n"/>
      <c r="I200" s="3" t="n"/>
      <c r="J200" s="4" t="n"/>
    </row>
    <row r="201" ht="60" customHeight="1">
      <c r="A201" s="12" t="inlineStr">
        <is>
          <t>Matthew Trust</t>
        </is>
      </c>
      <c r="B201" s="2" t="inlineStr">
        <is>
          <t>IXUS</t>
        </is>
      </c>
      <c r="C201" s="79" t="n">
        <v>91414</v>
      </c>
      <c r="D201" s="12" t="inlineStr">
        <is>
          <t>International</t>
        </is>
      </c>
      <c r="E201" s="79" t="n">
        <v>1470</v>
      </c>
      <c r="F201" s="80" t="n">
        <v>0.01608456183652696</v>
      </c>
      <c r="G201" s="12" t="inlineStr">
        <is>
          <t>Deferred: estimated tax drag 1.6% exceeds 1.5%; use contributions, dividends, tax-advantaged accounts, or staged sales first. Taxable gain sale allowed only when low-drag or drift threshold is large.</t>
        </is>
      </c>
      <c r="H201" s="3" t="n"/>
      <c r="I201" s="3" t="n"/>
      <c r="J201" s="4" t="n"/>
    </row>
    <row r="202" ht="60" customHeight="1">
      <c r="A202" s="12" t="inlineStr">
        <is>
          <t>Patricia Trust</t>
        </is>
      </c>
      <c r="B202" s="2" t="inlineStr">
        <is>
          <t>VTI</t>
        </is>
      </c>
      <c r="C202" s="79" t="n">
        <v>148011</v>
      </c>
      <c r="D202" s="12" t="inlineStr">
        <is>
          <t>US Large Cap</t>
        </is>
      </c>
      <c r="E202" s="79" t="n">
        <v>4709</v>
      </c>
      <c r="F202" s="80" t="n">
        <v>0.01885028341541567</v>
      </c>
      <c r="G202" s="12" t="inlineStr">
        <is>
          <t>Deferred: estimated tax drag 1.9% exceeds 1.5%; use contributions, dividends, tax-advantaged accounts, or staged sales first. Taxable gain sale allowed only when low-drag or drift threshold is large.</t>
        </is>
      </c>
      <c r="H202" s="3" t="n"/>
      <c r="I202" s="3" t="n"/>
      <c r="J202" s="4" t="n"/>
    </row>
    <row r="203" ht="60" customHeight="1">
      <c r="A203" s="12" t="inlineStr">
        <is>
          <t>Patricia Trust</t>
        </is>
      </c>
      <c r="B203" s="2" t="inlineStr">
        <is>
          <t>VXUS</t>
        </is>
      </c>
      <c r="C203" s="79" t="n">
        <v>77603</v>
      </c>
      <c r="D203" s="12" t="inlineStr">
        <is>
          <t>International</t>
        </is>
      </c>
      <c r="E203" s="79" t="n">
        <v>1536</v>
      </c>
      <c r="F203" s="80" t="n">
        <v>0.01979602783608095</v>
      </c>
      <c r="G203" s="12" t="inlineStr">
        <is>
          <t>Deferred: estimated tax drag 2.0% exceeds 1.5%; use contributions, dividends, tax-advantaged accounts, or staged sales first. Taxable gain sale allowed only when low-drag or drift threshold is large.</t>
        </is>
      </c>
      <c r="H203" s="3" t="n"/>
      <c r="I203" s="3" t="n"/>
      <c r="J203" s="4" t="n"/>
    </row>
    <row r="204"/>
    <row r="205"/>
    <row r="206"/>
    <row r="207" ht="15" customHeight="1">
      <c r="A207" s="9" t="inlineStr">
        <is>
          <t>BEFORE &amp; AFTER REBALANCING</t>
        </is>
      </c>
    </row>
    <row r="208" ht="30" customHeight="1">
      <c r="A208" s="12" t="inlineStr">
        <is>
          <t>Shows current allocation, projected allocation after executing recommended trades, and remaining gap vs target. Positive delta = still over-allocated; negative = still under-allocated.</t>
        </is>
      </c>
      <c r="B208" s="3" t="n"/>
      <c r="C208" s="3" t="n"/>
      <c r="D208" s="3" t="n"/>
      <c r="E208" s="3" t="n"/>
      <c r="F208" s="3" t="n"/>
      <c r="G208" s="3" t="n"/>
      <c r="H208" s="3" t="n"/>
      <c r="I208" s="3" t="n"/>
      <c r="J208" s="4" t="n"/>
    </row>
    <row r="209"/>
    <row r="210"/>
    <row r="211" ht="30" customHeight="1">
      <c r="A211" s="10" t="inlineStr">
        <is>
          <t>Matthew 401k  —  Total: $14,934</t>
        </is>
      </c>
      <c r="B211" s="3" t="n"/>
      <c r="C211" s="3" t="n"/>
      <c r="D211" s="3" t="n"/>
      <c r="E211" s="3" t="n"/>
      <c r="F211" s="3" t="n"/>
      <c r="G211" s="3" t="n"/>
      <c r="H211" s="3" t="n"/>
      <c r="I211" s="3" t="n"/>
      <c r="J211" s="4" t="n"/>
    </row>
    <row r="212" ht="15" customHeight="1">
      <c r="A212" s="5" t="inlineStr">
        <is>
          <t>Bucket</t>
        </is>
      </c>
      <c r="B212" s="5" t="inlineStr">
        <is>
          <t>Before $</t>
        </is>
      </c>
      <c r="C212" s="5" t="inlineStr">
        <is>
          <t>Before %</t>
        </is>
      </c>
      <c r="D212" s="98" t="inlineStr"/>
      <c r="E212" s="5" t="inlineStr">
        <is>
          <t>After $</t>
        </is>
      </c>
      <c r="F212" s="5" t="inlineStr">
        <is>
          <t>After %</t>
        </is>
      </c>
      <c r="G212" s="98" t="inlineStr"/>
      <c r="H212" s="5" t="inlineStr">
        <is>
          <t>Target %</t>
        </is>
      </c>
      <c r="I212" s="5" t="inlineStr">
        <is>
          <t>Delta pp</t>
        </is>
      </c>
      <c r="J212" s="5" t="inlineStr">
        <is>
          <t>Status</t>
        </is>
      </c>
    </row>
    <row r="213" ht="30" customHeight="1">
      <c r="A213" s="12" t="inlineStr">
        <is>
          <t>US Small Cap</t>
        </is>
      </c>
      <c r="B213" s="79" t="n">
        <v>10868.88</v>
      </c>
      <c r="C213" s="80" t="n">
        <v>0.7277748017998714</v>
      </c>
      <c r="D213" s="99" t="inlineStr"/>
      <c r="E213" s="79" t="n">
        <v>10868.88</v>
      </c>
      <c r="F213" s="80" t="n">
        <v>0.7277748017998714</v>
      </c>
      <c r="G213" s="33" t="inlineStr"/>
      <c r="H213" s="80" t="n">
        <v>0.06666666666666667</v>
      </c>
      <c r="I213" s="100" t="n">
        <v>0.6611081351332048</v>
      </c>
      <c r="J213" s="12" t="inlineStr">
        <is>
          <t>Over +66.1%</t>
        </is>
      </c>
    </row>
    <row r="214" ht="30" customHeight="1">
      <c r="A214" s="12" t="inlineStr">
        <is>
          <t>Cash</t>
        </is>
      </c>
      <c r="B214" s="79" t="n">
        <v>4065.52</v>
      </c>
      <c r="C214" s="80" t="n">
        <v>0.2722251982001285</v>
      </c>
      <c r="D214" s="99" t="inlineStr"/>
      <c r="E214" s="79" t="n">
        <v>4065.52</v>
      </c>
      <c r="F214" s="80" t="n">
        <v>0.2722251982001285</v>
      </c>
      <c r="G214" s="33" t="inlineStr"/>
      <c r="H214" s="64" t="inlineStr"/>
      <c r="I214" s="64" t="inlineStr"/>
      <c r="J214" s="33" t="inlineStr"/>
    </row>
    <row r="215"/>
    <row r="216" ht="15" customHeight="1">
      <c r="A216" s="10" t="inlineStr">
        <is>
          <t>Matthew HSA  —  Total: $72,070</t>
        </is>
      </c>
      <c r="B216" s="3" t="n"/>
      <c r="C216" s="3" t="n"/>
      <c r="D216" s="3" t="n"/>
      <c r="E216" s="3" t="n"/>
      <c r="F216" s="3" t="n"/>
      <c r="G216" s="3" t="n"/>
      <c r="H216" s="3" t="n"/>
      <c r="I216" s="3" t="n"/>
      <c r="J216" s="4" t="n"/>
    </row>
    <row r="217" ht="15" customHeight="1">
      <c r="A217" s="5" t="inlineStr">
        <is>
          <t>Bucket</t>
        </is>
      </c>
      <c r="B217" s="5" t="inlineStr">
        <is>
          <t>Before $</t>
        </is>
      </c>
      <c r="C217" s="5" t="inlineStr">
        <is>
          <t>Before %</t>
        </is>
      </c>
      <c r="D217" s="98" t="inlineStr"/>
      <c r="E217" s="5" t="inlineStr">
        <is>
          <t>After $</t>
        </is>
      </c>
      <c r="F217" s="5" t="inlineStr">
        <is>
          <t>After %</t>
        </is>
      </c>
      <c r="G217" s="98" t="inlineStr"/>
      <c r="H217" s="5" t="inlineStr">
        <is>
          <t>Target %</t>
        </is>
      </c>
      <c r="I217" s="5" t="inlineStr">
        <is>
          <t>Delta pp</t>
        </is>
      </c>
      <c r="J217" s="5" t="inlineStr">
        <is>
          <t>Status</t>
        </is>
      </c>
    </row>
    <row r="218" ht="30" customHeight="1">
      <c r="A218" s="12" t="inlineStr">
        <is>
          <t>US Large Cap</t>
        </is>
      </c>
      <c r="B218" s="79" t="n">
        <v>71790.41888</v>
      </c>
      <c r="C218" s="80" t="n">
        <v>0.9961205776945924</v>
      </c>
      <c r="D218" s="41" t="inlineStr">
        <is>
          <t>→</t>
        </is>
      </c>
      <c r="E218" s="81" t="n">
        <v>39358.41888</v>
      </c>
      <c r="F218" s="82" t="n">
        <v>0.5461136954420756</v>
      </c>
      <c r="G218" s="33" t="inlineStr"/>
      <c r="H218" s="80" t="n">
        <v>0.4666666666666666</v>
      </c>
      <c r="I218" s="100" t="n">
        <v>0.07944702877540893</v>
      </c>
      <c r="J218" s="12" t="inlineStr">
        <is>
          <t>Over +7.9%</t>
        </is>
      </c>
    </row>
    <row r="219" ht="45" customHeight="1">
      <c r="A219" s="12" t="inlineStr">
        <is>
          <t>Cash</t>
        </is>
      </c>
      <c r="B219" s="79" t="n">
        <v>279.59</v>
      </c>
      <c r="C219" s="80" t="n">
        <v>0.003879422305407658</v>
      </c>
      <c r="D219" s="99" t="inlineStr"/>
      <c r="E219" s="79" t="n">
        <v>279.5900000000001</v>
      </c>
      <c r="F219" s="80" t="n">
        <v>0.003879422305407661</v>
      </c>
      <c r="G219" s="33" t="inlineStr"/>
      <c r="H219" s="64" t="inlineStr"/>
      <c r="I219" s="64" t="inlineStr"/>
      <c r="J219" s="33" t="inlineStr"/>
    </row>
    <row r="220" ht="45" customHeight="1">
      <c r="A220" s="12" t="inlineStr">
        <is>
          <t>Emerging Markets</t>
        </is>
      </c>
      <c r="B220" s="79" t="n">
        <v>0</v>
      </c>
      <c r="C220" s="80" t="n">
        <v>0</v>
      </c>
      <c r="D220" s="41" t="inlineStr">
        <is>
          <t>→</t>
        </is>
      </c>
      <c r="E220" s="81" t="n">
        <v>32432</v>
      </c>
      <c r="F220" s="82" t="n">
        <v>0.4500068822525168</v>
      </c>
      <c r="G220" s="33" t="inlineStr"/>
      <c r="H220" s="80" t="n">
        <v>0.06666666666666667</v>
      </c>
      <c r="I220" s="100" t="n">
        <v>0.3833402155858502</v>
      </c>
      <c r="J220" s="12" t="inlineStr">
        <is>
          <t>Over +38.3%</t>
        </is>
      </c>
    </row>
    <row r="221"/>
    <row r="222" ht="15" customHeight="1">
      <c r="A222" s="10" t="inlineStr">
        <is>
          <t>Matthew IRA  —  Total: $1,331,690</t>
        </is>
      </c>
      <c r="B222" s="3" t="n"/>
      <c r="C222" s="3" t="n"/>
      <c r="D222" s="3" t="n"/>
      <c r="E222" s="3" t="n"/>
      <c r="F222" s="3" t="n"/>
      <c r="G222" s="3" t="n"/>
      <c r="H222" s="3" t="n"/>
      <c r="I222" s="3" t="n"/>
      <c r="J222" s="4" t="n"/>
    </row>
    <row r="223" ht="15" customHeight="1">
      <c r="A223" s="5" t="inlineStr">
        <is>
          <t>Bucket</t>
        </is>
      </c>
      <c r="B223" s="5" t="inlineStr">
        <is>
          <t>Before $</t>
        </is>
      </c>
      <c r="C223" s="5" t="inlineStr">
        <is>
          <t>Before %</t>
        </is>
      </c>
      <c r="D223" s="98" t="inlineStr"/>
      <c r="E223" s="5" t="inlineStr">
        <is>
          <t>After $</t>
        </is>
      </c>
      <c r="F223" s="5" t="inlineStr">
        <is>
          <t>After %</t>
        </is>
      </c>
      <c r="G223" s="98" t="inlineStr"/>
      <c r="H223" s="5" t="inlineStr">
        <is>
          <t>Target %</t>
        </is>
      </c>
      <c r="I223" s="5" t="inlineStr">
        <is>
          <t>Delta pp</t>
        </is>
      </c>
      <c r="J223" s="5" t="inlineStr">
        <is>
          <t>Status</t>
        </is>
      </c>
    </row>
    <row r="224" ht="30" customHeight="1">
      <c r="A224" s="12" t="inlineStr">
        <is>
          <t>US Large Cap</t>
        </is>
      </c>
      <c r="B224" s="79" t="n">
        <v>643579.2564</v>
      </c>
      <c r="C224" s="80" t="n">
        <v>0.4832799175521182</v>
      </c>
      <c r="D224" s="41" t="inlineStr">
        <is>
          <t>→</t>
        </is>
      </c>
      <c r="E224" s="81" t="n">
        <v>596428.2564</v>
      </c>
      <c r="F224" s="82" t="n">
        <v>0.4478730408296385</v>
      </c>
      <c r="G224" s="33" t="inlineStr"/>
      <c r="H224" s="80" t="n">
        <v>0.4666666666666666</v>
      </c>
      <c r="I224" s="101" t="n">
        <v>-0.01879362583702809</v>
      </c>
      <c r="J224" s="12" t="inlineStr">
        <is>
          <t>✓ On target</t>
        </is>
      </c>
    </row>
    <row r="225" ht="30" customHeight="1">
      <c r="A225" s="12" t="inlineStr">
        <is>
          <t>International</t>
        </is>
      </c>
      <c r="B225" s="79" t="n">
        <v>468486.0672</v>
      </c>
      <c r="C225" s="80" t="n">
        <v>0.3517980197143161</v>
      </c>
      <c r="D225" s="99" t="inlineStr"/>
      <c r="E225" s="79" t="n">
        <v>468486.0672</v>
      </c>
      <c r="F225" s="80" t="n">
        <v>0.3517980197143161</v>
      </c>
      <c r="G225" s="33" t="inlineStr"/>
      <c r="H225" s="80" t="n">
        <v>0.2666666666666667</v>
      </c>
      <c r="I225" s="100" t="n">
        <v>0.08513135304764946</v>
      </c>
      <c r="J225" s="12" t="inlineStr">
        <is>
          <t>Over +8.5%</t>
        </is>
      </c>
    </row>
    <row r="226" ht="45" customHeight="1">
      <c r="A226" s="12" t="inlineStr">
        <is>
          <t>US Small Cap</t>
        </is>
      </c>
      <c r="B226" s="79" t="n">
        <v>105611.17782</v>
      </c>
      <c r="C226" s="80" t="n">
        <v>0.07930610068903347</v>
      </c>
      <c r="D226" s="41" t="inlineStr">
        <is>
          <t>→</t>
        </is>
      </c>
      <c r="E226" s="81" t="n">
        <v>0.1778199999971548</v>
      </c>
      <c r="F226" s="82" t="n">
        <v>1.335295289323788e-07</v>
      </c>
      <c r="G226" s="33" t="inlineStr"/>
      <c r="H226" s="80" t="n">
        <v>0.06666666666666667</v>
      </c>
      <c r="I226" s="100" t="n">
        <v>-0.06666653313713773</v>
      </c>
      <c r="J226" s="12" t="inlineStr">
        <is>
          <t>Under -6.7%</t>
        </is>
      </c>
    </row>
    <row r="227" ht="30" customHeight="1">
      <c r="A227" s="12" t="inlineStr">
        <is>
          <t>Commodities</t>
        </is>
      </c>
      <c r="B227" s="79" t="n">
        <v>113946.6</v>
      </c>
      <c r="C227" s="80" t="n">
        <v>0.08556537971932091</v>
      </c>
      <c r="D227" s="99" t="inlineStr"/>
      <c r="E227" s="79" t="n">
        <v>113946.6</v>
      </c>
      <c r="F227" s="80" t="n">
        <v>0.08556537971932091</v>
      </c>
      <c r="G227" s="33" t="inlineStr"/>
      <c r="H227" s="80" t="n">
        <v>0.06666666666666667</v>
      </c>
      <c r="I227" s="101" t="n">
        <v>0.01889871305265424</v>
      </c>
      <c r="J227" s="12" t="inlineStr">
        <is>
          <t>✓ On target</t>
        </is>
      </c>
    </row>
    <row r="228" ht="45" customHeight="1">
      <c r="A228" s="12" t="inlineStr">
        <is>
          <t>Cash</t>
        </is>
      </c>
      <c r="B228" s="79" t="n">
        <v>67.36</v>
      </c>
      <c r="C228" s="80" t="n">
        <v>5.058232521105023e-05</v>
      </c>
      <c r="D228" s="41" t="inlineStr">
        <is>
          <t>→</t>
        </is>
      </c>
      <c r="E228" s="81" t="n">
        <v>152829.36</v>
      </c>
      <c r="F228" s="82" t="n">
        <v>0.1147634262071952</v>
      </c>
      <c r="G228" s="33" t="inlineStr"/>
      <c r="H228" s="64" t="inlineStr"/>
      <c r="I228" s="64" t="inlineStr"/>
      <c r="J228" s="33" t="inlineStr"/>
    </row>
    <row r="229"/>
    <row r="230" ht="15" customHeight="1">
      <c r="A230" s="10" t="inlineStr">
        <is>
          <t>Matthew Roth  —  Total: $138,318</t>
        </is>
      </c>
      <c r="B230" s="3" t="n"/>
      <c r="C230" s="3" t="n"/>
      <c r="D230" s="3" t="n"/>
      <c r="E230" s="3" t="n"/>
      <c r="F230" s="3" t="n"/>
      <c r="G230" s="3" t="n"/>
      <c r="H230" s="3" t="n"/>
      <c r="I230" s="3" t="n"/>
      <c r="J230" s="4" t="n"/>
    </row>
    <row r="231" ht="15" customHeight="1">
      <c r="A231" s="5" t="inlineStr">
        <is>
          <t>Bucket</t>
        </is>
      </c>
      <c r="B231" s="5" t="inlineStr">
        <is>
          <t>Before $</t>
        </is>
      </c>
      <c r="C231" s="5" t="inlineStr">
        <is>
          <t>Before %</t>
        </is>
      </c>
      <c r="D231" s="98" t="inlineStr"/>
      <c r="E231" s="5" t="inlineStr">
        <is>
          <t>After $</t>
        </is>
      </c>
      <c r="F231" s="5" t="inlineStr">
        <is>
          <t>After %</t>
        </is>
      </c>
      <c r="G231" s="98" t="inlineStr"/>
      <c r="H231" s="5" t="inlineStr">
        <is>
          <t>Target %</t>
        </is>
      </c>
      <c r="I231" s="5" t="inlineStr">
        <is>
          <t>Delta pp</t>
        </is>
      </c>
      <c r="J231" s="5" t="inlineStr">
        <is>
          <t>Status</t>
        </is>
      </c>
    </row>
    <row r="232" ht="45" customHeight="1">
      <c r="A232" s="12" t="inlineStr">
        <is>
          <t>US Large Cap</t>
        </is>
      </c>
      <c r="B232" s="79" t="n">
        <v>28365.85216</v>
      </c>
      <c r="C232" s="80" t="n">
        <v>0.205076824536105</v>
      </c>
      <c r="D232" s="41" t="inlineStr">
        <is>
          <t>→</t>
        </is>
      </c>
      <c r="E232" s="81" t="n">
        <v>0</v>
      </c>
      <c r="F232" s="82" t="n">
        <v>0</v>
      </c>
      <c r="G232" s="33" t="inlineStr"/>
      <c r="H232" s="80" t="n">
        <v>0.4666666666666666</v>
      </c>
      <c r="I232" s="100" t="n">
        <v>-0.4666666666666666</v>
      </c>
      <c r="J232" s="12" t="inlineStr">
        <is>
          <t>Under -46.7%</t>
        </is>
      </c>
    </row>
    <row r="233" ht="30" customHeight="1">
      <c r="A233" s="12" t="inlineStr">
        <is>
          <t>International</t>
        </is>
      </c>
      <c r="B233" s="79" t="n">
        <v>47481.62048</v>
      </c>
      <c r="C233" s="80" t="n">
        <v>0.3432782451569715</v>
      </c>
      <c r="D233" s="41" t="inlineStr">
        <is>
          <t>→</t>
        </is>
      </c>
      <c r="E233" s="81" t="n">
        <v>28242.62048</v>
      </c>
      <c r="F233" s="82" t="n">
        <v>0.204185895489655</v>
      </c>
      <c r="G233" s="33" t="inlineStr"/>
      <c r="H233" s="80" t="n">
        <v>0.2666666666666667</v>
      </c>
      <c r="I233" s="100" t="n">
        <v>-0.06248077117701167</v>
      </c>
      <c r="J233" s="12" t="inlineStr">
        <is>
          <t>Under -6.2%</t>
        </is>
      </c>
    </row>
    <row r="234" ht="30" customHeight="1">
      <c r="A234" s="12" t="inlineStr">
        <is>
          <t>US Small Cap</t>
        </is>
      </c>
      <c r="B234" s="79" t="n">
        <v>62460.61263</v>
      </c>
      <c r="C234" s="80" t="n">
        <v>0.4515719825545383</v>
      </c>
      <c r="D234" s="99" t="inlineStr"/>
      <c r="E234" s="79" t="n">
        <v>62460.61263</v>
      </c>
      <c r="F234" s="80" t="n">
        <v>0.4515719825545383</v>
      </c>
      <c r="G234" s="33" t="inlineStr"/>
      <c r="H234" s="80" t="n">
        <v>0.06666666666666667</v>
      </c>
      <c r="I234" s="100" t="n">
        <v>0.3849053158878716</v>
      </c>
      <c r="J234" s="12" t="inlineStr">
        <is>
          <t>Over +38.5%</t>
        </is>
      </c>
    </row>
    <row r="235" ht="45" customHeight="1">
      <c r="A235" s="12" t="inlineStr">
        <is>
          <t>Cash</t>
        </is>
      </c>
      <c r="B235" s="79" t="n">
        <v>10.09</v>
      </c>
      <c r="C235" s="80" t="n">
        <v>7.294775238542663e-05</v>
      </c>
      <c r="D235" s="99" t="inlineStr"/>
      <c r="E235" s="79" t="n">
        <v>10.08999999999651</v>
      </c>
      <c r="F235" s="80" t="n">
        <v>7.294775238540138e-05</v>
      </c>
      <c r="G235" s="33" t="inlineStr"/>
      <c r="H235" s="64" t="inlineStr"/>
      <c r="I235" s="64" t="inlineStr"/>
      <c r="J235" s="33" t="inlineStr"/>
    </row>
    <row r="236" ht="30" customHeight="1">
      <c r="A236" s="12" t="inlineStr">
        <is>
          <t>Emerging Markets</t>
        </is>
      </c>
      <c r="B236" s="79" t="n">
        <v>0</v>
      </c>
      <c r="C236" s="80" t="n">
        <v>0</v>
      </c>
      <c r="D236" s="41" t="inlineStr">
        <is>
          <t>→</t>
        </is>
      </c>
      <c r="E236" s="81" t="n">
        <v>47605</v>
      </c>
      <c r="F236" s="82" t="n">
        <v>0.3441702430434326</v>
      </c>
      <c r="G236" s="33" t="inlineStr"/>
      <c r="H236" s="80" t="n">
        <v>0.06666666666666667</v>
      </c>
      <c r="I236" s="100" t="n">
        <v>0.2775035763767659</v>
      </c>
      <c r="J236" s="12" t="inlineStr">
        <is>
          <t>Over +27.8%</t>
        </is>
      </c>
    </row>
    <row r="237"/>
    <row r="238" ht="15" customHeight="1">
      <c r="A238" s="10" t="inlineStr">
        <is>
          <t>Matthew Trust  —  Total: $207,796</t>
        </is>
      </c>
      <c r="B238" s="3" t="n"/>
      <c r="C238" s="3" t="n"/>
      <c r="D238" s="3" t="n"/>
      <c r="E238" s="3" t="n"/>
      <c r="F238" s="3" t="n"/>
      <c r="G238" s="3" t="n"/>
      <c r="H238" s="3" t="n"/>
      <c r="I238" s="3" t="n"/>
      <c r="J238" s="4" t="n"/>
    </row>
    <row r="239" ht="15" customHeight="1">
      <c r="A239" s="5" t="inlineStr">
        <is>
          <t>Bucket</t>
        </is>
      </c>
      <c r="B239" s="5" t="inlineStr">
        <is>
          <t>Before $</t>
        </is>
      </c>
      <c r="C239" s="5" t="inlineStr">
        <is>
          <t>Before %</t>
        </is>
      </c>
      <c r="D239" s="98" t="inlineStr"/>
      <c r="E239" s="5" t="inlineStr">
        <is>
          <t>After $</t>
        </is>
      </c>
      <c r="F239" s="5" t="inlineStr">
        <is>
          <t>After %</t>
        </is>
      </c>
      <c r="G239" s="98" t="inlineStr"/>
      <c r="H239" s="5" t="inlineStr">
        <is>
          <t>Target %</t>
        </is>
      </c>
      <c r="I239" s="5" t="inlineStr">
        <is>
          <t>Delta pp</t>
        </is>
      </c>
      <c r="J239" s="5" t="inlineStr">
        <is>
          <t>Status</t>
        </is>
      </c>
    </row>
    <row r="240" ht="30" customHeight="1">
      <c r="A240" s="12" t="inlineStr">
        <is>
          <t>US Large Cap</t>
        </is>
      </c>
      <c r="B240" s="79" t="n">
        <v>106099.44896</v>
      </c>
      <c r="C240" s="80" t="n">
        <v>0.510593674716614</v>
      </c>
      <c r="D240" s="99" t="inlineStr"/>
      <c r="E240" s="79" t="n">
        <v>106099.44896</v>
      </c>
      <c r="F240" s="80" t="n">
        <v>0.510593674716614</v>
      </c>
      <c r="G240" s="33" t="inlineStr"/>
      <c r="H240" s="80" t="n">
        <v>0.4666666666666666</v>
      </c>
      <c r="I240" s="100" t="n">
        <v>0.04392700804994737</v>
      </c>
      <c r="J240" s="12" t="inlineStr">
        <is>
          <t>Over +4.4%</t>
        </is>
      </c>
    </row>
    <row r="241" ht="30" customHeight="1">
      <c r="A241" s="12" t="inlineStr">
        <is>
          <t>International</t>
        </is>
      </c>
      <c r="B241" s="79" t="n">
        <v>91414.17728</v>
      </c>
      <c r="C241" s="80" t="n">
        <v>0.4399221782592679</v>
      </c>
      <c r="D241" s="99" t="inlineStr"/>
      <c r="E241" s="79" t="n">
        <v>91414.17728</v>
      </c>
      <c r="F241" s="80" t="n">
        <v>0.4399221782592679</v>
      </c>
      <c r="G241" s="33" t="inlineStr"/>
      <c r="H241" s="80" t="n">
        <v>0.2666666666666667</v>
      </c>
      <c r="I241" s="100" t="n">
        <v>0.1732555115926012</v>
      </c>
      <c r="J241" s="12" t="inlineStr">
        <is>
          <t>Over +17.3%</t>
        </is>
      </c>
    </row>
    <row r="242" ht="45" customHeight="1">
      <c r="A242" s="12" t="inlineStr">
        <is>
          <t>Cash</t>
        </is>
      </c>
      <c r="B242" s="79" t="n">
        <v>10282.62</v>
      </c>
      <c r="C242" s="80" t="n">
        <v>0.04948414702411806</v>
      </c>
      <c r="D242" s="99" t="inlineStr"/>
      <c r="E242" s="79" t="n">
        <v>10282.62</v>
      </c>
      <c r="F242" s="80" t="n">
        <v>0.04948414702411806</v>
      </c>
      <c r="G242" s="33" t="inlineStr"/>
      <c r="H242" s="64" t="inlineStr"/>
      <c r="I242" s="64" t="inlineStr"/>
      <c r="J242" s="33" t="inlineStr"/>
    </row>
    <row r="243"/>
    <row r="244" ht="15" customHeight="1">
      <c r="A244" s="10" t="inlineStr">
        <is>
          <t>Patricia IRA  —  Total: $460,853</t>
        </is>
      </c>
      <c r="B244" s="3" t="n"/>
      <c r="C244" s="3" t="n"/>
      <c r="D244" s="3" t="n"/>
      <c r="E244" s="3" t="n"/>
      <c r="F244" s="3" t="n"/>
      <c r="G244" s="3" t="n"/>
      <c r="H244" s="3" t="n"/>
      <c r="I244" s="3" t="n"/>
      <c r="J244" s="4" t="n"/>
    </row>
    <row r="245" ht="15" customHeight="1">
      <c r="A245" s="5" t="inlineStr">
        <is>
          <t>Bucket</t>
        </is>
      </c>
      <c r="B245" s="5" t="inlineStr">
        <is>
          <t>Before $</t>
        </is>
      </c>
      <c r="C245" s="5" t="inlineStr">
        <is>
          <t>Before %</t>
        </is>
      </c>
      <c r="D245" s="98" t="inlineStr"/>
      <c r="E245" s="5" t="inlineStr">
        <is>
          <t>After $</t>
        </is>
      </c>
      <c r="F245" s="5" t="inlineStr">
        <is>
          <t>After %</t>
        </is>
      </c>
      <c r="G245" s="98" t="inlineStr"/>
      <c r="H245" s="5" t="inlineStr">
        <is>
          <t>Target %</t>
        </is>
      </c>
      <c r="I245" s="5" t="inlineStr">
        <is>
          <t>Delta pp</t>
        </is>
      </c>
      <c r="J245" s="5" t="inlineStr">
        <is>
          <t>Status</t>
        </is>
      </c>
    </row>
    <row r="246" ht="45" customHeight="1">
      <c r="A246" s="12" t="inlineStr">
        <is>
          <t>US Large Cap</t>
        </is>
      </c>
      <c r="B246" s="79" t="n">
        <v>213934.0858199999</v>
      </c>
      <c r="C246" s="80" t="n">
        <v>0.4642130122531057</v>
      </c>
      <c r="D246" s="99" t="inlineStr"/>
      <c r="E246" s="79" t="n">
        <v>213934.0858199999</v>
      </c>
      <c r="F246" s="80" t="n">
        <v>0.4642130122531057</v>
      </c>
      <c r="G246" s="33" t="inlineStr"/>
      <c r="H246" s="80" t="n">
        <v>0.4666666666666666</v>
      </c>
      <c r="I246" s="101" t="n">
        <v>-0.00245365441356088</v>
      </c>
      <c r="J246" s="12" t="inlineStr">
        <is>
          <t>✓ On target</t>
        </is>
      </c>
    </row>
    <row r="247" ht="45" customHeight="1">
      <c r="A247" s="12" t="inlineStr">
        <is>
          <t>International</t>
        </is>
      </c>
      <c r="B247" s="79" t="n">
        <v>155629.214916</v>
      </c>
      <c r="C247" s="80" t="n">
        <v>0.3376979707269649</v>
      </c>
      <c r="D247" s="41" t="inlineStr">
        <is>
          <t>→</t>
        </is>
      </c>
      <c r="E247" s="81" t="n">
        <v>8175.214915999997</v>
      </c>
      <c r="F247" s="82" t="n">
        <v>0.01773930099743878</v>
      </c>
      <c r="G247" s="33" t="inlineStr"/>
      <c r="H247" s="80" t="n">
        <v>0.2666666666666667</v>
      </c>
      <c r="I247" s="100" t="n">
        <v>-0.2489273656692279</v>
      </c>
      <c r="J247" s="12" t="inlineStr">
        <is>
          <t>Under -24.9%</t>
        </is>
      </c>
    </row>
    <row r="248" ht="45" customHeight="1">
      <c r="A248" s="12" t="inlineStr">
        <is>
          <t>US Small Cap</t>
        </is>
      </c>
      <c r="B248" s="79" t="n">
        <v>38339.91173399999</v>
      </c>
      <c r="C248" s="80" t="n">
        <v>0.08319331558288066</v>
      </c>
      <c r="D248" s="41" t="inlineStr">
        <is>
          <t>→</t>
        </is>
      </c>
      <c r="E248" s="81" t="n">
        <v>7014.911733999994</v>
      </c>
      <c r="F248" s="82" t="n">
        <v>0.01522157301043499</v>
      </c>
      <c r="G248" s="33" t="inlineStr"/>
      <c r="H248" s="80" t="n">
        <v>0.06666666666666667</v>
      </c>
      <c r="I248" s="100" t="n">
        <v>-0.05144509365623168</v>
      </c>
      <c r="J248" s="12" t="inlineStr">
        <is>
          <t>Under -5.1%</t>
        </is>
      </c>
    </row>
    <row r="249" ht="45" customHeight="1">
      <c r="A249" s="12" t="inlineStr">
        <is>
          <t>Commodities</t>
        </is>
      </c>
      <c r="B249" s="79" t="n">
        <v>52767.75</v>
      </c>
      <c r="C249" s="80" t="n">
        <v>0.1145001091501092</v>
      </c>
      <c r="D249" s="41" t="inlineStr">
        <is>
          <t>→</t>
        </is>
      </c>
      <c r="E249" s="81" t="n">
        <v>58799.75</v>
      </c>
      <c r="F249" s="82" t="n">
        <v>0.1275888737533651</v>
      </c>
      <c r="G249" s="33" t="inlineStr"/>
      <c r="H249" s="80" t="n">
        <v>0.06666666666666667</v>
      </c>
      <c r="I249" s="100" t="n">
        <v>0.06092220708669847</v>
      </c>
      <c r="J249" s="12" t="inlineStr">
        <is>
          <t>Over +6.1%</t>
        </is>
      </c>
    </row>
    <row r="250" ht="45" customHeight="1">
      <c r="A250" s="12" t="inlineStr">
        <is>
          <t>Cash</t>
        </is>
      </c>
      <c r="B250" s="79" t="n">
        <v>182.31</v>
      </c>
      <c r="C250" s="80" t="n">
        <v>0.0003955922869395873</v>
      </c>
      <c r="D250" s="99" t="inlineStr"/>
      <c r="E250" s="79" t="n">
        <v>182.3099999999977</v>
      </c>
      <c r="F250" s="80" t="n">
        <v>0.0003955922869395822</v>
      </c>
      <c r="G250" s="33" t="inlineStr"/>
      <c r="H250" s="64" t="inlineStr"/>
      <c r="I250" s="64" t="inlineStr"/>
      <c r="J250" s="33" t="inlineStr"/>
    </row>
    <row r="251" ht="30" customHeight="1">
      <c r="A251" s="12" t="inlineStr">
        <is>
          <t>US Mid Cap</t>
        </is>
      </c>
      <c r="B251" s="79" t="n">
        <v>0</v>
      </c>
      <c r="C251" s="80" t="n">
        <v>0</v>
      </c>
      <c r="D251" s="41" t="inlineStr">
        <is>
          <t>→</t>
        </is>
      </c>
      <c r="E251" s="81" t="n">
        <v>172747</v>
      </c>
      <c r="F251" s="82" t="n">
        <v>0.3748416476987158</v>
      </c>
      <c r="G251" s="33" t="inlineStr"/>
      <c r="H251" s="80" t="n">
        <v>0.06666666666666667</v>
      </c>
      <c r="I251" s="100" t="n">
        <v>0.3081749810320492</v>
      </c>
      <c r="J251" s="12" t="inlineStr">
        <is>
          <t>Over +30.8%</t>
        </is>
      </c>
    </row>
    <row r="252"/>
    <row r="253" ht="15" customHeight="1">
      <c r="A253" s="10" t="inlineStr">
        <is>
          <t>Patricia Roth  —  Total: $206,023</t>
        </is>
      </c>
      <c r="B253" s="3" t="n"/>
      <c r="C253" s="3" t="n"/>
      <c r="D253" s="3" t="n"/>
      <c r="E253" s="3" t="n"/>
      <c r="F253" s="3" t="n"/>
      <c r="G253" s="3" t="n"/>
      <c r="H253" s="3" t="n"/>
      <c r="I253" s="3" t="n"/>
      <c r="J253" s="4" t="n"/>
    </row>
    <row r="254" ht="15" customHeight="1">
      <c r="A254" s="5" t="inlineStr">
        <is>
          <t>Bucket</t>
        </is>
      </c>
      <c r="B254" s="5" t="inlineStr">
        <is>
          <t>Before $</t>
        </is>
      </c>
      <c r="C254" s="5" t="inlineStr">
        <is>
          <t>Before %</t>
        </is>
      </c>
      <c r="D254" s="98" t="inlineStr"/>
      <c r="E254" s="5" t="inlineStr">
        <is>
          <t>After $</t>
        </is>
      </c>
      <c r="F254" s="5" t="inlineStr">
        <is>
          <t>After %</t>
        </is>
      </c>
      <c r="G254" s="98" t="inlineStr"/>
      <c r="H254" s="5" t="inlineStr">
        <is>
          <t>Target %</t>
        </is>
      </c>
      <c r="I254" s="5" t="inlineStr">
        <is>
          <t>Delta pp</t>
        </is>
      </c>
      <c r="J254" s="5" t="inlineStr">
        <is>
          <t>Status</t>
        </is>
      </c>
    </row>
    <row r="255" ht="45" customHeight="1">
      <c r="A255" s="12" t="inlineStr">
        <is>
          <t>US Large Cap</t>
        </is>
      </c>
      <c r="B255" s="79" t="n">
        <v>43680.5439</v>
      </c>
      <c r="C255" s="80" t="n">
        <v>0.2120179177939578</v>
      </c>
      <c r="D255" s="41" t="inlineStr">
        <is>
          <t>→</t>
        </is>
      </c>
      <c r="E255" s="81" t="n">
        <v>3617.543900000004</v>
      </c>
      <c r="F255" s="82" t="n">
        <v>0.01755894173300883</v>
      </c>
      <c r="G255" s="33" t="inlineStr"/>
      <c r="H255" s="80" t="n">
        <v>0.4666666666666666</v>
      </c>
      <c r="I255" s="100" t="n">
        <v>-0.4491077249336578</v>
      </c>
      <c r="J255" s="12" t="inlineStr">
        <is>
          <t>Under -44.9%</t>
        </is>
      </c>
    </row>
    <row r="256" ht="45" customHeight="1">
      <c r="A256" s="12" t="inlineStr">
        <is>
          <t>International</t>
        </is>
      </c>
      <c r="B256" s="79" t="n">
        <v>69713.333424</v>
      </c>
      <c r="C256" s="80" t="n">
        <v>0.3383766426734535</v>
      </c>
      <c r="D256" s="41" t="inlineStr">
        <is>
          <t>→</t>
        </is>
      </c>
      <c r="E256" s="81" t="n">
        <v>17066.333424</v>
      </c>
      <c r="F256" s="82" t="n">
        <v>0.08283707467602996</v>
      </c>
      <c r="G256" s="33" t="inlineStr"/>
      <c r="H256" s="80" t="n">
        <v>0.2666666666666667</v>
      </c>
      <c r="I256" s="100" t="n">
        <v>-0.1838295919906367</v>
      </c>
      <c r="J256" s="12" t="inlineStr">
        <is>
          <t>Under -18.4%</t>
        </is>
      </c>
    </row>
    <row r="257" ht="30" customHeight="1">
      <c r="A257" s="12" t="inlineStr">
        <is>
          <t>US Small Cap</t>
        </is>
      </c>
      <c r="B257" s="79" t="n">
        <v>92402.56147</v>
      </c>
      <c r="C257" s="80" t="n">
        <v>0.4485062898151685</v>
      </c>
      <c r="D257" s="99" t="inlineStr"/>
      <c r="E257" s="79" t="n">
        <v>92402.56147</v>
      </c>
      <c r="F257" s="80" t="n">
        <v>0.4485062898151685</v>
      </c>
      <c r="G257" s="33" t="inlineStr"/>
      <c r="H257" s="80" t="n">
        <v>0.06666666666666667</v>
      </c>
      <c r="I257" s="100" t="n">
        <v>0.3818396231485018</v>
      </c>
      <c r="J257" s="12" t="inlineStr">
        <is>
          <t>Over +38.2%</t>
        </is>
      </c>
    </row>
    <row r="258" ht="45" customHeight="1">
      <c r="A258" s="12" t="inlineStr">
        <is>
          <t>Cash</t>
        </is>
      </c>
      <c r="B258" s="79" t="n">
        <v>226.45</v>
      </c>
      <c r="C258" s="80" t="n">
        <v>0.001099149717420111</v>
      </c>
      <c r="D258" s="99" t="inlineStr"/>
      <c r="E258" s="79" t="n">
        <v>226.4499999999971</v>
      </c>
      <c r="F258" s="80" t="n">
        <v>0.001099149717420096</v>
      </c>
      <c r="G258" s="33" t="inlineStr"/>
      <c r="H258" s="64" t="inlineStr"/>
      <c r="I258" s="64" t="inlineStr"/>
      <c r="J258" s="33" t="inlineStr"/>
    </row>
    <row r="259" ht="45" customHeight="1">
      <c r="A259" s="12" t="inlineStr">
        <is>
          <t>Emerging Markets</t>
        </is>
      </c>
      <c r="B259" s="79" t="n">
        <v>0</v>
      </c>
      <c r="C259" s="80" t="n">
        <v>0</v>
      </c>
      <c r="D259" s="41" t="inlineStr">
        <is>
          <t>→</t>
        </is>
      </c>
      <c r="E259" s="81" t="n">
        <v>92710</v>
      </c>
      <c r="F259" s="82" t="n">
        <v>0.4499985440583725</v>
      </c>
      <c r="G259" s="33" t="inlineStr"/>
      <c r="H259" s="80" t="n">
        <v>0.06666666666666667</v>
      </c>
      <c r="I259" s="100" t="n">
        <v>0.3833318773917059</v>
      </c>
      <c r="J259" s="12" t="inlineStr">
        <is>
          <t>Over +38.3%</t>
        </is>
      </c>
    </row>
    <row r="260"/>
    <row r="261" ht="15" customHeight="1">
      <c r="A261" s="10" t="inlineStr">
        <is>
          <t>Patricia Trust  —  Total: $332,262</t>
        </is>
      </c>
      <c r="B261" s="3" t="n"/>
      <c r="C261" s="3" t="n"/>
      <c r="D261" s="3" t="n"/>
      <c r="E261" s="3" t="n"/>
      <c r="F261" s="3" t="n"/>
      <c r="G261" s="3" t="n"/>
      <c r="H261" s="3" t="n"/>
      <c r="I261" s="3" t="n"/>
      <c r="J261" s="4" t="n"/>
    </row>
    <row r="262" ht="15" customHeight="1">
      <c r="A262" s="5" t="inlineStr">
        <is>
          <t>Bucket</t>
        </is>
      </c>
      <c r="B262" s="5" t="inlineStr">
        <is>
          <t>Before $</t>
        </is>
      </c>
      <c r="C262" s="5" t="inlineStr">
        <is>
          <t>Before %</t>
        </is>
      </c>
      <c r="D262" s="98" t="inlineStr"/>
      <c r="E262" s="5" t="inlineStr">
        <is>
          <t>After $</t>
        </is>
      </c>
      <c r="F262" s="5" t="inlineStr">
        <is>
          <t>After %</t>
        </is>
      </c>
      <c r="G262" s="98" t="inlineStr"/>
      <c r="H262" s="5" t="inlineStr">
        <is>
          <t>Target %</t>
        </is>
      </c>
      <c r="I262" s="5" t="inlineStr">
        <is>
          <t>Delta pp</t>
        </is>
      </c>
      <c r="J262" s="5" t="inlineStr">
        <is>
          <t>Status</t>
        </is>
      </c>
    </row>
    <row r="263" ht="30" customHeight="1">
      <c r="A263" s="12" t="inlineStr">
        <is>
          <t>US Large Cap</t>
        </is>
      </c>
      <c r="B263" s="79" t="n">
        <v>249788.805</v>
      </c>
      <c r="C263" s="80" t="n">
        <v>0.7517822521987171</v>
      </c>
      <c r="D263" s="99" t="inlineStr"/>
      <c r="E263" s="79" t="n">
        <v>249788.805</v>
      </c>
      <c r="F263" s="80" t="n">
        <v>0.7517822521987171</v>
      </c>
      <c r="G263" s="33" t="inlineStr"/>
      <c r="H263" s="80" t="n">
        <v>0.4666666666666666</v>
      </c>
      <c r="I263" s="100" t="n">
        <v>0.2851155855320505</v>
      </c>
      <c r="J263" s="12" t="inlineStr">
        <is>
          <t>Over +28.5%</t>
        </is>
      </c>
    </row>
    <row r="264" ht="45" customHeight="1">
      <c r="A264" s="12" t="inlineStr">
        <is>
          <t>International</t>
        </is>
      </c>
      <c r="B264" s="79" t="n">
        <v>77602.69834800001</v>
      </c>
      <c r="C264" s="80" t="n">
        <v>0.2335586310233443</v>
      </c>
      <c r="D264" s="99" t="inlineStr"/>
      <c r="E264" s="79" t="n">
        <v>77602.69834800001</v>
      </c>
      <c r="F264" s="80" t="n">
        <v>0.2335586310233443</v>
      </c>
      <c r="G264" s="33" t="inlineStr"/>
      <c r="H264" s="80" t="n">
        <v>0.2666666666666667</v>
      </c>
      <c r="I264" s="100" t="n">
        <v>-0.03310803564332232</v>
      </c>
      <c r="J264" s="12" t="inlineStr">
        <is>
          <t>Under -3.3%</t>
        </is>
      </c>
    </row>
    <row r="265" ht="45" customHeight="1">
      <c r="A265" s="12" t="inlineStr">
        <is>
          <t>Cash</t>
        </is>
      </c>
      <c r="B265" s="79" t="n">
        <v>4870.67</v>
      </c>
      <c r="C265" s="80" t="n">
        <v>0.01465911677793857</v>
      </c>
      <c r="D265" s="99" t="inlineStr"/>
      <c r="E265" s="79" t="n">
        <v>4870.67</v>
      </c>
      <c r="F265" s="80" t="n">
        <v>0.01465911677793857</v>
      </c>
      <c r="G265" s="33" t="inlineStr"/>
      <c r="H265" s="64" t="inlineStr"/>
      <c r="I265" s="64" t="inlineStr"/>
      <c r="J265" s="33" t="inlineStr"/>
    </row>
    <row r="266"/>
    <row r="267"/>
    <row r="268" ht="15" customHeight="1">
      <c r="A268" s="13" t="inlineStr">
        <is>
          <t>PORTFOLIO TOTAL</t>
        </is>
      </c>
      <c r="B268" s="3" t="n"/>
      <c r="C268" s="3" t="n"/>
      <c r="D268" s="3" t="n"/>
      <c r="E268" s="3" t="n"/>
      <c r="F268" s="3" t="n"/>
      <c r="G268" s="3" t="n"/>
      <c r="H268" s="3" t="n"/>
      <c r="I268" s="3" t="n"/>
      <c r="J268" s="4" t="n"/>
    </row>
    <row r="269" ht="15" customHeight="1">
      <c r="A269" s="5" t="inlineStr">
        <is>
          <t>Bucket</t>
        </is>
      </c>
      <c r="B269" s="5" t="inlineStr">
        <is>
          <t>Before $</t>
        </is>
      </c>
      <c r="C269" s="5" t="inlineStr">
        <is>
          <t>Before %</t>
        </is>
      </c>
      <c r="D269" s="98" t="inlineStr"/>
      <c r="E269" s="5" t="inlineStr">
        <is>
          <t>After $</t>
        </is>
      </c>
      <c r="F269" s="5" t="inlineStr">
        <is>
          <t>After %</t>
        </is>
      </c>
      <c r="G269" s="98" t="inlineStr"/>
      <c r="H269" s="5" t="inlineStr">
        <is>
          <t>Target %</t>
        </is>
      </c>
      <c r="I269" s="5" t="inlineStr">
        <is>
          <t>Delta pp</t>
        </is>
      </c>
      <c r="J269" s="5" t="inlineStr">
        <is>
          <t>Status</t>
        </is>
      </c>
    </row>
    <row r="270" ht="45" customHeight="1">
      <c r="A270" s="2" t="inlineStr">
        <is>
          <t>US Large Cap</t>
        </is>
      </c>
      <c r="B270" s="79" t="n">
        <v>1357238.41112</v>
      </c>
      <c r="C270" s="80" t="n">
        <v>0.4910506979746858</v>
      </c>
      <c r="D270" s="41" t="inlineStr">
        <is>
          <t>→</t>
        </is>
      </c>
      <c r="E270" s="81" t="n">
        <v>1209226.55896</v>
      </c>
      <c r="F270" s="82" t="n">
        <v>0.4374998091137399</v>
      </c>
      <c r="G270" s="33" t="inlineStr"/>
      <c r="H270" s="80" t="n">
        <v>0.4666666666666666</v>
      </c>
      <c r="I270" s="100" t="n">
        <v>-0.02916685755292675</v>
      </c>
      <c r="J270" s="12" t="inlineStr">
        <is>
          <t>Under -2.9%</t>
        </is>
      </c>
    </row>
    <row r="271" ht="30" customHeight="1">
      <c r="A271" s="2" t="inlineStr">
        <is>
          <t>International</t>
        </is>
      </c>
      <c r="B271" s="79" t="n">
        <v>910327.1116479998</v>
      </c>
      <c r="C271" s="80" t="n">
        <v>0.329357583676953</v>
      </c>
      <c r="D271" s="41" t="inlineStr">
        <is>
          <t>→</t>
        </is>
      </c>
      <c r="E271" s="81" t="n">
        <v>690987.1116479998</v>
      </c>
      <c r="F271" s="82" t="n">
        <v>0.2500000741846545</v>
      </c>
      <c r="G271" s="33" t="inlineStr"/>
      <c r="H271" s="80" t="n">
        <v>0.2666666666666667</v>
      </c>
      <c r="I271" s="101" t="n">
        <v>-0.01666659248201219</v>
      </c>
      <c r="J271" s="12" t="inlineStr">
        <is>
          <t>✓ On target</t>
        </is>
      </c>
    </row>
    <row r="272" ht="45" customHeight="1">
      <c r="A272" s="2" t="inlineStr">
        <is>
          <t>US Small Cap</t>
        </is>
      </c>
      <c r="B272" s="79" t="n">
        <v>309683.143654</v>
      </c>
      <c r="C272" s="80" t="n">
        <v>0.1120437813993214</v>
      </c>
      <c r="D272" s="41" t="inlineStr">
        <is>
          <t>→</t>
        </is>
      </c>
      <c r="E272" s="81" t="n">
        <v>172747.143654</v>
      </c>
      <c r="F272" s="82" t="n">
        <v>0.06250015087211527</v>
      </c>
      <c r="G272" s="33" t="inlineStr"/>
      <c r="H272" s="80" t="n">
        <v>0.06666666666666667</v>
      </c>
      <c r="I272" s="101" t="n">
        <v>-0.004166515794551393</v>
      </c>
      <c r="J272" s="12" t="inlineStr">
        <is>
          <t>✓ On target</t>
        </is>
      </c>
    </row>
    <row r="273" ht="45" customHeight="1">
      <c r="A273" s="2" t="inlineStr">
        <is>
          <t>Commodities</t>
        </is>
      </c>
      <c r="B273" s="79" t="n">
        <v>166714.35</v>
      </c>
      <c r="C273" s="80" t="n">
        <v>0.06031747794577998</v>
      </c>
      <c r="D273" s="41" t="inlineStr">
        <is>
          <t>→</t>
        </is>
      </c>
      <c r="E273" s="81" t="n">
        <v>172746.35</v>
      </c>
      <c r="F273" s="82" t="n">
        <v>0.06249986372702164</v>
      </c>
      <c r="G273" s="33" t="inlineStr"/>
      <c r="H273" s="80" t="n">
        <v>0.06666666666666667</v>
      </c>
      <c r="I273" s="101" t="n">
        <v>-0.004166802939645026</v>
      </c>
      <c r="J273" s="12" t="inlineStr">
        <is>
          <t>✓ On target</t>
        </is>
      </c>
    </row>
    <row r="274" ht="45" customHeight="1">
      <c r="A274" s="2" t="inlineStr">
        <is>
          <t>Cash</t>
        </is>
      </c>
      <c r="B274" s="79" t="n">
        <v>19984.61</v>
      </c>
      <c r="C274" s="80" t="n">
        <v>0.007230459003259253</v>
      </c>
      <c r="D274" s="41" t="inlineStr">
        <is>
          <t>→</t>
        </is>
      </c>
      <c r="E274" s="81" t="n">
        <v>172746.61</v>
      </c>
      <c r="F274" s="82" t="n">
        <v>0.06249995779537427</v>
      </c>
      <c r="G274" s="33" t="inlineStr"/>
      <c r="H274" s="64" t="inlineStr"/>
      <c r="I274" s="64" t="inlineStr"/>
      <c r="J274" s="33" t="inlineStr"/>
    </row>
    <row r="275" ht="45" customHeight="1">
      <c r="A275" s="2" t="inlineStr">
        <is>
          <t>Emerging Markets</t>
        </is>
      </c>
      <c r="B275" s="79" t="n">
        <v>0</v>
      </c>
      <c r="C275" s="80" t="n">
        <v>0</v>
      </c>
      <c r="D275" s="41" t="inlineStr">
        <is>
          <t>→</t>
        </is>
      </c>
      <c r="E275" s="81" t="n">
        <v>172747</v>
      </c>
      <c r="F275" s="82" t="n">
        <v>0.06250009889790324</v>
      </c>
      <c r="G275" s="33" t="inlineStr"/>
      <c r="H275" s="80" t="n">
        <v>0.06666666666666667</v>
      </c>
      <c r="I275" s="101" t="n">
        <v>-0.004166567768763424</v>
      </c>
      <c r="J275" s="12" t="inlineStr">
        <is>
          <t>✓ On target</t>
        </is>
      </c>
    </row>
    <row r="276" ht="45" customHeight="1">
      <c r="A276" s="2" t="inlineStr">
        <is>
          <t>US Mid Cap</t>
        </is>
      </c>
      <c r="B276" s="79" t="n">
        <v>0</v>
      </c>
      <c r="C276" s="80" t="n">
        <v>0</v>
      </c>
      <c r="D276" s="41" t="inlineStr">
        <is>
          <t>→</t>
        </is>
      </c>
      <c r="E276" s="81" t="n">
        <v>172747</v>
      </c>
      <c r="F276" s="82" t="n">
        <v>0.06250009889790324</v>
      </c>
      <c r="G276" s="33" t="inlineStr"/>
      <c r="H276" s="80" t="n">
        <v>0.06666666666666667</v>
      </c>
      <c r="I276" s="101" t="n">
        <v>-0.004166567768763424</v>
      </c>
      <c r="J276" s="12" t="inlineStr">
        <is>
          <t>✓ On target</t>
        </is>
      </c>
    </row>
    <row r="277"/>
    <row r="278" ht="15" customHeight="1">
      <c r="A278" s="102" t="inlineStr">
        <is>
          <t>TAX-EFFICIENT REBALANCING SEQUENCE</t>
        </is>
      </c>
      <c r="B278" s="3" t="n"/>
      <c r="C278" s="3" t="n"/>
      <c r="D278" s="3" t="n"/>
      <c r="E278" s="3" t="n"/>
      <c r="F278" s="3" t="n"/>
      <c r="G278" s="3" t="n"/>
      <c r="H278" s="3" t="n"/>
      <c r="I278" s="3" t="n"/>
      <c r="J278" s="4" t="n"/>
    </row>
    <row r="279" ht="15" customHeight="1">
      <c r="A279" s="2" t="inlineStr">
        <is>
          <t>Direct new 401k/IRA/HSA contributions to underweight buckets. No tax event — just redirect future dollars.</t>
        </is>
      </c>
      <c r="B279" s="3" t="n"/>
      <c r="C279" s="3" t="n"/>
      <c r="D279" s="3" t="n"/>
      <c r="E279" s="3" t="n"/>
      <c r="F279" s="3" t="n"/>
      <c r="G279" s="3" t="n"/>
      <c r="H279" s="3" t="n"/>
      <c r="I279" s="3" t="n"/>
      <c r="J279" s="4" t="n"/>
    </row>
    <row r="280" ht="15" customHeight="1">
      <c r="A280" s="12" t="inlineStr">
        <is>
          <t>Example: if Roth is underweight AVUV, direct new Roth contributions to AVUV instead of current holdings.</t>
        </is>
      </c>
      <c r="B280" s="3" t="n"/>
      <c r="C280" s="3" t="n"/>
      <c r="D280" s="3" t="n"/>
      <c r="E280" s="3" t="n"/>
      <c r="F280" s="3" t="n"/>
      <c r="G280" s="3" t="n"/>
      <c r="H280" s="3" t="n"/>
      <c r="I280" s="3" t="n"/>
      <c r="J280" s="4" t="n"/>
    </row>
    <row r="281"/>
    <row r="282" ht="30" customHeight="1">
      <c r="A282" s="2" t="inlineStr">
        <is>
          <t>Sell overweight and buy underweight within each IRA, 401k, Roth, and HSA. No capital gains tax on trades inside these accounts.</t>
        </is>
      </c>
      <c r="B282" s="3" t="n"/>
      <c r="C282" s="3" t="n"/>
      <c r="D282" s="3" t="n"/>
      <c r="E282" s="3" t="n"/>
      <c r="F282" s="3" t="n"/>
      <c r="G282" s="3" t="n"/>
      <c r="H282" s="3" t="n"/>
      <c r="I282" s="3" t="n"/>
      <c r="J282" s="4" t="n"/>
    </row>
    <row r="283" ht="15" customHeight="1">
      <c r="A283" s="12" t="inlineStr">
        <is>
          <t>This is the primary rebalancing mechanism — do these trades first.</t>
        </is>
      </c>
      <c r="B283" s="3" t="n"/>
      <c r="C283" s="3" t="n"/>
      <c r="D283" s="3" t="n"/>
      <c r="E283" s="3" t="n"/>
      <c r="F283" s="3" t="n"/>
      <c r="G283" s="3" t="n"/>
      <c r="H283" s="3" t="n"/>
      <c r="I283" s="3" t="n"/>
      <c r="J283" s="4" t="n"/>
    </row>
    <row r="284"/>
    <row r="285" ht="30" customHeight="1">
      <c r="A285" s="2" t="inlineStr">
        <is>
          <t>Reinvest dividends into underweight buckets rather than the same fund. Over time this naturally rebalances without selling.</t>
        </is>
      </c>
      <c r="B285" s="3" t="n"/>
      <c r="C285" s="3" t="n"/>
      <c r="D285" s="3" t="n"/>
      <c r="E285" s="3" t="n"/>
      <c r="F285" s="3" t="n"/>
      <c r="G285" s="3" t="n"/>
      <c r="H285" s="3" t="n"/>
      <c r="I285" s="3" t="n"/>
      <c r="J285" s="4" t="n"/>
    </row>
    <row r="286" ht="15" customHeight="1">
      <c r="A286" s="12" t="inlineStr">
        <is>
          <t>Turn off auto-reinvest in overweight funds; redirect to underweight funds in the same account.</t>
        </is>
      </c>
      <c r="B286" s="3" t="n"/>
      <c r="C286" s="3" t="n"/>
      <c r="D286" s="3" t="n"/>
      <c r="E286" s="3" t="n"/>
      <c r="F286" s="3" t="n"/>
      <c r="G286" s="3" t="n"/>
      <c r="H286" s="3" t="n"/>
      <c r="I286" s="3" t="n"/>
      <c r="J286" s="4" t="n"/>
    </row>
    <row r="287"/>
    <row r="288" ht="30" customHeight="1">
      <c r="A288" s="2" t="inlineStr">
        <is>
          <t>If a taxable holding has unrealized losses, sell it and buy a similar (not "substantially identical") fund in the target bucket.</t>
        </is>
      </c>
      <c r="B288" s="3" t="n"/>
      <c r="C288" s="3" t="n"/>
      <c r="D288" s="3" t="n"/>
      <c r="E288" s="3" t="n"/>
      <c r="F288" s="3" t="n"/>
      <c r="G288" s="3" t="n"/>
      <c r="H288" s="3" t="n"/>
      <c r="I288" s="3" t="n"/>
      <c r="J288" s="4" t="n"/>
    </row>
    <row r="289" ht="15" customHeight="1">
      <c r="A289" s="12" t="inlineStr">
        <is>
          <t>Example: sell ITOT (at a loss) and buy VTI — both are US Large but not identical. Harvest the loss.</t>
        </is>
      </c>
      <c r="B289" s="3" t="n"/>
      <c r="C289" s="3" t="n"/>
      <c r="D289" s="3" t="n"/>
      <c r="E289" s="3" t="n"/>
      <c r="F289" s="3" t="n"/>
      <c r="G289" s="3" t="n"/>
      <c r="H289" s="3" t="n"/>
      <c r="I289" s="3" t="n"/>
      <c r="J289" s="4" t="n"/>
    </row>
    <row r="290"/>
    <row r="291" ht="15" customHeight="1">
      <c r="A291" s="2" t="inlineStr">
        <is>
          <t>If the above steps don't close the gap, sell overweight positions in taxable accounts. LTCG tax applies.</t>
        </is>
      </c>
      <c r="B291" s="3" t="n"/>
      <c r="C291" s="3" t="n"/>
      <c r="D291" s="3" t="n"/>
      <c r="E291" s="3" t="n"/>
      <c r="F291" s="3" t="n"/>
      <c r="G291" s="3" t="n"/>
      <c r="H291" s="3" t="n"/>
      <c r="I291" s="3" t="n"/>
      <c r="J291" s="4" t="n"/>
    </row>
    <row r="292" ht="15" customHeight="1">
      <c r="A292" s="12" t="inlineStr">
        <is>
          <t>Prioritize lots held &gt;1 year (LTCG rate 15-20%) over short-term lots (ordinary income rate).</t>
        </is>
      </c>
      <c r="B292" s="3" t="n"/>
      <c r="C292" s="3" t="n"/>
      <c r="D292" s="3" t="n"/>
      <c r="E292" s="3" t="n"/>
      <c r="F292" s="3" t="n"/>
      <c r="G292" s="3" t="n"/>
      <c r="H292" s="3" t="n"/>
      <c r="I292" s="3" t="n"/>
      <c r="J292" s="4" t="n"/>
    </row>
    <row r="293"/>
    <row r="294" ht="15" customHeight="1">
      <c r="A294" s="2" t="inlineStr">
        <is>
          <t>You don't need to reach target in one trade. Spread rebalancing over 2-3 years to smooth tax impact.</t>
        </is>
      </c>
      <c r="B294" s="3" t="n"/>
      <c r="C294" s="3" t="n"/>
      <c r="D294" s="3" t="n"/>
      <c r="E294" s="3" t="n"/>
      <c r="F294" s="3" t="n"/>
      <c r="G294" s="3" t="n"/>
      <c r="H294" s="3" t="n"/>
      <c r="I294" s="3" t="n"/>
      <c r="J294" s="4" t="n"/>
    </row>
    <row r="295" ht="15" customHeight="1">
      <c r="A295" s="12" t="inlineStr">
        <is>
          <t>Each year: execute steps 1-4, then reassess. Only do step 5 if significantly out of band (&gt;5% delta).</t>
        </is>
      </c>
      <c r="B295" s="3" t="n"/>
      <c r="C295" s="3" t="n"/>
      <c r="D295" s="3" t="n"/>
      <c r="E295" s="3" t="n"/>
      <c r="F295" s="3" t="n"/>
      <c r="G295" s="3" t="n"/>
      <c r="H295" s="3" t="n"/>
      <c r="I295" s="3" t="n"/>
      <c r="J295" s="4" t="n"/>
    </row>
    <row r="296"/>
    <row r="297"/>
    <row r="298" ht="15" customHeight="1">
      <c r="A298" s="9" t="inlineStr">
        <is>
          <t>ASSET-LOCATION OPTIMIZER</t>
        </is>
      </c>
    </row>
    <row r="299"/>
    <row r="300" ht="60" customHeight="1">
      <c r="A300" s="12" t="inlineStr">
        <is>
          <t>Tax-efficient asset placement: same overall allocation, but assets held in their most tax-advantaged account. Equities (growth + qualified dividends/LTCG) favor Roth and taxable; bonds/REITs (ordinary income) favor IRA.</t>
        </is>
      </c>
      <c r="B300" s="3" t="n"/>
      <c r="C300" s="3" t="n"/>
      <c r="D300" s="3" t="n"/>
      <c r="E300" s="3" t="n"/>
      <c r="F300" s="3" t="n"/>
      <c r="G300" s="4" t="n"/>
    </row>
    <row r="301"/>
    <row r="302" ht="15" customHeight="1">
      <c r="A302" s="13" t="inlineStr">
        <is>
          <t>Current Account Balances</t>
        </is>
      </c>
      <c r="B302" s="3" t="n"/>
      <c r="C302" s="4" t="n"/>
    </row>
    <row r="303" ht="30" customHeight="1">
      <c r="A303" s="12" t="inlineStr">
        <is>
          <t>Tax-Deferred (IRA/401k)</t>
        </is>
      </c>
      <c r="B303" s="103" t="n">
        <v>1807478.13389</v>
      </c>
      <c r="C303" s="104" t="inlineStr">
        <is>
          <t>67%</t>
        </is>
      </c>
    </row>
    <row r="304" ht="30" customHeight="1">
      <c r="A304" s="12" t="inlineStr">
        <is>
          <t>Tax-Free (Roth)</t>
        </is>
      </c>
      <c r="B304" s="103" t="n">
        <v>344341.064064</v>
      </c>
      <c r="C304" s="104" t="inlineStr">
        <is>
          <t>13%</t>
        </is>
      </c>
    </row>
    <row r="305" ht="30" customHeight="1">
      <c r="A305" s="12" t="inlineStr">
        <is>
          <t>Taxable (Trust)</t>
        </is>
      </c>
      <c r="B305" s="103" t="n">
        <v>540058.419588</v>
      </c>
      <c r="C305" s="104" t="inlineStr">
        <is>
          <t>20%</t>
        </is>
      </c>
    </row>
    <row r="306" ht="30" customHeight="1">
      <c r="A306" s="2" t="inlineStr">
        <is>
          <t>Total Investable</t>
        </is>
      </c>
      <c r="B306" s="105" t="n">
        <v>2691877.617542</v>
      </c>
      <c r="C306" s="104" t="inlineStr">
        <is>
          <t>100%</t>
        </is>
      </c>
    </row>
    <row r="307"/>
    <row r="308" ht="15" customHeight="1">
      <c r="A308" s="13" t="inlineStr">
        <is>
          <t>Annual Tax Drag by Placement</t>
        </is>
      </c>
      <c r="B308" s="3" t="n"/>
      <c r="C308" s="3" t="n"/>
      <c r="D308" s="4" t="n"/>
    </row>
    <row r="309" ht="30" customHeight="1">
      <c r="A309" s="35" t="inlineStr">
        <is>
          <t>Scenario</t>
        </is>
      </c>
      <c r="B309" s="35" t="inlineStr">
        <is>
          <t>Bond Tax Drag/yr</t>
        </is>
      </c>
      <c r="C309" s="35" t="inlineStr">
        <is>
          <t>Equity Tax Drag/yr</t>
        </is>
      </c>
      <c r="D309" s="35" t="inlineStr">
        <is>
          <t>Total/yr</t>
        </is>
      </c>
    </row>
    <row r="310" ht="45" customHeight="1">
      <c r="A310" s="12" t="inlineStr">
        <is>
          <t>Naive (blended mix in every account)</t>
        </is>
      </c>
      <c r="B310" s="79" t="n">
        <v>777.6841242067201</v>
      </c>
      <c r="C310" s="79" t="n">
        <v>1652.57876393928</v>
      </c>
      <c r="D310" s="79" t="n">
        <v>2430.262888146</v>
      </c>
    </row>
    <row r="311" ht="60" customHeight="1">
      <c r="A311" s="2" t="inlineStr">
        <is>
          <t>Optimized (bonds→IRA, equities→Roth/taxable)</t>
        </is>
      </c>
      <c r="B311" s="83" t="n">
        <v>0</v>
      </c>
      <c r="C311" s="83" t="n">
        <v>1944.210310516798</v>
      </c>
      <c r="D311" s="83" t="n">
        <v>1944.210310516798</v>
      </c>
    </row>
    <row r="312"/>
    <row r="313" ht="15" customHeight="1">
      <c r="A313" s="20" t="inlineStr">
        <is>
          <t>Estimated Savings</t>
        </is>
      </c>
      <c r="B313" s="3" t="n"/>
      <c r="C313" s="4" t="n"/>
    </row>
    <row r="314" ht="30" customHeight="1">
      <c r="A314" s="2" t="inlineStr">
        <is>
          <t>Annual tax drag reduction</t>
        </is>
      </c>
      <c r="B314" s="105" t="n">
        <v>486.0525776292016</v>
      </c>
    </row>
    <row r="315" ht="45" customHeight="1">
      <c r="A315" s="2" t="inlineStr">
        <is>
          <t>Compounded over 30 years (at 6.0%)</t>
        </is>
      </c>
      <c r="B315" s="106" t="n">
        <v>40732.02130415339</v>
      </c>
    </row>
    <row r="316"/>
    <row r="317" ht="15" customHeight="1">
      <c r="A317" s="13" t="inlineStr">
        <is>
          <t>Placement Recommendations</t>
        </is>
      </c>
      <c r="B317" s="3" t="n"/>
      <c r="C317" s="3" t="n"/>
      <c r="D317" s="3" t="n"/>
      <c r="E317" s="4" t="n"/>
    </row>
    <row r="318" ht="30" customHeight="1">
      <c r="A318" s="12" t="inlineStr">
        <is>
          <t>• Hold all bond/income assets ($403,782) inside the IRA — ordinary-income yield is sheltered from annual tax.</t>
        </is>
      </c>
      <c r="B318" s="3" t="n"/>
      <c r="C318" s="3" t="n"/>
      <c r="D318" s="3" t="n"/>
      <c r="E318" s="3" t="n"/>
      <c r="F318" s="3" t="n"/>
      <c r="G318" s="4" t="n"/>
    </row>
    <row r="319" ht="30" customHeight="1">
      <c r="A319" s="12" t="inlineStr">
        <is>
          <t>• Hold the highest-growth equities ($344,341) in the Roth — all future appreciation is permanently tax-free.</t>
        </is>
      </c>
      <c r="B319" s="3" t="n"/>
      <c r="C319" s="3" t="n"/>
      <c r="D319" s="3" t="n"/>
      <c r="E319" s="3" t="n"/>
      <c r="F319" s="3" t="n"/>
      <c r="G319" s="4" t="n"/>
    </row>
    <row r="320" ht="45" customHeight="1">
      <c r="A320" s="12" t="inlineStr">
        <is>
          <t>• Hold remaining equities in the taxable Trust — qualified dividends and LTCG are taxed at preferential rates, and heirs receive a stepped-up basis at death.</t>
        </is>
      </c>
      <c r="B320" s="3" t="n"/>
      <c r="C320" s="3" t="n"/>
      <c r="D320" s="3" t="n"/>
      <c r="E320" s="3" t="n"/>
      <c r="F320" s="3" t="n"/>
      <c r="G320" s="4" t="n"/>
    </row>
    <row r="321" ht="30" customHeight="1">
      <c r="A321" s="12" t="inlineStr">
        <is>
          <t>• Avoid holding bonds in the taxable Trust — their ordinary-income yield is the least tax-efficient use of taxable space.</t>
        </is>
      </c>
      <c r="B321" s="3" t="n"/>
      <c r="C321" s="3" t="n"/>
      <c r="D321" s="3" t="n"/>
      <c r="E321" s="3" t="n"/>
      <c r="F321" s="3" t="n"/>
      <c r="G321" s="4" t="n"/>
    </row>
    <row r="322" ht="30" customHeight="1">
      <c r="A322" s="12" t="inlineStr">
        <is>
          <t>• Re-evaluate placement after large Roth conversions, which shift the IRA/Roth balance.</t>
        </is>
      </c>
      <c r="B322" s="3" t="n"/>
      <c r="C322" s="3" t="n"/>
      <c r="D322" s="3" t="n"/>
      <c r="E322" s="3" t="n"/>
      <c r="F322" s="3" t="n"/>
      <c r="G322" s="4" t="n"/>
    </row>
    <row r="323"/>
    <row r="324" ht="30" customHeight="1">
      <c r="A324" s="107" t="inlineStr">
        <is>
          <t>Note: estimate uses marginal ordinary rate 24%% and LTCG 15%%; actual savings depend on realized turnover and bracket in each year.</t>
        </is>
      </c>
      <c r="B324" s="3" t="n"/>
      <c r="C324" s="3" t="n"/>
      <c r="D324" s="3" t="n"/>
      <c r="E324" s="3" t="n"/>
      <c r="F324" s="3" t="n"/>
      <c r="G324" s="4" t="n"/>
    </row>
  </sheetData>
  <mergeCells count="122">
    <mergeCell ref="A7:I7"/>
    <mergeCell ref="C61:F61"/>
    <mergeCell ref="A97:D97"/>
    <mergeCell ref="G200:J200"/>
    <mergeCell ref="A324:G324"/>
    <mergeCell ref="A27:I27"/>
    <mergeCell ref="A112:D112"/>
    <mergeCell ref="C32:F32"/>
    <mergeCell ref="G202:J202"/>
    <mergeCell ref="A302:C302"/>
    <mergeCell ref="B86:C86"/>
    <mergeCell ref="A313:C313"/>
    <mergeCell ref="C196:J196"/>
    <mergeCell ref="A319:G319"/>
    <mergeCell ref="A261:J261"/>
    <mergeCell ref="B3:H3"/>
    <mergeCell ref="A300:G300"/>
    <mergeCell ref="A222:J222"/>
    <mergeCell ref="A29:F29"/>
    <mergeCell ref="E49:F49"/>
    <mergeCell ref="C54:F54"/>
    <mergeCell ref="A174:J174"/>
    <mergeCell ref="A64:F64"/>
    <mergeCell ref="C56:F56"/>
    <mergeCell ref="A198:J198"/>
    <mergeCell ref="A238:J238"/>
    <mergeCell ref="A101:D101"/>
    <mergeCell ref="A95:J95"/>
    <mergeCell ref="A298:G298"/>
    <mergeCell ref="A159:J159"/>
    <mergeCell ref="C195:J195"/>
    <mergeCell ref="C187:J187"/>
    <mergeCell ref="E48:F48"/>
    <mergeCell ref="A280:J280"/>
    <mergeCell ref="A26:I26"/>
    <mergeCell ref="A288:J288"/>
    <mergeCell ref="A85:F85"/>
    <mergeCell ref="E38:F38"/>
    <mergeCell ref="A289:J289"/>
    <mergeCell ref="A211:J211"/>
    <mergeCell ref="C30:F30"/>
    <mergeCell ref="A186:J186"/>
    <mergeCell ref="A317:E317"/>
    <mergeCell ref="E40:F40"/>
    <mergeCell ref="A2:H2"/>
    <mergeCell ref="A146:J146"/>
    <mergeCell ref="A292:J292"/>
    <mergeCell ref="A286:J286"/>
    <mergeCell ref="A136:D136"/>
    <mergeCell ref="A105:D105"/>
    <mergeCell ref="B89:C89"/>
    <mergeCell ref="C190:J190"/>
    <mergeCell ref="A294:J294"/>
    <mergeCell ref="D86:F86"/>
    <mergeCell ref="A278:J278"/>
    <mergeCell ref="E50:F50"/>
    <mergeCell ref="G201:J201"/>
    <mergeCell ref="A144:J144"/>
    <mergeCell ref="D81:E81"/>
    <mergeCell ref="C191:J191"/>
    <mergeCell ref="C57:F57"/>
    <mergeCell ref="B5:H5"/>
    <mergeCell ref="E39:F39"/>
    <mergeCell ref="G203:J203"/>
    <mergeCell ref="A308:D308"/>
    <mergeCell ref="E44:F44"/>
    <mergeCell ref="D87:F87"/>
    <mergeCell ref="A152:J152"/>
    <mergeCell ref="C53:F53"/>
    <mergeCell ref="B88:C88"/>
    <mergeCell ref="C58:F58"/>
    <mergeCell ref="A63:F63"/>
    <mergeCell ref="A291:J291"/>
    <mergeCell ref="E46:F46"/>
    <mergeCell ref="C188:J188"/>
    <mergeCell ref="A268:J268"/>
    <mergeCell ref="A283:J283"/>
    <mergeCell ref="D83:E83"/>
    <mergeCell ref="C31:F31"/>
    <mergeCell ref="A36:F36"/>
    <mergeCell ref="E41:F41"/>
    <mergeCell ref="A285:J285"/>
    <mergeCell ref="C189:J189"/>
    <mergeCell ref="C60:F60"/>
    <mergeCell ref="E43:F43"/>
    <mergeCell ref="A321:G321"/>
    <mergeCell ref="A244:J244"/>
    <mergeCell ref="A80:F80"/>
    <mergeCell ref="A253:J253"/>
    <mergeCell ref="E42:F42"/>
    <mergeCell ref="A318:G318"/>
    <mergeCell ref="A1:H1"/>
    <mergeCell ref="E35:F35"/>
    <mergeCell ref="A230:J230"/>
    <mergeCell ref="A295:J295"/>
    <mergeCell ref="A320:G320"/>
    <mergeCell ref="A143:J143"/>
    <mergeCell ref="A130:D130"/>
    <mergeCell ref="A166:J166"/>
    <mergeCell ref="A279:J279"/>
    <mergeCell ref="C193:J193"/>
    <mergeCell ref="A123:D123"/>
    <mergeCell ref="A207:J207"/>
    <mergeCell ref="B87:C87"/>
    <mergeCell ref="A52:F52"/>
    <mergeCell ref="D89:F89"/>
    <mergeCell ref="A216:J216"/>
    <mergeCell ref="C192:J192"/>
    <mergeCell ref="E45:F45"/>
    <mergeCell ref="D88:F88"/>
    <mergeCell ref="C55:F55"/>
    <mergeCell ref="C194:J194"/>
    <mergeCell ref="A4:H4"/>
    <mergeCell ref="A118:D118"/>
    <mergeCell ref="A208:J208"/>
    <mergeCell ref="A282:J282"/>
    <mergeCell ref="D82:E82"/>
    <mergeCell ref="B33:F33"/>
    <mergeCell ref="C59:F59"/>
    <mergeCell ref="E37:F37"/>
    <mergeCell ref="A322:G322"/>
    <mergeCell ref="E47:F47"/>
  </mergeCells>
  <pageMargins left="0.75" right="0.75" top="1" bottom="1" header="0.5" footer="0.5"/>
</worksheet>
</file>

<file path=xl/worksheets/sheet13.xml><?xml version="1.0" encoding="utf-8"?>
<worksheet xmlns="http://schemas.openxmlformats.org/spreadsheetml/2006/main">
  <sheetPr>
    <tabColor rgb="007030A0"/>
    <outlinePr summaryBelow="1" summaryRight="1"/>
    <pageSetUpPr/>
  </sheetPr>
  <dimension ref="A1:J28"/>
  <sheetViews>
    <sheetView showGridLines="0" workbookViewId="0">
      <selection activeCell="A1" sqref="A1"/>
    </sheetView>
  </sheetViews>
  <sheetFormatPr baseColWidth="8" defaultRowHeight="15"/>
  <cols>
    <col width="19.4" customWidth="1" min="1" max="1"/>
    <col width="10.3" customWidth="1" min="2" max="2"/>
    <col width="19.4" customWidth="1" min="3" max="3"/>
    <col width="9.4" customWidth="1" min="4" max="4"/>
    <col width="9.4" customWidth="1" min="5" max="5"/>
    <col width="9.4" customWidth="1" min="6" max="6"/>
    <col width="9.4" customWidth="1" min="7" max="7"/>
    <col width="9.4" customWidth="1" min="8" max="8"/>
    <col width="10.3" customWidth="1" min="9" max="9"/>
    <col width="11.4" customWidth="1" min="10" max="10"/>
  </cols>
  <sheetData>
    <row r="1" ht="18" customHeight="1">
      <c r="A1" s="9" t="inlineStr">
        <is>
          <t>STATE RESIDENCY TAX ANALYSIS</t>
        </is>
      </c>
    </row>
    <row r="2"/>
    <row r="3" ht="15" customHeight="1">
      <c r="A3" s="13" t="inlineStr">
        <is>
          <t>Lifetime Income Components (State Tax Basis)</t>
        </is>
      </c>
      <c r="B3" s="3" t="n"/>
      <c r="C3" s="4" t="n"/>
    </row>
    <row r="4" ht="30" customHeight="1">
      <c r="A4" s="12" t="inlineStr">
        <is>
          <t>Earned Income (W-2/S-Corp)</t>
        </is>
      </c>
      <c r="B4" s="103" t="n">
        <v>266239.88</v>
      </c>
      <c r="C4" s="107" t="inlineStr">
        <is>
          <t>Taxable in all states with income tax</t>
        </is>
      </c>
    </row>
    <row r="5" ht="45" customHeight="1">
      <c r="A5" s="12" t="inlineStr">
        <is>
          <t>Qualified Retirement Distributions</t>
        </is>
      </c>
      <c r="B5" s="103" t="n">
        <v>2683245.678486436</v>
      </c>
      <c r="C5" s="107" t="inlineStr">
        <is>
          <t>IRA/401k/pension/qualified annuity — exempt in IL</t>
        </is>
      </c>
    </row>
    <row r="6" ht="45" customHeight="1">
      <c r="A6" s="12" t="inlineStr">
        <is>
          <t>Non-Qualified Annuity Income</t>
        </is>
      </c>
      <c r="B6" s="103" t="n">
        <v>257592.8344499338</v>
      </c>
      <c r="C6" s="107" t="inlineStr">
        <is>
          <t>Personal market annuities — taxable in IL</t>
        </is>
      </c>
    </row>
    <row r="7" ht="30" customHeight="1">
      <c r="A7" s="12" t="inlineStr">
        <is>
          <t>Social Security (fed taxable)</t>
        </is>
      </c>
      <c r="B7" s="103" t="n">
        <v>2195917.533958432</v>
      </c>
      <c r="C7" s="107" t="inlineStr">
        <is>
          <t>Exempt in most states</t>
        </is>
      </c>
    </row>
    <row r="8" ht="30" customHeight="1">
      <c r="A8" s="12" t="inlineStr">
        <is>
          <t>Investment Income</t>
        </is>
      </c>
      <c r="B8" s="103" t="n">
        <v>161613.78</v>
      </c>
      <c r="C8" s="107" t="inlineStr">
        <is>
          <t>Note interest, capital gains</t>
        </is>
      </c>
    </row>
    <row r="9" ht="30" customHeight="1">
      <c r="A9" s="12" t="inlineStr">
        <is>
          <t>Roth Conversions</t>
        </is>
      </c>
      <c r="B9" s="103" t="n">
        <v>1304134.045467156</v>
      </c>
      <c r="C9" s="107" t="inlineStr">
        <is>
          <t>Exempt in IL (retirement distribution)</t>
        </is>
      </c>
    </row>
    <row r="10" ht="30" customHeight="1">
      <c r="A10" s="2" t="inlineStr">
        <is>
          <t>Total AGI</t>
        </is>
      </c>
      <c r="B10" s="105" t="n">
        <v>6879475.073311086</v>
      </c>
    </row>
    <row r="11"/>
    <row r="12" ht="15" customHeight="1">
      <c r="A12" s="13" t="inlineStr">
        <is>
          <t>Lifetime Tax Burden by State</t>
        </is>
      </c>
      <c r="B12" s="3" t="n"/>
      <c r="C12" s="3" t="n"/>
      <c r="D12" s="3" t="n"/>
      <c r="E12" s="3" t="n"/>
      <c r="F12" s="3" t="n"/>
      <c r="G12" s="3" t="n"/>
      <c r="H12" s="3" t="n"/>
      <c r="I12" s="3" t="n"/>
      <c r="J12" s="4" t="n"/>
    </row>
    <row r="13" ht="45" customHeight="1">
      <c r="A13" s="5" t="inlineStr">
        <is>
          <t>State</t>
        </is>
      </c>
      <c r="B13" s="5" t="inlineStr">
        <is>
          <t>Income Rate</t>
        </is>
      </c>
      <c r="C13" s="5" t="inlineStr">
        <is>
          <t>Income Tax</t>
        </is>
      </c>
      <c r="D13" s="5" t="inlineStr">
        <is>
          <t>Property Tax</t>
        </is>
      </c>
      <c r="E13" s="5" t="inlineStr">
        <is>
          <t>Sales Tax</t>
        </is>
      </c>
      <c r="F13" s="5" t="inlineStr">
        <is>
          <t>Estate Tax</t>
        </is>
      </c>
      <c r="G13" s="5" t="inlineStr">
        <is>
          <t>Total Tax</t>
        </is>
      </c>
      <c r="H13" s="5" t="inlineStr">
        <is>
          <t>Delta vs IL</t>
        </is>
      </c>
      <c r="I13" s="5" t="inlineStr">
        <is>
          <t>Retirement Income Taxed</t>
        </is>
      </c>
    </row>
    <row r="14" ht="30" customHeight="1">
      <c r="A14" s="2" t="inlineStr">
        <is>
          <t>Illinois (Current)</t>
        </is>
      </c>
      <c r="B14" s="2" t="inlineStr">
        <is>
          <t>5.0%</t>
        </is>
      </c>
      <c r="C14" s="105" t="n">
        <v>33929.60147527172</v>
      </c>
      <c r="D14" s="105" t="n">
        <v>1331692.90291592</v>
      </c>
      <c r="E14" s="105" t="n">
        <v>189604.4473152329</v>
      </c>
      <c r="F14" s="105" t="n">
        <v>168307.8479691464</v>
      </c>
      <c r="G14" s="105" t="n">
        <v>1723534.799675571</v>
      </c>
      <c r="H14" s="2" t="inlineStr">
        <is>
          <t>Baseline</t>
        </is>
      </c>
      <c r="I14" s="2" t="inlineStr">
        <is>
          <t>Exempt</t>
        </is>
      </c>
    </row>
    <row r="15" ht="30" customHeight="1">
      <c r="A15" s="12" t="inlineStr">
        <is>
          <t>New York</t>
        </is>
      </c>
      <c r="B15" s="12" t="inlineStr">
        <is>
          <t>6.9%</t>
        </is>
      </c>
      <c r="C15" s="103" t="n">
        <v>217439.7093649302</v>
      </c>
      <c r="D15" s="108" t="n">
        <v>1030988.053870389</v>
      </c>
      <c r="E15" s="108" t="n">
        <v>173352.6375453558</v>
      </c>
      <c r="F15" s="108" t="n">
        <v>0</v>
      </c>
      <c r="G15" s="109" t="n">
        <v>1421780.400780675</v>
      </c>
      <c r="H15" s="109" t="n">
        <v>-301754.3988948951</v>
      </c>
      <c r="I15" s="110" t="n">
        <v>3987379.723953591</v>
      </c>
    </row>
    <row r="16" ht="15" customHeight="1">
      <c r="A16" s="12" t="inlineStr">
        <is>
          <t>Texas</t>
        </is>
      </c>
      <c r="B16" s="12" t="inlineStr">
        <is>
          <t>None</t>
        </is>
      </c>
      <c r="C16" s="103" t="n">
        <v>0</v>
      </c>
      <c r="D16" s="108" t="n">
        <v>1104630.057718274</v>
      </c>
      <c r="E16" s="108" t="n">
        <v>177686.4534839897</v>
      </c>
      <c r="F16" s="108" t="n">
        <v>0</v>
      </c>
      <c r="G16" s="109" t="n">
        <v>1282316.511202264</v>
      </c>
      <c r="H16" s="109" t="n">
        <v>-441218.2884733065</v>
      </c>
      <c r="I16" s="75" t="inlineStr">
        <is>
          <t>Exempt</t>
        </is>
      </c>
    </row>
    <row r="17" ht="30" customHeight="1">
      <c r="A17" s="12" t="inlineStr">
        <is>
          <t>North Carolina</t>
        </is>
      </c>
      <c r="B17" s="12" t="inlineStr">
        <is>
          <t>4.5%</t>
        </is>
      </c>
      <c r="C17" s="103" t="n">
        <v>210277.1798281587</v>
      </c>
      <c r="D17" s="108" t="n">
        <v>521630.8605891851</v>
      </c>
      <c r="E17" s="108" t="n">
        <v>151683.5578521863</v>
      </c>
      <c r="F17" s="108" t="n">
        <v>0</v>
      </c>
      <c r="G17" s="109" t="n">
        <v>883591.5982695302</v>
      </c>
      <c r="H17" s="109" t="n">
        <v>-839943.2014060403</v>
      </c>
      <c r="I17" s="110" t="n">
        <v>3987379.723953591</v>
      </c>
    </row>
    <row r="18" ht="30" customHeight="1">
      <c r="A18" s="12" t="inlineStr">
        <is>
          <t>California</t>
        </is>
      </c>
      <c r="B18" s="12" t="inlineStr">
        <is>
          <t>9.3%</t>
        </is>
      </c>
      <c r="C18" s="103" t="n">
        <v>237095.8550320509</v>
      </c>
      <c r="D18" s="108" t="n">
        <v>447988.8567413002</v>
      </c>
      <c r="E18" s="108" t="n">
        <v>189604.4473152329</v>
      </c>
      <c r="F18" s="108" t="n">
        <v>0</v>
      </c>
      <c r="G18" s="109" t="n">
        <v>874689.159088584</v>
      </c>
      <c r="H18" s="109" t="n">
        <v>-848845.6405869866</v>
      </c>
      <c r="I18" s="110" t="n">
        <v>3987379.723953591</v>
      </c>
    </row>
    <row r="19" ht="30" customHeight="1">
      <c r="A19" s="12" t="inlineStr">
        <is>
          <t>Indiana</t>
        </is>
      </c>
      <c r="B19" s="12" t="inlineStr">
        <is>
          <t>3.0%</t>
        </is>
      </c>
      <c r="C19" s="103" t="n">
        <v>142521.1996613075</v>
      </c>
      <c r="D19" s="108" t="n">
        <v>533904.5278971659</v>
      </c>
      <c r="E19" s="108" t="n">
        <v>151683.5578521863</v>
      </c>
      <c r="F19" s="108" t="n">
        <v>0</v>
      </c>
      <c r="G19" s="109" t="n">
        <v>828109.2854106597</v>
      </c>
      <c r="H19" s="109" t="n">
        <v>-895425.5142649108</v>
      </c>
      <c r="I19" s="110" t="n">
        <v>3987379.723953591</v>
      </c>
    </row>
    <row r="20" ht="30" customHeight="1">
      <c r="A20" s="12" t="inlineStr">
        <is>
          <t>Arizona</t>
        </is>
      </c>
      <c r="B20" s="12" t="inlineStr">
        <is>
          <t>2.5%</t>
        </is>
      </c>
      <c r="C20" s="103" t="n">
        <v>116820.6554600882</v>
      </c>
      <c r="D20" s="108" t="n">
        <v>386620.520201396</v>
      </c>
      <c r="E20" s="108" t="n">
        <v>182020.2694226236</v>
      </c>
      <c r="F20" s="108" t="n">
        <v>0</v>
      </c>
      <c r="G20" s="109" t="n">
        <v>685461.4450841078</v>
      </c>
      <c r="H20" s="109" t="n">
        <v>-1038073.354591463</v>
      </c>
      <c r="I20" s="110" t="n">
        <v>3987379.723953591</v>
      </c>
    </row>
    <row r="21" ht="30" customHeight="1">
      <c r="A21" s="12" t="inlineStr">
        <is>
          <t>Colorado</t>
        </is>
      </c>
      <c r="B21" s="12" t="inlineStr">
        <is>
          <t>4.4%</t>
        </is>
      </c>
      <c r="C21" s="103" t="n">
        <v>172868.3536097551</v>
      </c>
      <c r="D21" s="108" t="n">
        <v>337525.8509694727</v>
      </c>
      <c r="E21" s="108" t="n">
        <v>166851.913637405</v>
      </c>
      <c r="F21" s="108" t="n">
        <v>0</v>
      </c>
      <c r="G21" s="109" t="n">
        <v>677246.1182166329</v>
      </c>
      <c r="H21" s="109" t="n">
        <v>-1046288.681458938</v>
      </c>
      <c r="I21" s="110" t="n">
        <v>3243379.723953591</v>
      </c>
    </row>
    <row r="22" ht="15" customHeight="1">
      <c r="A22" s="12" t="inlineStr">
        <is>
          <t>Florida</t>
        </is>
      </c>
      <c r="B22" s="12" t="inlineStr">
        <is>
          <t>None</t>
        </is>
      </c>
      <c r="C22" s="103" t="n">
        <v>0</v>
      </c>
      <c r="D22" s="108" t="n">
        <v>509357.1932812044</v>
      </c>
      <c r="E22" s="108" t="n">
        <v>153200.3934307082</v>
      </c>
      <c r="F22" s="108" t="n">
        <v>0</v>
      </c>
      <c r="G22" s="109" t="n">
        <v>662557.5867119126</v>
      </c>
      <c r="H22" s="109" t="n">
        <v>-1060977.212963658</v>
      </c>
      <c r="I22" s="75" t="inlineStr">
        <is>
          <t>Exempt</t>
        </is>
      </c>
    </row>
    <row r="23" ht="15" customHeight="1">
      <c r="A23" s="12" t="inlineStr">
        <is>
          <t>Tennessee</t>
        </is>
      </c>
      <c r="B23" s="12" t="inlineStr">
        <is>
          <t>None</t>
        </is>
      </c>
      <c r="C23" s="103" t="n">
        <v>0</v>
      </c>
      <c r="D23" s="108" t="n">
        <v>435715.1894333194</v>
      </c>
      <c r="E23" s="108" t="n">
        <v>206939.7110697685</v>
      </c>
      <c r="F23" s="108" t="n">
        <v>0</v>
      </c>
      <c r="G23" s="109" t="n">
        <v>642654.9005030879</v>
      </c>
      <c r="H23" s="109" t="n">
        <v>-1080879.899172483</v>
      </c>
      <c r="I23" s="75" t="inlineStr">
        <is>
          <t>Exempt</t>
        </is>
      </c>
    </row>
    <row r="24" ht="15" customHeight="1">
      <c r="A24" s="12" t="inlineStr">
        <is>
          <t>Nevada</t>
        </is>
      </c>
      <c r="B24" s="12" t="inlineStr">
        <is>
          <t>None</t>
        </is>
      </c>
      <c r="C24" s="103" t="n">
        <v>0</v>
      </c>
      <c r="D24" s="108" t="n">
        <v>337525.8509694727</v>
      </c>
      <c r="E24" s="108" t="n">
        <v>178336.5258747848</v>
      </c>
      <c r="F24" s="108" t="n">
        <v>0</v>
      </c>
      <c r="G24" s="109" t="n">
        <v>515862.3768442575</v>
      </c>
      <c r="H24" s="109" t="n">
        <v>-1207672.422831313</v>
      </c>
      <c r="I24" s="75" t="inlineStr">
        <is>
          <t>Exempt</t>
        </is>
      </c>
    </row>
    <row r="25"/>
    <row r="26"/>
    <row r="27" ht="30" customHeight="1">
      <c r="A27" s="2" t="inlineStr">
        <is>
          <t>Illinois exempts $2,683,246 of retirement income (39% of AGI) from state tax. Moving to a state that taxes retirement income (e.g. North Carolina) would add ~$120,746 in lifetime state income tax.</t>
        </is>
      </c>
      <c r="B27" s="3" t="n"/>
      <c r="C27" s="3" t="n"/>
      <c r="D27" s="3" t="n"/>
      <c r="E27" s="3" t="n"/>
      <c r="F27" s="3" t="n"/>
      <c r="G27" s="3" t="n"/>
      <c r="H27" s="3" t="n"/>
      <c r="I27" s="3" t="n"/>
      <c r="J27" s="4" t="n"/>
    </row>
    <row r="28" ht="30" customHeight="1">
      <c r="A28" s="107" t="inlineStr">
        <is>
          <t>Qualified retirement income includes IRA/401k RMDs, pension, qualified annuity distributions, and Roth conversions. Non-qualified (Personal market) annuity income is taxable even in Illinois.</t>
        </is>
      </c>
      <c r="B28" s="3" t="n"/>
      <c r="C28" s="3" t="n"/>
      <c r="D28" s="3" t="n"/>
      <c r="E28" s="3" t="n"/>
      <c r="F28" s="3" t="n"/>
      <c r="G28" s="3" t="n"/>
      <c r="H28" s="3" t="n"/>
      <c r="I28" s="3" t="n"/>
      <c r="J28" s="4" t="n"/>
    </row>
  </sheetData>
  <mergeCells count="5">
    <mergeCell ref="A1:J1"/>
    <mergeCell ref="A27:J27"/>
    <mergeCell ref="A12:J12"/>
    <mergeCell ref="A3:C3"/>
    <mergeCell ref="A28:J28"/>
  </mergeCells>
  <pageMargins left="0.75" right="0.75" top="1" bottom="1" header="0.5" footer="0.5"/>
</worksheet>
</file>

<file path=xl/worksheets/sheet14.xml><?xml version="1.0" encoding="utf-8"?>
<worksheet xmlns="http://schemas.openxmlformats.org/spreadsheetml/2006/main">
  <sheetPr>
    <tabColor rgb="007030A0"/>
    <outlinePr summaryBelow="1" summaryRight="1"/>
    <pageSetUpPr/>
  </sheetPr>
  <dimension ref="A1:J108"/>
  <sheetViews>
    <sheetView showGridLines="0" workbookViewId="0">
      <selection activeCell="A1" sqref="A1"/>
    </sheetView>
  </sheetViews>
  <sheetFormatPr baseColWidth="8" defaultRowHeight="15"/>
  <cols>
    <col width="10" customWidth="1" min="1" max="1"/>
    <col width="10" customWidth="1" min="2" max="2"/>
    <col width="12" customWidth="1" min="3" max="3"/>
    <col width="9.4" customWidth="1" min="4" max="4"/>
    <col width="9.4" customWidth="1" min="5" max="5"/>
    <col width="9.4" customWidth="1" min="6" max="6"/>
    <col width="9.4" customWidth="1" min="7" max="7"/>
    <col width="9.4" customWidth="1" min="8" max="8"/>
    <col width="9.4" customWidth="1" min="9" max="9"/>
    <col width="9.4" customWidth="1" min="10" max="10"/>
  </cols>
  <sheetData>
    <row r="1" ht="18" customHeight="1">
      <c r="A1" s="9" t="inlineStr">
        <is>
          <t>SOCIAL SECURITY CLAIMING STRATEGY</t>
        </is>
      </c>
    </row>
    <row r="2"/>
    <row r="3" ht="15" customHeight="1">
      <c r="A3" s="13" t="inlineStr">
        <is>
          <t>Recommended spouse-pair claim ages from full projection sweep</t>
        </is>
      </c>
      <c r="B3" s="3" t="n"/>
      <c r="C3" s="3" t="n"/>
      <c r="D3" s="3" t="n"/>
      <c r="E3" s="3" t="n"/>
      <c r="F3" s="3" t="n"/>
      <c r="G3" s="3" t="n"/>
      <c r="H3" s="3" t="n"/>
      <c r="I3" s="3" t="n"/>
      <c r="J3" s="4" t="n"/>
    </row>
    <row r="4" ht="45" customHeight="1">
      <c r="A4" s="11" t="inlineStr">
        <is>
          <t>Recommended Matthew Claim Age</t>
        </is>
      </c>
      <c r="B4" s="12" t="n">
        <v>62</v>
      </c>
      <c r="C4" s="12" t="inlineStr">
        <is>
          <t>Highest score from the 62–70 × 62–70 projection sweep.</t>
        </is>
      </c>
      <c r="D4" s="3" t="n"/>
      <c r="E4" s="3" t="n"/>
      <c r="F4" s="3" t="n"/>
      <c r="G4" s="3" t="n"/>
      <c r="H4" s="3" t="n"/>
      <c r="I4" s="3" t="n"/>
      <c r="J4" s="4" t="n"/>
    </row>
    <row r="5" ht="45" customHeight="1">
      <c r="A5" s="11" t="inlineStr">
        <is>
          <t>Recommended Patricia Claim Age</t>
        </is>
      </c>
      <c r="B5" s="12" t="n">
        <v>62</v>
      </c>
      <c r="C5" s="12" t="inlineStr">
        <is>
          <t>Projection uses the same tax, IRMAA, withdrawal, ACA, survivor, and estate machinery as the base plan.</t>
        </is>
      </c>
      <c r="D5" s="3" t="n"/>
      <c r="E5" s="3" t="n"/>
      <c r="F5" s="3" t="n"/>
      <c r="G5" s="3" t="n"/>
      <c r="H5" s="3" t="n"/>
      <c r="I5" s="3" t="n"/>
      <c r="J5" s="4" t="n"/>
    </row>
    <row r="6" ht="45" customHeight="1">
      <c r="A6" s="11" t="inlineStr">
        <is>
          <t>Current Configured Claim Ages</t>
        </is>
      </c>
      <c r="B6" s="12" t="inlineStr">
        <is>
          <t>Matthew 70 / Patricia 70</t>
        </is>
      </c>
      <c r="C6" s="12" t="inlineStr">
        <is>
          <t>Current row shown below for comparison.</t>
        </is>
      </c>
      <c r="D6" s="3" t="n"/>
      <c r="E6" s="3" t="n"/>
      <c r="F6" s="3" t="n"/>
      <c r="G6" s="3" t="n"/>
      <c r="H6" s="3" t="n"/>
      <c r="I6" s="3" t="n"/>
      <c r="J6" s="4" t="n"/>
    </row>
    <row r="7" ht="45" customHeight="1">
      <c r="A7" s="11" t="inlineStr">
        <is>
          <t>Best vs Current Terminal NW</t>
        </is>
      </c>
      <c r="B7" s="103" t="n">
        <v>3657828.581780335</v>
      </c>
      <c r="C7" s="12" t="inlineStr">
        <is>
          <t>Positive means the sweep’s selected pair improves terminal net worth versus current config.</t>
        </is>
      </c>
      <c r="D7" s="3" t="n"/>
      <c r="E7" s="3" t="n"/>
      <c r="F7" s="3" t="n"/>
      <c r="G7" s="3" t="n"/>
      <c r="H7" s="3" t="n"/>
      <c r="I7" s="3" t="n"/>
      <c r="J7" s="4" t="n"/>
    </row>
    <row r="8" ht="45" customHeight="1">
      <c r="A8" s="11" t="inlineStr">
        <is>
          <t>Best vs Current Lifetime Tax</t>
        </is>
      </c>
      <c r="B8" s="103" t="n">
        <v>464624.8461428807</v>
      </c>
      <c r="C8" s="12" t="inlineStr">
        <is>
          <t>Negative means lower lifetime tax versus current config.</t>
        </is>
      </c>
      <c r="D8" s="3" t="n"/>
      <c r="E8" s="3" t="n"/>
      <c r="F8" s="3" t="n"/>
      <c r="G8" s="3" t="n"/>
      <c r="H8" s="3" t="n"/>
      <c r="I8" s="3" t="n"/>
      <c r="J8" s="4" t="n"/>
    </row>
    <row r="9"/>
    <row r="10" ht="15" customHeight="1">
      <c r="A10" s="13" t="inlineStr">
        <is>
          <t>Top 10 claiming pairs — full projection ranking</t>
        </is>
      </c>
      <c r="B10" s="3" t="n"/>
      <c r="C10" s="3" t="n"/>
      <c r="D10" s="3" t="n"/>
      <c r="E10" s="3" t="n"/>
      <c r="F10" s="3" t="n"/>
      <c r="G10" s="3" t="n"/>
      <c r="H10" s="3" t="n"/>
      <c r="I10" s="3" t="n"/>
      <c r="J10" s="4" t="n"/>
    </row>
    <row r="11" ht="30" customHeight="1">
      <c r="A11" s="5" t="inlineStr">
        <is>
          <t>Rank</t>
        </is>
      </c>
      <c r="B11" s="5" t="inlineStr">
        <is>
          <t>H Claim</t>
        </is>
      </c>
      <c r="C11" s="5" t="inlineStr">
        <is>
          <t>W Claim</t>
        </is>
      </c>
      <c r="D11" s="5" t="inlineStr">
        <is>
          <t>Score</t>
        </is>
      </c>
      <c r="E11" s="5" t="inlineStr">
        <is>
          <t>Terminal NW</t>
        </is>
      </c>
      <c r="F11" s="5" t="inlineStr">
        <is>
          <t>Δ Terminal NW</t>
        </is>
      </c>
      <c r="G11" s="5" t="inlineStr">
        <is>
          <t>Lifetime SS</t>
        </is>
      </c>
      <c r="H11" s="5" t="inlineStr">
        <is>
          <t>Δ Lifetime SS</t>
        </is>
      </c>
      <c r="I11" s="5" t="inlineStr">
        <is>
          <t>Lifetime Tax</t>
        </is>
      </c>
      <c r="J11" s="5" t="inlineStr">
        <is>
          <t>IRMAA</t>
        </is>
      </c>
    </row>
    <row r="12" ht="30" customHeight="1">
      <c r="A12" s="75" t="n">
        <v>1</v>
      </c>
      <c r="B12" s="75" t="n">
        <v>62</v>
      </c>
      <c r="C12" s="75" t="n">
        <v>62</v>
      </c>
      <c r="D12" s="111" t="n">
        <v>12240795.73399832</v>
      </c>
      <c r="E12" s="111" t="n">
        <v>9805643.617333569</v>
      </c>
      <c r="F12" s="111" t="n">
        <v>3701795.517719239</v>
      </c>
      <c r="G12" s="111" t="n">
        <v>3861406.753164189</v>
      </c>
      <c r="H12" s="111" t="n">
        <v>1143284.257048528</v>
      </c>
      <c r="I12" s="111" t="n">
        <v>1364608.23649944</v>
      </c>
      <c r="J12" s="111" t="n">
        <v>61646.4</v>
      </c>
    </row>
    <row r="13" ht="15" customHeight="1">
      <c r="A13" s="12" t="n">
        <v>2</v>
      </c>
      <c r="B13" s="12" t="n">
        <v>62</v>
      </c>
      <c r="C13" s="12" t="n">
        <v>63</v>
      </c>
      <c r="D13" s="108" t="n">
        <v>12191016.57664803</v>
      </c>
      <c r="E13" s="108" t="n">
        <v>9756100.183525054</v>
      </c>
      <c r="F13" s="108" t="n">
        <v>3652252.083910724</v>
      </c>
      <c r="G13" s="108" t="n">
        <v>3828424.589535601</v>
      </c>
      <c r="H13" s="108" t="n">
        <v>1110302.09341994</v>
      </c>
      <c r="I13" s="108" t="n">
        <v>1335670.596412623</v>
      </c>
      <c r="J13" s="108" t="n">
        <v>57837.6</v>
      </c>
    </row>
    <row r="14" ht="15" customHeight="1">
      <c r="A14" s="12" t="n">
        <v>3</v>
      </c>
      <c r="B14" s="12" t="n">
        <v>63</v>
      </c>
      <c r="C14" s="12" t="n">
        <v>62</v>
      </c>
      <c r="D14" s="108" t="n">
        <v>12164638.22809571</v>
      </c>
      <c r="E14" s="108" t="n">
        <v>9734506.762856904</v>
      </c>
      <c r="F14" s="108" t="n">
        <v>3630658.663242575</v>
      </c>
      <c r="G14" s="108" t="n">
        <v>3818675.058887597</v>
      </c>
      <c r="H14" s="108" t="n">
        <v>1100552.562771935</v>
      </c>
      <c r="I14" s="108" t="n">
        <v>1330705.993648792</v>
      </c>
      <c r="J14" s="108" t="n">
        <v>57837.6</v>
      </c>
    </row>
    <row r="15" ht="15" customHeight="1">
      <c r="A15" s="12" t="n">
        <v>4</v>
      </c>
      <c r="B15" s="12" t="n">
        <v>62</v>
      </c>
      <c r="C15" s="12" t="n">
        <v>64</v>
      </c>
      <c r="D15" s="108" t="n">
        <v>12111220.99129044</v>
      </c>
      <c r="E15" s="108" t="n">
        <v>9678122.626351591</v>
      </c>
      <c r="F15" s="108" t="n">
        <v>3574274.526737262</v>
      </c>
      <c r="G15" s="108" t="n">
        <v>3796089.134997769</v>
      </c>
      <c r="H15" s="108" t="n">
        <v>1077966.638882108</v>
      </c>
      <c r="I15" s="108" t="n">
        <v>1308961.97005892</v>
      </c>
      <c r="J15" s="108" t="n">
        <v>54028.8</v>
      </c>
    </row>
    <row r="16" ht="15" customHeight="1">
      <c r="A16" s="12" t="n">
        <v>5</v>
      </c>
      <c r="B16" s="12" t="n">
        <v>64</v>
      </c>
      <c r="C16" s="12" t="n">
        <v>62</v>
      </c>
      <c r="D16" s="108" t="n">
        <v>12093877.42550392</v>
      </c>
      <c r="E16" s="108" t="n">
        <v>9667092.977361444</v>
      </c>
      <c r="F16" s="108" t="n">
        <v>3563244.877747115</v>
      </c>
      <c r="G16" s="108" t="n">
        <v>3776781.240969369</v>
      </c>
      <c r="H16" s="108" t="n">
        <v>1058658.744853708</v>
      </c>
      <c r="I16" s="108" t="n">
        <v>1298135.192826899</v>
      </c>
      <c r="J16" s="108" t="n">
        <v>51861.6</v>
      </c>
    </row>
    <row r="17" ht="15" customHeight="1">
      <c r="A17" s="12" t="n">
        <v>6</v>
      </c>
      <c r="B17" s="12" t="n">
        <v>63</v>
      </c>
      <c r="C17" s="12" t="n">
        <v>63</v>
      </c>
      <c r="D17" s="108" t="n">
        <v>12085043.13670376</v>
      </c>
      <c r="E17" s="108" t="n">
        <v>9656482.300408896</v>
      </c>
      <c r="F17" s="108" t="n">
        <v>3552634.200794566</v>
      </c>
      <c r="G17" s="108" t="n">
        <v>3785692.895259009</v>
      </c>
      <c r="H17" s="108" t="n">
        <v>1067570.399143348</v>
      </c>
      <c r="I17" s="108" t="n">
        <v>1303103.258964146</v>
      </c>
      <c r="J17" s="108" t="n">
        <v>54028.8</v>
      </c>
    </row>
    <row r="18" ht="15" customHeight="1">
      <c r="A18" s="12" t="n">
        <v>7</v>
      </c>
      <c r="B18" s="12" t="n">
        <v>62</v>
      </c>
      <c r="C18" s="12" t="n">
        <v>65</v>
      </c>
      <c r="D18" s="108" t="n">
        <v>12052507.61555127</v>
      </c>
      <c r="E18" s="108" t="n">
        <v>9624321.108558776</v>
      </c>
      <c r="F18" s="108" t="n">
        <v>3520473.008944446</v>
      </c>
      <c r="G18" s="108" t="n">
        <v>3764387.708980287</v>
      </c>
      <c r="H18" s="108" t="n">
        <v>1046265.212864626</v>
      </c>
      <c r="I18" s="108" t="n">
        <v>1285423.201987791</v>
      </c>
      <c r="J18" s="108" t="n">
        <v>50778</v>
      </c>
    </row>
    <row r="19" ht="15" customHeight="1">
      <c r="A19" s="12" t="n">
        <v>8</v>
      </c>
      <c r="B19" s="12" t="n">
        <v>63</v>
      </c>
      <c r="C19" s="12" t="n">
        <v>64</v>
      </c>
      <c r="D19" s="108" t="n">
        <v>12023634.08511176</v>
      </c>
      <c r="E19" s="108" t="n">
        <v>9600911.134315141</v>
      </c>
      <c r="F19" s="108" t="n">
        <v>3497063.034700811</v>
      </c>
      <c r="G19" s="108" t="n">
        <v>3753357.440721177</v>
      </c>
      <c r="H19" s="108" t="n">
        <v>1035234.944605516</v>
      </c>
      <c r="I19" s="108" t="n">
        <v>1279856.489924555</v>
      </c>
      <c r="J19" s="108" t="n">
        <v>50778</v>
      </c>
    </row>
    <row r="20" ht="15" customHeight="1">
      <c r="A20" s="12" t="n">
        <v>9</v>
      </c>
      <c r="B20" s="12" t="n">
        <v>64</v>
      </c>
      <c r="C20" s="12" t="n">
        <v>63</v>
      </c>
      <c r="D20" s="108" t="n">
        <v>12009012.89621</v>
      </c>
      <c r="E20" s="108" t="n">
        <v>9587905.209953187</v>
      </c>
      <c r="F20" s="108" t="n">
        <v>3484057.110338857</v>
      </c>
      <c r="G20" s="108" t="n">
        <v>3743799.077340781</v>
      </c>
      <c r="H20" s="108" t="n">
        <v>1025676.58122512</v>
      </c>
      <c r="I20" s="108" t="n">
        <v>1274080.591083965</v>
      </c>
      <c r="J20" s="108" t="n">
        <v>48610.8</v>
      </c>
    </row>
    <row r="21" ht="15" customHeight="1">
      <c r="A21" s="12" t="n">
        <v>10</v>
      </c>
      <c r="B21" s="12" t="n">
        <v>63</v>
      </c>
      <c r="C21" s="12" t="n">
        <v>65</v>
      </c>
      <c r="D21" s="108" t="n">
        <v>11936550.46313209</v>
      </c>
      <c r="E21" s="108" t="n">
        <v>9521784.292431083</v>
      </c>
      <c r="F21" s="108" t="n">
        <v>3417936.192816753</v>
      </c>
      <c r="G21" s="108" t="n">
        <v>3721656.014703695</v>
      </c>
      <c r="H21" s="108" t="n">
        <v>1003533.518588034</v>
      </c>
      <c r="I21" s="108" t="n">
        <v>1258279.044002689</v>
      </c>
      <c r="J21" s="108" t="n">
        <v>48610.8</v>
      </c>
    </row>
    <row r="22"/>
    <row r="23"/>
    <row r="24" ht="15" customHeight="1">
      <c r="A24" s="13" t="inlineStr">
        <is>
          <t>Complete 62–70 × 62–70 spouse-pair sweep</t>
        </is>
      </c>
      <c r="B24" s="3" t="n"/>
      <c r="C24" s="3" t="n"/>
      <c r="D24" s="3" t="n"/>
      <c r="E24" s="3" t="n"/>
      <c r="F24" s="3" t="n"/>
      <c r="G24" s="3" t="n"/>
      <c r="H24" s="3" t="n"/>
      <c r="I24" s="3" t="n"/>
      <c r="J24" s="4" t="n"/>
    </row>
    <row r="25" ht="30" customHeight="1">
      <c r="A25" s="5" t="inlineStr">
        <is>
          <t>H Claim</t>
        </is>
      </c>
      <c r="B25" s="5" t="inlineStr">
        <is>
          <t>W Claim</t>
        </is>
      </c>
      <c r="C25" s="5" t="inlineStr">
        <is>
          <t>Score</t>
        </is>
      </c>
      <c r="D25" s="5" t="inlineStr">
        <is>
          <t>Terminal NW</t>
        </is>
      </c>
      <c r="E25" s="5" t="inlineStr">
        <is>
          <t>Δ Terminal NW</t>
        </is>
      </c>
      <c r="F25" s="5" t="inlineStr">
        <is>
          <t>Lifetime SS</t>
        </is>
      </c>
      <c r="G25" s="5" t="inlineStr">
        <is>
          <t>Δ Lifetime SS</t>
        </is>
      </c>
      <c r="H25" s="5" t="inlineStr">
        <is>
          <t>Lifetime Tax</t>
        </is>
      </c>
      <c r="I25" s="5" t="inlineStr">
        <is>
          <t>IRMAA</t>
        </is>
      </c>
      <c r="J25" s="5" t="inlineStr">
        <is>
          <t>Survivor Years</t>
        </is>
      </c>
    </row>
    <row r="26" ht="30" customHeight="1">
      <c r="A26" s="75" t="n">
        <v>62</v>
      </c>
      <c r="B26" s="75" t="n">
        <v>62</v>
      </c>
      <c r="C26" s="111" t="n">
        <v>12240795.73399832</v>
      </c>
      <c r="D26" s="111" t="n">
        <v>9805643.617333569</v>
      </c>
      <c r="E26" s="111" t="n">
        <v>3701795.517719239</v>
      </c>
      <c r="F26" s="111" t="n">
        <v>3861406.753164189</v>
      </c>
      <c r="G26" s="111" t="n">
        <v>1143284.257048528</v>
      </c>
      <c r="H26" s="111" t="n">
        <v>1364608.23649944</v>
      </c>
      <c r="I26" s="111" t="n">
        <v>61646.4</v>
      </c>
      <c r="J26" s="75" t="n">
        <v>2</v>
      </c>
    </row>
    <row r="27" ht="30" customHeight="1">
      <c r="A27" s="12" t="n">
        <v>62</v>
      </c>
      <c r="B27" s="12" t="n">
        <v>63</v>
      </c>
      <c r="C27" s="103" t="n">
        <v>12191016.57664803</v>
      </c>
      <c r="D27" s="108" t="n">
        <v>9756100.183525054</v>
      </c>
      <c r="E27" s="108" t="n">
        <v>3652252.083910724</v>
      </c>
      <c r="F27" s="108" t="n">
        <v>3828424.589535601</v>
      </c>
      <c r="G27" s="108" t="n">
        <v>1110302.09341994</v>
      </c>
      <c r="H27" s="108" t="n">
        <v>1335670.596412623</v>
      </c>
      <c r="I27" s="108" t="n">
        <v>57837.6</v>
      </c>
      <c r="J27" s="33" t="n">
        <v>2</v>
      </c>
    </row>
    <row r="28" ht="30" customHeight="1">
      <c r="A28" s="12" t="n">
        <v>62</v>
      </c>
      <c r="B28" s="12" t="n">
        <v>64</v>
      </c>
      <c r="C28" s="103" t="n">
        <v>12111220.99129044</v>
      </c>
      <c r="D28" s="108" t="n">
        <v>9678122.626351591</v>
      </c>
      <c r="E28" s="108" t="n">
        <v>3574274.526737262</v>
      </c>
      <c r="F28" s="108" t="n">
        <v>3796089.134997769</v>
      </c>
      <c r="G28" s="108" t="n">
        <v>1077966.638882108</v>
      </c>
      <c r="H28" s="108" t="n">
        <v>1308961.97005892</v>
      </c>
      <c r="I28" s="108" t="n">
        <v>54028.8</v>
      </c>
      <c r="J28" s="33" t="n">
        <v>2</v>
      </c>
    </row>
    <row r="29" ht="30" customHeight="1">
      <c r="A29" s="12" t="n">
        <v>62</v>
      </c>
      <c r="B29" s="12" t="n">
        <v>65</v>
      </c>
      <c r="C29" s="103" t="n">
        <v>12052507.61555127</v>
      </c>
      <c r="D29" s="108" t="n">
        <v>9624321.108558776</v>
      </c>
      <c r="E29" s="108" t="n">
        <v>3520473.008944446</v>
      </c>
      <c r="F29" s="108" t="n">
        <v>3764387.708980287</v>
      </c>
      <c r="G29" s="108" t="n">
        <v>1046265.212864626</v>
      </c>
      <c r="H29" s="108" t="n">
        <v>1285423.201987791</v>
      </c>
      <c r="I29" s="108" t="n">
        <v>50778</v>
      </c>
      <c r="J29" s="33" t="n">
        <v>2</v>
      </c>
    </row>
    <row r="30" ht="30" customHeight="1">
      <c r="A30" s="12" t="n">
        <v>62</v>
      </c>
      <c r="B30" s="12" t="n">
        <v>66</v>
      </c>
      <c r="C30" s="103" t="n">
        <v>11793147.26706136</v>
      </c>
      <c r="D30" s="108" t="n">
        <v>9368574.906978939</v>
      </c>
      <c r="E30" s="108" t="n">
        <v>3264726.807364609</v>
      </c>
      <c r="F30" s="108" t="n">
        <v>3684201.997198442</v>
      </c>
      <c r="G30" s="108" t="n">
        <v>966079.5010827812</v>
      </c>
      <c r="H30" s="108" t="n">
        <v>1212102.437116023</v>
      </c>
      <c r="I30" s="108" t="n">
        <v>47527.2</v>
      </c>
      <c r="J30" s="33" t="n">
        <v>3</v>
      </c>
    </row>
    <row r="31" ht="30" customHeight="1">
      <c r="A31" s="12" t="n">
        <v>62</v>
      </c>
      <c r="B31" s="12" t="n">
        <v>67</v>
      </c>
      <c r="C31" s="103" t="n">
        <v>11518775.38034843</v>
      </c>
      <c r="D31" s="108" t="n">
        <v>9106862.158933852</v>
      </c>
      <c r="E31" s="108" t="n">
        <v>3003014.059319522</v>
      </c>
      <c r="F31" s="108" t="n">
        <v>3605588.554275065</v>
      </c>
      <c r="G31" s="108" t="n">
        <v>887466.058159404</v>
      </c>
      <c r="H31" s="108" t="n">
        <v>1146148.132860485</v>
      </c>
      <c r="I31" s="108" t="n">
        <v>47527.2</v>
      </c>
      <c r="J31" s="33" t="n">
        <v>4</v>
      </c>
    </row>
    <row r="32" ht="30" customHeight="1">
      <c r="A32" s="12" t="n">
        <v>62</v>
      </c>
      <c r="B32" s="12" t="n">
        <v>68</v>
      </c>
      <c r="C32" s="103" t="n">
        <v>11215512.63205027</v>
      </c>
      <c r="D32" s="108" t="n">
        <v>8827504.875100201</v>
      </c>
      <c r="E32" s="108" t="n">
        <v>2723656.775485871</v>
      </c>
      <c r="F32" s="108" t="n">
        <v>3528516.551409009</v>
      </c>
      <c r="G32" s="108" t="n">
        <v>810394.0552933477</v>
      </c>
      <c r="H32" s="108" t="n">
        <v>1096264.794458941</v>
      </c>
      <c r="I32" s="108" t="n">
        <v>44244</v>
      </c>
      <c r="J32" s="33" t="n">
        <v>5</v>
      </c>
    </row>
    <row r="33" ht="30" customHeight="1">
      <c r="A33" s="12" t="n">
        <v>62</v>
      </c>
      <c r="B33" s="12" t="n">
        <v>69</v>
      </c>
      <c r="C33" s="103" t="n">
        <v>10886415.49141523</v>
      </c>
      <c r="D33" s="108" t="n">
        <v>8537127.504721567</v>
      </c>
      <c r="E33" s="108" t="n">
        <v>2433279.405107237</v>
      </c>
      <c r="F33" s="108" t="n">
        <v>3452955.764285424</v>
      </c>
      <c r="G33" s="108" t="n">
        <v>734833.268169763</v>
      </c>
      <c r="H33" s="108" t="n">
        <v>1059423.777591766</v>
      </c>
      <c r="I33" s="108" t="n">
        <v>44244</v>
      </c>
      <c r="J33" s="33" t="n">
        <v>6</v>
      </c>
    </row>
    <row r="34" ht="30" customHeight="1">
      <c r="A34" s="12" t="n">
        <v>62</v>
      </c>
      <c r="B34" s="12" t="n">
        <v>70</v>
      </c>
      <c r="C34" s="103" t="n">
        <v>10591154.41042669</v>
      </c>
      <c r="D34" s="108" t="n">
        <v>8289756.599193415</v>
      </c>
      <c r="E34" s="108" t="n">
        <v>2185908.499579085</v>
      </c>
      <c r="F34" s="108" t="n">
        <v>3378876.561223086</v>
      </c>
      <c r="G34" s="108" t="n">
        <v>660754.0651074252</v>
      </c>
      <c r="H34" s="108" t="n">
        <v>1033234.749989806</v>
      </c>
      <c r="I34" s="108" t="n">
        <v>44244</v>
      </c>
      <c r="J34" s="33" t="n">
        <v>7</v>
      </c>
    </row>
    <row r="35" ht="30" customHeight="1">
      <c r="A35" s="12" t="n">
        <v>63</v>
      </c>
      <c r="B35" s="12" t="n">
        <v>62</v>
      </c>
      <c r="C35" s="103" t="n">
        <v>12164638.22809571</v>
      </c>
      <c r="D35" s="108" t="n">
        <v>9734506.762856904</v>
      </c>
      <c r="E35" s="108" t="n">
        <v>3630658.663242575</v>
      </c>
      <c r="F35" s="108" t="n">
        <v>3818675.058887597</v>
      </c>
      <c r="G35" s="108" t="n">
        <v>1100552.562771935</v>
      </c>
      <c r="H35" s="108" t="n">
        <v>1330705.993648792</v>
      </c>
      <c r="I35" s="108" t="n">
        <v>57837.6</v>
      </c>
      <c r="J35" s="33" t="n">
        <v>2</v>
      </c>
    </row>
    <row r="36" ht="30" customHeight="1">
      <c r="A36" s="12" t="n">
        <v>63</v>
      </c>
      <c r="B36" s="12" t="n">
        <v>63</v>
      </c>
      <c r="C36" s="103" t="n">
        <v>12085043.13670376</v>
      </c>
      <c r="D36" s="108" t="n">
        <v>9656482.300408896</v>
      </c>
      <c r="E36" s="108" t="n">
        <v>3552634.200794566</v>
      </c>
      <c r="F36" s="108" t="n">
        <v>3785692.895259009</v>
      </c>
      <c r="G36" s="108" t="n">
        <v>1067570.399143348</v>
      </c>
      <c r="H36" s="108" t="n">
        <v>1303103.258964146</v>
      </c>
      <c r="I36" s="108" t="n">
        <v>54028.8</v>
      </c>
      <c r="J36" s="33" t="n">
        <v>2</v>
      </c>
    </row>
    <row r="37" ht="30" customHeight="1">
      <c r="A37" s="12" t="n">
        <v>63</v>
      </c>
      <c r="B37" s="12" t="n">
        <v>64</v>
      </c>
      <c r="C37" s="103" t="n">
        <v>12023634.08511176</v>
      </c>
      <c r="D37" s="108" t="n">
        <v>9600911.134315141</v>
      </c>
      <c r="E37" s="108" t="n">
        <v>3497063.034700811</v>
      </c>
      <c r="F37" s="108" t="n">
        <v>3753357.440721177</v>
      </c>
      <c r="G37" s="108" t="n">
        <v>1035234.944605516</v>
      </c>
      <c r="H37" s="108" t="n">
        <v>1279856.489924555</v>
      </c>
      <c r="I37" s="108" t="n">
        <v>50778</v>
      </c>
      <c r="J37" s="33" t="n">
        <v>2</v>
      </c>
    </row>
    <row r="38" ht="30" customHeight="1">
      <c r="A38" s="12" t="n">
        <v>63</v>
      </c>
      <c r="B38" s="12" t="n">
        <v>65</v>
      </c>
      <c r="C38" s="103" t="n">
        <v>11936550.46313209</v>
      </c>
      <c r="D38" s="108" t="n">
        <v>9521784.292431083</v>
      </c>
      <c r="E38" s="108" t="n">
        <v>3417936.192816753</v>
      </c>
      <c r="F38" s="108" t="n">
        <v>3721656.014703695</v>
      </c>
      <c r="G38" s="108" t="n">
        <v>1003533.518588034</v>
      </c>
      <c r="H38" s="108" t="n">
        <v>1258279.044002689</v>
      </c>
      <c r="I38" s="108" t="n">
        <v>48610.8</v>
      </c>
      <c r="J38" s="33" t="n">
        <v>2</v>
      </c>
    </row>
    <row r="39" ht="30" customHeight="1">
      <c r="A39" s="12" t="n">
        <v>63</v>
      </c>
      <c r="B39" s="12" t="n">
        <v>66</v>
      </c>
      <c r="C39" s="103" t="n">
        <v>11686530.22924424</v>
      </c>
      <c r="D39" s="108" t="n">
        <v>9283833.83567556</v>
      </c>
      <c r="E39" s="108" t="n">
        <v>3179985.73606123</v>
      </c>
      <c r="F39" s="108" t="n">
        <v>3641470.30292185</v>
      </c>
      <c r="G39" s="108" t="n">
        <v>923347.806806189</v>
      </c>
      <c r="H39" s="108" t="n">
        <v>1191246.709353176</v>
      </c>
      <c r="I39" s="108" t="n">
        <v>47527.2</v>
      </c>
      <c r="J39" s="33" t="n">
        <v>3</v>
      </c>
    </row>
    <row r="40" ht="30" customHeight="1">
      <c r="A40" s="12" t="n">
        <v>63</v>
      </c>
      <c r="B40" s="12" t="n">
        <v>67</v>
      </c>
      <c r="C40" s="103" t="n">
        <v>11383005.35034353</v>
      </c>
      <c r="D40" s="108" t="n">
        <v>8996753.94028084</v>
      </c>
      <c r="E40" s="108" t="n">
        <v>2892905.84066651</v>
      </c>
      <c r="F40" s="108" t="n">
        <v>3562856.859998473</v>
      </c>
      <c r="G40" s="108" t="n">
        <v>844734.3638828117</v>
      </c>
      <c r="H40" s="108" t="n">
        <v>1129078.249935783</v>
      </c>
      <c r="I40" s="108" t="n">
        <v>47527.2</v>
      </c>
      <c r="J40" s="33" t="n">
        <v>4</v>
      </c>
    </row>
    <row r="41" ht="30" customHeight="1">
      <c r="A41" s="12" t="n">
        <v>63</v>
      </c>
      <c r="B41" s="12" t="n">
        <v>68</v>
      </c>
      <c r="C41" s="103" t="n">
        <v>11074090.03968476</v>
      </c>
      <c r="D41" s="108" t="n">
        <v>8715407.829832032</v>
      </c>
      <c r="E41" s="108" t="n">
        <v>2611559.730217703</v>
      </c>
      <c r="F41" s="108" t="n">
        <v>3485784.857132417</v>
      </c>
      <c r="G41" s="108" t="n">
        <v>767662.3610167555</v>
      </c>
      <c r="H41" s="108" t="n">
        <v>1082858.647279693</v>
      </c>
      <c r="I41" s="108" t="n">
        <v>44244</v>
      </c>
      <c r="J41" s="33" t="n">
        <v>5</v>
      </c>
    </row>
    <row r="42" ht="30" customHeight="1">
      <c r="A42" s="12" t="n">
        <v>63</v>
      </c>
      <c r="B42" s="12" t="n">
        <v>69</v>
      </c>
      <c r="C42" s="103" t="n">
        <v>10756623.37006218</v>
      </c>
      <c r="D42" s="108" t="n">
        <v>8439163.172973722</v>
      </c>
      <c r="E42" s="108" t="n">
        <v>2335315.073359393</v>
      </c>
      <c r="F42" s="108" t="n">
        <v>3410224.070008832</v>
      </c>
      <c r="G42" s="108" t="n">
        <v>692101.5738931708</v>
      </c>
      <c r="H42" s="108" t="n">
        <v>1048519.872920375</v>
      </c>
      <c r="I42" s="108" t="n">
        <v>44244</v>
      </c>
      <c r="J42" s="33" t="n">
        <v>6</v>
      </c>
    </row>
    <row r="43" ht="30" customHeight="1">
      <c r="A43" s="12" t="n">
        <v>63</v>
      </c>
      <c r="B43" s="12" t="n">
        <v>70</v>
      </c>
      <c r="C43" s="103" t="n">
        <v>10459463.36925009</v>
      </c>
      <c r="D43" s="108" t="n">
        <v>8191771.494476126</v>
      </c>
      <c r="E43" s="108" t="n">
        <v>2087923.394861796</v>
      </c>
      <c r="F43" s="108" t="n">
        <v>3336144.866946495</v>
      </c>
      <c r="G43" s="108" t="n">
        <v>618022.3708308334</v>
      </c>
      <c r="H43" s="108" t="n">
        <v>1024208.99217253</v>
      </c>
      <c r="I43" s="108" t="n">
        <v>44244</v>
      </c>
      <c r="J43" s="33" t="n">
        <v>7</v>
      </c>
    </row>
    <row r="44" ht="30" customHeight="1">
      <c r="A44" s="12" t="n">
        <v>64</v>
      </c>
      <c r="B44" s="12" t="n">
        <v>62</v>
      </c>
      <c r="C44" s="103" t="n">
        <v>12093877.42550392</v>
      </c>
      <c r="D44" s="108" t="n">
        <v>9667092.977361444</v>
      </c>
      <c r="E44" s="108" t="n">
        <v>3563244.877747115</v>
      </c>
      <c r="F44" s="108" t="n">
        <v>3776781.240969369</v>
      </c>
      <c r="G44" s="108" t="n">
        <v>1058658.744853708</v>
      </c>
      <c r="H44" s="108" t="n">
        <v>1298135.192826899</v>
      </c>
      <c r="I44" s="108" t="n">
        <v>51861.6</v>
      </c>
      <c r="J44" s="33" t="n">
        <v>2</v>
      </c>
    </row>
    <row r="45" ht="30" customHeight="1">
      <c r="A45" s="12" t="n">
        <v>64</v>
      </c>
      <c r="B45" s="12" t="n">
        <v>63</v>
      </c>
      <c r="C45" s="103" t="n">
        <v>12009012.89621</v>
      </c>
      <c r="D45" s="108" t="n">
        <v>9587905.209953187</v>
      </c>
      <c r="E45" s="108" t="n">
        <v>3484057.110338857</v>
      </c>
      <c r="F45" s="108" t="n">
        <v>3743799.077340781</v>
      </c>
      <c r="G45" s="108" t="n">
        <v>1025676.58122512</v>
      </c>
      <c r="H45" s="108" t="n">
        <v>1274080.591083965</v>
      </c>
      <c r="I45" s="108" t="n">
        <v>48610.8</v>
      </c>
      <c r="J45" s="33" t="n">
        <v>2</v>
      </c>
    </row>
    <row r="46" ht="30" customHeight="1">
      <c r="A46" s="12" t="n">
        <v>64</v>
      </c>
      <c r="B46" s="12" t="n">
        <v>64</v>
      </c>
      <c r="C46" s="103" t="n">
        <v>11936072.91342768</v>
      </c>
      <c r="D46" s="108" t="n">
        <v>9526867.361956937</v>
      </c>
      <c r="E46" s="108" t="n">
        <v>3423019.262342608</v>
      </c>
      <c r="F46" s="108" t="n">
        <v>3711463.62280295</v>
      </c>
      <c r="G46" s="108" t="n">
        <v>993341.1266872883</v>
      </c>
      <c r="H46" s="108" t="n">
        <v>1253647.271332206</v>
      </c>
      <c r="I46" s="108" t="n">
        <v>48610.8</v>
      </c>
      <c r="J46" s="33" t="n">
        <v>2</v>
      </c>
    </row>
    <row r="47" ht="30" customHeight="1">
      <c r="A47" s="12" t="n">
        <v>64</v>
      </c>
      <c r="B47" s="12" t="n">
        <v>65</v>
      </c>
      <c r="C47" s="103" t="n">
        <v>11839658.85907213</v>
      </c>
      <c r="D47" s="108" t="n">
        <v>9441839.95857843</v>
      </c>
      <c r="E47" s="108" t="n">
        <v>3337991.8589641</v>
      </c>
      <c r="F47" s="108" t="n">
        <v>3679762.196785468</v>
      </c>
      <c r="G47" s="108" t="n">
        <v>961639.7006698065</v>
      </c>
      <c r="H47" s="108" t="n">
        <v>1234416.096291771</v>
      </c>
      <c r="I47" s="108" t="n">
        <v>47527.2</v>
      </c>
      <c r="J47" s="33" t="n">
        <v>2</v>
      </c>
    </row>
    <row r="48" ht="30" customHeight="1">
      <c r="A48" s="12" t="n">
        <v>64</v>
      </c>
      <c r="B48" s="12" t="n">
        <v>66</v>
      </c>
      <c r="C48" s="103" t="n">
        <v>11585399.55502205</v>
      </c>
      <c r="D48" s="108" t="n">
        <v>9204758.610881105</v>
      </c>
      <c r="E48" s="108" t="n">
        <v>3100910.511266775</v>
      </c>
      <c r="F48" s="108" t="n">
        <v>3599576.485003623</v>
      </c>
      <c r="G48" s="108" t="n">
        <v>881453.9888879615</v>
      </c>
      <c r="H48" s="108" t="n">
        <v>1171408.34086268</v>
      </c>
      <c r="I48" s="108" t="n">
        <v>47527.2</v>
      </c>
      <c r="J48" s="33" t="n">
        <v>3</v>
      </c>
    </row>
    <row r="49" ht="30" customHeight="1">
      <c r="A49" s="12" t="n">
        <v>64</v>
      </c>
      <c r="B49" s="12" t="n">
        <v>67</v>
      </c>
      <c r="C49" s="103" t="n">
        <v>11277502.72798863</v>
      </c>
      <c r="D49" s="108" t="n">
        <v>8917986.318334967</v>
      </c>
      <c r="E49" s="108" t="n">
        <v>2814138.218720637</v>
      </c>
      <c r="F49" s="108" t="n">
        <v>3520963.042080245</v>
      </c>
      <c r="G49" s="108" t="n">
        <v>802840.5459645842</v>
      </c>
      <c r="H49" s="108" t="n">
        <v>1113919.432426587</v>
      </c>
      <c r="I49" s="108" t="n">
        <v>47527.2</v>
      </c>
      <c r="J49" s="33" t="n">
        <v>4</v>
      </c>
    </row>
    <row r="50" ht="30" customHeight="1">
      <c r="A50" s="12" t="n">
        <v>64</v>
      </c>
      <c r="B50" s="12" t="n">
        <v>68</v>
      </c>
      <c r="C50" s="103" t="n">
        <v>10940884.92466516</v>
      </c>
      <c r="D50" s="108" t="n">
        <v>8611612.785003897</v>
      </c>
      <c r="E50" s="108" t="n">
        <v>2507764.685389567</v>
      </c>
      <c r="F50" s="108" t="n">
        <v>3443891.039214189</v>
      </c>
      <c r="G50" s="108" t="n">
        <v>725768.5430985279</v>
      </c>
      <c r="H50" s="108" t="n">
        <v>1070374.899552931</v>
      </c>
      <c r="I50" s="108" t="n">
        <v>44244</v>
      </c>
      <c r="J50" s="33" t="n">
        <v>5</v>
      </c>
    </row>
    <row r="51" ht="30" customHeight="1">
      <c r="A51" s="12" t="n">
        <v>64</v>
      </c>
      <c r="B51" s="12" t="n">
        <v>69</v>
      </c>
      <c r="C51" s="103" t="n">
        <v>10623373.72524957</v>
      </c>
      <c r="D51" s="108" t="n">
        <v>8338519.992952456</v>
      </c>
      <c r="E51" s="108" t="n">
        <v>2234671.893338126</v>
      </c>
      <c r="F51" s="108" t="n">
        <v>3368330.252090605</v>
      </c>
      <c r="G51" s="108" t="n">
        <v>650207.7559749437</v>
      </c>
      <c r="H51" s="108" t="n">
        <v>1039232.519793493</v>
      </c>
      <c r="I51" s="108" t="n">
        <v>44244</v>
      </c>
      <c r="J51" s="33" t="n">
        <v>6</v>
      </c>
    </row>
    <row r="52" ht="30" customHeight="1">
      <c r="A52" s="12" t="n">
        <v>64</v>
      </c>
      <c r="B52" s="12" t="n">
        <v>70</v>
      </c>
      <c r="C52" s="103" t="n">
        <v>10329467.93162511</v>
      </c>
      <c r="D52" s="108" t="n">
        <v>8095266.935699678</v>
      </c>
      <c r="E52" s="108" t="n">
        <v>1991418.836085348</v>
      </c>
      <c r="F52" s="108" t="n">
        <v>3294251.049028267</v>
      </c>
      <c r="G52" s="108" t="n">
        <v>576128.5529126055</v>
      </c>
      <c r="H52" s="108" t="n">
        <v>1015806.053102834</v>
      </c>
      <c r="I52" s="108" t="n">
        <v>44244</v>
      </c>
      <c r="J52" s="33" t="n">
        <v>7</v>
      </c>
    </row>
    <row r="53" ht="30" customHeight="1">
      <c r="A53" s="12" t="n">
        <v>65</v>
      </c>
      <c r="B53" s="12" t="n">
        <v>62</v>
      </c>
      <c r="C53" s="103" t="n">
        <v>11764991.44036573</v>
      </c>
      <c r="D53" s="108" t="n">
        <v>9342995.443878699</v>
      </c>
      <c r="E53" s="108" t="n">
        <v>3239147.344264369</v>
      </c>
      <c r="F53" s="108" t="n">
        <v>3675944.16457895</v>
      </c>
      <c r="G53" s="108" t="n">
        <v>957821.6684632888</v>
      </c>
      <c r="H53" s="108" t="n">
        <v>1206420.968091916</v>
      </c>
      <c r="I53" s="108" t="n">
        <v>47527.2</v>
      </c>
      <c r="J53" s="33" t="n">
        <v>3</v>
      </c>
    </row>
    <row r="54" ht="30" customHeight="1">
      <c r="A54" s="12" t="n">
        <v>65</v>
      </c>
      <c r="B54" s="12" t="n">
        <v>63</v>
      </c>
      <c r="C54" s="103" t="n">
        <v>11685257.37756524</v>
      </c>
      <c r="D54" s="108" t="n">
        <v>9279127.925666682</v>
      </c>
      <c r="E54" s="108" t="n">
        <v>3175279.826052353</v>
      </c>
      <c r="F54" s="108" t="n">
        <v>3642962.000950362</v>
      </c>
      <c r="G54" s="108" t="n">
        <v>924839.5048347008</v>
      </c>
      <c r="H54" s="108" t="n">
        <v>1189305.349051808</v>
      </c>
      <c r="I54" s="108" t="n">
        <v>47527.2</v>
      </c>
      <c r="J54" s="33" t="n">
        <v>3</v>
      </c>
    </row>
    <row r="55" ht="30" customHeight="1">
      <c r="A55" s="12" t="n">
        <v>65</v>
      </c>
      <c r="B55" s="12" t="n">
        <v>64</v>
      </c>
      <c r="C55" s="103" t="n">
        <v>11580438.5247935</v>
      </c>
      <c r="D55" s="108" t="n">
        <v>9190539.864870396</v>
      </c>
      <c r="E55" s="108" t="n">
        <v>3086691.765256066</v>
      </c>
      <c r="F55" s="108" t="n">
        <v>3610626.54641253</v>
      </c>
      <c r="G55" s="108" t="n">
        <v>892504.0502968691</v>
      </c>
      <c r="H55" s="108" t="n">
        <v>1173200.686489427</v>
      </c>
      <c r="I55" s="108" t="n">
        <v>47527.2</v>
      </c>
      <c r="J55" s="33" t="n">
        <v>3</v>
      </c>
    </row>
    <row r="56" ht="30" customHeight="1">
      <c r="A56" s="12" t="n">
        <v>65</v>
      </c>
      <c r="B56" s="12" t="n">
        <v>65</v>
      </c>
      <c r="C56" s="103" t="n">
        <v>11504612.27994132</v>
      </c>
      <c r="D56" s="108" t="n">
        <v>9131822.045783611</v>
      </c>
      <c r="E56" s="108" t="n">
        <v>3027973.946169281</v>
      </c>
      <c r="F56" s="108" t="n">
        <v>3578925.120395049</v>
      </c>
      <c r="G56" s="108" t="n">
        <v>860802.6242793873</v>
      </c>
      <c r="H56" s="108" t="n">
        <v>1158607.686237338</v>
      </c>
      <c r="I56" s="108" t="n">
        <v>47527.2</v>
      </c>
      <c r="J56" s="33" t="n">
        <v>3</v>
      </c>
    </row>
    <row r="57" ht="30" customHeight="1">
      <c r="A57" s="12" t="n">
        <v>65</v>
      </c>
      <c r="B57" s="12" t="n">
        <v>66</v>
      </c>
      <c r="C57" s="103" t="n">
        <v>11192799.60634743</v>
      </c>
      <c r="D57" s="108" t="n">
        <v>8849139.968362767</v>
      </c>
      <c r="E57" s="108" t="n">
        <v>2745291.868748438</v>
      </c>
      <c r="F57" s="108" t="n">
        <v>3498739.408613204</v>
      </c>
      <c r="G57" s="108" t="n">
        <v>780616.9124975423</v>
      </c>
      <c r="H57" s="108" t="n">
        <v>1107552.570628543</v>
      </c>
      <c r="I57" s="108" t="n">
        <v>47527.2</v>
      </c>
      <c r="J57" s="33" t="n">
        <v>2</v>
      </c>
    </row>
    <row r="58" ht="30" customHeight="1">
      <c r="A58" s="12" t="n">
        <v>65</v>
      </c>
      <c r="B58" s="12" t="n">
        <v>67</v>
      </c>
      <c r="C58" s="103" t="n">
        <v>10823270.06951891</v>
      </c>
      <c r="D58" s="108" t="n">
        <v>8512564.998395089</v>
      </c>
      <c r="E58" s="108" t="n">
        <v>2408716.898780759</v>
      </c>
      <c r="F58" s="108" t="n">
        <v>3420125.965689826</v>
      </c>
      <c r="G58" s="108" t="n">
        <v>702003.4695741651</v>
      </c>
      <c r="H58" s="108" t="n">
        <v>1061893.694566005</v>
      </c>
      <c r="I58" s="108" t="n">
        <v>47527.2</v>
      </c>
      <c r="J58" s="33" t="n">
        <v>3</v>
      </c>
    </row>
    <row r="59" ht="30" customHeight="1">
      <c r="A59" s="12" t="n">
        <v>65</v>
      </c>
      <c r="B59" s="12" t="n">
        <v>68</v>
      </c>
      <c r="C59" s="103" t="n">
        <v>10510444.12036843</v>
      </c>
      <c r="D59" s="108" t="n">
        <v>8239226.34924501</v>
      </c>
      <c r="E59" s="108" t="n">
        <v>2135378.24963068</v>
      </c>
      <c r="F59" s="108" t="n">
        <v>3343053.96282377</v>
      </c>
      <c r="G59" s="108" t="n">
        <v>624931.4667081088</v>
      </c>
      <c r="H59" s="108" t="n">
        <v>1027592.191700348</v>
      </c>
      <c r="I59" s="108" t="n">
        <v>44244</v>
      </c>
      <c r="J59" s="33" t="n">
        <v>4</v>
      </c>
    </row>
    <row r="60" ht="30" customHeight="1">
      <c r="A60" s="12" t="n">
        <v>65</v>
      </c>
      <c r="B60" s="12" t="n">
        <v>69</v>
      </c>
      <c r="C60" s="103" t="n">
        <v>10188758.03049081</v>
      </c>
      <c r="D60" s="108" t="n">
        <v>7968935.48127381</v>
      </c>
      <c r="E60" s="108" t="n">
        <v>1865087.381659481</v>
      </c>
      <c r="F60" s="108" t="n">
        <v>3267493.175700185</v>
      </c>
      <c r="G60" s="108" t="n">
        <v>549370.6795845241</v>
      </c>
      <c r="H60" s="108" t="n">
        <v>1003426.626483184</v>
      </c>
      <c r="I60" s="108" t="n">
        <v>44244</v>
      </c>
      <c r="J60" s="33" t="n">
        <v>5</v>
      </c>
    </row>
    <row r="61" ht="30" customHeight="1">
      <c r="A61" s="12" t="n">
        <v>65</v>
      </c>
      <c r="B61" s="12" t="n">
        <v>70</v>
      </c>
      <c r="C61" s="103" t="n">
        <v>9891126.998920849</v>
      </c>
      <c r="D61" s="108" t="n">
        <v>7727011.425897948</v>
      </c>
      <c r="E61" s="108" t="n">
        <v>1623163.326283619</v>
      </c>
      <c r="F61" s="108" t="n">
        <v>3193413.972637848</v>
      </c>
      <c r="G61" s="108" t="n">
        <v>475291.4765221863</v>
      </c>
      <c r="H61" s="108" t="n">
        <v>985054.3996149461</v>
      </c>
      <c r="I61" s="108" t="n">
        <v>44244</v>
      </c>
      <c r="J61" s="33" t="n">
        <v>6</v>
      </c>
    </row>
    <row r="62" ht="30" customHeight="1">
      <c r="A62" s="12" t="n">
        <v>66</v>
      </c>
      <c r="B62" s="12" t="n">
        <v>62</v>
      </c>
      <c r="C62" s="103" t="n">
        <v>11405439.79845041</v>
      </c>
      <c r="D62" s="108" t="n">
        <v>9003573.641583957</v>
      </c>
      <c r="E62" s="108" t="n">
        <v>2899725.541969627</v>
      </c>
      <c r="F62" s="108" t="n">
        <v>3577084.285764813</v>
      </c>
      <c r="G62" s="108" t="n">
        <v>858961.7896491522</v>
      </c>
      <c r="H62" s="108" t="n">
        <v>1127690.928898361</v>
      </c>
      <c r="I62" s="108" t="n">
        <v>47527.2</v>
      </c>
      <c r="J62" s="33" t="n">
        <v>4</v>
      </c>
    </row>
    <row r="63" ht="30" customHeight="1">
      <c r="A63" s="12" t="n">
        <v>66</v>
      </c>
      <c r="B63" s="12" t="n">
        <v>63</v>
      </c>
      <c r="C63" s="103" t="n">
        <v>11324615.51457103</v>
      </c>
      <c r="D63" s="108" t="n">
        <v>8943103.594295137</v>
      </c>
      <c r="E63" s="108" t="n">
        <v>2839255.494680807</v>
      </c>
      <c r="F63" s="108" t="n">
        <v>3544102.122136225</v>
      </c>
      <c r="G63" s="108" t="n">
        <v>825979.6260205642</v>
      </c>
      <c r="H63" s="108" t="n">
        <v>1115063.001860334</v>
      </c>
      <c r="I63" s="108" t="n">
        <v>47527.2</v>
      </c>
      <c r="J63" s="33" t="n">
        <v>4</v>
      </c>
    </row>
    <row r="64" ht="30" customHeight="1">
      <c r="A64" s="12" t="n">
        <v>66</v>
      </c>
      <c r="B64" s="12" t="n">
        <v>64</v>
      </c>
      <c r="C64" s="103" t="n">
        <v>11213782.8437125</v>
      </c>
      <c r="D64" s="108" t="n">
        <v>8853122.165549297</v>
      </c>
      <c r="E64" s="108" t="n">
        <v>2749274.065934967</v>
      </c>
      <c r="F64" s="108" t="n">
        <v>3511766.667598394</v>
      </c>
      <c r="G64" s="108" t="n">
        <v>793644.1714827325</v>
      </c>
      <c r="H64" s="108" t="n">
        <v>1103578.789435193</v>
      </c>
      <c r="I64" s="108" t="n">
        <v>47527.2</v>
      </c>
      <c r="J64" s="33" t="n">
        <v>4</v>
      </c>
    </row>
    <row r="65" ht="30" customHeight="1">
      <c r="A65" s="12" t="n">
        <v>66</v>
      </c>
      <c r="B65" s="12" t="n">
        <v>65</v>
      </c>
      <c r="C65" s="103" t="n">
        <v>11106689.14028143</v>
      </c>
      <c r="D65" s="108" t="n">
        <v>8766520.637583515</v>
      </c>
      <c r="E65" s="108" t="n">
        <v>2662672.537969185</v>
      </c>
      <c r="F65" s="108" t="n">
        <v>3480065.241580912</v>
      </c>
      <c r="G65" s="108" t="n">
        <v>761942.7454652512</v>
      </c>
      <c r="H65" s="108" t="n">
        <v>1092369.538882997</v>
      </c>
      <c r="I65" s="108" t="n">
        <v>47527.2</v>
      </c>
      <c r="J65" s="33" t="n">
        <v>4</v>
      </c>
    </row>
    <row r="66" ht="30" customHeight="1">
      <c r="A66" s="12" t="n">
        <v>66</v>
      </c>
      <c r="B66" s="12" t="n">
        <v>66</v>
      </c>
      <c r="C66" s="103" t="n">
        <v>10741884.67609763</v>
      </c>
      <c r="D66" s="108" t="n">
        <v>8442923.310249461</v>
      </c>
      <c r="E66" s="108" t="n">
        <v>2339075.210635131</v>
      </c>
      <c r="F66" s="108" t="n">
        <v>3399879.529799067</v>
      </c>
      <c r="G66" s="108" t="n">
        <v>681757.0336834057</v>
      </c>
      <c r="H66" s="108" t="n">
        <v>1053390.963950898</v>
      </c>
      <c r="I66" s="108" t="n">
        <v>47527.2</v>
      </c>
      <c r="J66" s="33" t="n">
        <v>3</v>
      </c>
    </row>
    <row r="67" ht="30" customHeight="1">
      <c r="A67" s="12" t="n">
        <v>66</v>
      </c>
      <c r="B67" s="12" t="n">
        <v>67</v>
      </c>
      <c r="C67" s="103" t="n">
        <v>10433965.69450036</v>
      </c>
      <c r="D67" s="108" t="n">
        <v>8170175.594740043</v>
      </c>
      <c r="E67" s="108" t="n">
        <v>2066327.495125714</v>
      </c>
      <c r="F67" s="108" t="n">
        <v>3321266.08687569</v>
      </c>
      <c r="G67" s="108" t="n">
        <v>603143.5907600285</v>
      </c>
      <c r="H67" s="108" t="n">
        <v>1016515.187115374</v>
      </c>
      <c r="I67" s="108" t="n">
        <v>40960.8</v>
      </c>
      <c r="J67" s="33" t="n">
        <v>2</v>
      </c>
    </row>
    <row r="68" ht="30" customHeight="1">
      <c r="A68" s="12" t="n">
        <v>66</v>
      </c>
      <c r="B68" s="12" t="n">
        <v>68</v>
      </c>
      <c r="C68" s="103" t="n">
        <v>10125276.68890749</v>
      </c>
      <c r="D68" s="108" t="n">
        <v>7907274.543476627</v>
      </c>
      <c r="E68" s="108" t="n">
        <v>1803426.443862298</v>
      </c>
      <c r="F68" s="108" t="n">
        <v>3244194.084009633</v>
      </c>
      <c r="G68" s="108" t="n">
        <v>526071.5878939722</v>
      </c>
      <c r="H68" s="108" t="n">
        <v>988514.3385787746</v>
      </c>
      <c r="I68" s="108" t="n">
        <v>37677.6</v>
      </c>
      <c r="J68" s="33" t="n">
        <v>3</v>
      </c>
    </row>
    <row r="69" ht="30" customHeight="1">
      <c r="A69" s="12" t="n">
        <v>66</v>
      </c>
      <c r="B69" s="12" t="n">
        <v>69</v>
      </c>
      <c r="C69" s="103" t="n">
        <v>9796278.657063486</v>
      </c>
      <c r="D69" s="108" t="n">
        <v>7637068.899750547</v>
      </c>
      <c r="E69" s="108" t="n">
        <v>1533220.800136217</v>
      </c>
      <c r="F69" s="108" t="n">
        <v>3168633.296886049</v>
      </c>
      <c r="G69" s="108" t="n">
        <v>450510.8007703875</v>
      </c>
      <c r="H69" s="108" t="n">
        <v>971745.9395731093</v>
      </c>
      <c r="I69" s="108" t="n">
        <v>37677.6</v>
      </c>
      <c r="J69" s="33" t="n">
        <v>4</v>
      </c>
    </row>
    <row r="70" ht="30" customHeight="1">
      <c r="A70" s="12" t="n">
        <v>66</v>
      </c>
      <c r="B70" s="12" t="n">
        <v>70</v>
      </c>
      <c r="C70" s="103" t="n">
        <v>9491402.040239193</v>
      </c>
      <c r="D70" s="108" t="n">
        <v>7393522.860787777</v>
      </c>
      <c r="E70" s="108" t="n">
        <v>1289674.761173448</v>
      </c>
      <c r="F70" s="108" t="n">
        <v>3094554.093823711</v>
      </c>
      <c r="G70" s="108" t="n">
        <v>376431.5977080502</v>
      </c>
      <c r="H70" s="108" t="n">
        <v>958997.3143722948</v>
      </c>
      <c r="I70" s="108" t="n">
        <v>37677.6</v>
      </c>
      <c r="J70" s="33" t="n">
        <v>5</v>
      </c>
    </row>
    <row r="71" ht="30" customHeight="1">
      <c r="A71" s="12" t="n">
        <v>67</v>
      </c>
      <c r="B71" s="12" t="n">
        <v>62</v>
      </c>
      <c r="C71" s="103" t="n">
        <v>11019481.59903782</v>
      </c>
      <c r="D71" s="108" t="n">
        <v>8655340.156518325</v>
      </c>
      <c r="E71" s="108" t="n">
        <v>2551492.056903996</v>
      </c>
      <c r="F71" s="108" t="n">
        <v>3480162.835947033</v>
      </c>
      <c r="G71" s="108" t="n">
        <v>762040.3398313713</v>
      </c>
      <c r="H71" s="108" t="n">
        <v>1071777.393427539</v>
      </c>
      <c r="I71" s="108" t="n">
        <v>44244</v>
      </c>
      <c r="J71" s="33" t="n">
        <v>5</v>
      </c>
    </row>
    <row r="72" ht="30" customHeight="1">
      <c r="A72" s="12" t="n">
        <v>67</v>
      </c>
      <c r="B72" s="12" t="n">
        <v>63</v>
      </c>
      <c r="C72" s="103" t="n">
        <v>10916283.24170204</v>
      </c>
      <c r="D72" s="108" t="n">
        <v>8575555.416693985</v>
      </c>
      <c r="E72" s="108" t="n">
        <v>2471707.317079656</v>
      </c>
      <c r="F72" s="108" t="n">
        <v>3447180.672318445</v>
      </c>
      <c r="G72" s="108" t="n">
        <v>729058.1762027834</v>
      </c>
      <c r="H72" s="108" t="n">
        <v>1062208.847310388</v>
      </c>
      <c r="I72" s="108" t="n">
        <v>44244</v>
      </c>
      <c r="J72" s="33" t="n">
        <v>5</v>
      </c>
    </row>
    <row r="73" ht="30" customHeight="1">
      <c r="A73" s="12" t="n">
        <v>67</v>
      </c>
      <c r="B73" s="12" t="n">
        <v>64</v>
      </c>
      <c r="C73" s="103" t="n">
        <v>10815074.75718578</v>
      </c>
      <c r="D73" s="108" t="n">
        <v>8497308.332434922</v>
      </c>
      <c r="E73" s="108" t="n">
        <v>2393460.232820593</v>
      </c>
      <c r="F73" s="108" t="n">
        <v>3414845.217780613</v>
      </c>
      <c r="G73" s="108" t="n">
        <v>696722.7216649521</v>
      </c>
      <c r="H73" s="108" t="n">
        <v>1052834.793029755</v>
      </c>
      <c r="I73" s="108" t="n">
        <v>44244</v>
      </c>
      <c r="J73" s="33" t="n">
        <v>5</v>
      </c>
    </row>
    <row r="74" ht="30" customHeight="1">
      <c r="A74" s="12" t="n">
        <v>67</v>
      </c>
      <c r="B74" s="12" t="n">
        <v>65</v>
      </c>
      <c r="C74" s="103" t="n">
        <v>10711215.13495686</v>
      </c>
      <c r="D74" s="108" t="n">
        <v>8417228.400732523</v>
      </c>
      <c r="E74" s="108" t="n">
        <v>2313380.301118193</v>
      </c>
      <c r="F74" s="108" t="n">
        <v>3383143.791763131</v>
      </c>
      <c r="G74" s="108" t="n">
        <v>665021.2956474698</v>
      </c>
      <c r="H74" s="108" t="n">
        <v>1044913.057538799</v>
      </c>
      <c r="I74" s="108" t="n">
        <v>44244</v>
      </c>
      <c r="J74" s="33" t="n">
        <v>5</v>
      </c>
    </row>
    <row r="75" ht="30" customHeight="1">
      <c r="A75" s="12" t="n">
        <v>67</v>
      </c>
      <c r="B75" s="12" t="n">
        <v>66</v>
      </c>
      <c r="C75" s="103" t="n">
        <v>10350241.01535774</v>
      </c>
      <c r="D75" s="108" t="n">
        <v>8105773.065621849</v>
      </c>
      <c r="E75" s="108" t="n">
        <v>2001924.96600752</v>
      </c>
      <c r="F75" s="108" t="n">
        <v>3302958.079981287</v>
      </c>
      <c r="G75" s="108" t="n">
        <v>584835.5838656253</v>
      </c>
      <c r="H75" s="108" t="n">
        <v>1014246.130245393</v>
      </c>
      <c r="I75" s="108" t="n">
        <v>44244</v>
      </c>
      <c r="J75" s="33" t="n">
        <v>4</v>
      </c>
    </row>
    <row r="76" ht="30" customHeight="1">
      <c r="A76" s="12" t="n">
        <v>67</v>
      </c>
      <c r="B76" s="12" t="n">
        <v>67</v>
      </c>
      <c r="C76" s="103" t="n">
        <v>10044986.51377025</v>
      </c>
      <c r="D76" s="108" t="n">
        <v>7841873.990010685</v>
      </c>
      <c r="E76" s="108" t="n">
        <v>1738025.890396356</v>
      </c>
      <c r="F76" s="108" t="n">
        <v>3224344.637057909</v>
      </c>
      <c r="G76" s="108" t="n">
        <v>506222.1409422476</v>
      </c>
      <c r="H76" s="108" t="n">
        <v>983554.5132983417</v>
      </c>
      <c r="I76" s="108" t="n">
        <v>37677.6</v>
      </c>
      <c r="J76" s="33" t="n">
        <v>3</v>
      </c>
    </row>
    <row r="77" ht="30" customHeight="1">
      <c r="A77" s="12" t="n">
        <v>67</v>
      </c>
      <c r="B77" s="12" t="n">
        <v>68</v>
      </c>
      <c r="C77" s="103" t="n">
        <v>9699588.454958376</v>
      </c>
      <c r="D77" s="108" t="n">
        <v>7556289.581168476</v>
      </c>
      <c r="E77" s="108" t="n">
        <v>1452441.481554147</v>
      </c>
      <c r="F77" s="108" t="n">
        <v>3147272.634191853</v>
      </c>
      <c r="G77" s="108" t="n">
        <v>429150.1380761913</v>
      </c>
      <c r="H77" s="108" t="n">
        <v>966296.1604019527</v>
      </c>
      <c r="I77" s="108" t="n">
        <v>37677.6</v>
      </c>
      <c r="J77" s="33" t="n">
        <v>2</v>
      </c>
    </row>
    <row r="78" ht="30" customHeight="1">
      <c r="A78" s="12" t="n">
        <v>67</v>
      </c>
      <c r="B78" s="12" t="n">
        <v>69</v>
      </c>
      <c r="C78" s="103" t="n">
        <v>9365812.790807376</v>
      </c>
      <c r="D78" s="108" t="n">
        <v>7287432.62230893</v>
      </c>
      <c r="E78" s="108" t="n">
        <v>1183584.522694601</v>
      </c>
      <c r="F78" s="108" t="n">
        <v>3071711.847068268</v>
      </c>
      <c r="G78" s="108" t="n">
        <v>353589.3509526071</v>
      </c>
      <c r="H78" s="108" t="n">
        <v>955654.0785698241</v>
      </c>
      <c r="I78" s="108" t="n">
        <v>37677.6</v>
      </c>
      <c r="J78" s="33" t="n">
        <v>3</v>
      </c>
    </row>
    <row r="79" ht="30" customHeight="1">
      <c r="A79" s="12" t="n">
        <v>67</v>
      </c>
      <c r="B79" s="12" t="n">
        <v>70</v>
      </c>
      <c r="C79" s="103" t="n">
        <v>9055588.996926682</v>
      </c>
      <c r="D79" s="108" t="n">
        <v>7043870.97403232</v>
      </c>
      <c r="E79" s="108" t="n">
        <v>940022.8744179904</v>
      </c>
      <c r="F79" s="108" t="n">
        <v>2997632.644005931</v>
      </c>
      <c r="G79" s="108" t="n">
        <v>279510.1478902693</v>
      </c>
      <c r="H79" s="108" t="n">
        <v>948237.021111568</v>
      </c>
      <c r="I79" s="108" t="n">
        <v>37677.6</v>
      </c>
      <c r="J79" s="33" t="n">
        <v>4</v>
      </c>
    </row>
    <row r="80" ht="30" customHeight="1">
      <c r="A80" s="12" t="n">
        <v>68</v>
      </c>
      <c r="B80" s="12" t="n">
        <v>62</v>
      </c>
      <c r="C80" s="103" t="n">
        <v>10633360.97756876</v>
      </c>
      <c r="D80" s="108" t="n">
        <v>8325414.931865329</v>
      </c>
      <c r="E80" s="108" t="n">
        <v>2221566.832250999</v>
      </c>
      <c r="F80" s="108" t="n">
        <v>3385141.806713914</v>
      </c>
      <c r="G80" s="108" t="n">
        <v>667019.3105982528</v>
      </c>
      <c r="H80" s="108" t="n">
        <v>1032951.761010484</v>
      </c>
      <c r="I80" s="108" t="n">
        <v>44244</v>
      </c>
      <c r="J80" s="33" t="n">
        <v>6</v>
      </c>
    </row>
    <row r="81" ht="30" customHeight="1">
      <c r="A81" s="12" t="n">
        <v>68</v>
      </c>
      <c r="B81" s="12" t="n">
        <v>63</v>
      </c>
      <c r="C81" s="103" t="n">
        <v>10528210.49833722</v>
      </c>
      <c r="D81" s="108" t="n">
        <v>8245590.926228167</v>
      </c>
      <c r="E81" s="108" t="n">
        <v>2141742.826613838</v>
      </c>
      <c r="F81" s="108" t="n">
        <v>3352159.643085326</v>
      </c>
      <c r="G81" s="108" t="n">
        <v>634037.1469696648</v>
      </c>
      <c r="H81" s="108" t="n">
        <v>1025296.070976274</v>
      </c>
      <c r="I81" s="108" t="n">
        <v>44244</v>
      </c>
      <c r="J81" s="33" t="n">
        <v>6</v>
      </c>
    </row>
    <row r="82" ht="30" customHeight="1">
      <c r="A82" s="12" t="n">
        <v>68</v>
      </c>
      <c r="B82" s="12" t="n">
        <v>64</v>
      </c>
      <c r="C82" s="103" t="n">
        <v>10419560.00357015</v>
      </c>
      <c r="D82" s="108" t="n">
        <v>8163130.077895232</v>
      </c>
      <c r="E82" s="108" t="n">
        <v>2059281.978280903</v>
      </c>
      <c r="F82" s="108" t="n">
        <v>3319824.188547494</v>
      </c>
      <c r="G82" s="108" t="n">
        <v>601701.6924318331</v>
      </c>
      <c r="H82" s="108" t="n">
        <v>1019150.262872576</v>
      </c>
      <c r="I82" s="108" t="n">
        <v>44244</v>
      </c>
      <c r="J82" s="33" t="n">
        <v>6</v>
      </c>
    </row>
    <row r="83" ht="30" customHeight="1">
      <c r="A83" s="12" t="n">
        <v>68</v>
      </c>
      <c r="B83" s="12" t="n">
        <v>65</v>
      </c>
      <c r="C83" s="103" t="n">
        <v>10315610.48733695</v>
      </c>
      <c r="D83" s="108" t="n">
        <v>8084517.455758478</v>
      </c>
      <c r="E83" s="108" t="n">
        <v>1980669.356144148</v>
      </c>
      <c r="F83" s="108" t="n">
        <v>3288122.762530013</v>
      </c>
      <c r="G83" s="108" t="n">
        <v>570000.2664143518</v>
      </c>
      <c r="H83" s="108" t="n">
        <v>1012785.730951542</v>
      </c>
      <c r="I83" s="108" t="n">
        <v>44244</v>
      </c>
      <c r="J83" s="33" t="n">
        <v>6</v>
      </c>
    </row>
    <row r="84" ht="30" customHeight="1">
      <c r="A84" s="12" t="n">
        <v>68</v>
      </c>
      <c r="B84" s="12" t="n">
        <v>66</v>
      </c>
      <c r="C84" s="103" t="n">
        <v>9951324.365476865</v>
      </c>
      <c r="D84" s="108" t="n">
        <v>7775757.912805037</v>
      </c>
      <c r="E84" s="108" t="n">
        <v>1671909.813190707</v>
      </c>
      <c r="F84" s="108" t="n">
        <v>3207937.050748168</v>
      </c>
      <c r="G84" s="108" t="n">
        <v>489814.5546325068</v>
      </c>
      <c r="H84" s="108" t="n">
        <v>988126.598076339</v>
      </c>
      <c r="I84" s="108" t="n">
        <v>44244</v>
      </c>
      <c r="J84" s="33" t="n">
        <v>5</v>
      </c>
    </row>
    <row r="85" ht="30" customHeight="1">
      <c r="A85" s="12" t="n">
        <v>68</v>
      </c>
      <c r="B85" s="12" t="n">
        <v>67</v>
      </c>
      <c r="C85" s="103" t="n">
        <v>9639468.991850395</v>
      </c>
      <c r="D85" s="108" t="n">
        <v>7511944.061438987</v>
      </c>
      <c r="E85" s="108" t="n">
        <v>1408095.961824657</v>
      </c>
      <c r="F85" s="108" t="n">
        <v>3129323.60782479</v>
      </c>
      <c r="G85" s="108" t="n">
        <v>411201.1117091291</v>
      </c>
      <c r="H85" s="108" t="n">
        <v>964121.0774133819</v>
      </c>
      <c r="I85" s="108" t="n">
        <v>37677.6</v>
      </c>
      <c r="J85" s="33" t="n">
        <v>4</v>
      </c>
    </row>
    <row r="86" ht="30" customHeight="1">
      <c r="A86" s="12" t="n">
        <v>68</v>
      </c>
      <c r="B86" s="12" t="n">
        <v>68</v>
      </c>
      <c r="C86" s="103" t="n">
        <v>9285862.253367739</v>
      </c>
      <c r="D86" s="108" t="n">
        <v>7224925.743485117</v>
      </c>
      <c r="E86" s="108" t="n">
        <v>1121077.643870788</v>
      </c>
      <c r="F86" s="108" t="n">
        <v>3052251.604958734</v>
      </c>
      <c r="G86" s="108" t="n">
        <v>334129.1088430728</v>
      </c>
      <c r="H86" s="108" t="n">
        <v>953637.4950761118</v>
      </c>
      <c r="I86" s="108" t="n">
        <v>37677.6</v>
      </c>
      <c r="J86" s="33" t="n">
        <v>3</v>
      </c>
    </row>
    <row r="87" ht="30" customHeight="1">
      <c r="A87" s="12" t="n">
        <v>68</v>
      </c>
      <c r="B87" s="12" t="n">
        <v>69</v>
      </c>
      <c r="C87" s="103" t="n">
        <v>8948325.038716443</v>
      </c>
      <c r="D87" s="108" t="n">
        <v>6957502.693737233</v>
      </c>
      <c r="E87" s="108" t="n">
        <v>853654.5941229034</v>
      </c>
      <c r="F87" s="108" t="n">
        <v>2976690.81783515</v>
      </c>
      <c r="G87" s="108" t="n">
        <v>258568.3217194886</v>
      </c>
      <c r="H87" s="108" t="n">
        <v>948190.8728559414</v>
      </c>
      <c r="I87" s="108" t="n">
        <v>37677.6</v>
      </c>
      <c r="J87" s="33" t="n">
        <v>2</v>
      </c>
    </row>
    <row r="88" ht="30" customHeight="1">
      <c r="A88" s="12" t="n">
        <v>68</v>
      </c>
      <c r="B88" s="12" t="n">
        <v>70</v>
      </c>
      <c r="C88" s="103" t="n">
        <v>8639500.10609648</v>
      </c>
      <c r="D88" s="108" t="n">
        <v>6719012.43742386</v>
      </c>
      <c r="E88" s="108" t="n">
        <v>615164.3378095301</v>
      </c>
      <c r="F88" s="108" t="n">
        <v>2902611.614772812</v>
      </c>
      <c r="G88" s="108" t="n">
        <v>184489.1186571508</v>
      </c>
      <c r="H88" s="108" t="n">
        <v>944446.3461001929</v>
      </c>
      <c r="I88" s="108" t="n">
        <v>37677.6</v>
      </c>
      <c r="J88" s="33" t="n">
        <v>3</v>
      </c>
    </row>
    <row r="89" ht="30" customHeight="1">
      <c r="A89" s="12" t="n">
        <v>69</v>
      </c>
      <c r="B89" s="12" t="n">
        <v>62</v>
      </c>
      <c r="C89" s="103" t="n">
        <v>10261748.64114767</v>
      </c>
      <c r="D89" s="108" t="n">
        <v>8020868.30625808</v>
      </c>
      <c r="E89" s="108" t="n">
        <v>1917020.20664375</v>
      </c>
      <c r="F89" s="108" t="n">
        <v>3292103.233900905</v>
      </c>
      <c r="G89" s="108" t="n">
        <v>573980.7377852439</v>
      </c>
      <c r="H89" s="108" t="n">
        <v>1006978.89901132</v>
      </c>
      <c r="I89" s="108" t="n">
        <v>44244</v>
      </c>
      <c r="J89" s="33" t="n">
        <v>7</v>
      </c>
    </row>
    <row r="90" ht="30" customHeight="1">
      <c r="A90" s="12" t="n">
        <v>69</v>
      </c>
      <c r="B90" s="12" t="n">
        <v>63</v>
      </c>
      <c r="C90" s="103" t="n">
        <v>10154543.99339376</v>
      </c>
      <c r="D90" s="108" t="n">
        <v>7940893.694752691</v>
      </c>
      <c r="E90" s="108" t="n">
        <v>1837045.595138362</v>
      </c>
      <c r="F90" s="108" t="n">
        <v>3259001.771288151</v>
      </c>
      <c r="G90" s="108" t="n">
        <v>540879.2751724902</v>
      </c>
      <c r="H90" s="108" t="n">
        <v>1001107.472647079</v>
      </c>
      <c r="I90" s="108" t="n">
        <v>44244</v>
      </c>
      <c r="J90" s="33" t="n">
        <v>7</v>
      </c>
    </row>
    <row r="91" ht="30" customHeight="1">
      <c r="A91" s="12" t="n">
        <v>69</v>
      </c>
      <c r="B91" s="12" t="n">
        <v>64</v>
      </c>
      <c r="C91" s="103" t="n">
        <v>10047881.9463731</v>
      </c>
      <c r="D91" s="108" t="n">
        <v>7861239.321624571</v>
      </c>
      <c r="E91" s="108" t="n">
        <v>1757391.222010242</v>
      </c>
      <c r="F91" s="108" t="n">
        <v>3226666.31675032</v>
      </c>
      <c r="G91" s="108" t="n">
        <v>508543.8206346589</v>
      </c>
      <c r="H91" s="108" t="n">
        <v>995779.692001792</v>
      </c>
      <c r="I91" s="108" t="n">
        <v>44244</v>
      </c>
      <c r="J91" s="33" t="n">
        <v>7</v>
      </c>
    </row>
    <row r="92" ht="30" customHeight="1">
      <c r="A92" s="12" t="n">
        <v>69</v>
      </c>
      <c r="B92" s="12" t="n">
        <v>65</v>
      </c>
      <c r="C92" s="103" t="n">
        <v>9944800.153283665</v>
      </c>
      <c r="D92" s="108" t="n">
        <v>7784329.712005469</v>
      </c>
      <c r="E92" s="108" t="n">
        <v>1680481.612391139</v>
      </c>
      <c r="F92" s="108" t="n">
        <v>3194964.890732838</v>
      </c>
      <c r="G92" s="108" t="n">
        <v>476842.3946171771</v>
      </c>
      <c r="H92" s="108" t="n">
        <v>990250.4494546421</v>
      </c>
      <c r="I92" s="108" t="n">
        <v>44244</v>
      </c>
      <c r="J92" s="33" t="n">
        <v>7</v>
      </c>
    </row>
    <row r="93" ht="30" customHeight="1">
      <c r="A93" s="12" t="n">
        <v>69</v>
      </c>
      <c r="B93" s="12" t="n">
        <v>66</v>
      </c>
      <c r="C93" s="103" t="n">
        <v>9575493.111701023</v>
      </c>
      <c r="D93" s="108" t="n">
        <v>7475041.722650604</v>
      </c>
      <c r="E93" s="108" t="n">
        <v>1371193.623036275</v>
      </c>
      <c r="F93" s="108" t="n">
        <v>3114779.178950993</v>
      </c>
      <c r="G93" s="108" t="n">
        <v>396656.6828353321</v>
      </c>
      <c r="H93" s="108" t="n">
        <v>970083.7899005754</v>
      </c>
      <c r="I93" s="108" t="n">
        <v>44244</v>
      </c>
      <c r="J93" s="33" t="n">
        <v>6</v>
      </c>
    </row>
    <row r="94" ht="30" customHeight="1">
      <c r="A94" s="12" t="n">
        <v>69</v>
      </c>
      <c r="B94" s="12" t="n">
        <v>67</v>
      </c>
      <c r="C94" s="103" t="n">
        <v>9260328.033596708</v>
      </c>
      <c r="D94" s="108" t="n">
        <v>7212492.048895072</v>
      </c>
      <c r="E94" s="108" t="n">
        <v>1108643.949280743</v>
      </c>
      <c r="F94" s="108" t="n">
        <v>3036165.736027616</v>
      </c>
      <c r="G94" s="108" t="n">
        <v>318043.2399119544</v>
      </c>
      <c r="H94" s="108" t="n">
        <v>950652.1513259802</v>
      </c>
      <c r="I94" s="108" t="n">
        <v>37677.6</v>
      </c>
      <c r="J94" s="33" t="n">
        <v>5</v>
      </c>
    </row>
    <row r="95" ht="30" customHeight="1">
      <c r="A95" s="12" t="n">
        <v>69</v>
      </c>
      <c r="B95" s="12" t="n">
        <v>68</v>
      </c>
      <c r="C95" s="103" t="n">
        <v>8901300.999256391</v>
      </c>
      <c r="D95" s="108" t="n">
        <v>6925476.104935321</v>
      </c>
      <c r="E95" s="108" t="n">
        <v>821628.0053209914</v>
      </c>
      <c r="F95" s="108" t="n">
        <v>2959093.73316156</v>
      </c>
      <c r="G95" s="108" t="n">
        <v>240971.2370458986</v>
      </c>
      <c r="H95" s="108" t="n">
        <v>945591.2388404902</v>
      </c>
      <c r="I95" s="108" t="n">
        <v>37677.6</v>
      </c>
      <c r="J95" s="33" t="n">
        <v>4</v>
      </c>
    </row>
    <row r="96" ht="30" customHeight="1">
      <c r="A96" s="12" t="n">
        <v>69</v>
      </c>
      <c r="B96" s="12" t="n">
        <v>69</v>
      </c>
      <c r="C96" s="103" t="n">
        <v>8566224.136644913</v>
      </c>
      <c r="D96" s="108" t="n">
        <v>6663151.889060493</v>
      </c>
      <c r="E96" s="108" t="n">
        <v>559303.789446163</v>
      </c>
      <c r="F96" s="108" t="n">
        <v>2883532.946037975</v>
      </c>
      <c r="G96" s="108" t="n">
        <v>165410.4499223139</v>
      </c>
      <c r="H96" s="108" t="n">
        <v>942783.0984535556</v>
      </c>
      <c r="I96" s="108" t="n">
        <v>37677.6</v>
      </c>
      <c r="J96" s="33" t="n">
        <v>3</v>
      </c>
    </row>
    <row r="97" ht="30" customHeight="1">
      <c r="A97" s="12" t="n">
        <v>69</v>
      </c>
      <c r="B97" s="12" t="n">
        <v>70</v>
      </c>
      <c r="C97" s="103" t="n">
        <v>8288377.038802541</v>
      </c>
      <c r="D97" s="108" t="n">
        <v>6424695.954064608</v>
      </c>
      <c r="E97" s="108" t="n">
        <v>320847.854450278</v>
      </c>
      <c r="F97" s="108" t="n">
        <v>2809453.742975637</v>
      </c>
      <c r="G97" s="108" t="n">
        <v>91331.24685997609</v>
      </c>
      <c r="H97" s="108" t="n">
        <v>910262.2582377035</v>
      </c>
      <c r="I97" s="108" t="n">
        <v>35510.4</v>
      </c>
      <c r="J97" s="33" t="n">
        <v>2</v>
      </c>
    </row>
    <row r="98" ht="30" customHeight="1">
      <c r="A98" s="12" t="n">
        <v>70</v>
      </c>
      <c r="B98" s="12" t="n">
        <v>62</v>
      </c>
      <c r="C98" s="103" t="n">
        <v>9900041.430538841</v>
      </c>
      <c r="D98" s="108" t="n">
        <v>7732950.155957519</v>
      </c>
      <c r="E98" s="108" t="n">
        <v>1629102.056343189</v>
      </c>
      <c r="F98" s="108" t="n">
        <v>3202359.136392723</v>
      </c>
      <c r="G98" s="108" t="n">
        <v>484236.6402770616</v>
      </c>
      <c r="H98" s="108" t="n">
        <v>991023.8618114011</v>
      </c>
      <c r="I98" s="108" t="n">
        <v>44244</v>
      </c>
      <c r="J98" s="33" t="n">
        <v>8</v>
      </c>
    </row>
    <row r="99" ht="30" customHeight="1">
      <c r="A99" s="12" t="n">
        <v>70</v>
      </c>
      <c r="B99" s="12" t="n">
        <v>63</v>
      </c>
      <c r="C99" s="103" t="n">
        <v>9787737.818815347</v>
      </c>
      <c r="D99" s="108" t="n">
        <v>7650353.832007264</v>
      </c>
      <c r="E99" s="108" t="n">
        <v>1546505.732392934</v>
      </c>
      <c r="F99" s="108" t="n">
        <v>3167787.484216573</v>
      </c>
      <c r="G99" s="108" t="n">
        <v>449664.988100912</v>
      </c>
      <c r="H99" s="108" t="n">
        <v>986159.4974084916</v>
      </c>
      <c r="I99" s="108" t="n">
        <v>44244</v>
      </c>
      <c r="J99" s="33" t="n">
        <v>8</v>
      </c>
    </row>
    <row r="100" ht="30" customHeight="1">
      <c r="A100" s="12" t="n">
        <v>70</v>
      </c>
      <c r="B100" s="12" t="n">
        <v>64</v>
      </c>
      <c r="C100" s="103" t="n">
        <v>9683307.528946595</v>
      </c>
      <c r="D100" s="108" t="n">
        <v>7573296.035005779</v>
      </c>
      <c r="E100" s="108" t="n">
        <v>1469447.935391449</v>
      </c>
      <c r="F100" s="108" t="n">
        <v>3135335.069890344</v>
      </c>
      <c r="G100" s="108" t="n">
        <v>417212.5737746828</v>
      </c>
      <c r="H100" s="108" t="n">
        <v>981079.575949528</v>
      </c>
      <c r="I100" s="108" t="n">
        <v>44244</v>
      </c>
      <c r="J100" s="33" t="n">
        <v>8</v>
      </c>
    </row>
    <row r="101" ht="30" customHeight="1">
      <c r="A101" s="12" t="n">
        <v>70</v>
      </c>
      <c r="B101" s="12" t="n">
        <v>65</v>
      </c>
      <c r="C101" s="103" t="n">
        <v>9579375.282307811</v>
      </c>
      <c r="D101" s="108" t="n">
        <v>7496471.649631789</v>
      </c>
      <c r="E101" s="108" t="n">
        <v>1392623.550017459</v>
      </c>
      <c r="F101" s="108" t="n">
        <v>3103633.643872862</v>
      </c>
      <c r="G101" s="108" t="n">
        <v>385511.147757201</v>
      </c>
      <c r="H101" s="108" t="n">
        <v>976486.0111968409</v>
      </c>
      <c r="I101" s="108" t="n">
        <v>44244</v>
      </c>
      <c r="J101" s="33" t="n">
        <v>8</v>
      </c>
    </row>
    <row r="102" ht="30" customHeight="1">
      <c r="A102" s="12" t="n">
        <v>70</v>
      </c>
      <c r="B102" s="12" t="n">
        <v>66</v>
      </c>
      <c r="C102" s="103" t="n">
        <v>9206595.223712191</v>
      </c>
      <c r="D102" s="108" t="n">
        <v>7187183.660276925</v>
      </c>
      <c r="E102" s="108" t="n">
        <v>1083335.560662596</v>
      </c>
      <c r="F102" s="108" t="n">
        <v>3023447.932091017</v>
      </c>
      <c r="G102" s="108" t="n">
        <v>305325.435975356</v>
      </c>
      <c r="H102" s="108" t="n">
        <v>959792.3686557529</v>
      </c>
      <c r="I102" s="108" t="n">
        <v>44244</v>
      </c>
      <c r="J102" s="33" t="n">
        <v>7</v>
      </c>
    </row>
    <row r="103" ht="30" customHeight="1">
      <c r="A103" s="12" t="n">
        <v>70</v>
      </c>
      <c r="B103" s="12" t="n">
        <v>67</v>
      </c>
      <c r="C103" s="103" t="n">
        <v>8885578.439555114</v>
      </c>
      <c r="D103" s="108" t="n">
        <v>6923200.077409743</v>
      </c>
      <c r="E103" s="108" t="n">
        <v>819351.9777954137</v>
      </c>
      <c r="F103" s="108" t="n">
        <v>2944834.48916764</v>
      </c>
      <c r="G103" s="108" t="n">
        <v>226711.9930519788</v>
      </c>
      <c r="H103" s="108" t="n">
        <v>944778.5270222693</v>
      </c>
      <c r="I103" s="108" t="n">
        <v>37677.6</v>
      </c>
      <c r="J103" s="33" t="n">
        <v>6</v>
      </c>
    </row>
    <row r="104" ht="30" customHeight="1">
      <c r="A104" s="12" t="n">
        <v>70</v>
      </c>
      <c r="B104" s="12" t="n">
        <v>68</v>
      </c>
      <c r="C104" s="103" t="n">
        <v>8536327.308264682</v>
      </c>
      <c r="D104" s="108" t="n">
        <v>6645712.698058715</v>
      </c>
      <c r="E104" s="108" t="n">
        <v>541864.5984443855</v>
      </c>
      <c r="F104" s="108" t="n">
        <v>2867762.486301584</v>
      </c>
      <c r="G104" s="108" t="n">
        <v>149639.9901859225</v>
      </c>
      <c r="H104" s="108" t="n">
        <v>939470.2760956174</v>
      </c>
      <c r="I104" s="108" t="n">
        <v>37677.6</v>
      </c>
      <c r="J104" s="33" t="n">
        <v>5</v>
      </c>
    </row>
    <row r="105" ht="30" customHeight="1">
      <c r="A105" s="12" t="n">
        <v>70</v>
      </c>
      <c r="B105" s="12" t="n">
        <v>69</v>
      </c>
      <c r="C105" s="103" t="n">
        <v>8236102.175945438</v>
      </c>
      <c r="D105" s="108" t="n">
        <v>6388594.571265038</v>
      </c>
      <c r="E105" s="108" t="n">
        <v>284746.4716507085</v>
      </c>
      <c r="F105" s="108" t="n">
        <v>2792201.699177999</v>
      </c>
      <c r="G105" s="108" t="n">
        <v>74079.20306233782</v>
      </c>
      <c r="H105" s="108" t="n">
        <v>909183.6944975992</v>
      </c>
      <c r="I105" s="108" t="n">
        <v>35510.4</v>
      </c>
      <c r="J105" s="33" t="n">
        <v>4</v>
      </c>
    </row>
    <row r="106" ht="30" customHeight="1">
      <c r="A106" s="112" t="n">
        <v>70</v>
      </c>
      <c r="B106" s="112" t="n">
        <v>70</v>
      </c>
      <c r="C106" s="113" t="n">
        <v>7930443.741312334</v>
      </c>
      <c r="D106" s="113" t="n">
        <v>6147815.035553234</v>
      </c>
      <c r="E106" s="113" t="n">
        <v>43966.93593890406</v>
      </c>
      <c r="F106" s="113" t="n">
        <v>2718122.496115661</v>
      </c>
      <c r="G106" s="113" t="n">
        <v>0</v>
      </c>
      <c r="H106" s="113" t="n">
        <v>899983.3903565597</v>
      </c>
      <c r="I106" s="113" t="n">
        <v>35510.4</v>
      </c>
      <c r="J106" s="112" t="n">
        <v>3</v>
      </c>
    </row>
    <row r="107"/>
    <row r="108" ht="60" customHeight="1">
      <c r="A108" s="112" t="inlineStr">
        <is>
          <t>This sheet runs every husband/wife claiming-age pair from 62 through 70 through the projection engine. It does not use a static break-even table or a hard-coded age-70 answer. Results remain sensitive to the selected Roth policy, mortality assumptions, ACA/IRMAA interactions, and survivor-benefit settings.</t>
        </is>
      </c>
      <c r="B108" s="3" t="n"/>
      <c r="C108" s="3" t="n"/>
      <c r="D108" s="3" t="n"/>
      <c r="E108" s="3" t="n"/>
      <c r="F108" s="3" t="n"/>
      <c r="G108" s="3" t="n"/>
      <c r="H108" s="3" t="n"/>
      <c r="I108" s="3" t="n"/>
      <c r="J108" s="4" t="n"/>
    </row>
  </sheetData>
  <mergeCells count="10">
    <mergeCell ref="C4:J4"/>
    <mergeCell ref="A1:J1"/>
    <mergeCell ref="C7:J7"/>
    <mergeCell ref="C6:J6"/>
    <mergeCell ref="A3:J3"/>
    <mergeCell ref="A108:J108"/>
    <mergeCell ref="C5:J5"/>
    <mergeCell ref="A24:J24"/>
    <mergeCell ref="A10:J10"/>
    <mergeCell ref="C8:J8"/>
  </mergeCell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H1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18" customHeight="1">
      <c r="A1" s="1" t="inlineStr">
        <is>
          <t>S-CORP vs LLC — ENTITY COMPARISON</t>
        </is>
      </c>
    </row>
    <row r="2" ht="18" customHeight="1">
      <c r="A2" s="5" t="inlineStr">
        <is>
          <t>Category</t>
        </is>
      </c>
      <c r="B2" s="3" t="n"/>
      <c r="C2" s="4" t="n"/>
      <c r="D2" s="10" t="inlineStr">
        <is>
          <t>S-Corporation (Current)</t>
        </is>
      </c>
      <c r="E2" s="3" t="n"/>
      <c r="F2" s="4" t="n"/>
      <c r="G2" s="17" t="inlineStr">
        <is>
          <t>LLC / Sole-Prop</t>
        </is>
      </c>
      <c r="H2" s="4" t="n"/>
    </row>
    <row r="3" ht="30" customHeight="1">
      <c r="A3" s="11" t="inlineStr">
        <is>
          <t>SE / Payroll Tax Base</t>
        </is>
      </c>
      <c r="B3" s="3" t="n"/>
      <c r="C3" s="4" t="n"/>
      <c r="D3" s="97" t="inlineStr">
        <is>
          <t>Salary only ($60,000/yr)</t>
        </is>
      </c>
      <c r="E3" s="3" t="n"/>
      <c r="F3" s="4" t="n"/>
      <c r="G3" s="97" t="inlineStr">
        <is>
          <t>Full net income (~$271,000/yr)</t>
        </is>
      </c>
      <c r="H3" s="4" t="n"/>
    </row>
    <row r="4" ht="15" customHeight="1">
      <c r="A4" s="11" t="inlineStr">
        <is>
          <t>SE Tax Savings vs SMLLC</t>
        </is>
      </c>
      <c r="B4" s="3" t="n"/>
      <c r="C4" s="4" t="n"/>
      <c r="D4" s="12" t="inlineStr">
        <is>
          <t>~$32,283/yr</t>
        </is>
      </c>
      <c r="E4" s="3" t="n"/>
      <c r="F4" s="4" t="n"/>
      <c r="G4" s="12" t="inlineStr">
        <is>
          <t>Baseline (max SE tax)</t>
        </is>
      </c>
      <c r="H4" s="4" t="n"/>
    </row>
    <row r="5" ht="15" customHeight="1">
      <c r="A5" s="11" t="inlineStr">
        <is>
          <t>QBI Deduction</t>
        </is>
      </c>
      <c r="B5" s="3" t="n"/>
      <c r="C5" s="4" t="n"/>
      <c r="D5" s="97" t="inlineStr">
        <is>
          <t>20% of W-2 wages + allocable basis</t>
        </is>
      </c>
      <c r="E5" s="3" t="n"/>
      <c r="F5" s="4" t="n"/>
      <c r="G5" s="97" t="inlineStr">
        <is>
          <t>20% of net income (simpler)</t>
        </is>
      </c>
      <c r="H5" s="4" t="n"/>
    </row>
    <row r="6" ht="15" customHeight="1">
      <c r="A6" s="11" t="inlineStr">
        <is>
          <t>Reasonable Compensation</t>
        </is>
      </c>
      <c r="B6" s="3" t="n"/>
      <c r="C6" s="4" t="n"/>
      <c r="D6" s="12" t="inlineStr">
        <is>
          <t>Required ($60,000 configured in the app)</t>
        </is>
      </c>
      <c r="E6" s="3" t="n"/>
      <c r="F6" s="4" t="n"/>
      <c r="G6" s="12" t="inlineStr">
        <is>
          <t>Not applicable</t>
        </is>
      </c>
      <c r="H6" s="4" t="n"/>
    </row>
    <row r="7" ht="15" customHeight="1">
      <c r="A7" s="11" t="inlineStr">
        <is>
          <t>Administrative Cost</t>
        </is>
      </c>
      <c r="B7" s="3" t="n"/>
      <c r="C7" s="4" t="n"/>
      <c r="D7" s="97" t="inlineStr">
        <is>
          <t>$1,500–$3,000/yr (payroll, returns)</t>
        </is>
      </c>
      <c r="E7" s="3" t="n"/>
      <c r="F7" s="4" t="n"/>
      <c r="G7" s="97" t="inlineStr">
        <is>
          <t>$200–$500/yr (simpler)</t>
        </is>
      </c>
      <c r="H7" s="4" t="n"/>
    </row>
    <row r="8" ht="15" customHeight="1">
      <c r="A8" s="11" t="inlineStr">
        <is>
          <t>Illinois Corp Surcharge</t>
        </is>
      </c>
      <c r="B8" s="3" t="n"/>
      <c r="C8" s="4" t="n"/>
      <c r="D8" s="12" t="inlineStr">
        <is>
          <t>1.5% on taxable income</t>
        </is>
      </c>
      <c r="E8" s="3" t="n"/>
      <c r="F8" s="4" t="n"/>
      <c r="G8" s="12" t="inlineStr">
        <is>
          <t>None</t>
        </is>
      </c>
      <c r="H8" s="4" t="n"/>
    </row>
    <row r="9" ht="15" customHeight="1">
      <c r="A9" s="11" t="inlineStr">
        <is>
          <t>SEHI Deduction</t>
        </is>
      </c>
      <c r="B9" s="3" t="n"/>
      <c r="C9" s="4" t="n"/>
      <c r="D9" s="97" t="inlineStr">
        <is>
          <t>Added to W-2 box 1; deducted via Sch 1</t>
        </is>
      </c>
      <c r="E9" s="3" t="n"/>
      <c r="F9" s="4" t="n"/>
      <c r="G9" s="97" t="inlineStr">
        <is>
          <t>Deducted directly on Sch 1</t>
        </is>
      </c>
      <c r="H9" s="4" t="n"/>
    </row>
    <row r="10" ht="15" customHeight="1">
      <c r="A10" s="11" t="inlineStr">
        <is>
          <t>Retirement Contributions</t>
        </is>
      </c>
      <c r="B10" s="3" t="n"/>
      <c r="C10" s="4" t="n"/>
      <c r="D10" s="12" t="inlineStr">
        <is>
          <t>Up to $70K total (employer + employee)</t>
        </is>
      </c>
      <c r="E10" s="3" t="n"/>
      <c r="F10" s="4" t="n"/>
      <c r="G10" s="12" t="inlineStr">
        <is>
          <t>Same cap</t>
        </is>
      </c>
      <c r="H10" s="4" t="n"/>
    </row>
    <row r="11" ht="15" customHeight="1">
      <c r="A11" s="11" t="inlineStr">
        <is>
          <t>Audit Risk</t>
        </is>
      </c>
      <c r="B11" s="3" t="n"/>
      <c r="C11" s="4" t="n"/>
      <c r="D11" s="97" t="inlineStr">
        <is>
          <t>Moderate (reasonable salary scrutiny)</t>
        </is>
      </c>
      <c r="E11" s="3" t="n"/>
      <c r="F11" s="4" t="n"/>
      <c r="G11" s="97" t="inlineStr">
        <is>
          <t>Higher SE income triggers</t>
        </is>
      </c>
      <c r="H11" s="4" t="n"/>
    </row>
    <row r="12" ht="30" customHeight="1">
      <c r="A12" s="92" t="inlineStr">
        <is>
          <t>Recommended at this income</t>
        </is>
      </c>
      <c r="B12" s="3" t="n"/>
      <c r="C12" s="4" t="n"/>
      <c r="D12" s="75" t="inlineStr">
        <is>
          <t>★ YES — net savings ~$29,783/yr</t>
        </is>
      </c>
      <c r="E12" s="3" t="n"/>
      <c r="F12" s="4" t="n"/>
      <c r="G12" s="76" t="inlineStr">
        <is>
          <t>Not recommended above $100K net income</t>
        </is>
      </c>
      <c r="H12" s="4" t="n"/>
    </row>
    <row r="13"/>
    <row r="14" ht="60" customHeight="1">
      <c r="A14" s="112" t="inlineStr">
        <is>
          <t>At $290,000 gross income with $60,000 reasonable salary, the S-Corp saves approximately $32,283 in payroll taxes less ~$2,500 in administrative overhead = net $29,783/yr benefit. Illinois 1.5% corporate surcharge applies on distributable income. Annuity PV/reserve figures elsewhere in the workbook are calibration-dependent and should be refreshed against current carrier illustrations before sale/replacement decisions.</t>
        </is>
      </c>
      <c r="B14" s="3" t="n"/>
      <c r="C14" s="3" t="n"/>
      <c r="D14" s="3" t="n"/>
      <c r="E14" s="3" t="n"/>
      <c r="F14" s="3" t="n"/>
      <c r="G14" s="3" t="n"/>
      <c r="H14" s="4" t="n"/>
    </row>
  </sheetData>
  <mergeCells count="35">
    <mergeCell ref="D2:F2"/>
    <mergeCell ref="G12:H12"/>
    <mergeCell ref="D11:F11"/>
    <mergeCell ref="G2:H2"/>
    <mergeCell ref="G11:H11"/>
    <mergeCell ref="A3:C3"/>
    <mergeCell ref="A1:H1"/>
    <mergeCell ref="A12:C12"/>
    <mergeCell ref="D7:F7"/>
    <mergeCell ref="G8:H8"/>
    <mergeCell ref="A2:C2"/>
    <mergeCell ref="G9:H9"/>
    <mergeCell ref="A5:C5"/>
    <mergeCell ref="G7:H7"/>
    <mergeCell ref="A8:C8"/>
    <mergeCell ref="D4:F4"/>
    <mergeCell ref="G10:H10"/>
    <mergeCell ref="D12:F12"/>
    <mergeCell ref="D3:F3"/>
    <mergeCell ref="D9:F9"/>
    <mergeCell ref="G6:H6"/>
    <mergeCell ref="A4:C4"/>
    <mergeCell ref="D8:F8"/>
    <mergeCell ref="G3:H3"/>
    <mergeCell ref="A10:C10"/>
    <mergeCell ref="D5:F5"/>
    <mergeCell ref="G5:H5"/>
    <mergeCell ref="A9:C9"/>
    <mergeCell ref="A14:H14"/>
    <mergeCell ref="D10:F10"/>
    <mergeCell ref="G4:H4"/>
    <mergeCell ref="A11:C11"/>
    <mergeCell ref="A6:C6"/>
    <mergeCell ref="A7:C7"/>
    <mergeCell ref="D6:F6"/>
  </mergeCells>
  <pageMargins left="0.75" right="0.75" top="1" bottom="1" header="0.5" footer="0.5"/>
</worksheet>
</file>

<file path=xl/worksheets/sheet16.xml><?xml version="1.0" encoding="utf-8"?>
<worksheet xmlns="http://schemas.openxmlformats.org/spreadsheetml/2006/main">
  <sheetPr>
    <tabColor rgb="007030A0"/>
    <outlinePr summaryBelow="1" summaryRight="1"/>
    <pageSetUpPr/>
  </sheetPr>
  <dimension ref="A1:H28"/>
  <sheetViews>
    <sheetView showGridLines="0" workbookViewId="0">
      <selection activeCell="A1" sqref="A1"/>
    </sheetView>
  </sheetViews>
  <sheetFormatPr baseColWidth="8" defaultRowHeight="15"/>
  <cols>
    <col width="16.1" customWidth="1" min="1" max="1"/>
    <col width="16.5" customWidth="1" min="2" max="2"/>
    <col width="16.5" customWidth="1" min="3" max="3"/>
    <col width="14.8" customWidth="1" min="4" max="4"/>
    <col width="16.5" customWidth="1" min="5" max="5"/>
    <col width="16.5" customWidth="1" min="6" max="6"/>
    <col width="10.6" customWidth="1" min="7" max="7"/>
    <col width="10.6" customWidth="1" min="8" max="8"/>
  </cols>
  <sheetData>
    <row r="1" ht="18" customHeight="1">
      <c r="A1" s="9" t="inlineStr">
        <is>
          <t>CHARITABLE GIVING — Cash vs DAF vs QCD</t>
        </is>
      </c>
    </row>
    <row r="2"/>
    <row r="3" ht="15" customHeight="1">
      <c r="A3" s="13" t="inlineStr">
        <is>
          <t>Giving Vehicle Comparison</t>
        </is>
      </c>
      <c r="B3" s="3" t="n"/>
      <c r="C3" s="3" t="n"/>
      <c r="D3" s="3" t="n"/>
      <c r="E3" s="3" t="n"/>
      <c r="F3" s="4" t="n"/>
    </row>
    <row r="4" ht="30" customHeight="1">
      <c r="A4" s="5" t="inlineStr">
        <is>
          <t>Vehicle</t>
        </is>
      </c>
      <c r="B4" s="5" t="inlineStr">
        <is>
          <t>Best Used When</t>
        </is>
      </c>
      <c r="C4" s="5" t="inlineStr">
        <is>
          <t>Tax Savings</t>
        </is>
      </c>
      <c r="D4" s="5" t="inlineStr">
        <is>
          <t>Net Cost to Donor</t>
        </is>
      </c>
      <c r="E4" s="5" t="inlineStr">
        <is>
          <t>Gross Value to Charity</t>
        </is>
      </c>
      <c r="F4" s="5" t="inlineStr">
        <is>
          <t>Recommended?</t>
        </is>
      </c>
    </row>
    <row r="5" ht="60" customHeight="1">
      <c r="A5" s="12" t="inlineStr">
        <is>
          <t>Cash / Check</t>
        </is>
      </c>
      <c r="B5" s="12" t="inlineStr">
        <is>
          <t>Always available; simple</t>
        </is>
      </c>
      <c r="C5" s="12" t="inlineStr">
        <is>
          <t>Deductible only if itemizing (SALT cap constrains)</t>
        </is>
      </c>
      <c r="D5" s="12" t="inlineStr">
        <is>
          <t>Dollar-for-dollar</t>
        </is>
      </c>
      <c r="E5" s="12" t="inlineStr">
        <is>
          <t>Full gift</t>
        </is>
      </c>
      <c r="F5" s="12" t="inlineStr">
        <is>
          <t>Secondary — use when already itemizing</t>
        </is>
      </c>
    </row>
    <row r="6" ht="75" customHeight="1">
      <c r="A6" s="12" t="inlineStr">
        <is>
          <t>Donor Advised Fund (DAF)</t>
        </is>
      </c>
      <c r="B6" s="12" t="inlineStr">
        <is>
          <t>High-income years; bunch 3-5 years of gifts into one year</t>
        </is>
      </c>
      <c r="C6" s="12" t="inlineStr">
        <is>
          <t>Full deduction in contribution year; invest tax-free; distribute over time</t>
        </is>
      </c>
      <c r="D6" s="12" t="inlineStr">
        <is>
          <t>Reduced by tax savings</t>
        </is>
      </c>
      <c r="E6" s="12" t="inlineStr">
        <is>
          <t>Full gift (potentially grown)</t>
        </is>
      </c>
      <c r="F6" s="75" t="inlineStr">
        <is>
          <t>★ PRIMARY — High-income years</t>
        </is>
      </c>
    </row>
    <row r="7" ht="75" customHeight="1">
      <c r="A7" s="12" t="inlineStr">
        <is>
          <t>QCD (from IRA)</t>
        </is>
      </c>
      <c r="B7" s="12" t="inlineStr">
        <is>
          <t>After RMD start age (2037 for Matthew); up to $108K/person/yr</t>
        </is>
      </c>
      <c r="C7" s="12" t="inlineStr">
        <is>
          <t>Excluded from AGI entirely — bypasses SALT calculus; counts toward RMD</t>
        </is>
      </c>
      <c r="D7" s="12" t="inlineStr">
        <is>
          <t>Reduced by avoided tax</t>
        </is>
      </c>
      <c r="E7" s="12" t="inlineStr">
        <is>
          <t>Full gift direct to charity</t>
        </is>
      </c>
      <c r="F7" s="75" t="inlineStr">
        <is>
          <t>★ PRIMARY — 2037+</t>
        </is>
      </c>
    </row>
    <row r="8"/>
    <row r="9"/>
    <row r="10" ht="15" customHeight="1">
      <c r="A10" s="10" t="inlineStr">
        <is>
          <t>SALT-Cap Strategy by Phase</t>
        </is>
      </c>
      <c r="B10" s="3" t="n"/>
      <c r="C10" s="3" t="n"/>
      <c r="D10" s="3" t="n"/>
      <c r="E10" s="3" t="n"/>
      <c r="F10" s="4" t="n"/>
    </row>
    <row r="11" ht="30" customHeight="1">
      <c r="A11" s="11" t="inlineStr">
        <is>
          <t>Highest-income year</t>
        </is>
      </c>
      <c r="B11" s="12" t="inlineStr">
        <is>
          <t>Bundle 3 years of charitable giving into a DAF contribution. SALT cap is $40,400; likely itemizing. Deduction maximized.</t>
        </is>
      </c>
      <c r="C11" s="3" t="n"/>
      <c r="D11" s="3" t="n"/>
      <c r="E11" s="3" t="n"/>
      <c r="F11" s="4" t="n"/>
    </row>
    <row r="12" ht="30" customHeight="1">
      <c r="A12" s="11" t="inlineStr">
        <is>
          <t>Subsequent high-income years</t>
        </is>
      </c>
      <c r="B12" s="12" t="inlineStr">
        <is>
          <t>SALT cap $40,804–$41,624. Test itemize vs. standard each year. Continue DAF distributions as desired.</t>
        </is>
      </c>
      <c r="C12" s="3" t="n"/>
      <c r="D12" s="3" t="n"/>
      <c r="E12" s="3" t="n"/>
      <c r="F12" s="4" t="n"/>
    </row>
    <row r="13" ht="30" customHeight="1">
      <c r="A13" s="11" t="inlineStr">
        <is>
          <t>Pre-statutory-change year</t>
        </is>
      </c>
      <c r="B13" s="12" t="inlineStr">
        <is>
          <t>Consider a second large DAF contribution to capture high SALT cap before it reverts.</t>
        </is>
      </c>
      <c r="C13" s="3" t="n"/>
      <c r="D13" s="3" t="n"/>
      <c r="E13" s="3" t="n"/>
      <c r="F13" s="4" t="n"/>
    </row>
    <row r="14" ht="30" customHeight="1">
      <c r="A14" s="11" t="inlineStr">
        <is>
          <t>Post-statutory-change years</t>
        </is>
      </c>
      <c r="B14" s="12" t="inlineStr">
        <is>
          <t>Itemizing becomes less common. Standard deduction likely wins. Shift giving to QCDs when eligible.</t>
        </is>
      </c>
      <c r="C14" s="3" t="n"/>
      <c r="D14" s="3" t="n"/>
      <c r="E14" s="3" t="n"/>
      <c r="F14" s="4" t="n"/>
    </row>
    <row r="15" ht="30" customHeight="1">
      <c r="A15" s="11" t="inlineStr">
        <is>
          <t>2037+ (RMD Era)</t>
        </is>
      </c>
      <c r="B15" s="12" t="inlineStr">
        <is>
          <t>QCDs up to $108K/person/yr. Counts toward RMD, excluded from AGI. Optimal — no SALT impact at all.</t>
        </is>
      </c>
      <c r="C15" s="3" t="n"/>
      <c r="D15" s="3" t="n"/>
      <c r="E15" s="3" t="n"/>
      <c r="F15" s="4" t="n"/>
    </row>
    <row r="16"/>
    <row r="17"/>
    <row r="18" ht="15" customHeight="1">
      <c r="A18" s="13" t="inlineStr">
        <is>
          <t>DAF OPTIMIZATION — Recommended Contribution Amount &amp; Year</t>
        </is>
      </c>
      <c r="B18" s="3" t="n"/>
      <c r="C18" s="3" t="n"/>
      <c r="D18" s="3" t="n"/>
      <c r="E18" s="3" t="n"/>
      <c r="F18" s="4" t="n"/>
    </row>
    <row r="19" ht="30" customHeight="1">
      <c r="A19" s="5" t="inlineStr">
        <is>
          <t>Parameter</t>
        </is>
      </c>
      <c r="B19" s="4" t="n"/>
      <c r="C19" s="5" t="inlineStr">
        <is>
          <t>Recommended</t>
        </is>
      </c>
      <c r="D19" s="5" t="inlineStr">
        <is>
          <t>Current database setting</t>
        </is>
      </c>
      <c r="E19" s="5" t="inlineStr">
        <is>
          <t>Notes</t>
        </is>
      </c>
      <c r="F19" s="4" t="n"/>
    </row>
    <row r="20" ht="15" customHeight="1">
      <c r="A20" s="11" t="inlineStr">
        <is>
          <t>Toggle</t>
        </is>
      </c>
      <c r="B20" s="4" t="n"/>
      <c r="C20" s="114" t="inlineStr">
        <is>
          <t>TRUE</t>
        </is>
      </c>
      <c r="D20" s="75" t="inlineStr">
        <is>
          <t>False</t>
        </is>
      </c>
      <c r="E20" s="12" t="inlineStr">
        <is>
          <t>Enable DAF in Plan Data / System</t>
        </is>
      </c>
      <c r="F20" s="4" t="n"/>
    </row>
    <row r="21" ht="30" customHeight="1">
      <c r="A21" s="11" t="inlineStr">
        <is>
          <t>Contribution Year</t>
        </is>
      </c>
      <c r="B21" s="4" t="n"/>
      <c r="C21" s="114" t="inlineStr">
        <is>
          <t>2026</t>
        </is>
      </c>
      <c r="D21" s="112" t="inlineStr">
        <is>
          <t>2026</t>
        </is>
      </c>
      <c r="E21" s="12" t="inlineStr">
        <is>
          <t>Highest income year; max SALT headroom</t>
        </is>
      </c>
      <c r="F21" s="4" t="n"/>
    </row>
    <row r="22" ht="30" customHeight="1">
      <c r="A22" s="11" t="inlineStr">
        <is>
          <t>Contribution Amount</t>
        </is>
      </c>
      <c r="B22" s="4" t="n"/>
      <c r="C22" s="114" t="inlineStr">
        <is>
          <t>$20,000</t>
        </is>
      </c>
      <c r="D22" s="112" t="inlineStr">
        <is>
          <t>$20,000</t>
        </is>
      </c>
      <c r="E22" s="12" t="inlineStr">
        <is>
          <t>5 yrs × $4,000/yr avg; ≤ 60% AGI limit $156,600</t>
        </is>
      </c>
      <c r="F22" s="4" t="n"/>
    </row>
    <row r="23" ht="30" customHeight="1">
      <c r="A23" s="11" t="inlineStr">
        <is>
          <t>Est. Tax Savings</t>
        </is>
      </c>
      <c r="B23" s="4" t="n"/>
      <c r="C23" s="114" t="inlineStr">
        <is>
          <t>$4,800</t>
        </is>
      </c>
      <c r="D23" s="75" t="inlineStr">
        <is>
          <t>N/A</t>
        </is>
      </c>
      <c r="E23" s="12" t="inlineStr">
        <is>
          <t>At 24% marginal rate; actual depends on final AGI</t>
        </is>
      </c>
      <c r="F23" s="4" t="n"/>
    </row>
    <row r="24" ht="30" customHeight="1">
      <c r="A24" s="11" t="inlineStr">
        <is>
          <t>Annual Grant Amount</t>
        </is>
      </c>
      <c r="B24" s="4" t="n"/>
      <c r="C24" s="114" t="inlineStr">
        <is>
          <t>$4,000/yr</t>
        </is>
      </c>
      <c r="D24" s="112" t="inlineStr">
        <is>
          <t>$4,000/yr</t>
        </is>
      </c>
      <c r="E24" s="12" t="inlineStr">
        <is>
          <t>Replace ongoing charitable cash spending from DAF</t>
        </is>
      </c>
      <c r="F24" s="4" t="n"/>
    </row>
    <row r="25" ht="30" customHeight="1">
      <c r="A25" s="11" t="inlineStr">
        <is>
          <t>Grant Start Year</t>
        </is>
      </c>
      <c r="B25" s="4" t="n"/>
      <c r="C25" s="114" t="inlineStr">
        <is>
          <t>2027</t>
        </is>
      </c>
      <c r="D25" s="112" t="inlineStr">
        <is>
          <t>2027</t>
        </is>
      </c>
      <c r="E25" s="12" t="inlineStr">
        <is>
          <t>Begin distributing year after contribution</t>
        </is>
      </c>
      <c r="F25" s="4" t="n"/>
    </row>
    <row r="26" ht="15" customHeight="1">
      <c r="A26" s="11" t="inlineStr">
        <is>
          <t>Grant End Year</t>
        </is>
      </c>
      <c r="B26" s="4" t="n"/>
      <c r="C26" s="114" t="inlineStr">
        <is>
          <t>2031</t>
        </is>
      </c>
      <c r="D26" s="112" t="inlineStr">
        <is>
          <t>2031</t>
        </is>
      </c>
      <c r="E26" s="12" t="inlineStr">
        <is>
          <t>Spread over 5 years</t>
        </is>
      </c>
      <c r="F26" s="4" t="n"/>
    </row>
    <row r="27"/>
    <row r="28" ht="45" customHeight="1">
      <c r="A28" s="115" t="inlineStr">
        <is>
          <t>ACTION: To activate DAF, add these rows to Plan Data import/export under section=DAF, subsection=Settings: enabled=TRUE, contribution_amount=20,000, contribution_year=&lt;selected_year&gt;, annual_grant_amount=4,000, grant_start_year=2027, grant_end_year=2031</t>
        </is>
      </c>
      <c r="B28" s="3" t="n"/>
      <c r="C28" s="3" t="n"/>
      <c r="D28" s="3" t="n"/>
      <c r="E28" s="3" t="n"/>
      <c r="F28" s="4" t="n"/>
    </row>
  </sheetData>
  <mergeCells count="26">
    <mergeCell ref="A24:B24"/>
    <mergeCell ref="E24:F24"/>
    <mergeCell ref="E23:F23"/>
    <mergeCell ref="A18:F18"/>
    <mergeCell ref="A1:H1"/>
    <mergeCell ref="A3:F3"/>
    <mergeCell ref="B12:F12"/>
    <mergeCell ref="E20:F20"/>
    <mergeCell ref="A25:B25"/>
    <mergeCell ref="B11:F11"/>
    <mergeCell ref="E19:F19"/>
    <mergeCell ref="B14:F14"/>
    <mergeCell ref="B13:F13"/>
    <mergeCell ref="A26:B26"/>
    <mergeCell ref="A21:B21"/>
    <mergeCell ref="A10:F10"/>
    <mergeCell ref="A28:F28"/>
    <mergeCell ref="A23:B23"/>
    <mergeCell ref="E26:F26"/>
    <mergeCell ref="A22:B22"/>
    <mergeCell ref="A20:B20"/>
    <mergeCell ref="B15:F15"/>
    <mergeCell ref="A19:B19"/>
    <mergeCell ref="E25:F25"/>
    <mergeCell ref="E22:F22"/>
    <mergeCell ref="E21:F21"/>
  </mergeCells>
  <pageMargins left="0.75" right="0.75" top="1" bottom="1" header="0.5" footer="0.5"/>
</worksheet>
</file>

<file path=xl/worksheets/sheet17.xml><?xml version="1.0" encoding="utf-8"?>
<worksheet xmlns="http://schemas.openxmlformats.org/spreadsheetml/2006/main">
  <sheetPr>
    <tabColor rgb="007030A0"/>
    <outlinePr summaryBelow="1" summaryRight="1"/>
    <pageSetUpPr/>
  </sheetPr>
  <dimension ref="A1:H43"/>
  <sheetViews>
    <sheetView showGridLines="0" workbookViewId="0">
      <selection activeCell="A1" sqref="A1"/>
    </sheetView>
  </sheetViews>
  <sheetFormatPr baseColWidth="8" defaultRowHeight="15"/>
  <cols>
    <col width="20.6" customWidth="1" min="1" max="1"/>
    <col width="22.7" customWidth="1" min="2" max="2"/>
    <col width="12.4" customWidth="1" min="3" max="3"/>
    <col width="12.4" customWidth="1" min="4" max="4"/>
    <col width="12.4" customWidth="1" min="5" max="5"/>
    <col width="12.4" customWidth="1" min="6" max="6"/>
    <col width="12.4" customWidth="1" min="7" max="7"/>
    <col width="12.4" customWidth="1" min="8" max="8"/>
  </cols>
  <sheetData>
    <row r="1" ht="18" customHeight="1">
      <c r="A1" s="9" t="inlineStr">
        <is>
          <t>ESTATE &amp; LEGACY PLAN</t>
        </is>
      </c>
    </row>
    <row r="2"/>
    <row r="3" ht="15" customHeight="1">
      <c r="A3" s="13" t="inlineStr">
        <is>
          <t>Projected Gross Estate</t>
        </is>
      </c>
      <c r="B3" s="3" t="n"/>
      <c r="C3" s="3" t="n"/>
      <c r="D3" s="4" t="n"/>
    </row>
    <row r="4" ht="30" customHeight="1">
      <c r="A4" s="11" t="inlineStr">
        <is>
          <t>At First Death (2054)</t>
        </is>
      </c>
      <c r="B4" s="105" t="n">
        <v>6155895.459031032</v>
      </c>
    </row>
    <row r="5" ht="30" customHeight="1">
      <c r="A5" s="11" t="inlineStr">
        <is>
          <t>At Second Death (2056)</t>
        </is>
      </c>
      <c r="B5" s="105" t="n">
        <v>6103848.09961433</v>
      </c>
    </row>
    <row r="6"/>
    <row r="7" ht="15" customHeight="1">
      <c r="A7" s="10" t="inlineStr">
        <is>
          <t>Federal Estate Tax</t>
        </is>
      </c>
      <c r="B7" s="3" t="n"/>
      <c r="C7" s="3" t="n"/>
      <c r="D7" s="4" t="n"/>
    </row>
    <row r="8" ht="30" customHeight="1">
      <c r="A8" s="12" t="inlineStr">
        <is>
          <t>Federal Exemption (MFJ, OBBBA)</t>
        </is>
      </c>
      <c r="B8" s="103" t="n">
        <v>30000000</v>
      </c>
    </row>
    <row r="9" ht="30" customHeight="1">
      <c r="A9" s="12" t="inlineStr">
        <is>
          <t>Projected Estate at Second Death</t>
        </is>
      </c>
      <c r="B9" s="103" t="n">
        <v>6103848.09961433</v>
      </c>
    </row>
    <row r="10" ht="30" customHeight="1">
      <c r="A10" s="2" t="inlineStr">
        <is>
          <t>Est. Federal Estate Tax</t>
        </is>
      </c>
      <c r="B10" s="105" t="n">
        <v>0</v>
      </c>
    </row>
    <row r="11" ht="45" customHeight="1">
      <c r="A11" s="12" t="inlineStr">
        <is>
          <t>Note</t>
        </is>
      </c>
      <c r="B11" s="12" t="inlineStr">
        <is>
          <t>Estate well below $30M exemption — no federal tax likely</t>
        </is>
      </c>
    </row>
    <row r="12"/>
    <row r="13" ht="15" customHeight="1">
      <c r="A13" s="17" t="inlineStr">
        <is>
          <t>Illinois Estate Tax (At Second Death)</t>
        </is>
      </c>
      <c r="B13" s="3" t="n"/>
      <c r="C13" s="3" t="n"/>
      <c r="D13" s="4" t="n"/>
    </row>
    <row r="14" ht="15" customHeight="1">
      <c r="A14" s="12" t="inlineStr">
        <is>
          <t>IL Exemption</t>
        </is>
      </c>
      <c r="B14" s="103" t="n">
        <v>4000000</v>
      </c>
    </row>
    <row r="15" ht="30" customHeight="1">
      <c r="A15" s="12" t="inlineStr">
        <is>
          <t>Estate over IL Exemption</t>
        </is>
      </c>
      <c r="B15" s="103" t="n">
        <v>2103848.09961433</v>
      </c>
    </row>
    <row r="16" ht="45" customHeight="1">
      <c r="A16" s="2" t="inlineStr">
        <is>
          <t>Est. IL Estate Tax (cliff/interrelated calc)</t>
        </is>
      </c>
      <c r="B16" s="116" t="n">
        <v>473626.5615534357</v>
      </c>
    </row>
    <row r="17" ht="90" customHeight="1">
      <c r="A17" s="117" t="inlineStr">
        <is>
          <t>⚠ ACTION REQUIRED</t>
        </is>
      </c>
      <c r="B17" s="76" t="inlineStr">
        <is>
          <t>Estate may exceed $4M IL exemption. Consider: annual gifting, ILIT, charitable bequest, or credit-shelter/QTIP trust. Calculation uses the IL cliff/interrelated structure, not a tax-on-excess shortcut.</t>
        </is>
      </c>
    </row>
    <row r="18"/>
    <row r="19" ht="15" customHeight="1">
      <c r="A19" s="13" t="inlineStr">
        <is>
          <t>Gifting Strategy</t>
        </is>
      </c>
      <c r="B19" s="3" t="n"/>
      <c r="C19" s="3" t="n"/>
      <c r="D19" s="4" t="n"/>
    </row>
    <row r="20" ht="30" customHeight="1">
      <c r="A20" s="11" t="inlineStr">
        <is>
          <t>Annual Exclusion per Donee</t>
        </is>
      </c>
      <c r="B20" s="12" t="inlineStr">
        <is>
          <t>$19,000.0 per recipient (tax reference year, indexed)</t>
        </is>
      </c>
      <c r="C20" s="3" t="n"/>
      <c r="D20" s="4" t="n"/>
    </row>
    <row r="21" ht="15" customHeight="1">
      <c r="A21" s="11" t="inlineStr">
        <is>
          <t>Trust Type</t>
        </is>
      </c>
      <c r="B21" s="12" t="inlineStr">
        <is>
          <t>Revocable Living Trust</t>
        </is>
      </c>
      <c r="C21" s="3" t="n"/>
      <c r="D21" s="4" t="n"/>
    </row>
    <row r="22" ht="45" customHeight="1">
      <c r="A22" s="11" t="inlineStr">
        <is>
          <t>Step-Up in Basis</t>
        </is>
      </c>
      <c r="B22" s="12" t="inlineStr">
        <is>
          <t>Non-retirement assets (Trust, home, autos) receive step-up at death; IRAs/401k do NOT — heirs pay ordinary income</t>
        </is>
      </c>
      <c r="C22" s="3" t="n"/>
      <c r="D22" s="4" t="n"/>
    </row>
    <row r="23" ht="45" customHeight="1">
      <c r="A23" s="11" t="inlineStr">
        <is>
          <t>Recommended Actions</t>
        </is>
      </c>
      <c r="B23" s="12" t="inlineStr">
        <is>
          <t>Max annual gifts; consider Roth conversions to reduce taxable IRA inherited by heirs; review beneficiary designations annually</t>
        </is>
      </c>
      <c r="C23" s="3" t="n"/>
      <c r="D23" s="4" t="n"/>
    </row>
    <row r="24"/>
    <row r="25" ht="15" customHeight="1">
      <c r="A25" s="5" t="inlineStr">
        <is>
          <t>QTIP Trust  [DISABLED — enable in Plan Data / System]</t>
        </is>
      </c>
      <c r="B25" s="3" t="n"/>
      <c r="C25" s="3" t="n"/>
      <c r="D25" s="4" t="n"/>
    </row>
    <row r="26" ht="15" customHeight="1">
      <c r="A26" s="118" t="inlineStr">
        <is>
          <t>Status</t>
        </is>
      </c>
      <c r="B26" s="112" t="inlineStr">
        <is>
          <t>DISABLED — consider enabling</t>
        </is>
      </c>
      <c r="C26" s="3" t="n"/>
      <c r="D26" s="4" t="n"/>
    </row>
    <row r="27" ht="15" customHeight="1">
      <c r="A27" s="118" t="inlineStr">
        <is>
          <t>Funding Amount</t>
        </is>
      </c>
      <c r="B27" s="112" t="inlineStr">
        <is>
          <t>All remaining marital assets</t>
        </is>
      </c>
      <c r="C27" s="3" t="n"/>
      <c r="D27" s="4" t="n"/>
    </row>
    <row r="28" ht="45" customHeight="1">
      <c r="A28" s="118" t="inlineStr">
        <is>
          <t>Purpose</t>
        </is>
      </c>
      <c r="B28" s="112" t="inlineStr">
        <is>
          <t>Qualifies for unlimited marital deduction; surviving spouse receives all income; executor controls remainder beneficiaries</t>
        </is>
      </c>
      <c r="C28" s="3" t="n"/>
      <c r="D28" s="4" t="n"/>
    </row>
    <row r="29" ht="30" customHeight="1">
      <c r="A29" s="118" t="inlineStr">
        <is>
          <t>Manages Annuity</t>
        </is>
      </c>
      <c r="B29" s="112" t="inlineStr">
        <is>
          <t>YES — annuity income flows to QTIP trustee after first death</t>
        </is>
      </c>
      <c r="C29" s="3" t="n"/>
      <c r="D29" s="4" t="n"/>
    </row>
    <row r="30" ht="45" customHeight="1">
      <c r="A30" s="118" t="inlineStr">
        <is>
          <t>Tax Effect</t>
        </is>
      </c>
      <c r="B30" s="112" t="inlineStr">
        <is>
          <t>Defers estate tax on marital share to second death; QTIP assets included in survivor's gross estate</t>
        </is>
      </c>
      <c r="C30" s="3" t="n"/>
      <c r="D30" s="4" t="n"/>
    </row>
    <row r="31" ht="30" customHeight="1">
      <c r="A31" s="118" t="inlineStr">
        <is>
          <t>Key Requirement</t>
        </is>
      </c>
      <c r="B31" s="112" t="inlineStr">
        <is>
          <t>Executor must file QTIP election on Form 706 by estate tax return due date</t>
        </is>
      </c>
      <c r="C31" s="3" t="n"/>
      <c r="D31" s="4" t="n"/>
    </row>
    <row r="32" ht="15" customHeight="1">
      <c r="A32" s="118" t="inlineStr">
        <is>
          <t>Cost</t>
        </is>
      </c>
      <c r="B32" s="112" t="inlineStr">
        <is>
          <t>$3,000–$5,000 drafting; $1,000–$2,000/yr admin</t>
        </is>
      </c>
      <c r="C32" s="3" t="n"/>
      <c r="D32" s="4" t="n"/>
    </row>
    <row r="33"/>
    <row r="34" ht="15" customHeight="1">
      <c r="A34" s="20" t="inlineStr">
        <is>
          <t>Credit Shelter Trust (Bypass Trust)  [ENABLED]</t>
        </is>
      </c>
      <c r="B34" s="3" t="n"/>
      <c r="C34" s="3" t="n"/>
      <c r="D34" s="4" t="n"/>
    </row>
    <row r="35" ht="15" customHeight="1">
      <c r="A35" s="92" t="inlineStr">
        <is>
          <t>Status</t>
        </is>
      </c>
      <c r="B35" s="75" t="inlineStr">
        <is>
          <t>ENABLED — Credit Shelter Trust in place</t>
        </is>
      </c>
      <c r="C35" s="3" t="n"/>
      <c r="D35" s="4" t="n"/>
    </row>
    <row r="36" ht="15" customHeight="1">
      <c r="A36" s="92" t="inlineStr">
        <is>
          <t>Funding Amount</t>
        </is>
      </c>
      <c r="B36" s="75" t="inlineStr">
        <is>
          <t>$4,000,000 (= IL exemption amount)</t>
        </is>
      </c>
      <c r="C36" s="3" t="n"/>
      <c r="D36" s="4" t="n"/>
    </row>
    <row r="37" ht="30" customHeight="1">
      <c r="A37" s="92" t="inlineStr">
        <is>
          <t>Purpose</t>
        </is>
      </c>
      <c r="B37" s="75" t="inlineStr">
        <is>
          <t>Assets bypass survivor estate for IL purposes. Preserves the $4,000,000 IL exemption.</t>
        </is>
      </c>
      <c r="C37" s="3" t="n"/>
      <c r="D37" s="4" t="n"/>
    </row>
    <row r="38" ht="30" customHeight="1">
      <c r="A38" s="92" t="inlineStr">
        <is>
          <t>Projected IL Tax Saved</t>
        </is>
      </c>
      <c r="B38" s="75" t="inlineStr">
        <is>
          <t>~$320,000 (approx 8% avg rate on $4,000,000 bypass amount)</t>
        </is>
      </c>
      <c r="C38" s="3" t="n"/>
      <c r="D38" s="4" t="n"/>
    </row>
    <row r="39" ht="45" customHeight="1">
      <c r="A39" s="92" t="inlineStr">
        <is>
          <t>Mechanism</t>
        </is>
      </c>
      <c r="B39" s="75" t="inlineStr">
        <is>
          <t>First-to-die funds trust up to IL exemption; survivor has limited access (income, HEMS); remainder passes to heirs free of IL estate tax</t>
        </is>
      </c>
      <c r="C39" s="3" t="n"/>
      <c r="D39" s="4" t="n"/>
    </row>
    <row r="40" ht="30" customHeight="1">
      <c r="A40" s="92" t="inlineStr">
        <is>
          <t>Federal Effect</t>
        </is>
      </c>
      <c r="B40" s="75" t="inlineStr">
        <is>
          <t>No federal benefit (OBBBA $30M exemption covers this estate); pure IL tax play</t>
        </is>
      </c>
      <c r="C40" s="3" t="n"/>
      <c r="D40" s="4" t="n"/>
    </row>
    <row r="41" ht="30" customHeight="1">
      <c r="A41" s="92" t="inlineStr">
        <is>
          <t>Portability</t>
        </is>
      </c>
      <c r="B41" s="75" t="inlineStr">
        <is>
          <t>Illinois has NO portability — unused exemption at first death is LOST without this trust</t>
        </is>
      </c>
      <c r="C41" s="3" t="n"/>
      <c r="D41" s="4" t="n"/>
    </row>
    <row r="42" ht="30" customHeight="1">
      <c r="A42" s="92" t="inlineStr">
        <is>
          <t>Cost</t>
        </is>
      </c>
      <c r="B42" s="75" t="inlineStr">
        <is>
          <t>$3,000–$5,000 drafting; trustee fees ~0.5%/yr on trust assets</t>
        </is>
      </c>
      <c r="C42" s="3" t="n"/>
      <c r="D42" s="4" t="n"/>
    </row>
    <row r="43" ht="30" customHeight="1">
      <c r="A43" s="119" t="inlineStr">
        <is>
          <t>Recommendation</t>
        </is>
      </c>
      <c r="B43" s="119" t="inlineStr">
        <is>
          <t>STRONGLY RECOMMENDED — potential $320,000 IL estate tax savings</t>
        </is>
      </c>
      <c r="C43" s="3" t="n"/>
      <c r="D43" s="4" t="n"/>
    </row>
  </sheetData>
  <mergeCells count="27">
    <mergeCell ref="B42:D42"/>
    <mergeCell ref="B23:D23"/>
    <mergeCell ref="A19:D19"/>
    <mergeCell ref="A1:H1"/>
    <mergeCell ref="B29:D29"/>
    <mergeCell ref="B38:D38"/>
    <mergeCell ref="A13:D13"/>
    <mergeCell ref="B28:D28"/>
    <mergeCell ref="B37:D37"/>
    <mergeCell ref="A34:D34"/>
    <mergeCell ref="B40:D40"/>
    <mergeCell ref="B30:D30"/>
    <mergeCell ref="B20:D20"/>
    <mergeCell ref="B36:D36"/>
    <mergeCell ref="B41:D41"/>
    <mergeCell ref="B32:D32"/>
    <mergeCell ref="B35:D35"/>
    <mergeCell ref="B26:D26"/>
    <mergeCell ref="A7:D7"/>
    <mergeCell ref="A25:D25"/>
    <mergeCell ref="B31:D31"/>
    <mergeCell ref="B22:D22"/>
    <mergeCell ref="A3:D3"/>
    <mergeCell ref="B27:D27"/>
    <mergeCell ref="B21:D21"/>
    <mergeCell ref="B43:D43"/>
    <mergeCell ref="B39:D39"/>
  </mergeCells>
  <pageMargins left="0.75" right="0.75" top="1" bottom="1" header="0.5" footer="0.5"/>
</worksheet>
</file>

<file path=xl/worksheets/sheet18.xml><?xml version="1.0" encoding="utf-8"?>
<worksheet xmlns="http://schemas.openxmlformats.org/spreadsheetml/2006/main">
  <sheetPr>
    <tabColor rgb="007030A0"/>
    <outlinePr summaryBelow="1" summaryRight="1"/>
    <pageSetUpPr/>
  </sheetPr>
  <dimension ref="A1:J29"/>
  <sheetViews>
    <sheetView showGridLines="0" workbookViewId="0">
      <pane ySplit="10" topLeftCell="A11" activePane="bottomLeft" state="frozen"/>
      <selection pane="bottomLeft" activeCell="A1" sqref="A1"/>
    </sheetView>
  </sheetViews>
  <sheetFormatPr baseColWidth="8" defaultRowHeight="15"/>
  <cols>
    <col width="13.9" customWidth="1" min="1" max="1"/>
    <col width="16.4" customWidth="1" min="2" max="2"/>
    <col width="13.5" customWidth="1" min="3" max="3"/>
    <col width="9.4" customWidth="1" min="4" max="4"/>
    <col width="9.699999999999999" customWidth="1" min="5" max="5"/>
    <col width="9.699999999999999" customWidth="1" min="6" max="6"/>
    <col width="9.699999999999999" customWidth="1" min="7" max="7"/>
    <col width="9.699999999999999" customWidth="1" min="8" max="8"/>
    <col width="9.699999999999999" customWidth="1" min="9" max="9"/>
    <col width="16.4" customWidth="1" min="10" max="10"/>
  </cols>
  <sheetData>
    <row r="1" ht="18" customHeight="1">
      <c r="A1" s="69" t="inlineStr">
        <is>
          <t>2H. PLANNING LEVERS / SENSITIVITY DASHBOARD</t>
        </is>
      </c>
    </row>
    <row r="2"/>
    <row r="3" ht="30" customHeight="1">
      <c r="A3" s="120" t="inlineStr">
        <is>
          <t>Use this worksheet to screen changes before changing actual Plan Data and rebuilding. Yellow cells are editable test assumptions; results are directional estimates only.</t>
        </is>
      </c>
      <c r="B3" s="3" t="n"/>
      <c r="C3" s="3" t="n"/>
      <c r="D3" s="3" t="n"/>
      <c r="E3" s="3" t="n"/>
      <c r="F3" s="3" t="n"/>
      <c r="G3" s="3" t="n"/>
      <c r="H3" s="3" t="n"/>
      <c r="I3" s="3" t="n"/>
      <c r="J3" s="4" t="n"/>
    </row>
    <row r="4"/>
    <row r="5" ht="15" customHeight="1">
      <c r="A5" s="5" t="inlineStr">
        <is>
          <t>Current model anchor</t>
        </is>
      </c>
      <c r="B5" s="4" t="n"/>
    </row>
    <row r="6" ht="30" customHeight="1">
      <c r="A6" s="121" t="inlineStr">
        <is>
          <t>Terminal net worth</t>
        </is>
      </c>
      <c r="B6" s="103" t="n">
        <v>6103848.09961433</v>
      </c>
    </row>
    <row r="7" ht="30" customHeight="1">
      <c r="A7" s="121" t="inlineStr">
        <is>
          <t>Monte Carlo success</t>
        </is>
      </c>
      <c r="B7" s="70" t="n">
        <v>0.67</v>
      </c>
    </row>
    <row r="8" ht="30" customHeight="1">
      <c r="A8" s="121" t="inlineStr">
        <is>
          <t>Core annual spending</t>
        </is>
      </c>
      <c r="B8" s="103" t="n">
        <v>129059</v>
      </c>
    </row>
    <row r="9" ht="30" customHeight="1">
      <c r="A9" s="121" t="inlineStr">
        <is>
          <t>Earned income assumption</t>
        </is>
      </c>
      <c r="B9" s="103" t="n">
        <v>290000</v>
      </c>
    </row>
    <row r="10" ht="30" customHeight="1">
      <c r="A10" s="121" t="inlineStr">
        <is>
          <t>Remaining plan years</t>
        </is>
      </c>
      <c r="B10" s="122" t="n">
        <v>31</v>
      </c>
    </row>
    <row r="11"/>
    <row r="12" ht="30" customHeight="1">
      <c r="A12" s="5" t="inlineStr">
        <is>
          <t>Focus</t>
        </is>
      </c>
      <c r="B12" s="5" t="inlineStr">
        <is>
          <t>Lever</t>
        </is>
      </c>
      <c r="C12" s="5" t="inlineStr">
        <is>
          <t>Source Section</t>
        </is>
      </c>
      <c r="D12" s="5" t="inlineStr">
        <is>
          <t>Test Amount</t>
        </is>
      </c>
      <c r="E12" s="5" t="inlineStr">
        <is>
          <t>Unit</t>
        </is>
      </c>
      <c r="F12" s="5" t="inlineStr">
        <is>
          <t>Estimated Δ TNW</t>
        </is>
      </c>
      <c r="G12" s="5" t="inlineStr">
        <is>
          <t>Estimated Δ Success</t>
        </is>
      </c>
      <c r="H12" s="5" t="inlineStr">
        <is>
          <t>TNW Rank</t>
        </is>
      </c>
      <c r="I12" s="5" t="inlineStr">
        <is>
          <t>Success Rank</t>
        </is>
      </c>
      <c r="J12" s="5" t="inlineStr">
        <is>
          <t>Guidance</t>
        </is>
      </c>
    </row>
    <row r="13" ht="75" customHeight="1">
      <c r="A13" s="12" t="inlineStr">
        <is>
          <t>TNW</t>
        </is>
      </c>
      <c r="B13" s="2" t="inlineStr">
        <is>
          <t>Reduce recurring/core spending</t>
        </is>
      </c>
      <c r="C13" s="12" t="inlineStr">
        <is>
          <t>Spending Categories</t>
        </is>
      </c>
      <c r="D13" s="123" t="n">
        <v>10000</v>
      </c>
      <c r="E13" s="12" t="inlineStr">
        <is>
          <t>$/year</t>
        </is>
      </c>
      <c r="F13" s="103">
        <f>D13*$B$10*0.55</f>
        <v/>
      </c>
      <c r="G13" s="70">
        <f>MIN(0.30,MAX(-0.30,(D13/MAX(1,$B$8))*0.25))</f>
        <v/>
      </c>
      <c r="H13" s="122">
        <f>RANK.EQ(F13,$F$13:$F$22,0)</f>
        <v/>
      </c>
      <c r="I13" s="122">
        <f>RANK.EQ(G13,$G$13:$G$22,0)</f>
        <v/>
      </c>
      <c r="J13" s="124" t="inlineStr">
        <is>
          <t>Improves both TNW and success by lowering annual withdrawals.</t>
        </is>
      </c>
    </row>
    <row r="14" ht="75" customHeight="1">
      <c r="A14" s="12" t="inlineStr">
        <is>
          <t>TNW</t>
        </is>
      </c>
      <c r="B14" s="2" t="inlineStr">
        <is>
          <t>Work longer / retire later</t>
        </is>
      </c>
      <c r="C14" s="12" t="inlineStr">
        <is>
          <t>Retirement Timing</t>
        </is>
      </c>
      <c r="D14" s="125" t="n">
        <v>1</v>
      </c>
      <c r="E14" s="12" t="inlineStr">
        <is>
          <t>years</t>
        </is>
      </c>
      <c r="F14" s="103">
        <f>D14*($B$9*0.45+$B$8*0.25)</f>
        <v/>
      </c>
      <c r="G14" s="70">
        <f>MIN(0.30,MAX(-0.30,D14*0.08))</f>
        <v/>
      </c>
      <c r="H14" s="122">
        <f>RANK.EQ(F14,$F$13:$F$22,0)</f>
        <v/>
      </c>
      <c r="I14" s="122">
        <f>RANK.EQ(G14,$G$13:$G$22,0)</f>
        <v/>
      </c>
      <c r="J14" s="124" t="inlineStr">
        <is>
          <t>Usually the strongest lever because it adds income and delays withdrawals.</t>
        </is>
      </c>
    </row>
    <row r="15" ht="75" customHeight="1">
      <c r="A15" s="12" t="inlineStr">
        <is>
          <t>TNW</t>
        </is>
      </c>
      <c r="B15" s="2" t="inlineStr">
        <is>
          <t>Cut or delay large discretionary spending</t>
        </is>
      </c>
      <c r="C15" s="12" t="inlineStr">
        <is>
          <t>Large Discretionary</t>
        </is>
      </c>
      <c r="D15" s="123" t="n">
        <v>25000</v>
      </c>
      <c r="E15" s="12" t="inlineStr">
        <is>
          <t>$ one-time</t>
        </is>
      </c>
      <c r="F15" s="103">
        <f>D15</f>
        <v/>
      </c>
      <c r="G15" s="70">
        <f>MIN(0.30,MAX(-0.30,(D15/MAX(1,$B$8))*0.04))</f>
        <v/>
      </c>
      <c r="H15" s="122">
        <f>RANK.EQ(F15,$F$13:$F$22,0)</f>
        <v/>
      </c>
      <c r="I15" s="122">
        <f>RANK.EQ(G15,$G$13:$G$22,0)</f>
        <v/>
      </c>
      <c r="J15" s="124" t="inlineStr">
        <is>
          <t>Directly preserves liquidity and compounding capital.</t>
        </is>
      </c>
    </row>
    <row r="16" ht="75" customHeight="1">
      <c r="A16" s="12" t="inlineStr">
        <is>
          <t>TNW</t>
        </is>
      </c>
      <c r="B16" s="2" t="inlineStr">
        <is>
          <t>Preserve annual S-Corp tax advantage</t>
        </is>
      </c>
      <c r="C16" s="12" t="inlineStr">
        <is>
          <t>Entity &amp; Charitable</t>
        </is>
      </c>
      <c r="D16" s="123" t="n">
        <v>29000</v>
      </c>
      <c r="E16" s="12" t="inlineStr">
        <is>
          <t>$/year</t>
        </is>
      </c>
      <c r="F16" s="103">
        <f>D16*MIN(5,$B$10)*0.9</f>
        <v/>
      </c>
      <c r="G16" s="70">
        <f>MIN(0.30,MAX(-0.30,(D16/MAX(1,$B$8))*0.03))</f>
        <v/>
      </c>
      <c r="H16" s="122">
        <f>RANK.EQ(F16,$F$13:$F$22,0)</f>
        <v/>
      </c>
      <c r="I16" s="122">
        <f>RANK.EQ(G16,$G$13:$G$22,0)</f>
        <v/>
      </c>
      <c r="J16" s="124" t="inlineStr">
        <is>
          <t>Use the S-Corp vs LLC optimizer result if the actual benefit differs.</t>
        </is>
      </c>
    </row>
    <row r="17" ht="75" customHeight="1">
      <c r="A17" s="12" t="inlineStr">
        <is>
          <t>TNW</t>
        </is>
      </c>
      <c r="B17" s="2" t="inlineStr">
        <is>
          <t>Roth/tax optimization savings</t>
        </is>
      </c>
      <c r="C17" s="12" t="inlineStr">
        <is>
          <t>Roth Conversion</t>
        </is>
      </c>
      <c r="D17" s="123" t="n">
        <v>50000</v>
      </c>
      <c r="E17" s="12" t="inlineStr">
        <is>
          <t>$ total</t>
        </is>
      </c>
      <c r="F17" s="103">
        <f>D17</f>
        <v/>
      </c>
      <c r="G17" s="70">
        <f>0</f>
        <v/>
      </c>
      <c r="H17" s="122">
        <f>RANK.EQ(F17,$F$13:$F$22,0)</f>
        <v/>
      </c>
      <c r="I17" s="122">
        <f>RANK.EQ(G17,$G$13:$G$22,0)</f>
        <v/>
      </c>
      <c r="J17" s="124" t="inlineStr">
        <is>
          <t>Improves after-tax legacy; confirm near-term liquidity does not fall.</t>
        </is>
      </c>
    </row>
    <row r="18" ht="75" customHeight="1">
      <c r="A18" s="12" t="inlineStr">
        <is>
          <t>TNW</t>
        </is>
      </c>
      <c r="B18" s="2" t="inlineStr">
        <is>
          <t>Improve return without raising volatility</t>
        </is>
      </c>
      <c r="C18" s="12" t="inlineStr">
        <is>
          <t>Asset Allocation</t>
        </is>
      </c>
      <c r="D18" s="125" t="n">
        <v>25</v>
      </c>
      <c r="E18" s="12" t="inlineStr">
        <is>
          <t>bps/year</t>
        </is>
      </c>
      <c r="F18" s="103">
        <f>$B$6*(D18/10000)*$B$10*0.35</f>
        <v/>
      </c>
      <c r="G18" s="70">
        <f>MIN(0.30,MAX(-0.30,(D18/25)*0.01))</f>
        <v/>
      </c>
      <c r="H18" s="122">
        <f>RANK.EQ(F18,$F$13:$F$22,0)</f>
        <v/>
      </c>
      <c r="I18" s="122">
        <f>RANK.EQ(G18,$G$13:$G$22,0)</f>
        <v/>
      </c>
      <c r="J18" s="124" t="inlineStr">
        <is>
          <t>Only positive if volatility does not rise enough to reduce success.</t>
        </is>
      </c>
    </row>
    <row r="19" ht="75" customHeight="1">
      <c r="A19" s="12" t="inlineStr">
        <is>
          <t>Success</t>
        </is>
      </c>
      <c r="B19" s="2" t="inlineStr">
        <is>
          <t>Dedicated liquidity reserve</t>
        </is>
      </c>
      <c r="C19" s="12" t="inlineStr">
        <is>
          <t>Cash Reserves</t>
        </is>
      </c>
      <c r="D19" s="123" t="n">
        <v>50000</v>
      </c>
      <c r="E19" s="12" t="inlineStr">
        <is>
          <t>$ reserve</t>
        </is>
      </c>
      <c r="F19" s="103">
        <f>0</f>
        <v/>
      </c>
      <c r="G19" s="70">
        <f>MIN(0.30,MAX(-0.30,(D19/MAX(1,$B$8))*0.08))</f>
        <v/>
      </c>
      <c r="H19" s="122">
        <f>RANK.EQ(F19,$F$13:$F$22,0)</f>
        <v/>
      </c>
      <c r="I19" s="122">
        <f>RANK.EQ(G19,$G$13:$G$22,0)</f>
        <v/>
      </c>
      <c r="J19" s="124" t="inlineStr">
        <is>
          <t>Reduces forced selling after poor early returns.</t>
        </is>
      </c>
    </row>
    <row r="20" ht="75" customHeight="1">
      <c r="A20" s="12" t="inlineStr">
        <is>
          <t>Success</t>
        </is>
      </c>
      <c r="B20" s="2" t="inlineStr">
        <is>
          <t>Home-equity backstop</t>
        </is>
      </c>
      <c r="C20" s="12" t="inlineStr">
        <is>
          <t>Housing</t>
        </is>
      </c>
      <c r="D20" s="123" t="n">
        <v>250000</v>
      </c>
      <c r="E20" s="12" t="inlineStr">
        <is>
          <t>$ available</t>
        </is>
      </c>
      <c r="F20" s="103">
        <f>0</f>
        <v/>
      </c>
      <c r="G20" s="70">
        <f>MIN(0.30,MAX(-0.30,(D20/MAX(1,$B$8))*0.06))</f>
        <v/>
      </c>
      <c r="H20" s="122">
        <f>RANK.EQ(F20,$F$13:$F$22,0)</f>
        <v/>
      </c>
      <c r="I20" s="122">
        <f>RANK.EQ(G20,$G$13:$G$22,0)</f>
        <v/>
      </c>
      <c r="J20" s="124" t="inlineStr">
        <is>
          <t>Improves success only if there is a real access plan.</t>
        </is>
      </c>
    </row>
    <row r="21" ht="75" customHeight="1">
      <c r="A21" s="12" t="inlineStr">
        <is>
          <t>Success</t>
        </is>
      </c>
      <c r="B21" s="2" t="inlineStr">
        <is>
          <t>Dynamic spending guardrail</t>
        </is>
      </c>
      <c r="C21" s="12" t="inlineStr">
        <is>
          <t>Spending Categories</t>
        </is>
      </c>
      <c r="D21" s="125" t="n">
        <v>10</v>
      </c>
      <c r="E21" s="12" t="inlineStr">
        <is>
          <t>% cut in bad markets</t>
        </is>
      </c>
      <c r="F21" s="103">
        <f>$B$8*(D21/100)*$B$10*0.25</f>
        <v/>
      </c>
      <c r="G21" s="70">
        <f>MIN(0.30,MAX(-0.30,D21*0.006))</f>
        <v/>
      </c>
      <c r="H21" s="122">
        <f>RANK.EQ(F21,$F$13:$F$22,0)</f>
        <v/>
      </c>
      <c r="I21" s="122">
        <f>RANK.EQ(G21,$G$13:$G$22,0)</f>
        <v/>
      </c>
      <c r="J21" s="124" t="inlineStr">
        <is>
          <t>Flexing discretionary spending after poor markets is often high impact.</t>
        </is>
      </c>
    </row>
    <row r="22" ht="75" customHeight="1">
      <c r="A22" s="12" t="inlineStr">
        <is>
          <t>Success</t>
        </is>
      </c>
      <c r="B22" s="2" t="inlineStr">
        <is>
          <t>LTC / catastrophic-care protection</t>
        </is>
      </c>
      <c r="C22" s="12" t="inlineStr">
        <is>
          <t>Insurance &amp; LTC Policies</t>
        </is>
      </c>
      <c r="D22" s="123" t="n">
        <v>250000</v>
      </c>
      <c r="E22" s="12" t="inlineStr">
        <is>
          <t>$ coverage</t>
        </is>
      </c>
      <c r="F22" s="103">
        <f>-D22*0.05</f>
        <v/>
      </c>
      <c r="G22" s="70">
        <f>MIN(0.30,MAX(-0.30,(D22/MAX(1,$B$8))*0.04))</f>
        <v/>
      </c>
      <c r="H22" s="122">
        <f>RANK.EQ(F22,$F$13:$F$22,0)</f>
        <v/>
      </c>
      <c r="I22" s="122">
        <f>RANK.EQ(G22,$G$13:$G$22,0)</f>
        <v/>
      </c>
      <c r="J22" s="124" t="inlineStr">
        <is>
          <t>May lower expected TNW slightly, but protects downside paths.</t>
        </is>
      </c>
    </row>
    <row r="23"/>
    <row r="24"/>
    <row r="25" ht="15" customHeight="1">
      <c r="A25" s="69" t="inlineStr">
        <is>
          <t>HOW TO USE</t>
        </is>
      </c>
    </row>
    <row r="26" ht="15" customHeight="1">
      <c r="A26" s="126" t="inlineStr">
        <is>
          <t>1. Change a yellow test amount to screen sensitivity.</t>
        </is>
      </c>
    </row>
    <row r="27" ht="15" customHeight="1">
      <c r="A27" s="126" t="inlineStr">
        <is>
          <t>2. If the lever looks material, change the actual Plan Data or Optimizer input in the UI.</t>
        </is>
      </c>
    </row>
    <row r="28" ht="15" customHeight="1">
      <c r="A28" s="126" t="inlineStr">
        <is>
          <t>3. Rebuild outputs and compare measured Δ TNW and Δ success in Build Impact.</t>
        </is>
      </c>
    </row>
    <row r="29" ht="30" customHeight="1">
      <c r="A29" s="126" t="inlineStr">
        <is>
          <t>4. Do not accept TNW improvements that materially reduce probability of success unless that risk tradeoff is intentional.</t>
        </is>
      </c>
    </row>
  </sheetData>
  <mergeCells count="8">
    <mergeCell ref="A27:J27"/>
    <mergeCell ref="A3:J3"/>
    <mergeCell ref="A5:B5"/>
    <mergeCell ref="A1:I1"/>
    <mergeCell ref="A28:J28"/>
    <mergeCell ref="A29:J29"/>
    <mergeCell ref="A26:J26"/>
    <mergeCell ref="A25:J25"/>
  </mergeCell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H10"/>
  <sheetViews>
    <sheetView showGridLines="0" workbookViewId="0">
      <selection activeCell="A1" sqref="A1"/>
    </sheetView>
  </sheetViews>
  <sheetFormatPr baseColWidth="8" defaultRowHeight="15"/>
  <cols>
    <col width="15" customWidth="1" min="1" max="1"/>
    <col width="14" customWidth="1" min="2" max="2"/>
    <col width="17" customWidth="1" min="3" max="3"/>
    <col width="14" customWidth="1" min="4" max="4"/>
    <col width="14" customWidth="1" min="5" max="5"/>
    <col width="14" customWidth="1" min="6" max="6"/>
    <col width="14" customWidth="1" min="7" max="7"/>
    <col width="14" customWidth="1" min="8" max="8"/>
  </cols>
  <sheetData>
    <row r="1" ht="18" customHeight="1">
      <c r="A1" s="43" t="inlineStr">
        <is>
          <t>3. RISK &amp; STRESS TESTS</t>
        </is>
      </c>
    </row>
    <row r="2" ht="20" customHeight="1"/>
    <row r="3" ht="15" customHeight="1">
      <c r="A3" s="2" t="inlineStr">
        <is>
          <t>Monte Carlo, survivor, and protection stress tests.</t>
        </is>
      </c>
      <c r="B3" s="3" t="n"/>
      <c r="C3" s="3" t="n"/>
      <c r="D3" s="3" t="n"/>
      <c r="E3" s="3" t="n"/>
      <c r="F3" s="3" t="n"/>
      <c r="G3" s="3" t="n"/>
      <c r="H3" s="4" t="n"/>
    </row>
    <row r="4" ht="20" customHeight="1"/>
    <row r="5" ht="15" customHeight="1">
      <c r="A5" s="5" t="inlineStr">
        <is>
          <t>Workbook area</t>
        </is>
      </c>
      <c r="B5" s="4" t="n"/>
      <c r="C5" s="5" t="inlineStr">
        <is>
          <t>Included sheets</t>
        </is>
      </c>
      <c r="D5" s="3" t="n"/>
      <c r="E5" s="3" t="n"/>
      <c r="F5" s="3" t="n"/>
      <c r="G5" s="4" t="n"/>
    </row>
    <row r="6" ht="15" customHeight="1">
      <c r="A6" s="6" t="inlineStr">
        <is>
          <t>3. Risk &amp; Stress Tests</t>
        </is>
      </c>
      <c r="B6" s="4" t="n"/>
      <c r="C6" s="7" t="inlineStr">
        <is>
          <t>3A. Monte Carlo</t>
        </is>
      </c>
      <c r="D6" s="3" t="n"/>
      <c r="E6" s="3" t="n"/>
      <c r="F6" s="3" t="n"/>
      <c r="G6" s="4" t="n"/>
    </row>
    <row r="7" ht="15" customHeight="1">
      <c r="C7" s="7" t="inlineStr">
        <is>
          <t>3B. Survivor</t>
        </is>
      </c>
      <c r="D7" s="3" t="n"/>
      <c r="E7" s="3" t="n"/>
      <c r="F7" s="3" t="n"/>
      <c r="G7" s="4" t="n"/>
    </row>
    <row r="8" ht="15" customHeight="1">
      <c r="C8" s="7" t="inlineStr">
        <is>
          <t>3C. LTC + Life Insurance</t>
        </is>
      </c>
      <c r="D8" s="3" t="n"/>
      <c r="E8" s="3" t="n"/>
      <c r="F8" s="3" t="n"/>
      <c r="G8" s="4" t="n"/>
    </row>
    <row r="9" ht="20" customHeight="1"/>
    <row r="10" ht="30" customHeight="1">
      <c r="A10" s="8" t="inlineStr">
        <is>
          <t>This workbook is an output/reporting surface. Edit plan data in the app database; use CSV only for import/export utilities.</t>
        </is>
      </c>
      <c r="B10" s="3" t="n"/>
      <c r="C10" s="3" t="n"/>
      <c r="D10" s="3" t="n"/>
      <c r="E10" s="3" t="n"/>
      <c r="F10" s="3" t="n"/>
      <c r="G10" s="3" t="n"/>
      <c r="H10" s="4" t="n"/>
    </row>
    <row r="11" ht="20" customHeight="1"/>
  </sheetData>
  <mergeCells count="9">
    <mergeCell ref="A3:H3"/>
    <mergeCell ref="C7:G7"/>
    <mergeCell ref="C6:G6"/>
    <mergeCell ref="A5:B5"/>
    <mergeCell ref="A10:H10"/>
    <mergeCell ref="C5:G5"/>
    <mergeCell ref="A1:H1"/>
    <mergeCell ref="C8:G8"/>
    <mergeCell ref="A6:B6"/>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20.xml><?xml version="1.0" encoding="utf-8"?>
<worksheet xmlns="http://schemas.openxmlformats.org/spreadsheetml/2006/main">
  <sheetPr>
    <tabColor rgb="00C00000"/>
    <outlinePr summaryBelow="1" summaryRight="1"/>
    <pageSetUpPr/>
  </sheetPr>
  <dimension ref="A1:J121"/>
  <sheetViews>
    <sheetView showGridLines="0" workbookViewId="0">
      <pane ySplit="3" topLeftCell="A4" activePane="bottomLeft" state="frozen"/>
      <selection pane="bottomLeft" activeCell="A1" sqref="A1"/>
    </sheetView>
  </sheetViews>
  <sheetFormatPr baseColWidth="8" defaultRowHeight="15"/>
  <cols>
    <col width="16.4" customWidth="1" min="1" max="1"/>
    <col width="10.6" customWidth="1" min="2" max="2"/>
    <col width="20.9" customWidth="1" min="3" max="3"/>
    <col width="9.4" customWidth="1" min="4" max="4"/>
    <col width="9.4" customWidth="1" min="5" max="5"/>
    <col width="9.4" customWidth="1" min="6" max="6"/>
    <col width="16.4" customWidth="1" min="7" max="7"/>
    <col width="9.4" customWidth="1" min="8" max="8"/>
    <col width="9.4" customWidth="1" min="9" max="9"/>
    <col width="6.5" customWidth="1" min="10" max="10"/>
  </cols>
  <sheetData>
    <row r="1" ht="18" customHeight="1">
      <c r="A1" s="9" t="inlineStr">
        <is>
          <t>MARKET-LUCK STRESS TEST — Monte Carlo  ·  1,000 Simulations</t>
        </is>
      </c>
    </row>
    <row r="2"/>
    <row r="3" ht="15" customHeight="1">
      <c r="A3" s="1" t="inlineStr">
        <is>
          <t>A.  Methodology</t>
        </is>
      </c>
    </row>
    <row r="4" ht="15" customHeight="1">
      <c r="A4" s="5" t="inlineStr">
        <is>
          <t>Parameter</t>
        </is>
      </c>
      <c r="B4" s="3" t="n"/>
      <c r="C4" s="4" t="n"/>
      <c r="D4" s="5" t="inlineStr">
        <is>
          <t>Value / Description</t>
        </is>
      </c>
      <c r="E4" s="3" t="n"/>
      <c r="F4" s="3" t="n"/>
      <c r="G4" s="3" t="n"/>
      <c r="H4" s="3" t="n"/>
      <c r="I4" s="3" t="n"/>
      <c r="J4" s="4" t="n"/>
    </row>
    <row r="5" ht="15" customHeight="1">
      <c r="A5" s="11" t="inlineStr">
        <is>
          <t>Simulations</t>
        </is>
      </c>
      <c r="B5" s="3" t="n"/>
      <c r="C5" s="4" t="n"/>
      <c r="D5" s="12" t="inlineStr">
        <is>
          <t>1,000</t>
        </is>
      </c>
      <c r="E5" s="3" t="n"/>
      <c r="F5" s="3" t="n"/>
      <c r="G5" s="3" t="n"/>
      <c r="H5" s="3" t="n"/>
      <c r="I5" s="3" t="n"/>
      <c r="J5" s="4" t="n"/>
    </row>
    <row r="6" ht="15" customHeight="1">
      <c r="A6" s="11" t="inlineStr">
        <is>
          <t>Random Seed</t>
        </is>
      </c>
      <c r="B6" s="3" t="n"/>
      <c r="C6" s="4" t="n"/>
      <c r="D6" s="12" t="inlineStr">
        <is>
          <t>42</t>
        </is>
      </c>
      <c r="E6" s="3" t="n"/>
      <c r="F6" s="3" t="n"/>
      <c r="G6" s="3" t="n"/>
      <c r="H6" s="3" t="n"/>
      <c r="I6" s="3" t="n"/>
      <c r="J6" s="4" t="n"/>
    </row>
    <row r="7" ht="15" customHeight="1">
      <c r="A7" s="11" t="inlineStr">
        <is>
          <t>Configured Portfolio Return μ</t>
        </is>
      </c>
      <c r="B7" s="3" t="n"/>
      <c r="C7" s="4" t="n"/>
      <c r="D7" s="12" t="inlineStr">
        <is>
          <t>6.0%  (deterministic reference return)</t>
        </is>
      </c>
      <c r="E7" s="3" t="n"/>
      <c r="F7" s="3" t="n"/>
      <c r="G7" s="3" t="n"/>
      <c r="H7" s="3" t="n"/>
      <c r="I7" s="3" t="n"/>
      <c r="J7" s="4" t="n"/>
    </row>
    <row r="8" ht="15" customHeight="1">
      <c r="A8" s="11" t="inlineStr">
        <is>
          <t>MC Portfolio Return Model</t>
        </is>
      </c>
      <c r="B8" s="3" t="n"/>
      <c r="C8" s="4" t="n"/>
      <c r="D8" s="12" t="inlineStr">
        <is>
          <t>asset class covariance</t>
        </is>
      </c>
      <c r="E8" s="3" t="n"/>
      <c r="F8" s="3" t="n"/>
      <c r="G8" s="3" t="n"/>
      <c r="H8" s="3" t="n"/>
      <c r="I8" s="3" t="n"/>
      <c r="J8" s="4" t="n"/>
    </row>
    <row r="9" ht="15" customHeight="1">
      <c r="A9" s="11" t="inlineStr">
        <is>
          <t>MC Expected Return μ</t>
        </is>
      </c>
      <c r="B9" s="3" t="n"/>
      <c r="C9" s="4" t="n"/>
      <c r="D9" s="12" t="inlineStr">
        <is>
          <t>6.7%  (arithmetic expected return used in simulations)</t>
        </is>
      </c>
      <c r="E9" s="3" t="n"/>
      <c r="F9" s="3" t="n"/>
      <c r="G9" s="3" t="n"/>
      <c r="H9" s="3" t="n"/>
      <c r="I9" s="3" t="n"/>
      <c r="J9" s="4" t="n"/>
    </row>
    <row r="10" ht="15" customHeight="1">
      <c r="A10" s="11" t="inlineStr">
        <is>
          <t>Sampled Arithmetic Mean Return</t>
        </is>
      </c>
      <c r="B10" s="3" t="n"/>
      <c r="C10" s="4" t="n"/>
      <c r="D10" s="12" t="inlineStr">
        <is>
          <t>6.7% across simulated years</t>
        </is>
      </c>
      <c r="E10" s="3" t="n"/>
      <c r="F10" s="3" t="n"/>
      <c r="G10" s="3" t="n"/>
      <c r="H10" s="3" t="n"/>
      <c r="I10" s="3" t="n"/>
      <c r="J10" s="4" t="n"/>
    </row>
    <row r="11" ht="15" customHeight="1">
      <c r="A11" s="11" t="inlineStr">
        <is>
          <t>Sampled Geometric Mean Return</t>
        </is>
      </c>
      <c r="B11" s="3" t="n"/>
      <c r="C11" s="4" t="n"/>
      <c r="D11" s="12" t="inlineStr">
        <is>
          <t>6.0% compounded across simulated years</t>
        </is>
      </c>
      <c r="E11" s="3" t="n"/>
      <c r="F11" s="3" t="n"/>
      <c r="G11" s="3" t="n"/>
      <c r="H11" s="3" t="n"/>
      <c r="I11" s="3" t="n"/>
      <c r="J11" s="4" t="n"/>
    </row>
    <row r="12" ht="15" customHeight="1">
      <c r="A12" s="11" t="inlineStr">
        <is>
          <t>Annual Return Std Dev σ</t>
        </is>
      </c>
      <c r="B12" s="3" t="n"/>
      <c r="C12" s="4" t="n"/>
      <c r="D12" s="12" t="inlineStr">
        <is>
          <t>11.1%</t>
        </is>
      </c>
      <c r="E12" s="3" t="n"/>
      <c r="F12" s="3" t="n"/>
      <c r="G12" s="3" t="n"/>
      <c r="H12" s="3" t="n"/>
      <c r="I12" s="3" t="n"/>
      <c r="J12" s="4" t="n"/>
    </row>
    <row r="13" ht="15" customHeight="1">
      <c r="A13" s="11" t="inlineStr">
        <is>
          <t>Sampled Mean Inflation</t>
        </is>
      </c>
      <c r="B13" s="3" t="n"/>
      <c r="C13" s="4" t="n"/>
      <c r="D13" s="12" t="inlineStr">
        <is>
          <t>2.5% across simulated years</t>
        </is>
      </c>
      <c r="E13" s="3" t="n"/>
      <c r="F13" s="3" t="n"/>
      <c r="G13" s="3" t="n"/>
      <c r="H13" s="3" t="n"/>
      <c r="I13" s="3" t="n"/>
      <c r="J13" s="4" t="n"/>
    </row>
    <row r="14" ht="30" customHeight="1">
      <c r="A14" s="11" t="inlineStr">
        <is>
          <t>Return Distribution</t>
        </is>
      </c>
      <c r="B14" s="3" t="n"/>
      <c r="C14" s="4" t="n"/>
      <c r="D14" s="12" t="inlineStr">
        <is>
          <t>Asset-class covariance or blended μ/σ, with regime/fat-tail annual draws and AR(1) serial dependence when enabled</t>
        </is>
      </c>
      <c r="E14" s="3" t="n"/>
      <c r="F14" s="3" t="n"/>
      <c r="G14" s="3" t="n"/>
      <c r="H14" s="3" t="n"/>
      <c r="I14" s="3" t="n"/>
      <c r="J14" s="4" t="n"/>
    </row>
    <row r="15" ht="15" customHeight="1">
      <c r="A15" s="11" t="inlineStr">
        <is>
          <t>Regime Recentered?</t>
        </is>
      </c>
      <c r="B15" s="3" t="n"/>
      <c r="C15" s="4" t="n"/>
      <c r="D15" s="12" t="inlineStr">
        <is>
          <t>YES</t>
        </is>
      </c>
      <c r="E15" s="3" t="n"/>
      <c r="F15" s="3" t="n"/>
      <c r="G15" s="3" t="n"/>
      <c r="H15" s="3" t="n"/>
      <c r="I15" s="3" t="n"/>
      <c r="J15" s="4" t="n"/>
    </row>
    <row r="16" ht="15" customHeight="1">
      <c r="A16" s="11" t="inlineStr">
        <is>
          <t>Wellness Shock Events</t>
        </is>
      </c>
      <c r="B16" s="3" t="n"/>
      <c r="C16" s="4" t="n"/>
      <c r="D16" s="12" t="inlineStr">
        <is>
          <t>946; mean event cost $150,163</t>
        </is>
      </c>
      <c r="E16" s="3" t="n"/>
      <c r="F16" s="3" t="n"/>
      <c r="G16" s="3" t="n"/>
      <c r="H16" s="3" t="n"/>
      <c r="I16" s="3" t="n"/>
      <c r="J16" s="4" t="n"/>
    </row>
    <row r="17" ht="15" customHeight="1">
      <c r="A17" s="11" t="inlineStr">
        <is>
          <t>Starting Liquid Assets</t>
        </is>
      </c>
      <c r="B17" s="3" t="n"/>
      <c r="C17" s="4" t="n"/>
      <c r="D17" s="12" t="inlineStr">
        <is>
          <t>$2,578,851</t>
        </is>
      </c>
      <c r="E17" s="3" t="n"/>
      <c r="F17" s="3" t="n"/>
      <c r="G17" s="3" t="n"/>
      <c r="H17" s="3" t="n"/>
      <c r="I17" s="3" t="n"/>
      <c r="J17" s="4" t="n"/>
    </row>
    <row r="18" ht="30" customHeight="1">
      <c r="A18" s="11" t="inlineStr">
        <is>
          <t>Net Portfolio Draw</t>
        </is>
      </c>
      <c r="B18" s="3" t="n"/>
      <c r="C18" s="4" t="n"/>
      <c r="D18" s="12" t="inlineStr">
        <is>
          <t>Spending + taxes minus non-portfolio income streams; stochastic inflation and wellness shocks apply inside MC</t>
        </is>
      </c>
      <c r="E18" s="3" t="n"/>
      <c r="F18" s="3" t="n"/>
      <c r="G18" s="3" t="n"/>
      <c r="H18" s="3" t="n"/>
      <c r="I18" s="3" t="n"/>
      <c r="J18" s="4" t="n"/>
    </row>
    <row r="19" ht="15" customHeight="1">
      <c r="A19" s="11" t="inlineStr">
        <is>
          <t>Plan Horizon</t>
        </is>
      </c>
      <c r="B19" s="3" t="n"/>
      <c r="C19" s="4" t="n"/>
      <c r="D19" s="12" t="inlineStr">
        <is>
          <t>2026–2056  (31 years)</t>
        </is>
      </c>
      <c r="E19" s="3" t="n"/>
      <c r="F19" s="3" t="n"/>
      <c r="G19" s="3" t="n"/>
      <c r="H19" s="3" t="n"/>
      <c r="I19" s="3" t="n"/>
      <c r="J19" s="4" t="n"/>
    </row>
    <row r="20" ht="30" customHeight="1">
      <c r="A20" s="11" t="inlineStr">
        <is>
          <t>Success Definition</t>
        </is>
      </c>
      <c r="B20" s="3" t="n"/>
      <c r="C20" s="4" t="n"/>
      <c r="D20" s="12" t="inlineStr">
        <is>
          <t>No unfunded annual spending gap and liquid retirement assets remain above configured floor in every active projected year.</t>
        </is>
      </c>
      <c r="E20" s="3" t="n"/>
      <c r="F20" s="3" t="n"/>
      <c r="G20" s="3" t="n"/>
      <c r="H20" s="3" t="n"/>
      <c r="I20" s="3" t="n"/>
      <c r="J20" s="4" t="n"/>
    </row>
    <row r="21" ht="15" customHeight="1">
      <c r="A21" s="11" t="inlineStr">
        <is>
          <t>Success Rate 95% CI</t>
        </is>
      </c>
      <c r="B21" s="3" t="n"/>
      <c r="C21" s="4" t="n"/>
      <c r="D21" s="12" t="inlineStr">
        <is>
          <t>64.0%–69.8% (SE 1.5%)</t>
        </is>
      </c>
      <c r="E21" s="3" t="n"/>
      <c r="F21" s="3" t="n"/>
      <c r="G21" s="3" t="n"/>
      <c r="H21" s="3" t="n"/>
      <c r="I21" s="3" t="n"/>
      <c r="J21" s="4" t="n"/>
    </row>
    <row r="22" ht="15" customHeight="1">
      <c r="A22" s="11" t="inlineStr">
        <is>
          <t>Sequence-of-Returns</t>
        </is>
      </c>
      <c r="B22" s="3" t="n"/>
      <c r="C22" s="4" t="n"/>
      <c r="D22" s="12" t="inlineStr">
        <is>
          <t>Sims sorted by first-5-year average return, split into quintiles</t>
        </is>
      </c>
      <c r="E22" s="3" t="n"/>
      <c r="F22" s="3" t="n"/>
      <c r="G22" s="3" t="n"/>
      <c r="H22" s="3" t="n"/>
      <c r="I22" s="3" t="n"/>
      <c r="J22" s="4" t="n"/>
    </row>
    <row r="23" ht="15" customHeight="1">
      <c r="A23" s="11" t="inlineStr">
        <is>
          <t>Sensitivity Grid</t>
        </is>
      </c>
      <c r="B23" s="3" t="n"/>
      <c r="C23" s="4" t="n"/>
      <c r="D23" s="12" t="inlineStr">
        <is>
          <t>50 full re-simulations per cell; μ ∈ {4%–8%}, σ ∈ {8%–16%}</t>
        </is>
      </c>
      <c r="E23" s="3" t="n"/>
      <c r="F23" s="3" t="n"/>
      <c r="G23" s="3" t="n"/>
      <c r="H23" s="3" t="n"/>
      <c r="I23" s="3" t="n"/>
      <c r="J23" s="4" t="n"/>
    </row>
    <row r="24" ht="30" customHeight="1">
      <c r="A24" s="11" t="inlineStr">
        <is>
          <t>Note</t>
        </is>
      </c>
      <c r="B24" s="3" t="n"/>
      <c r="C24" s="4" t="n"/>
      <c r="D24" s="12" t="inlineStr">
        <is>
          <t>Deterministic projection is a no-volatility reference path; MC median is the probabilistic planning number.</t>
        </is>
      </c>
      <c r="E24" s="3" t="n"/>
      <c r="F24" s="3" t="n"/>
      <c r="G24" s="3" t="n"/>
      <c r="H24" s="3" t="n"/>
      <c r="I24" s="3" t="n"/>
      <c r="J24" s="4" t="n"/>
    </row>
    <row r="25"/>
    <row r="26" ht="15" customHeight="1">
      <c r="A26" s="1" t="inlineStr">
        <is>
          <t>B.  Headline Results</t>
        </is>
      </c>
    </row>
    <row r="27" ht="15" customHeight="1">
      <c r="A27" s="5" t="inlineStr">
        <is>
          <t>Metric</t>
        </is>
      </c>
      <c r="B27" s="3" t="n"/>
      <c r="C27" s="3" t="n"/>
      <c r="D27" s="3" t="n"/>
      <c r="E27" s="4" t="n"/>
      <c r="F27" s="5" t="inlineStr">
        <is>
          <t>Value</t>
        </is>
      </c>
      <c r="G27" s="4" t="n"/>
      <c r="H27" s="5" t="inlineStr">
        <is>
          <t>Status</t>
        </is>
      </c>
      <c r="I27" s="3" t="n"/>
      <c r="J27" s="4" t="n"/>
    </row>
    <row r="28" ht="15" customHeight="1">
      <c r="A28" s="11" t="inlineStr">
        <is>
          <t>Plan Funding Success Rate</t>
        </is>
      </c>
      <c r="B28" s="3" t="n"/>
      <c r="C28" s="3" t="n"/>
      <c r="D28" s="3" t="n"/>
      <c r="E28" s="4" t="n"/>
      <c r="F28" s="84" t="n">
        <v>0.67</v>
      </c>
      <c r="G28" s="4" t="n"/>
      <c r="H28" s="127" t="inlineStr">
        <is>
          <t>Review</t>
        </is>
      </c>
      <c r="I28" s="3" t="n"/>
      <c r="J28" s="4" t="n"/>
    </row>
    <row r="29" ht="15" customHeight="1">
      <c r="A29" s="11" t="inlineStr">
        <is>
          <t>Success Rate CI Low (95%)</t>
        </is>
      </c>
      <c r="B29" s="3" t="n"/>
      <c r="C29" s="3" t="n"/>
      <c r="D29" s="3" t="n"/>
      <c r="E29" s="4" t="n"/>
      <c r="F29" s="84" t="n">
        <v>0.6402538859604785</v>
      </c>
      <c r="G29" s="4" t="n"/>
      <c r="H29" s="127" t="inlineStr">
        <is>
          <t>Review</t>
        </is>
      </c>
      <c r="I29" s="3" t="n"/>
      <c r="J29" s="4" t="n"/>
    </row>
    <row r="30" ht="15" customHeight="1">
      <c r="A30" s="11" t="inlineStr">
        <is>
          <t>Success Rate CI High (95%)</t>
        </is>
      </c>
      <c r="B30" s="3" t="n"/>
      <c r="C30" s="3" t="n"/>
      <c r="D30" s="3" t="n"/>
      <c r="E30" s="4" t="n"/>
      <c r="F30" s="84" t="n">
        <v>0.6984449685201488</v>
      </c>
      <c r="G30" s="4" t="n"/>
      <c r="H30" s="128" t="inlineStr">
        <is>
          <t>On Track</t>
        </is>
      </c>
      <c r="I30" s="3" t="n"/>
      <c r="J30" s="4" t="n"/>
    </row>
    <row r="31" ht="15" customHeight="1">
      <c r="A31" s="11" t="inlineStr">
        <is>
          <t>Median Terminal Liquid Assets (P50)</t>
        </is>
      </c>
      <c r="B31" s="3" t="n"/>
      <c r="C31" s="3" t="n"/>
      <c r="D31" s="3" t="n"/>
      <c r="E31" s="4" t="n"/>
      <c r="F31" s="83" t="n">
        <v>2076163.009994505</v>
      </c>
      <c r="G31" s="4" t="n"/>
      <c r="H31" s="128" t="inlineStr">
        <is>
          <t>On Track</t>
        </is>
      </c>
      <c r="I31" s="3" t="n"/>
      <c r="J31" s="4" t="n"/>
    </row>
    <row r="32" ht="15" customHeight="1">
      <c r="A32" s="11" t="inlineStr">
        <is>
          <t>P10 Terminal Liquid Assets</t>
        </is>
      </c>
      <c r="B32" s="3" t="n"/>
      <c r="C32" s="3" t="n"/>
      <c r="D32" s="3" t="n"/>
      <c r="E32" s="4" t="n"/>
      <c r="F32" s="83" t="n">
        <v>0</v>
      </c>
      <c r="G32" s="4" t="n"/>
      <c r="H32" s="127" t="inlineStr">
        <is>
          <t>Review</t>
        </is>
      </c>
      <c r="I32" s="3" t="n"/>
      <c r="J32" s="4" t="n"/>
    </row>
    <row r="33" ht="15" customHeight="1">
      <c r="A33" s="11" t="inlineStr">
        <is>
          <t>P25 Terminal Liquid Assets</t>
        </is>
      </c>
      <c r="B33" s="3" t="n"/>
      <c r="C33" s="3" t="n"/>
      <c r="D33" s="3" t="n"/>
      <c r="E33" s="4" t="n"/>
      <c r="F33" s="83" t="n">
        <v>0</v>
      </c>
      <c r="G33" s="4" t="n"/>
      <c r="H33" s="127" t="inlineStr">
        <is>
          <t>Review</t>
        </is>
      </c>
      <c r="I33" s="3" t="n"/>
      <c r="J33" s="4" t="n"/>
    </row>
    <row r="34" ht="15" customHeight="1">
      <c r="A34" s="11" t="inlineStr">
        <is>
          <t>P75 Terminal Liquid Assets</t>
        </is>
      </c>
      <c r="B34" s="3" t="n"/>
      <c r="C34" s="3" t="n"/>
      <c r="D34" s="3" t="n"/>
      <c r="E34" s="4" t="n"/>
      <c r="F34" s="83" t="n">
        <v>7159073.16744322</v>
      </c>
      <c r="G34" s="4" t="n"/>
      <c r="H34" s="128" t="inlineStr">
        <is>
          <t>On Track</t>
        </is>
      </c>
      <c r="I34" s="3" t="n"/>
      <c r="J34" s="4" t="n"/>
    </row>
    <row r="35" ht="15" customHeight="1">
      <c r="A35" s="11" t="inlineStr">
        <is>
          <t>P90 Terminal Liquid Assets</t>
        </is>
      </c>
      <c r="B35" s="3" t="n"/>
      <c r="C35" s="3" t="n"/>
      <c r="D35" s="3" t="n"/>
      <c r="E35" s="4" t="n"/>
      <c r="F35" s="83" t="n">
        <v>14807147.50237428</v>
      </c>
      <c r="G35" s="4" t="n"/>
      <c r="H35" s="128" t="inlineStr">
        <is>
          <t>On Track</t>
        </is>
      </c>
      <c r="I35" s="3" t="n"/>
      <c r="J35" s="4" t="n"/>
    </row>
    <row r="36" ht="15" customHeight="1">
      <c r="A36" s="11" t="inlineStr">
        <is>
          <t>Mean Terminal Liquid Assets</t>
        </is>
      </c>
      <c r="B36" s="3" t="n"/>
      <c r="C36" s="3" t="n"/>
      <c r="D36" s="3" t="n"/>
      <c r="E36" s="4" t="n"/>
      <c r="F36" s="83" t="n">
        <v>5183800.493501927</v>
      </c>
      <c r="G36" s="4" t="n"/>
      <c r="H36" s="128" t="inlineStr">
        <is>
          <t>On Track</t>
        </is>
      </c>
      <c r="I36" s="3" t="n"/>
      <c r="J36" s="4" t="n"/>
    </row>
    <row r="37" ht="15" customHeight="1">
      <c r="A37" s="11" t="inlineStr">
        <is>
          <t>Median Terminal Total Net Worth</t>
        </is>
      </c>
      <c r="B37" s="3" t="n"/>
      <c r="C37" s="3" t="n"/>
      <c r="D37" s="3" t="n"/>
      <c r="E37" s="4" t="n"/>
      <c r="F37" s="83" t="n">
        <v>5500076.791061295</v>
      </c>
      <c r="G37" s="4" t="n"/>
      <c r="H37" s="128" t="inlineStr">
        <is>
          <t>On Track</t>
        </is>
      </c>
      <c r="I37" s="3" t="n"/>
      <c r="J37" s="4" t="n"/>
    </row>
    <row r="38"/>
    <row r="39" ht="15" customHeight="1">
      <c r="A39" s="129" t="inlineStr">
        <is>
          <t>B2.  Deterministic vs Monte Carlo Comparison</t>
        </is>
      </c>
    </row>
    <row r="40" ht="30" customHeight="1">
      <c r="A40" s="5" t="inlineStr">
        <is>
          <t>Measure</t>
        </is>
      </c>
      <c r="B40" s="4" t="n"/>
      <c r="C40" s="5" t="inlineStr">
        <is>
          <t>No-Volatility Deterministic Reference</t>
        </is>
      </c>
      <c r="D40" s="4" t="n"/>
      <c r="E40" s="5" t="inlineStr">
        <is>
          <t>MC P10</t>
        </is>
      </c>
      <c r="F40" s="5" t="inlineStr">
        <is>
          <t>MC P50</t>
        </is>
      </c>
      <c r="G40" s="5" t="inlineStr">
        <is>
          <t>MC P90</t>
        </is>
      </c>
      <c r="H40" s="5" t="inlineStr">
        <is>
          <t>Purpose</t>
        </is>
      </c>
      <c r="I40" s="3" t="n"/>
      <c r="J40" s="4" t="n"/>
    </row>
    <row r="41" ht="75" customHeight="1">
      <c r="A41" s="11" t="inlineStr">
        <is>
          <t>Terminal Total Net Worth</t>
        </is>
      </c>
      <c r="B41" s="4" t="n"/>
      <c r="C41" s="83" t="n">
        <v>6103848.09961433</v>
      </c>
      <c r="D41" s="4" t="n"/>
      <c r="E41" s="79" t="n">
        <v>3390274.137803574</v>
      </c>
      <c r="F41" s="83" t="n">
        <v>5500076.791061295</v>
      </c>
      <c r="G41" s="79" t="n">
        <v>18230124.75771325</v>
      </c>
      <c r="H41" s="12" t="inlineStr">
        <is>
          <t>Broad estate/net-worth measure including illiquid assets. Deterministic line is a reference path, not the MC median.</t>
        </is>
      </c>
      <c r="I41" s="3" t="n"/>
      <c r="J41" s="4" t="n"/>
    </row>
    <row r="42" ht="30" customHeight="1">
      <c r="A42" s="11" t="inlineStr">
        <is>
          <t>Terminal Liquid Retirement Assets</t>
        </is>
      </c>
      <c r="B42" s="4" t="n"/>
      <c r="C42" s="83" t="n">
        <v>2713573.961810756</v>
      </c>
      <c r="D42" s="4" t="n"/>
      <c r="E42" s="79" t="n">
        <v>0</v>
      </c>
      <c r="F42" s="83" t="n">
        <v>2076163.009994505</v>
      </c>
      <c r="G42" s="79" t="n">
        <v>14807147.50237428</v>
      </c>
      <c r="H42" s="12" t="inlineStr">
        <is>
          <t>Spendable funding measure used for MC success.</t>
        </is>
      </c>
      <c r="I42" s="3" t="n"/>
      <c r="J42" s="4" t="n"/>
    </row>
    <row r="43" ht="60" customHeight="1">
      <c r="A43" s="11" t="inlineStr">
        <is>
          <t>Success Liquidity Floor</t>
        </is>
      </c>
      <c r="B43" s="4" t="n"/>
      <c r="C43" s="83" t="n">
        <v>0</v>
      </c>
      <c r="D43" s="4" t="n"/>
      <c r="H43" s="12" t="inlineStr">
        <is>
          <t>Success requires no unfunded gaps and liquid assets above 0 years of base spending every year.</t>
        </is>
      </c>
      <c r="I43" s="3" t="n"/>
      <c r="J43" s="4" t="n"/>
    </row>
    <row r="44"/>
    <row r="45" ht="15" customHeight="1">
      <c r="A45" s="1" t="inlineStr">
        <is>
          <t>C.  Ending Liquid Asset Percentile Distribution</t>
        </is>
      </c>
    </row>
    <row r="46" ht="15" customHeight="1">
      <c r="A46" s="5" t="inlineStr">
        <is>
          <t>Percentile</t>
        </is>
      </c>
      <c r="B46" s="5" t="inlineStr">
        <is>
          <t>Terminal Liquid Assets (2056)</t>
        </is>
      </c>
      <c r="C46" s="3" t="n"/>
      <c r="D46" s="4" t="n"/>
      <c r="E46" s="5" t="inlineStr">
        <is>
          <t>vs Median</t>
        </is>
      </c>
      <c r="F46" s="4" t="n"/>
      <c r="G46" s="5" t="inlineStr">
        <is>
          <t>Interpretation</t>
        </is>
      </c>
      <c r="H46" s="3" t="n"/>
      <c r="I46" s="3" t="n"/>
      <c r="J46" s="4" t="n"/>
    </row>
    <row r="47" ht="15" customHeight="1">
      <c r="A47" s="41" t="inlineStr">
        <is>
          <t>P1</t>
        </is>
      </c>
      <c r="B47" s="79" t="n">
        <v>0</v>
      </c>
      <c r="C47" s="3" t="n"/>
      <c r="D47" s="4" t="n"/>
      <c r="E47" s="27" t="n">
        <v>-2076163.009994505</v>
      </c>
      <c r="F47" s="4" t="n"/>
      <c r="G47" s="12" t="inlineStr">
        <is>
          <t>Catastrophic — total portfolio loss</t>
        </is>
      </c>
      <c r="H47" s="3" t="n"/>
      <c r="I47" s="3" t="n"/>
      <c r="J47" s="4" t="n"/>
    </row>
    <row r="48" ht="15" customHeight="1">
      <c r="A48" s="41" t="inlineStr">
        <is>
          <t>P5</t>
        </is>
      </c>
      <c r="B48" s="79" t="n">
        <v>0</v>
      </c>
      <c r="C48" s="3" t="n"/>
      <c r="D48" s="4" t="n"/>
      <c r="E48" s="27" t="n">
        <v>-2076163.009994505</v>
      </c>
      <c r="F48" s="4" t="n"/>
      <c r="G48" s="12" t="inlineStr">
        <is>
          <t>Very bad luck — significant shortfall</t>
        </is>
      </c>
      <c r="H48" s="3" t="n"/>
      <c r="I48" s="3" t="n"/>
      <c r="J48" s="4" t="n"/>
    </row>
    <row r="49" ht="15" customHeight="1">
      <c r="A49" s="41" t="inlineStr">
        <is>
          <t>P10</t>
        </is>
      </c>
      <c r="B49" s="79" t="n">
        <v>0</v>
      </c>
      <c r="C49" s="3" t="n"/>
      <c r="D49" s="4" t="n"/>
      <c r="E49" s="27" t="n">
        <v>-2076163.009994505</v>
      </c>
      <c r="F49" s="4" t="n"/>
      <c r="G49" s="12" t="inlineStr">
        <is>
          <t>Poor sequence — stress-test floor</t>
        </is>
      </c>
      <c r="H49" s="3" t="n"/>
      <c r="I49" s="3" t="n"/>
      <c r="J49" s="4" t="n"/>
    </row>
    <row r="50" ht="15" customHeight="1">
      <c r="A50" s="130" t="inlineStr">
        <is>
          <t>P25</t>
        </is>
      </c>
      <c r="B50" s="131" t="n">
        <v>0</v>
      </c>
      <c r="C50" s="3" t="n"/>
      <c r="D50" s="4" t="n"/>
      <c r="E50" s="131" t="n">
        <v>-2076163.009994505</v>
      </c>
      <c r="F50" s="4" t="n"/>
      <c r="G50" s="97" t="inlineStr">
        <is>
          <t>1-in-4 downside scenario</t>
        </is>
      </c>
      <c r="H50" s="3" t="n"/>
      <c r="I50" s="3" t="n"/>
      <c r="J50" s="4" t="n"/>
    </row>
    <row r="51" ht="15" customHeight="1">
      <c r="A51" s="132" t="inlineStr">
        <is>
          <t>P50</t>
        </is>
      </c>
      <c r="B51" s="133" t="n">
        <v>2076163.009994505</v>
      </c>
      <c r="C51" s="3" t="n"/>
      <c r="D51" s="4" t="n"/>
      <c r="E51" s="134" t="n">
        <v>0</v>
      </c>
      <c r="F51" s="4" t="n"/>
      <c r="G51" s="19" t="inlineStr">
        <is>
          <t>Base case — median outcome</t>
        </is>
      </c>
      <c r="H51" s="3" t="n"/>
      <c r="I51" s="3" t="n"/>
      <c r="J51" s="4" t="n"/>
    </row>
    <row r="52" ht="15" customHeight="1">
      <c r="A52" s="130" t="inlineStr">
        <is>
          <t>P75</t>
        </is>
      </c>
      <c r="B52" s="131" t="n">
        <v>7159073.16744322</v>
      </c>
      <c r="C52" s="3" t="n"/>
      <c r="D52" s="4" t="n"/>
      <c r="E52" s="131" t="n">
        <v>5082910.157448715</v>
      </c>
      <c r="F52" s="4" t="n"/>
      <c r="G52" s="97" t="inlineStr">
        <is>
          <t>3-in-4 scenarios end above this</t>
        </is>
      </c>
      <c r="H52" s="3" t="n"/>
      <c r="I52" s="3" t="n"/>
      <c r="J52" s="4" t="n"/>
    </row>
    <row r="53" ht="15" customHeight="1">
      <c r="A53" s="41" t="inlineStr">
        <is>
          <t>P90</t>
        </is>
      </c>
      <c r="B53" s="79" t="n">
        <v>14807147.50237428</v>
      </c>
      <c r="C53" s="3" t="n"/>
      <c r="D53" s="4" t="n"/>
      <c r="E53" s="27" t="n">
        <v>12730984.49237977</v>
      </c>
      <c r="F53" s="4" t="n"/>
      <c r="G53" s="12" t="inlineStr">
        <is>
          <t>Good sequence — upside scenario</t>
        </is>
      </c>
      <c r="H53" s="3" t="n"/>
      <c r="I53" s="3" t="n"/>
      <c r="J53" s="4" t="n"/>
    </row>
    <row r="54" ht="15" customHeight="1">
      <c r="A54" s="41" t="inlineStr">
        <is>
          <t>P95</t>
        </is>
      </c>
      <c r="B54" s="79" t="n">
        <v>20127842.90824825</v>
      </c>
      <c r="C54" s="3" t="n"/>
      <c r="D54" s="4" t="n"/>
      <c r="E54" s="27" t="n">
        <v>18051679.89825374</v>
      </c>
      <c r="F54" s="4" t="n"/>
      <c r="G54" s="12" t="inlineStr">
        <is>
          <t>Very good luck</t>
        </is>
      </c>
      <c r="H54" s="3" t="n"/>
      <c r="I54" s="3" t="n"/>
      <c r="J54" s="4" t="n"/>
    </row>
    <row r="55" ht="15" customHeight="1">
      <c r="A55" s="41" t="inlineStr">
        <is>
          <t>P99</t>
        </is>
      </c>
      <c r="B55" s="79" t="n">
        <v>36569712.90205491</v>
      </c>
      <c r="C55" s="3" t="n"/>
      <c r="D55" s="4" t="n"/>
      <c r="E55" s="27" t="n">
        <v>34493549.89206041</v>
      </c>
      <c r="F55" s="4" t="n"/>
      <c r="G55" s="12" t="inlineStr">
        <is>
          <t>Exceptional returns</t>
        </is>
      </c>
      <c r="H55" s="3" t="n"/>
      <c r="I55" s="3" t="n"/>
      <c r="J55" s="4" t="n"/>
    </row>
    <row r="56"/>
    <row r="57" ht="15" customHeight="1">
      <c r="A57" s="1" t="inlineStr">
        <is>
          <t>D.  Year-by-Year Liquid Asset Percentile Bands</t>
        </is>
      </c>
    </row>
    <row r="58" ht="30" customHeight="1">
      <c r="A58" s="5" t="inlineStr">
        <is>
          <t>Year</t>
        </is>
      </c>
      <c r="B58" s="5" t="inlineStr">
        <is>
          <t>Age H</t>
        </is>
      </c>
      <c r="C58" s="5" t="inlineStr">
        <is>
          <t>Age W</t>
        </is>
      </c>
      <c r="D58" s="5" t="inlineStr">
        <is>
          <t>P10</t>
        </is>
      </c>
      <c r="E58" s="5" t="inlineStr">
        <is>
          <t>P25</t>
        </is>
      </c>
      <c r="F58" s="5" t="inlineStr">
        <is>
          <t>P50 Median</t>
        </is>
      </c>
      <c r="G58" s="5" t="inlineStr">
        <is>
          <t>P75</t>
        </is>
      </c>
      <c r="H58" s="5" t="inlineStr">
        <is>
          <t>P90</t>
        </is>
      </c>
      <c r="I58" s="5" t="inlineStr">
        <is>
          <t>Mean</t>
        </is>
      </c>
      <c r="J58" s="5" t="inlineStr">
        <is>
          <t>Success %</t>
        </is>
      </c>
    </row>
    <row r="59" ht="30" customHeight="1">
      <c r="A59" s="135" t="n">
        <v>2026</v>
      </c>
      <c r="B59" s="135" t="n">
        <v>64</v>
      </c>
      <c r="C59" s="135" t="n">
        <v>65</v>
      </c>
      <c r="D59" s="108" t="n">
        <v>2403256.493281417</v>
      </c>
      <c r="E59" s="108" t="n">
        <v>2608519.794194084</v>
      </c>
      <c r="F59" s="136" t="n">
        <v>2831307.766724041</v>
      </c>
      <c r="G59" s="103" t="n">
        <v>3039794.818417327</v>
      </c>
      <c r="H59" s="108" t="n">
        <v>3259631.098494023</v>
      </c>
      <c r="I59" s="108" t="n">
        <v>2828859.67995139</v>
      </c>
      <c r="J59" s="137" t="n">
        <v>1</v>
      </c>
    </row>
    <row r="60" ht="30" customHeight="1">
      <c r="A60" s="135" t="n">
        <v>2027</v>
      </c>
      <c r="B60" s="135" t="n">
        <v>65</v>
      </c>
      <c r="C60" s="135" t="n">
        <v>66</v>
      </c>
      <c r="D60" s="108" t="n">
        <v>2063393.393999343</v>
      </c>
      <c r="E60" s="108" t="n">
        <v>2356229.195113613</v>
      </c>
      <c r="F60" s="136" t="n">
        <v>2670045.187232332</v>
      </c>
      <c r="G60" s="103" t="n">
        <v>3007361.425242721</v>
      </c>
      <c r="H60" s="108" t="n">
        <v>3382921.054219277</v>
      </c>
      <c r="I60" s="108" t="n">
        <v>2691395.924741668</v>
      </c>
      <c r="J60" s="137" t="n">
        <v>1</v>
      </c>
    </row>
    <row r="61" ht="30" customHeight="1">
      <c r="A61" s="135" t="n">
        <v>2028</v>
      </c>
      <c r="B61" s="135" t="n">
        <v>66</v>
      </c>
      <c r="C61" s="135" t="n">
        <v>67</v>
      </c>
      <c r="D61" s="108" t="n">
        <v>1718260.896500148</v>
      </c>
      <c r="E61" s="108" t="n">
        <v>2064329.741797254</v>
      </c>
      <c r="F61" s="136" t="n">
        <v>2464297.680070944</v>
      </c>
      <c r="G61" s="103" t="n">
        <v>2888488.670136964</v>
      </c>
      <c r="H61" s="108" t="n">
        <v>3364022.878372963</v>
      </c>
      <c r="I61" s="108" t="n">
        <v>2495830.72157364</v>
      </c>
      <c r="J61" s="137" t="n">
        <v>1</v>
      </c>
    </row>
    <row r="62" ht="30" customHeight="1">
      <c r="A62" s="135" t="n">
        <v>2029</v>
      </c>
      <c r="B62" s="135" t="n">
        <v>67</v>
      </c>
      <c r="C62" s="135" t="n">
        <v>68</v>
      </c>
      <c r="D62" s="108" t="n">
        <v>1564615.612323026</v>
      </c>
      <c r="E62" s="108" t="n">
        <v>1953243.982053286</v>
      </c>
      <c r="F62" s="136" t="n">
        <v>2391742.180516053</v>
      </c>
      <c r="G62" s="103" t="n">
        <v>2918954.947154973</v>
      </c>
      <c r="H62" s="108" t="n">
        <v>3406605.253696869</v>
      </c>
      <c r="I62" s="108" t="n">
        <v>2450892.529964347</v>
      </c>
      <c r="J62" s="137" t="n">
        <v>1</v>
      </c>
    </row>
    <row r="63" ht="30" customHeight="1">
      <c r="A63" s="135" t="n">
        <v>2030</v>
      </c>
      <c r="B63" s="135" t="n">
        <v>68</v>
      </c>
      <c r="C63" s="135" t="n">
        <v>69</v>
      </c>
      <c r="D63" s="108" t="n">
        <v>1420045.934325024</v>
      </c>
      <c r="E63" s="108" t="n">
        <v>1877111.509888981</v>
      </c>
      <c r="F63" s="136" t="n">
        <v>2405229.088715134</v>
      </c>
      <c r="G63" s="103" t="n">
        <v>3004367.986450414</v>
      </c>
      <c r="H63" s="108" t="n">
        <v>3598742.392657967</v>
      </c>
      <c r="I63" s="108" t="n">
        <v>2480121.898535017</v>
      </c>
      <c r="J63" s="137" t="n">
        <v>1</v>
      </c>
    </row>
    <row r="64" ht="30" customHeight="1">
      <c r="A64" s="135" t="n">
        <v>2031</v>
      </c>
      <c r="B64" s="135" t="n">
        <v>69</v>
      </c>
      <c r="C64" s="135" t="n">
        <v>70</v>
      </c>
      <c r="D64" s="108" t="n">
        <v>1328810.309756695</v>
      </c>
      <c r="E64" s="108" t="n">
        <v>1825665.182424457</v>
      </c>
      <c r="F64" s="136" t="n">
        <v>2407267.917451763</v>
      </c>
      <c r="G64" s="103" t="n">
        <v>3074004.859554776</v>
      </c>
      <c r="H64" s="108" t="n">
        <v>3820694.759564699</v>
      </c>
      <c r="I64" s="108" t="n">
        <v>2505030.676121233</v>
      </c>
      <c r="J64" s="137" t="n">
        <v>0.999</v>
      </c>
    </row>
    <row r="65" ht="30" customHeight="1">
      <c r="A65" s="135" t="n">
        <v>2032</v>
      </c>
      <c r="B65" s="135" t="n">
        <v>70</v>
      </c>
      <c r="C65" s="135" t="n">
        <v>71</v>
      </c>
      <c r="D65" s="108" t="n">
        <v>1127020.10700787</v>
      </c>
      <c r="E65" s="108" t="n">
        <v>1615069.26018458</v>
      </c>
      <c r="F65" s="136" t="n">
        <v>2287923.276699765</v>
      </c>
      <c r="G65" s="103" t="n">
        <v>3063516.992481065</v>
      </c>
      <c r="H65" s="108" t="n">
        <v>3889650.008325935</v>
      </c>
      <c r="I65" s="108" t="n">
        <v>2415230.552325506</v>
      </c>
      <c r="J65" s="137" t="n">
        <v>0.997</v>
      </c>
    </row>
    <row r="66" ht="30" customHeight="1">
      <c r="A66" s="135" t="n">
        <v>2033</v>
      </c>
      <c r="B66" s="135" t="n">
        <v>71</v>
      </c>
      <c r="C66" s="135" t="n">
        <v>72</v>
      </c>
      <c r="D66" s="108" t="n">
        <v>1074862.795936022</v>
      </c>
      <c r="E66" s="108" t="n">
        <v>1575255.763398166</v>
      </c>
      <c r="F66" s="136" t="n">
        <v>2324514.230650704</v>
      </c>
      <c r="G66" s="103" t="n">
        <v>3185523.535282183</v>
      </c>
      <c r="H66" s="108" t="n">
        <v>4060748.048178448</v>
      </c>
      <c r="I66" s="108" t="n">
        <v>2473229.632735155</v>
      </c>
      <c r="J66" s="137" t="n">
        <v>0.996</v>
      </c>
    </row>
    <row r="67" ht="15" customHeight="1">
      <c r="A67" s="135" t="n">
        <v>2034</v>
      </c>
      <c r="B67" s="135" t="n">
        <v>72</v>
      </c>
      <c r="C67" s="135" t="n">
        <v>73</v>
      </c>
      <c r="D67" s="108" t="n">
        <v>947952.0877176679</v>
      </c>
      <c r="E67" s="108" t="n">
        <v>1511201.886400742</v>
      </c>
      <c r="F67" s="136" t="n">
        <v>2277647.689926341</v>
      </c>
      <c r="G67" s="103" t="n">
        <v>3255321.22760775</v>
      </c>
      <c r="H67" s="108" t="n">
        <v>4200782.093738896</v>
      </c>
      <c r="I67" s="108" t="n">
        <v>2484038.161354665</v>
      </c>
      <c r="J67" s="137" t="n">
        <v>0.995</v>
      </c>
    </row>
    <row r="68" ht="15" customHeight="1">
      <c r="A68" s="135" t="n">
        <v>2035</v>
      </c>
      <c r="B68" s="135" t="n">
        <v>73</v>
      </c>
      <c r="C68" s="135" t="n">
        <v>74</v>
      </c>
      <c r="D68" s="108" t="n">
        <v>926352.3443942345</v>
      </c>
      <c r="E68" s="108" t="n">
        <v>1505898.646011594</v>
      </c>
      <c r="F68" s="136" t="n">
        <v>2336683.641521428</v>
      </c>
      <c r="G68" s="103" t="n">
        <v>3316106.62394951</v>
      </c>
      <c r="H68" s="108" t="n">
        <v>4448762.015163272</v>
      </c>
      <c r="I68" s="108" t="n">
        <v>2571933.481692652</v>
      </c>
      <c r="J68" s="137" t="n">
        <v>0.99</v>
      </c>
    </row>
    <row r="69" ht="30" customHeight="1">
      <c r="A69" s="135" t="n">
        <v>2036</v>
      </c>
      <c r="B69" s="135" t="n">
        <v>74</v>
      </c>
      <c r="C69" s="135" t="n">
        <v>75</v>
      </c>
      <c r="D69" s="108" t="n">
        <v>871244.3180529</v>
      </c>
      <c r="E69" s="108" t="n">
        <v>1514122.99811491</v>
      </c>
      <c r="F69" s="136" t="n">
        <v>2369011.052441529</v>
      </c>
      <c r="G69" s="103" t="n">
        <v>3447586.494388507</v>
      </c>
      <c r="H69" s="108" t="n">
        <v>4817298.300310055</v>
      </c>
      <c r="I69" s="108" t="n">
        <v>2675622.368493141</v>
      </c>
      <c r="J69" s="137" t="n">
        <v>0.988</v>
      </c>
    </row>
    <row r="70" ht="30" customHeight="1">
      <c r="A70" s="135" t="n">
        <v>2037</v>
      </c>
      <c r="B70" s="135" t="n">
        <v>75</v>
      </c>
      <c r="C70" s="135" t="n">
        <v>76</v>
      </c>
      <c r="D70" s="108" t="n">
        <v>810049.3117181684</v>
      </c>
      <c r="E70" s="108" t="n">
        <v>1488008.448153452</v>
      </c>
      <c r="F70" s="136" t="n">
        <v>2401633.387516558</v>
      </c>
      <c r="G70" s="103" t="n">
        <v>3674391.611258551</v>
      </c>
      <c r="H70" s="108" t="n">
        <v>5107026.47523941</v>
      </c>
      <c r="I70" s="108" t="n">
        <v>2754165.680914005</v>
      </c>
      <c r="J70" s="137" t="n">
        <v>0.982</v>
      </c>
    </row>
    <row r="71" ht="30" customHeight="1">
      <c r="A71" s="135" t="n">
        <v>2038</v>
      </c>
      <c r="B71" s="135" t="n">
        <v>76</v>
      </c>
      <c r="C71" s="135" t="n">
        <v>77</v>
      </c>
      <c r="D71" s="108" t="n">
        <v>688210.5997638897</v>
      </c>
      <c r="E71" s="108" t="n">
        <v>1472776.293402662</v>
      </c>
      <c r="F71" s="136" t="n">
        <v>2371363.390570489</v>
      </c>
      <c r="G71" s="103" t="n">
        <v>3860124.424455739</v>
      </c>
      <c r="H71" s="108" t="n">
        <v>5449081.680116234</v>
      </c>
      <c r="I71" s="108" t="n">
        <v>2842042.8375077</v>
      </c>
      <c r="J71" s="137" t="n">
        <v>0.978</v>
      </c>
    </row>
    <row r="72" ht="30" customHeight="1">
      <c r="A72" s="135" t="n">
        <v>2039</v>
      </c>
      <c r="B72" s="135" t="n">
        <v>77</v>
      </c>
      <c r="C72" s="135" t="n">
        <v>78</v>
      </c>
      <c r="D72" s="108" t="n">
        <v>605794.6513860961</v>
      </c>
      <c r="E72" s="108" t="n">
        <v>1418873.041823154</v>
      </c>
      <c r="F72" s="136" t="n">
        <v>2382878.088329935</v>
      </c>
      <c r="G72" s="103" t="n">
        <v>4032107.824732728</v>
      </c>
      <c r="H72" s="108" t="n">
        <v>5602827.280898133</v>
      </c>
      <c r="I72" s="108" t="n">
        <v>2921243.628812809</v>
      </c>
      <c r="J72" s="137" t="n">
        <v>0.969</v>
      </c>
    </row>
    <row r="73" ht="30" customHeight="1">
      <c r="A73" s="135" t="n">
        <v>2040</v>
      </c>
      <c r="B73" s="135" t="n">
        <v>78</v>
      </c>
      <c r="C73" s="135" t="n">
        <v>79</v>
      </c>
      <c r="D73" s="108" t="n">
        <v>498423.7416322916</v>
      </c>
      <c r="E73" s="108" t="n">
        <v>1345287.211918851</v>
      </c>
      <c r="F73" s="136" t="n">
        <v>2424340.532092489</v>
      </c>
      <c r="G73" s="103" t="n">
        <v>4148410.191119802</v>
      </c>
      <c r="H73" s="108" t="n">
        <v>6096298.033362734</v>
      </c>
      <c r="I73" s="108" t="n">
        <v>3022104.002317887</v>
      </c>
      <c r="J73" s="137" t="n">
        <v>0.958</v>
      </c>
    </row>
    <row r="74" ht="30" customHeight="1">
      <c r="A74" s="135" t="n">
        <v>2041</v>
      </c>
      <c r="B74" s="135" t="n">
        <v>79</v>
      </c>
      <c r="C74" s="135" t="n">
        <v>80</v>
      </c>
      <c r="D74" s="108" t="n">
        <v>396945.2539960255</v>
      </c>
      <c r="E74" s="108" t="n">
        <v>1282702.107436853</v>
      </c>
      <c r="F74" s="136" t="n">
        <v>2449292.893101708</v>
      </c>
      <c r="G74" s="103" t="n">
        <v>4234015.992194073</v>
      </c>
      <c r="H74" s="108" t="n">
        <v>6303905.782224896</v>
      </c>
      <c r="I74" s="108" t="n">
        <v>3108055.615738236</v>
      </c>
      <c r="J74" s="137" t="n">
        <v>0.945</v>
      </c>
    </row>
    <row r="75" ht="30" customHeight="1">
      <c r="A75" s="135" t="n">
        <v>2042</v>
      </c>
      <c r="B75" s="135" t="n">
        <v>80</v>
      </c>
      <c r="C75" s="135" t="n">
        <v>81</v>
      </c>
      <c r="D75" s="108" t="n">
        <v>303822.0502434761</v>
      </c>
      <c r="E75" s="108" t="n">
        <v>1250194.289000617</v>
      </c>
      <c r="F75" s="136" t="n">
        <v>2498395.212706731</v>
      </c>
      <c r="G75" s="103" t="n">
        <v>4327593.102552077</v>
      </c>
      <c r="H75" s="108" t="n">
        <v>6939057.457865973</v>
      </c>
      <c r="I75" s="108" t="n">
        <v>3200623.50072873</v>
      </c>
      <c r="J75" s="137" t="n">
        <v>0.9389999999999999</v>
      </c>
    </row>
    <row r="76" ht="30" customHeight="1">
      <c r="A76" s="135" t="n">
        <v>2043</v>
      </c>
      <c r="B76" s="135" t="n">
        <v>81</v>
      </c>
      <c r="C76" s="135" t="n">
        <v>82</v>
      </c>
      <c r="D76" s="108" t="n">
        <v>214821.58059225</v>
      </c>
      <c r="E76" s="108" t="n">
        <v>1128939.950088633</v>
      </c>
      <c r="F76" s="136" t="n">
        <v>2534350.241202884</v>
      </c>
      <c r="G76" s="103" t="n">
        <v>4401247.446617758</v>
      </c>
      <c r="H76" s="108" t="n">
        <v>7252872.407946065</v>
      </c>
      <c r="I76" s="108" t="n">
        <v>3279242.359206292</v>
      </c>
      <c r="J76" s="137" t="n">
        <v>0.921</v>
      </c>
    </row>
    <row r="77" ht="15" customHeight="1">
      <c r="A77" s="135" t="n">
        <v>2044</v>
      </c>
      <c r="B77" s="135" t="n">
        <v>82</v>
      </c>
      <c r="C77" s="135" t="n">
        <v>83</v>
      </c>
      <c r="D77" s="108" t="n">
        <v>56554.00999493698</v>
      </c>
      <c r="E77" s="108" t="n">
        <v>1056513.075812929</v>
      </c>
      <c r="F77" s="136" t="n">
        <v>2465612.588379375</v>
      </c>
      <c r="G77" s="103" t="n">
        <v>4603249.98728805</v>
      </c>
      <c r="H77" s="108" t="n">
        <v>7460834.378003352</v>
      </c>
      <c r="I77" s="108" t="n">
        <v>3371766.259815172</v>
      </c>
      <c r="J77" s="137" t="n">
        <v>0.903</v>
      </c>
    </row>
    <row r="78" ht="30" customHeight="1">
      <c r="A78" s="138" t="n">
        <v>2045</v>
      </c>
      <c r="B78" s="138" t="n">
        <v>83</v>
      </c>
      <c r="C78" s="138" t="n">
        <v>84</v>
      </c>
      <c r="D78" s="139" t="n">
        <v>0</v>
      </c>
      <c r="E78" s="139" t="n">
        <v>972078.5629031092</v>
      </c>
      <c r="F78" s="77" t="n">
        <v>2446628.486437659</v>
      </c>
      <c r="G78" s="139" t="n">
        <v>4696867.757705895</v>
      </c>
      <c r="H78" s="139" t="n">
        <v>8187140.517706428</v>
      </c>
      <c r="I78" s="139" t="n">
        <v>3483783.148004263</v>
      </c>
      <c r="J78" s="140" t="n">
        <v>0.895</v>
      </c>
    </row>
    <row r="79" ht="30" customHeight="1">
      <c r="A79" s="138" t="n">
        <v>2046</v>
      </c>
      <c r="B79" s="138" t="n">
        <v>84</v>
      </c>
      <c r="C79" s="138" t="n">
        <v>85</v>
      </c>
      <c r="D79" s="139" t="n">
        <v>0</v>
      </c>
      <c r="E79" s="139" t="n">
        <v>865120.9172386215</v>
      </c>
      <c r="F79" s="77" t="n">
        <v>2506021.522654234</v>
      </c>
      <c r="G79" s="139" t="n">
        <v>5054399.523650673</v>
      </c>
      <c r="H79" s="139" t="n">
        <v>8357049.221223744</v>
      </c>
      <c r="I79" s="139" t="n">
        <v>3622174.851737668</v>
      </c>
      <c r="J79" s="140" t="n">
        <v>0.875</v>
      </c>
    </row>
    <row r="80" ht="30" customHeight="1">
      <c r="A80" s="138" t="n">
        <v>2047</v>
      </c>
      <c r="B80" s="138" t="n">
        <v>85</v>
      </c>
      <c r="C80" s="138" t="n">
        <v>86</v>
      </c>
      <c r="D80" s="139" t="n">
        <v>0</v>
      </c>
      <c r="E80" s="139" t="n">
        <v>787014.321843675</v>
      </c>
      <c r="F80" s="77" t="n">
        <v>2497771.066715488</v>
      </c>
      <c r="G80" s="139" t="n">
        <v>5144764.172878157</v>
      </c>
      <c r="H80" s="139" t="n">
        <v>8916706.206719059</v>
      </c>
      <c r="I80" s="139" t="n">
        <v>3766388.818886242</v>
      </c>
      <c r="J80" s="140" t="n">
        <v>0.858</v>
      </c>
    </row>
    <row r="81" ht="30" customHeight="1">
      <c r="A81" s="138" t="n">
        <v>2048</v>
      </c>
      <c r="B81" s="138" t="n">
        <v>86</v>
      </c>
      <c r="C81" s="138" t="n">
        <v>87</v>
      </c>
      <c r="D81" s="139" t="n">
        <v>0</v>
      </c>
      <c r="E81" s="139" t="n">
        <v>628952.9931424485</v>
      </c>
      <c r="F81" s="77" t="n">
        <v>2385526.545306637</v>
      </c>
      <c r="G81" s="139" t="n">
        <v>5320879.174476841</v>
      </c>
      <c r="H81" s="139" t="n">
        <v>9352909.590724152</v>
      </c>
      <c r="I81" s="139" t="n">
        <v>3903118.07221753</v>
      </c>
      <c r="J81" s="140" t="n">
        <v>0.83</v>
      </c>
    </row>
    <row r="82" ht="30" customHeight="1">
      <c r="A82" s="138" t="n">
        <v>2049</v>
      </c>
      <c r="B82" s="138" t="n">
        <v>87</v>
      </c>
      <c r="C82" s="138" t="n">
        <v>88</v>
      </c>
      <c r="D82" s="139" t="n">
        <v>0</v>
      </c>
      <c r="E82" s="139" t="n">
        <v>480670.4771209804</v>
      </c>
      <c r="F82" s="77" t="n">
        <v>2331921.912398881</v>
      </c>
      <c r="G82" s="139" t="n">
        <v>5641234.904092826</v>
      </c>
      <c r="H82" s="139" t="n">
        <v>10026727.06572041</v>
      </c>
      <c r="I82" s="139" t="n">
        <v>4023393.431659959</v>
      </c>
      <c r="J82" s="140" t="n">
        <v>0.803</v>
      </c>
    </row>
    <row r="83" ht="30" customHeight="1">
      <c r="A83" s="138" t="n">
        <v>2050</v>
      </c>
      <c r="B83" s="138" t="n">
        <v>88</v>
      </c>
      <c r="C83" s="138" t="n">
        <v>89</v>
      </c>
      <c r="D83" s="139" t="n">
        <v>0</v>
      </c>
      <c r="E83" s="139" t="n">
        <v>310974.2627087047</v>
      </c>
      <c r="F83" s="77" t="n">
        <v>2255189.655340391</v>
      </c>
      <c r="G83" s="139" t="n">
        <v>5775403.562436195</v>
      </c>
      <c r="H83" s="139" t="n">
        <v>10733902.95228176</v>
      </c>
      <c r="I83" s="139" t="n">
        <v>4160601.607081425</v>
      </c>
      <c r="J83" s="140" t="n">
        <v>0.781</v>
      </c>
    </row>
    <row r="84" ht="30" customHeight="1">
      <c r="A84" s="138" t="n">
        <v>2051</v>
      </c>
      <c r="B84" s="138" t="n">
        <v>89</v>
      </c>
      <c r="C84" s="138" t="n">
        <v>90</v>
      </c>
      <c r="D84" s="139" t="n">
        <v>0</v>
      </c>
      <c r="E84" s="139" t="n">
        <v>122553.4558626548</v>
      </c>
      <c r="F84" s="77" t="n">
        <v>2187344.36946846</v>
      </c>
      <c r="G84" s="139" t="n">
        <v>5979050.670425119</v>
      </c>
      <c r="H84" s="139" t="n">
        <v>11340898.56261524</v>
      </c>
      <c r="I84" s="139" t="n">
        <v>4291082.853484693</v>
      </c>
      <c r="J84" s="140" t="n">
        <v>0.756</v>
      </c>
    </row>
    <row r="85" ht="30" customHeight="1">
      <c r="A85" s="138" t="n">
        <v>2052</v>
      </c>
      <c r="B85" s="138" t="n">
        <v>90</v>
      </c>
      <c r="C85" s="138" t="n">
        <v>91</v>
      </c>
      <c r="D85" s="139" t="n">
        <v>0</v>
      </c>
      <c r="E85" s="139" t="n">
        <v>0</v>
      </c>
      <c r="F85" s="77" t="n">
        <v>2144930.368712472</v>
      </c>
      <c r="G85" s="139" t="n">
        <v>6364294.393565668</v>
      </c>
      <c r="H85" s="139" t="n">
        <v>11802813.24320693</v>
      </c>
      <c r="I85" s="139" t="n">
        <v>4424320.18257876</v>
      </c>
      <c r="J85" s="140" t="n">
        <v>0.745</v>
      </c>
    </row>
    <row r="86" ht="30" customHeight="1">
      <c r="A86" s="138" t="n">
        <v>2053</v>
      </c>
      <c r="B86" s="138" t="n">
        <v>91</v>
      </c>
      <c r="C86" s="138" t="n">
        <v>92</v>
      </c>
      <c r="D86" s="139" t="n">
        <v>0</v>
      </c>
      <c r="E86" s="139" t="n">
        <v>0</v>
      </c>
      <c r="F86" s="77" t="n">
        <v>2108447.137215105</v>
      </c>
      <c r="G86" s="139" t="n">
        <v>6435794.98572715</v>
      </c>
      <c r="H86" s="139" t="n">
        <v>12726162.82377881</v>
      </c>
      <c r="I86" s="139" t="n">
        <v>4544780.125386276</v>
      </c>
      <c r="J86" s="140" t="n">
        <v>0.72</v>
      </c>
    </row>
    <row r="87" ht="30" customHeight="1">
      <c r="A87" s="138" t="n">
        <v>2054</v>
      </c>
      <c r="B87" s="138" t="n">
        <v>92</v>
      </c>
      <c r="C87" s="138" t="n">
        <v>93</v>
      </c>
      <c r="D87" s="139" t="n">
        <v>0</v>
      </c>
      <c r="E87" s="139" t="n">
        <v>0</v>
      </c>
      <c r="F87" s="77" t="n">
        <v>2032009.642699179</v>
      </c>
      <c r="G87" s="139" t="n">
        <v>6622946.823672848</v>
      </c>
      <c r="H87" s="139" t="n">
        <v>13036143.45967596</v>
      </c>
      <c r="I87" s="139" t="n">
        <v>4706758.013371833</v>
      </c>
      <c r="J87" s="140" t="n">
        <v>0.702</v>
      </c>
    </row>
    <row r="88" ht="30" customHeight="1">
      <c r="A88" s="141" t="n">
        <v>2055</v>
      </c>
      <c r="B88" s="141" t="n">
        <v>93</v>
      </c>
      <c r="C88" s="141" t="n">
        <v>94</v>
      </c>
      <c r="D88" s="142" t="n">
        <v>0</v>
      </c>
      <c r="E88" s="142" t="n">
        <v>0</v>
      </c>
      <c r="F88" s="116" t="n">
        <v>2056764.968138159</v>
      </c>
      <c r="G88" s="142" t="n">
        <v>6966616.184032022</v>
      </c>
      <c r="H88" s="142" t="n">
        <v>13939966.60791933</v>
      </c>
      <c r="I88" s="142" t="n">
        <v>4919986.62539763</v>
      </c>
      <c r="J88" s="143" t="n">
        <v>0.6840000000000001</v>
      </c>
    </row>
    <row r="89" ht="30" customHeight="1">
      <c r="A89" s="141" t="n">
        <v>2056</v>
      </c>
      <c r="B89" s="141" t="n">
        <v>94</v>
      </c>
      <c r="C89" s="141" t="n">
        <v>95</v>
      </c>
      <c r="D89" s="142" t="n">
        <v>0</v>
      </c>
      <c r="E89" s="142" t="n">
        <v>0</v>
      </c>
      <c r="F89" s="116" t="n">
        <v>2076163.009994505</v>
      </c>
      <c r="G89" s="142" t="n">
        <v>7159073.16744322</v>
      </c>
      <c r="H89" s="142" t="n">
        <v>14807147.50237428</v>
      </c>
      <c r="I89" s="142" t="n">
        <v>5183800.493501927</v>
      </c>
      <c r="J89" s="143" t="n">
        <v>0.67</v>
      </c>
    </row>
    <row r="90"/>
    <row r="91" ht="15" customHeight="1">
      <c r="A91" s="1" t="inlineStr">
        <is>
          <t>E.  Sequence-of-Returns Risk — Quintiles by First-5-Year Avg Return</t>
        </is>
      </c>
    </row>
    <row r="92" ht="30" customHeight="1">
      <c r="A92" s="5" t="inlineStr">
        <is>
          <t>Quintile</t>
        </is>
      </c>
      <c r="B92" s="5" t="inlineStr">
        <is>
          <t>Avg First-5-Yr Return</t>
        </is>
      </c>
      <c r="C92" s="5" t="inlineStr">
        <is>
          <t>P10 End Liquid</t>
        </is>
      </c>
      <c r="D92" s="5" t="inlineStr">
        <is>
          <t>Median End Liquid</t>
        </is>
      </c>
      <c r="E92" s="5" t="inlineStr">
        <is>
          <t>P90 End Liquid</t>
        </is>
      </c>
      <c r="F92" s="5" t="inlineStr">
        <is>
          <t>Avg End Liquid</t>
        </is>
      </c>
      <c r="G92" s="5" t="inlineStr">
        <is>
          <t>Funding Success</t>
        </is>
      </c>
      <c r="H92" s="5" t="inlineStr">
        <is>
          <t>Key Insight</t>
        </is>
      </c>
    </row>
    <row r="93" ht="45" customHeight="1">
      <c r="A93" s="95" t="inlineStr">
        <is>
          <t>Q1 — Worst 20%</t>
        </is>
      </c>
      <c r="B93" s="90" t="n">
        <v>-0.01727622191764562</v>
      </c>
      <c r="C93" s="144" t="n">
        <v>0</v>
      </c>
      <c r="D93" s="145" t="n">
        <v>0</v>
      </c>
      <c r="E93" s="144" t="n">
        <v>1480182.403643107</v>
      </c>
      <c r="F93" s="144" t="n">
        <v>531356.0034258892</v>
      </c>
      <c r="G93" s="146" t="n">
        <v>0.185</v>
      </c>
      <c r="H93" s="76" t="inlineStr">
        <is>
          <t>Retire into a bear market: portfolio may not recover</t>
        </is>
      </c>
      <c r="I93" s="3" t="n"/>
      <c r="J93" s="4" t="n"/>
    </row>
    <row r="94" ht="30" customHeight="1">
      <c r="A94" s="147" t="inlineStr">
        <is>
          <t>Q2</t>
        </is>
      </c>
      <c r="B94" s="148" t="n">
        <v>0.03832055682327415</v>
      </c>
      <c r="C94" s="149" t="n">
        <v>0</v>
      </c>
      <c r="D94" s="150" t="n">
        <v>730567.3905053916</v>
      </c>
      <c r="E94" s="149" t="n">
        <v>8609637.458170442</v>
      </c>
      <c r="F94" s="149" t="n">
        <v>2683963.662832571</v>
      </c>
      <c r="G94" s="151" t="n">
        <v>0.575</v>
      </c>
      <c r="H94" s="74" t="inlineStr">
        <is>
          <t>Below-avg early returns: monitor spending levels</t>
        </is>
      </c>
      <c r="I94" s="3" t="n"/>
      <c r="J94" s="4" t="n"/>
    </row>
    <row r="95" ht="30" customHeight="1">
      <c r="A95" s="118" t="inlineStr">
        <is>
          <t>Q3 — Middle 20%</t>
        </is>
      </c>
      <c r="B95" s="152" t="n">
        <v>0.07076860586677189</v>
      </c>
      <c r="C95" s="153" t="n">
        <v>0</v>
      </c>
      <c r="D95" s="154" t="n">
        <v>2692894.909615593</v>
      </c>
      <c r="E95" s="153" t="n">
        <v>13442854.06186005</v>
      </c>
      <c r="F95" s="153" t="n">
        <v>5253845.924359662</v>
      </c>
      <c r="G95" s="155" t="n">
        <v>0.795</v>
      </c>
      <c r="H95" s="112" t="inlineStr">
        <is>
          <t>Middle outcome: plan as modeled</t>
        </is>
      </c>
      <c r="I95" s="3" t="n"/>
      <c r="J95" s="4" t="n"/>
    </row>
    <row r="96" ht="30" customHeight="1">
      <c r="A96" s="92" t="inlineStr">
        <is>
          <t>Q4</t>
        </is>
      </c>
      <c r="B96" s="82" t="n">
        <v>0.1024793356235844</v>
      </c>
      <c r="C96" s="81" t="n">
        <v>0</v>
      </c>
      <c r="D96" s="93" t="n">
        <v>3162612.380349122</v>
      </c>
      <c r="E96" s="81" t="n">
        <v>17447822.07227483</v>
      </c>
      <c r="F96" s="81" t="n">
        <v>6644915.052639548</v>
      </c>
      <c r="G96" s="156" t="n">
        <v>0.835</v>
      </c>
      <c r="H96" s="75" t="inlineStr">
        <is>
          <t>Above-avg early returns: strong buffer builds fast</t>
        </is>
      </c>
      <c r="I96" s="3" t="n"/>
      <c r="J96" s="4" t="n"/>
    </row>
    <row r="97" ht="30" customHeight="1">
      <c r="A97" s="119" t="inlineStr">
        <is>
          <t>Q5 — Best 20%</t>
        </is>
      </c>
      <c r="B97" s="157" t="n">
        <v>0.1501668382056519</v>
      </c>
      <c r="C97" s="158" t="n">
        <v>1112409.88903976</v>
      </c>
      <c r="D97" s="159" t="n">
        <v>7768296.910802647</v>
      </c>
      <c r="E97" s="158" t="n">
        <v>23400544.3388573</v>
      </c>
      <c r="F97" s="158" t="n">
        <v>10804921.82425196</v>
      </c>
      <c r="G97" s="160" t="n">
        <v>0.96</v>
      </c>
      <c r="H97" s="114" t="inlineStr">
        <is>
          <t>Bull market at retirement: large bequest potential</t>
        </is>
      </c>
      <c r="I97" s="3" t="n"/>
      <c r="J97" s="4" t="n"/>
    </row>
    <row r="98"/>
    <row r="99" ht="45" customHeight="1">
      <c r="A99" s="97" t="inlineStr">
        <is>
          <t>Sequence-of-Returns Risk is the dominant tail risk in this plan. The difference between Q1 and Q5 success rates illustrates why the Reserve requirement and Roth conversion strategy are critical: they allow riding out early bear markets without forced selling.</t>
        </is>
      </c>
      <c r="B99" s="3" t="n"/>
      <c r="C99" s="3" t="n"/>
      <c r="D99" s="3" t="n"/>
      <c r="E99" s="3" t="n"/>
      <c r="F99" s="3" t="n"/>
      <c r="G99" s="3" t="n"/>
      <c r="H99" s="3" t="n"/>
      <c r="I99" s="3" t="n"/>
      <c r="J99" s="4" t="n"/>
    </row>
    <row r="100"/>
    <row r="101" ht="15" customHeight="1">
      <c r="A101" s="1" t="inlineStr">
        <is>
          <t>F.  Sensitivity Analysis — 50 Sims per Cell  ·  Varying μ (Return) × σ (Volatility)</t>
        </is>
      </c>
    </row>
    <row r="102" ht="30" customHeight="1">
      <c r="A102" s="161" t="inlineStr">
        <is>
          <t>Return (mu) / Vol (sigma)</t>
        </is>
      </c>
      <c r="B102" s="5" t="inlineStr">
        <is>
          <t>σ=8%</t>
        </is>
      </c>
      <c r="C102" s="5" t="inlineStr">
        <is>
          <t>σ=10%</t>
        </is>
      </c>
      <c r="D102" s="5" t="inlineStr">
        <is>
          <t>σ=12%</t>
        </is>
      </c>
      <c r="E102" s="5" t="inlineStr">
        <is>
          <t>σ=14%</t>
        </is>
      </c>
      <c r="F102" s="5" t="inlineStr">
        <is>
          <t>σ=16%</t>
        </is>
      </c>
      <c r="G102" s="13" t="inlineStr">
        <is>
          <t>Best σ</t>
        </is>
      </c>
    </row>
    <row r="103" ht="15" customHeight="1">
      <c r="A103" s="130" t="inlineStr">
        <is>
          <t>μ=4%</t>
        </is>
      </c>
      <c r="B103" s="162" t="n">
        <v>0.36</v>
      </c>
      <c r="C103" s="162" t="n">
        <v>0.32</v>
      </c>
      <c r="D103" s="162" t="n">
        <v>0.36</v>
      </c>
      <c r="E103" s="162" t="n">
        <v>0.28</v>
      </c>
      <c r="F103" s="162" t="n">
        <v>0.44</v>
      </c>
      <c r="G103" s="156" t="n">
        <v>0.44</v>
      </c>
    </row>
    <row r="104" ht="15" customHeight="1">
      <c r="A104" s="130" t="inlineStr">
        <is>
          <t>μ=5%</t>
        </is>
      </c>
      <c r="B104" s="162" t="n">
        <v>0.62</v>
      </c>
      <c r="C104" s="162" t="n">
        <v>0.52</v>
      </c>
      <c r="D104" s="162" t="n">
        <v>0.4</v>
      </c>
      <c r="E104" s="162" t="n">
        <v>0.32</v>
      </c>
      <c r="F104" s="162" t="n">
        <v>0.44</v>
      </c>
      <c r="G104" s="156" t="n">
        <v>0.62</v>
      </c>
    </row>
    <row r="105" ht="15" customHeight="1">
      <c r="A105" s="163" t="inlineStr">
        <is>
          <t>μ=6%</t>
        </is>
      </c>
      <c r="B105" s="162" t="n">
        <v>0.5600000000000001</v>
      </c>
      <c r="C105" s="162" t="n">
        <v>0.58</v>
      </c>
      <c r="D105" s="164" t="n">
        <v>0.64</v>
      </c>
      <c r="E105" s="162" t="n">
        <v>0.4</v>
      </c>
      <c r="F105" s="162" t="n">
        <v>0.26</v>
      </c>
      <c r="G105" s="156" t="n">
        <v>0.64</v>
      </c>
    </row>
    <row r="106" ht="15" customHeight="1">
      <c r="A106" s="130" t="inlineStr">
        <is>
          <t>μ=7%</t>
        </is>
      </c>
      <c r="B106" s="165" t="n">
        <v>0.72</v>
      </c>
      <c r="C106" s="165" t="n">
        <v>0.8</v>
      </c>
      <c r="D106" s="162" t="n">
        <v>0.62</v>
      </c>
      <c r="E106" s="162" t="n">
        <v>0.52</v>
      </c>
      <c r="F106" s="162" t="n">
        <v>0.54</v>
      </c>
      <c r="G106" s="156" t="n">
        <v>0.8</v>
      </c>
    </row>
    <row r="107" ht="15" customHeight="1">
      <c r="A107" s="130" t="inlineStr">
        <is>
          <t>μ=8%</t>
        </is>
      </c>
      <c r="B107" s="165" t="n">
        <v>0.86</v>
      </c>
      <c r="C107" s="165" t="n">
        <v>0.88</v>
      </c>
      <c r="D107" s="165" t="n">
        <v>0.8</v>
      </c>
      <c r="E107" s="162" t="n">
        <v>0.68</v>
      </c>
      <c r="F107" s="162" t="n">
        <v>0.62</v>
      </c>
      <c r="G107" s="156" t="n">
        <v>0.88</v>
      </c>
    </row>
    <row r="108"/>
    <row r="109" ht="15" customHeight="1">
      <c r="A109" s="166" t="inlineStr"/>
      <c r="B109" s="112" t="inlineStr">
        <is>
          <t>Base case (μ=6%, σ=12%)</t>
        </is>
      </c>
      <c r="C109" s="3" t="n"/>
      <c r="D109" s="3" t="n"/>
      <c r="E109" s="3" t="n"/>
      <c r="F109" s="4" t="n"/>
    </row>
    <row r="110" ht="15" customHeight="1">
      <c r="A110" s="167" t="inlineStr"/>
      <c r="B110" s="112" t="inlineStr">
        <is>
          <t>Success ≥ 90%  — plan highly resilient</t>
        </is>
      </c>
      <c r="C110" s="3" t="n"/>
      <c r="D110" s="3" t="n"/>
      <c r="E110" s="3" t="n"/>
      <c r="F110" s="4" t="n"/>
    </row>
    <row r="111" ht="15" customHeight="1">
      <c r="A111" s="168" t="inlineStr"/>
      <c r="B111" s="112" t="inlineStr">
        <is>
          <t>Success 70–89%  — monitor; consider adjustments</t>
        </is>
      </c>
      <c r="C111" s="3" t="n"/>
      <c r="D111" s="3" t="n"/>
      <c r="E111" s="3" t="n"/>
      <c r="F111" s="4" t="n"/>
    </row>
    <row r="112" ht="15" customHeight="1">
      <c r="A112" s="169" t="inlineStr"/>
      <c r="B112" s="112" t="inlineStr">
        <is>
          <t>Success &lt; 70%  — stress zone; action likely needed</t>
        </is>
      </c>
      <c r="C112" s="3" t="n"/>
      <c r="D112" s="3" t="n"/>
      <c r="E112" s="3" t="n"/>
      <c r="F112" s="4" t="n"/>
    </row>
    <row r="113"/>
    <row r="114" ht="15" customHeight="1">
      <c r="A114" s="1" t="inlineStr">
        <is>
          <t>G.  Interpretation, Implications &amp; Adjustments</t>
        </is>
      </c>
    </row>
    <row r="115" ht="15" customHeight="1">
      <c r="A115" s="5" t="inlineStr">
        <is>
          <t>Topic</t>
        </is>
      </c>
      <c r="B115" s="4" t="n"/>
      <c r="C115" s="5" t="inlineStr">
        <is>
          <t>Interpretation</t>
        </is>
      </c>
      <c r="D115" s="3" t="n"/>
      <c r="E115" s="3" t="n"/>
      <c r="F115" s="3" t="n"/>
      <c r="G115" s="3" t="n"/>
      <c r="H115" s="3" t="n"/>
      <c r="I115" s="3" t="n"/>
      <c r="J115" s="4" t="n"/>
    </row>
    <row r="116" ht="75" customHeight="1">
      <c r="A116" s="11" t="inlineStr">
        <is>
          <t>Overall Plan Assessment</t>
        </is>
      </c>
      <c r="B116" s="4" t="n"/>
      <c r="C116" s="12" t="inlineStr">
        <is>
          <t>At configured μ=6%/σ=12%, the plan has a 67% liquid-funding success rate — marginal by institutional planning standards. Median terminal liquid assets of $2,076,163 and median total net worth of $5,500,077 are shown separately so illiquid wealth does not mask spending shortfalls. The sampled arithmetic/geometric returns were 6.7%/6.0%; success requires maintaining the liquidity floor of $0.</t>
        </is>
      </c>
      <c r="D116" s="3" t="n"/>
      <c r="E116" s="3" t="n"/>
      <c r="F116" s="3" t="n"/>
      <c r="G116" s="3" t="n"/>
      <c r="H116" s="3" t="n"/>
      <c r="I116" s="3" t="n"/>
      <c r="J116" s="4" t="n"/>
    </row>
    <row r="117" ht="60" customHeight="1">
      <c r="A117" s="11" t="inlineStr">
        <is>
          <t>Primary Risk: Sequence-of-Returns</t>
        </is>
      </c>
      <c r="B117" s="4" t="n"/>
      <c r="C117" s="12" t="inlineStr">
        <is>
          <t>The first 5–10 years of retirement carry the highest risk. A sustained bear market early in the distribution phase, before Social Security and annuity income fully offset spending, can permanently impair the portfolio. The configured liquidity buffer (Trust accounts) is the primary mitigation.</t>
        </is>
      </c>
      <c r="D117" s="3" t="n"/>
      <c r="E117" s="3" t="n"/>
      <c r="F117" s="3" t="n"/>
      <c r="G117" s="3" t="n"/>
      <c r="H117" s="3" t="n"/>
      <c r="I117" s="3" t="n"/>
      <c r="J117" s="4" t="n"/>
    </row>
    <row r="118" ht="60" customHeight="1">
      <c r="A118" s="11" t="inlineStr">
        <is>
          <t>Annuity Income as a Floor</t>
        </is>
      </c>
      <c r="B118" s="4" t="n"/>
      <c r="C118" s="12" t="inlineStr">
        <is>
          <t>Patricia pension + joint annuities provide deterministic income starting in the configured income year. This income floor reduces spending pressure, but it does not by itself guarantee liquid funding success. In Q1 (worst first-5-year return paths), funded-plan success is 18%, so early-market losses remain an important risk-control trigger.</t>
        </is>
      </c>
      <c r="D118" s="3" t="n"/>
      <c r="E118" s="3" t="n"/>
      <c r="F118" s="3" t="n"/>
      <c r="G118" s="3" t="n"/>
      <c r="H118" s="3" t="n"/>
      <c r="I118" s="3" t="n"/>
      <c r="J118" s="4" t="n"/>
    </row>
    <row r="119" ht="75" customHeight="1">
      <c r="A119" s="11" t="inlineStr">
        <is>
          <t>When to Take Action</t>
        </is>
      </c>
      <c r="B119" s="4" t="n"/>
      <c r="C119" s="12" t="inlineStr">
        <is>
          <t>Monitor the actual first-5-year portfolio return vs the Q1/Q2 threshold. If cumulative return through the configured checkpoint year is below +10% total, consider: (1) Reduce discretionary spending (vacations, home projects); (2) Accelerate Roth conversions to reduce future RMD tax drag; (3) Delay Social Security claim if not yet claimed; (4) Consider a partial annuity purchase to increase income floor.</t>
        </is>
      </c>
      <c r="D119" s="3" t="n"/>
      <c r="E119" s="3" t="n"/>
      <c r="F119" s="3" t="n"/>
      <c r="G119" s="3" t="n"/>
      <c r="H119" s="3" t="n"/>
      <c r="I119" s="3" t="n"/>
      <c r="J119" s="4" t="n"/>
    </row>
    <row r="120" ht="45" customHeight="1">
      <c r="A120" s="11" t="inlineStr">
        <is>
          <t>Return Assumption Stress</t>
        </is>
      </c>
      <c r="B120" s="4" t="n"/>
      <c r="C120" s="12" t="inlineStr">
        <is>
          <t>At μ=7%, success ranges from 52%–80% across the tested volatility levels. At μ=5%, success ranges from 32%–62%. These cells are full re-simulations, not a shortcut based on terminal net worth.</t>
        </is>
      </c>
      <c r="D120" s="3" t="n"/>
      <c r="E120" s="3" t="n"/>
      <c r="F120" s="3" t="n"/>
      <c r="G120" s="3" t="n"/>
      <c r="H120" s="3" t="n"/>
      <c r="I120" s="3" t="n"/>
      <c r="J120" s="4" t="n"/>
    </row>
    <row r="121" ht="45" customHeight="1">
      <c r="A121" s="11" t="inlineStr">
        <is>
          <t>Recommended Annual Review</t>
        </is>
      </c>
      <c r="B121" s="4" t="n"/>
      <c r="C121" s="12" t="inlineStr">
        <is>
          <t>Compare actual portfolio return to the base-case assumption each December. If 3-year trailing return is below 3% annualised, trigger a plan review and spending adjustment discussion. Re-run this Monte Carlo annually.</t>
        </is>
      </c>
      <c r="D121" s="3" t="n"/>
      <c r="E121" s="3" t="n"/>
      <c r="F121" s="3" t="n"/>
      <c r="G121" s="3" t="n"/>
      <c r="H121" s="3" t="n"/>
      <c r="I121" s="3" t="n"/>
      <c r="J121" s="4" t="n"/>
    </row>
  </sheetData>
  <mergeCells count="150">
    <mergeCell ref="D4:J4"/>
    <mergeCell ref="F29:G29"/>
    <mergeCell ref="G55:J55"/>
    <mergeCell ref="A91:J91"/>
    <mergeCell ref="G47:J47"/>
    <mergeCell ref="A21:C21"/>
    <mergeCell ref="D24:J24"/>
    <mergeCell ref="B53:D53"/>
    <mergeCell ref="G46:J46"/>
    <mergeCell ref="E51:F51"/>
    <mergeCell ref="A23:C23"/>
    <mergeCell ref="A41:B41"/>
    <mergeCell ref="C41:D41"/>
    <mergeCell ref="A37:E37"/>
    <mergeCell ref="D10:J10"/>
    <mergeCell ref="D19:J19"/>
    <mergeCell ref="C118:J118"/>
    <mergeCell ref="H95:J95"/>
    <mergeCell ref="C43:D43"/>
    <mergeCell ref="E49:F49"/>
    <mergeCell ref="H30:J30"/>
    <mergeCell ref="A42:B42"/>
    <mergeCell ref="H97:J97"/>
    <mergeCell ref="D11:J11"/>
    <mergeCell ref="H29:J29"/>
    <mergeCell ref="B54:D54"/>
    <mergeCell ref="G53:J53"/>
    <mergeCell ref="A3:J3"/>
    <mergeCell ref="A6:C6"/>
    <mergeCell ref="H31:J31"/>
    <mergeCell ref="A117:B117"/>
    <mergeCell ref="H40:J40"/>
    <mergeCell ref="E53:F53"/>
    <mergeCell ref="A34:E34"/>
    <mergeCell ref="E55:F55"/>
    <mergeCell ref="D9:J9"/>
    <mergeCell ref="F34:G34"/>
    <mergeCell ref="C116:J116"/>
    <mergeCell ref="A36:E36"/>
    <mergeCell ref="A12:C12"/>
    <mergeCell ref="D15:J15"/>
    <mergeCell ref="E48:F48"/>
    <mergeCell ref="D23:J23"/>
    <mergeCell ref="F30:G30"/>
    <mergeCell ref="A5:C5"/>
    <mergeCell ref="B111:F111"/>
    <mergeCell ref="A14:C14"/>
    <mergeCell ref="C121:J121"/>
    <mergeCell ref="H27:J27"/>
    <mergeCell ref="F33:G33"/>
    <mergeCell ref="C40:D40"/>
    <mergeCell ref="C117:J117"/>
    <mergeCell ref="A4:C4"/>
    <mergeCell ref="H33:J33"/>
    <mergeCell ref="A13:C13"/>
    <mergeCell ref="H42:J42"/>
    <mergeCell ref="G48:J48"/>
    <mergeCell ref="C115:J115"/>
    <mergeCell ref="F31:G31"/>
    <mergeCell ref="F28:G28"/>
    <mergeCell ref="A32:E32"/>
    <mergeCell ref="H35:J35"/>
    <mergeCell ref="A116:B116"/>
    <mergeCell ref="A15:C15"/>
    <mergeCell ref="A24:C24"/>
    <mergeCell ref="B47:D47"/>
    <mergeCell ref="A29:E29"/>
    <mergeCell ref="D17:J17"/>
    <mergeCell ref="B46:D46"/>
    <mergeCell ref="G49:J49"/>
    <mergeCell ref="A115:B115"/>
    <mergeCell ref="A31:E31"/>
    <mergeCell ref="A7:C7"/>
    <mergeCell ref="A16:C16"/>
    <mergeCell ref="B48:D48"/>
    <mergeCell ref="E50:F50"/>
    <mergeCell ref="B109:F109"/>
    <mergeCell ref="D12:J12"/>
    <mergeCell ref="A18:C18"/>
    <mergeCell ref="E52:F52"/>
    <mergeCell ref="A119:B119"/>
    <mergeCell ref="D5:J5"/>
    <mergeCell ref="D14:J14"/>
    <mergeCell ref="H32:J32"/>
    <mergeCell ref="B49:D49"/>
    <mergeCell ref="A22:C22"/>
    <mergeCell ref="A114:J114"/>
    <mergeCell ref="F36:G36"/>
    <mergeCell ref="A120:B120"/>
    <mergeCell ref="A20:C20"/>
    <mergeCell ref="B51:D51"/>
    <mergeCell ref="E46:F46"/>
    <mergeCell ref="D21:J21"/>
    <mergeCell ref="B50:D50"/>
    <mergeCell ref="C120:J120"/>
    <mergeCell ref="C119:J119"/>
    <mergeCell ref="A99:J99"/>
    <mergeCell ref="E54:F54"/>
    <mergeCell ref="A43:B43"/>
    <mergeCell ref="A28:E28"/>
    <mergeCell ref="D7:J7"/>
    <mergeCell ref="D16:J16"/>
    <mergeCell ref="H34:J34"/>
    <mergeCell ref="A101:J101"/>
    <mergeCell ref="A40:B40"/>
    <mergeCell ref="B110:F110"/>
    <mergeCell ref="A30:E30"/>
    <mergeCell ref="D18:J18"/>
    <mergeCell ref="H36:J36"/>
    <mergeCell ref="H94:J94"/>
    <mergeCell ref="G51:J51"/>
    <mergeCell ref="C42:D42"/>
    <mergeCell ref="D8:J8"/>
    <mergeCell ref="G54:J54"/>
    <mergeCell ref="G50:J50"/>
    <mergeCell ref="H28:J28"/>
    <mergeCell ref="A8:C8"/>
    <mergeCell ref="H37:J37"/>
    <mergeCell ref="A17:C17"/>
    <mergeCell ref="D20:J20"/>
    <mergeCell ref="A39:J39"/>
    <mergeCell ref="G52:J52"/>
    <mergeCell ref="F32:G32"/>
    <mergeCell ref="H96:J96"/>
    <mergeCell ref="A118:B118"/>
    <mergeCell ref="B55:D55"/>
    <mergeCell ref="A27:E27"/>
    <mergeCell ref="F35:G35"/>
    <mergeCell ref="A10:C10"/>
    <mergeCell ref="A1:J1"/>
    <mergeCell ref="A45:J45"/>
    <mergeCell ref="A19:C19"/>
    <mergeCell ref="D22:J22"/>
    <mergeCell ref="B112:F112"/>
    <mergeCell ref="A33:E33"/>
    <mergeCell ref="D6:J6"/>
    <mergeCell ref="A9:C9"/>
    <mergeCell ref="D13:J13"/>
    <mergeCell ref="F27:G27"/>
    <mergeCell ref="H43:J43"/>
    <mergeCell ref="F37:G37"/>
    <mergeCell ref="A35:E35"/>
    <mergeCell ref="A11:C11"/>
    <mergeCell ref="H41:J41"/>
    <mergeCell ref="A121:B121"/>
    <mergeCell ref="H93:J93"/>
    <mergeCell ref="B52:D52"/>
    <mergeCell ref="A26:J26"/>
    <mergeCell ref="A57:J57"/>
    <mergeCell ref="E47:F47"/>
  </mergeCells>
  <pageMargins left="0.75" right="0.75" top="1" bottom="1" header="0.5" footer="0.5"/>
</worksheet>
</file>

<file path=xl/worksheets/sheet21.xml><?xml version="1.0" encoding="utf-8"?>
<worksheet xmlns="http://schemas.openxmlformats.org/spreadsheetml/2006/main">
  <sheetPr>
    <tabColor rgb="00C00000"/>
    <outlinePr summaryBelow="1" summaryRight="1"/>
    <pageSetUpPr/>
  </sheetPr>
  <dimension ref="A1:I18"/>
  <sheetViews>
    <sheetView showGridLines="0" workbookViewId="0">
      <selection activeCell="A1" sqref="A1"/>
    </sheetView>
  </sheetViews>
  <sheetFormatPr baseColWidth="8" defaultRowHeight="15"/>
  <cols>
    <col width="23.5" customWidth="1" min="1" max="1"/>
    <col width="23.5" customWidth="1" min="2" max="2"/>
    <col width="4.9" customWidth="1" min="3" max="3"/>
    <col width="4.9" customWidth="1" min="4" max="4"/>
    <col width="9.4" customWidth="1" min="5" max="5"/>
    <col width="9.4" customWidth="1" min="6" max="6"/>
    <col width="9.4" customWidth="1" min="7" max="7"/>
    <col width="9.4" customWidth="1" min="8" max="8"/>
    <col width="23.5" customWidth="1" min="9" max="9"/>
  </cols>
  <sheetData>
    <row r="1" ht="18" customHeight="1">
      <c r="A1" s="9" t="inlineStr">
        <is>
          <t>SURVIVOR / EARLY-DEATH STRESS TEST</t>
        </is>
      </c>
    </row>
    <row r="2"/>
    <row r="3" ht="15" customHeight="1">
      <c r="A3" s="13" t="inlineStr">
        <is>
          <t>Early-Death Scenarios (full projection re-runs)</t>
        </is>
      </c>
      <c r="B3" s="3" t="n"/>
      <c r="C3" s="3" t="n"/>
      <c r="D3" s="3" t="n"/>
      <c r="E3" s="3" t="n"/>
      <c r="F3" s="3" t="n"/>
      <c r="G3" s="3" t="n"/>
      <c r="H3" s="3" t="n"/>
      <c r="I3" s="4" t="n"/>
    </row>
    <row r="4" ht="45" customHeight="1">
      <c r="A4" s="5" t="inlineStr">
        <is>
          <t>Scenario</t>
        </is>
      </c>
      <c r="B4" s="5" t="inlineStr">
        <is>
          <t>Matthew Death</t>
        </is>
      </c>
      <c r="C4" s="5" t="inlineStr">
        <is>
          <t>Patricia Death</t>
        </is>
      </c>
      <c r="D4" s="5" t="inlineStr">
        <is>
          <t>Plan End</t>
        </is>
      </c>
      <c r="E4" s="5" t="inlineStr">
        <is>
          <t>Terminal NW</t>
        </is>
      </c>
      <c r="F4" s="5" t="inlineStr">
        <is>
          <t>Δ vs Base</t>
        </is>
      </c>
      <c r="G4" s="5" t="inlineStr">
        <is>
          <t>Lifetime Tax</t>
        </is>
      </c>
      <c r="H4" s="5" t="inlineStr">
        <is>
          <t>Δ Tax</t>
        </is>
      </c>
      <c r="I4" s="5" t="inlineStr">
        <is>
          <t>Description</t>
        </is>
      </c>
    </row>
    <row r="5" ht="45" customHeight="1">
      <c r="A5" s="11" t="inlineStr">
        <is>
          <t>BASE PLAN</t>
        </is>
      </c>
      <c r="B5" s="138" t="n">
        <v>2054</v>
      </c>
      <c r="C5" s="138" t="n">
        <v>2056</v>
      </c>
      <c r="D5" s="138" t="n">
        <v>2056</v>
      </c>
      <c r="E5" s="77" t="n">
        <v>6103848.09961433</v>
      </c>
      <c r="F5" s="97" t="inlineStr">
        <is>
          <t>Baseline</t>
        </is>
      </c>
      <c r="G5" s="139" t="n">
        <v>904151.7922334222</v>
      </c>
      <c r="H5" s="97" t="inlineStr">
        <is>
          <t>Baseline</t>
        </is>
      </c>
      <c r="I5" s="97" t="inlineStr">
        <is>
          <t>Matthew dies 2054 (age 92), Patricia dies 2056 (age 95)</t>
        </is>
      </c>
    </row>
    <row r="6" ht="90" customHeight="1">
      <c r="A6" s="2" t="inlineStr">
        <is>
          <t>Matthew dies at 65 (before SS &amp; annuities)</t>
        </is>
      </c>
      <c r="B6" s="135" t="n">
        <v>2027</v>
      </c>
      <c r="C6" s="170" t="n">
        <v>2056</v>
      </c>
      <c r="D6" s="170" t="n">
        <v>2056</v>
      </c>
      <c r="E6" s="171" t="n">
        <v>6269543.792562811</v>
      </c>
      <c r="F6" s="109" t="n">
        <v>165695.6929484811</v>
      </c>
      <c r="G6" s="108" t="n">
        <v>830331.5952895636</v>
      </c>
      <c r="H6" s="108" t="n">
        <v>-73820.19694385852</v>
      </c>
      <c r="I6" s="12" t="inlineStr">
        <is>
          <t>Matthew dies 2027. No SS claimed yet. Joint annuity income continues to Patricia at 100%. Matthew single annuity stops. Patricia files Single.</t>
        </is>
      </c>
    </row>
    <row r="7" ht="90" customHeight="1">
      <c r="A7" s="2" t="inlineStr">
        <is>
          <t>Matthew dies at 72 (early retirement)</t>
        </is>
      </c>
      <c r="B7" s="135" t="n">
        <v>2034</v>
      </c>
      <c r="C7" s="170" t="n">
        <v>2056</v>
      </c>
      <c r="D7" s="170" t="n">
        <v>2056</v>
      </c>
      <c r="E7" s="172" t="n">
        <v>5083949.55078856</v>
      </c>
      <c r="F7" s="173" t="n">
        <v>-1019898.54882577</v>
      </c>
      <c r="G7" s="108" t="n">
        <v>897931.338911986</v>
      </c>
      <c r="H7" s="108" t="n">
        <v>-6220.453321436187</v>
      </c>
      <c r="I7" s="12" t="inlineStr">
        <is>
          <t>Matthew dies 2034. SS claimed but only a few years of benefits. Joint annuities continue. Patricia survives as Single filer.</t>
        </is>
      </c>
    </row>
    <row r="8" ht="90" customHeight="1">
      <c r="A8" s="2" t="inlineStr">
        <is>
          <t>Patricia dies at 65 (pension &amp; annuities lost early)</t>
        </is>
      </c>
      <c r="B8" s="135" t="n">
        <v>2054</v>
      </c>
      <c r="C8" s="170" t="n">
        <v>2026</v>
      </c>
      <c r="D8" s="170" t="n">
        <v>2054</v>
      </c>
      <c r="E8" s="171" t="n">
        <v>6207735.318280307</v>
      </c>
      <c r="F8" s="109" t="n">
        <v>103887.218665977</v>
      </c>
      <c r="G8" s="108" t="n">
        <v>785663.9013711298</v>
      </c>
      <c r="H8" s="108" t="n">
        <v>-118487.8908622924</v>
      </c>
      <c r="I8" s="12" t="inlineStr">
        <is>
          <t>Patricia dies 2026: pension/single-life income stops immediately. Joint annuities continue to Matthew. Matthew files Single.</t>
        </is>
      </c>
    </row>
    <row r="9" ht="90" customHeight="1">
      <c r="A9" s="2" t="inlineStr">
        <is>
          <t>Patricia dies at 72 (early retirement)</t>
        </is>
      </c>
      <c r="B9" s="135" t="n">
        <v>2054</v>
      </c>
      <c r="C9" s="170" t="n">
        <v>2033</v>
      </c>
      <c r="D9" s="170" t="n">
        <v>2054</v>
      </c>
      <c r="E9" s="172" t="n">
        <v>5199825.367555134</v>
      </c>
      <c r="F9" s="173" t="n">
        <v>-904022.7320591956</v>
      </c>
      <c r="G9" s="108" t="n">
        <v>900941.7854515751</v>
      </c>
      <c r="H9" s="108" t="n">
        <v>-3210.0067818471</v>
      </c>
      <c r="I9" s="12" t="inlineStr">
        <is>
          <t>Patricia dies 2033. Pension stops. Patricia single annuity stops. Joint annuities continue. Matthew survives as Single filer.</t>
        </is>
      </c>
    </row>
    <row r="10" ht="75" customHeight="1">
      <c r="A10" s="2" t="inlineStr">
        <is>
          <t>Both die at 75 (shortened plan)</t>
        </is>
      </c>
      <c r="B10" s="135" t="n">
        <v>2037</v>
      </c>
      <c r="C10" s="170" t="n">
        <v>2036</v>
      </c>
      <c r="D10" s="170" t="n">
        <v>2037</v>
      </c>
      <c r="E10" s="172" t="n">
        <v>4980209.460437333</v>
      </c>
      <c r="F10" s="173" t="n">
        <v>-1123638.639176996</v>
      </c>
      <c r="G10" s="108" t="n">
        <v>568921.1704973103</v>
      </c>
      <c r="H10" s="108" t="n">
        <v>-335230.6217361118</v>
      </c>
      <c r="I10" s="12" t="inlineStr">
        <is>
          <t>Both die by 2037. Plan horizon is sharply shortened. Minimal RMDs, no late-retirement spending. Tests estate value.</t>
        </is>
      </c>
    </row>
    <row r="11"/>
    <row r="12"/>
    <row r="13" ht="15" customHeight="1">
      <c r="A13" s="10" t="inlineStr">
        <is>
          <t>Survivor's Income Sources</t>
        </is>
      </c>
      <c r="B13" s="3" t="n"/>
      <c r="C13" s="3" t="n"/>
      <c r="D13" s="3" t="n"/>
      <c r="E13" s="3" t="n"/>
      <c r="F13" s="4" t="n"/>
    </row>
    <row r="14" ht="15" customHeight="1">
      <c r="A14" s="11" t="inlineStr">
        <is>
          <t>SS Income (Survivor)</t>
        </is>
      </c>
      <c r="B14" s="12" t="inlineStr">
        <is>
          <t>100% of higher benefit = $60,960/yr (at age 70 claim)</t>
        </is>
      </c>
      <c r="C14" s="3" t="n"/>
      <c r="D14" s="3" t="n"/>
      <c r="E14" s="3" t="n"/>
      <c r="F14" s="3" t="n"/>
      <c r="G14" s="3" t="n"/>
      <c r="H14" s="3" t="n"/>
      <c r="I14" s="4" t="n"/>
    </row>
    <row r="15" ht="15" customHeight="1">
      <c r="A15" s="11" t="inlineStr">
        <is>
          <t>Pension (Patricia)</t>
        </is>
      </c>
      <c r="B15" s="12" t="inlineStr">
        <is>
          <t>$4,512/yr — STOPS at Patricia's death</t>
        </is>
      </c>
      <c r="C15" s="3" t="n"/>
      <c r="D15" s="3" t="n"/>
      <c r="E15" s="3" t="n"/>
      <c r="F15" s="3" t="n"/>
      <c r="G15" s="3" t="n"/>
      <c r="H15" s="3" t="n"/>
      <c r="I15" s="4" t="n"/>
    </row>
    <row r="16" ht="15" customHeight="1">
      <c r="A16" s="11" t="inlineStr">
        <is>
          <t>Joint Annuities</t>
        </is>
      </c>
      <c r="B16" s="12" t="inlineStr">
        <is>
          <t>Continue at 100% J&amp;S to survivor per configured; single-life annuities stop at annuitant death</t>
        </is>
      </c>
      <c r="C16" s="3" t="n"/>
      <c r="D16" s="3" t="n"/>
      <c r="E16" s="3" t="n"/>
      <c r="F16" s="3" t="n"/>
      <c r="G16" s="3" t="n"/>
      <c r="H16" s="3" t="n"/>
      <c r="I16" s="4" t="n"/>
    </row>
    <row r="17" ht="15" customHeight="1">
      <c r="A17" s="11" t="inlineStr">
        <is>
          <t>Tax Filing</t>
        </is>
      </c>
      <c r="B17" s="12" t="inlineStr">
        <is>
          <t>Single filer after first death — compressed brackets, lower IRMAA thresholds</t>
        </is>
      </c>
      <c r="C17" s="3" t="n"/>
      <c r="D17" s="3" t="n"/>
      <c r="E17" s="3" t="n"/>
      <c r="F17" s="3" t="n"/>
      <c r="G17" s="3" t="n"/>
      <c r="H17" s="3" t="n"/>
      <c r="I17" s="4" t="n"/>
    </row>
    <row r="18" ht="15" customHeight="1">
      <c r="A18" s="11" t="inlineStr">
        <is>
          <t>Key Action</t>
        </is>
      </c>
      <c r="B18" s="12" t="inlineStr">
        <is>
          <t>Review beneficiary designations; survivor retains Trust + Roth accounts</t>
        </is>
      </c>
      <c r="C18" s="3" t="n"/>
      <c r="D18" s="3" t="n"/>
      <c r="E18" s="3" t="n"/>
      <c r="F18" s="3" t="n"/>
      <c r="G18" s="3" t="n"/>
      <c r="H18" s="3" t="n"/>
      <c r="I18" s="4" t="n"/>
    </row>
  </sheetData>
  <mergeCells count="8">
    <mergeCell ref="B18:I18"/>
    <mergeCell ref="B15:I15"/>
    <mergeCell ref="A13:F13"/>
    <mergeCell ref="B16:I16"/>
    <mergeCell ref="A1:I1"/>
    <mergeCell ref="B14:I14"/>
    <mergeCell ref="A3:I3"/>
    <mergeCell ref="B17:I17"/>
  </mergeCells>
  <pageMargins left="0.75" right="0.75" top="1" bottom="1" header="0.5" footer="0.5"/>
</worksheet>
</file>

<file path=xl/worksheets/sheet22.xml><?xml version="1.0" encoding="utf-8"?>
<worksheet xmlns="http://schemas.openxmlformats.org/spreadsheetml/2006/main">
  <sheetPr>
    <tabColor rgb="00C00000"/>
    <outlinePr summaryBelow="1" summaryRight="1"/>
    <pageSetUpPr/>
  </sheetPr>
  <dimension ref="A1:H59"/>
  <sheetViews>
    <sheetView showGridLines="0" workbookViewId="0">
      <selection activeCell="A1" sqref="A1"/>
    </sheetView>
  </sheetViews>
  <sheetFormatPr baseColWidth="8" defaultRowHeight="15"/>
  <cols>
    <col width="19" customWidth="1" min="1" max="1"/>
    <col width="12" customWidth="1" min="2" max="2"/>
    <col width="12" customWidth="1" min="3" max="3"/>
    <col width="12" customWidth="1" min="4" max="4"/>
    <col width="14" customWidth="1" min="5" max="5"/>
    <col width="13" customWidth="1" min="6" max="6"/>
    <col width="14" customWidth="1" min="7" max="7"/>
    <col width="14" customWidth="1" min="8" max="8"/>
  </cols>
  <sheetData>
    <row r="1" ht="18" customHeight="1">
      <c r="A1" s="9" t="inlineStr">
        <is>
          <t>COMBINED LTC + LIFE INSURANCE ANALYSIS</t>
        </is>
      </c>
    </row>
    <row r="2"/>
    <row r="3" ht="15" customHeight="1">
      <c r="A3" s="13" t="inlineStr">
        <is>
          <t>Section A — Existing Coverage (Annuity Death Benefits)</t>
        </is>
      </c>
      <c r="B3" s="3" t="n"/>
      <c r="C3" s="3" t="n"/>
      <c r="D3" s="3" t="n"/>
      <c r="E3" s="3" t="n"/>
      <c r="F3" s="4" t="n"/>
    </row>
    <row r="4" ht="15" customHeight="1">
      <c r="A4" s="5" t="inlineStr">
        <is>
          <t>Year</t>
        </is>
      </c>
      <c r="B4" s="5" t="inlineStr">
        <is>
          <t>W_Single DB</t>
        </is>
      </c>
      <c r="C4" s="5" t="inlineStr">
        <is>
          <t>W_Joint DB</t>
        </is>
      </c>
      <c r="D4" s="5" t="inlineStr">
        <is>
          <t>H_Single DB</t>
        </is>
      </c>
      <c r="E4" s="5" t="inlineStr">
        <is>
          <t>H_Joint DB</t>
        </is>
      </c>
      <c r="F4" s="5" t="inlineStr">
        <is>
          <t>Total DB</t>
        </is>
      </c>
    </row>
    <row r="5" ht="15" customHeight="1">
      <c r="A5" s="135" t="n">
        <v>2026</v>
      </c>
      <c r="B5" s="103" t="n">
        <v>54811</v>
      </c>
      <c r="C5" s="103" t="n">
        <v>355000</v>
      </c>
      <c r="D5" s="103" t="n">
        <v>93041</v>
      </c>
      <c r="E5" s="103" t="n">
        <v>860000</v>
      </c>
      <c r="F5" s="103" t="n">
        <v>1362852</v>
      </c>
    </row>
    <row r="6" ht="15" customHeight="1">
      <c r="A6" s="135" t="n">
        <v>2027</v>
      </c>
      <c r="B6" s="103" t="n">
        <v>57527</v>
      </c>
      <c r="C6" s="103" t="n">
        <v>355000</v>
      </c>
      <c r="D6" s="103" t="n">
        <v>98029</v>
      </c>
      <c r="E6" s="103" t="n">
        <v>860000</v>
      </c>
      <c r="F6" s="103" t="n">
        <v>1370556</v>
      </c>
    </row>
    <row r="7" ht="15" customHeight="1">
      <c r="A7" s="135" t="n">
        <v>2028</v>
      </c>
      <c r="B7" s="103" t="n">
        <v>60381</v>
      </c>
      <c r="C7" s="103" t="n">
        <v>353868</v>
      </c>
      <c r="D7" s="103" t="n">
        <v>103285</v>
      </c>
      <c r="E7" s="103" t="n">
        <v>887765</v>
      </c>
      <c r="F7" s="103" t="n">
        <v>1405299</v>
      </c>
    </row>
    <row r="8" ht="15" customHeight="1">
      <c r="A8" s="135" t="n">
        <v>2029</v>
      </c>
      <c r="B8" s="103" t="n">
        <v>67377</v>
      </c>
      <c r="C8" s="103" t="n">
        <v>324660</v>
      </c>
      <c r="D8" s="103" t="n">
        <v>108826</v>
      </c>
      <c r="E8" s="103" t="n">
        <v>936024</v>
      </c>
      <c r="F8" s="103" t="n">
        <v>1436887</v>
      </c>
    </row>
    <row r="9" ht="15" customHeight="1">
      <c r="A9" s="135" t="n">
        <v>2030</v>
      </c>
      <c r="B9" s="103" t="n">
        <v>0</v>
      </c>
      <c r="C9" s="103" t="n">
        <v>295406</v>
      </c>
      <c r="D9" s="103" t="n">
        <v>0</v>
      </c>
      <c r="E9" s="103" t="n">
        <v>869290</v>
      </c>
      <c r="F9" s="103" t="n">
        <v>1164696</v>
      </c>
    </row>
    <row r="10" ht="15" customHeight="1">
      <c r="A10" s="135" t="n">
        <v>2031</v>
      </c>
      <c r="B10" s="103" t="n">
        <v>0</v>
      </c>
      <c r="C10" s="103" t="n">
        <v>267026</v>
      </c>
      <c r="D10" s="103" t="n">
        <v>0</v>
      </c>
      <c r="E10" s="103" t="n">
        <v>793070</v>
      </c>
      <c r="F10" s="103" t="n">
        <v>1060096</v>
      </c>
    </row>
    <row r="11" ht="15" customHeight="1">
      <c r="A11" s="135" t="n">
        <v>2032</v>
      </c>
      <c r="B11" s="103" t="n">
        <v>0</v>
      </c>
      <c r="C11" s="103" t="n">
        <v>239467</v>
      </c>
      <c r="D11" s="103" t="n">
        <v>0</v>
      </c>
      <c r="E11" s="103" t="n">
        <v>717885</v>
      </c>
      <c r="F11" s="103" t="n">
        <v>957352</v>
      </c>
    </row>
    <row r="12" ht="15" customHeight="1">
      <c r="A12" s="135" t="n">
        <v>2033</v>
      </c>
      <c r="B12" s="103" t="n">
        <v>0</v>
      </c>
      <c r="C12" s="103" t="n">
        <v>212555</v>
      </c>
      <c r="D12" s="103" t="n">
        <v>0</v>
      </c>
      <c r="E12" s="103" t="n">
        <v>644998</v>
      </c>
      <c r="F12" s="103" t="n">
        <v>857553</v>
      </c>
    </row>
    <row r="13" ht="15" customHeight="1">
      <c r="A13" s="135" t="n">
        <v>2034</v>
      </c>
      <c r="B13" s="103" t="n">
        <v>0</v>
      </c>
      <c r="C13" s="103" t="n">
        <v>186153</v>
      </c>
      <c r="D13" s="103" t="n">
        <v>0</v>
      </c>
      <c r="E13" s="103" t="n">
        <v>574089</v>
      </c>
      <c r="F13" s="103" t="n">
        <v>760242</v>
      </c>
    </row>
    <row r="14" ht="15" customHeight="1">
      <c r="A14" s="135" t="n">
        <v>2035</v>
      </c>
      <c r="B14" s="103" t="n">
        <v>0</v>
      </c>
      <c r="C14" s="103" t="n">
        <v>160180</v>
      </c>
      <c r="D14" s="103" t="n">
        <v>0</v>
      </c>
      <c r="E14" s="103" t="n">
        <v>504776</v>
      </c>
      <c r="F14" s="103" t="n">
        <v>664956</v>
      </c>
    </row>
    <row r="15" ht="15" customHeight="1">
      <c r="A15" s="135" t="n">
        <v>2036</v>
      </c>
      <c r="B15" s="103" t="n">
        <v>0</v>
      </c>
      <c r="C15" s="103" t="n">
        <v>134626</v>
      </c>
      <c r="D15" s="103" t="n">
        <v>0</v>
      </c>
      <c r="E15" s="103" t="n">
        <v>436878</v>
      </c>
      <c r="F15" s="103" t="n">
        <v>571504</v>
      </c>
    </row>
    <row r="16" ht="15" customHeight="1">
      <c r="A16" s="135" t="n">
        <v>2037</v>
      </c>
      <c r="B16" s="103" t="n">
        <v>0</v>
      </c>
      <c r="C16" s="103" t="n">
        <v>109395</v>
      </c>
      <c r="D16" s="103" t="n">
        <v>0</v>
      </c>
      <c r="E16" s="103" t="n">
        <v>370076</v>
      </c>
      <c r="F16" s="103" t="n">
        <v>479471</v>
      </c>
    </row>
    <row r="17" ht="15" customHeight="1">
      <c r="A17" s="135" t="n">
        <v>2038</v>
      </c>
      <c r="B17" s="103" t="n">
        <v>0</v>
      </c>
      <c r="C17" s="103" t="n">
        <v>84451</v>
      </c>
      <c r="D17" s="103" t="n">
        <v>0</v>
      </c>
      <c r="E17" s="103" t="n">
        <v>304216</v>
      </c>
      <c r="F17" s="103" t="n">
        <v>388667</v>
      </c>
    </row>
    <row r="18" ht="15" customHeight="1">
      <c r="A18" s="135" t="n">
        <v>2039</v>
      </c>
      <c r="B18" s="103" t="n">
        <v>0</v>
      </c>
      <c r="C18" s="103" t="n">
        <v>59771</v>
      </c>
      <c r="D18" s="103" t="n">
        <v>0</v>
      </c>
      <c r="E18" s="103" t="n">
        <v>239205</v>
      </c>
      <c r="F18" s="103" t="n">
        <v>298976</v>
      </c>
    </row>
    <row r="19" ht="15" customHeight="1">
      <c r="A19" s="135" t="n">
        <v>2040</v>
      </c>
      <c r="B19" s="103" t="n">
        <v>0</v>
      </c>
      <c r="C19" s="103" t="n">
        <v>35209</v>
      </c>
      <c r="D19" s="103" t="n">
        <v>0</v>
      </c>
      <c r="E19" s="103" t="n">
        <v>173663</v>
      </c>
      <c r="F19" s="103" t="n">
        <v>208872</v>
      </c>
    </row>
    <row r="20" ht="15" customHeight="1">
      <c r="A20" s="135" t="n">
        <v>2041</v>
      </c>
      <c r="B20" s="103" t="n">
        <v>0</v>
      </c>
      <c r="C20" s="103" t="n">
        <v>10736</v>
      </c>
      <c r="D20" s="103" t="n">
        <v>0</v>
      </c>
      <c r="E20" s="103" t="n">
        <v>173663</v>
      </c>
      <c r="F20" s="103" t="n">
        <v>184399</v>
      </c>
    </row>
    <row r="21" ht="15" customHeight="1">
      <c r="A21" s="135" t="n">
        <v>2042</v>
      </c>
      <c r="B21" s="103" t="n">
        <v>0</v>
      </c>
      <c r="C21" s="103" t="n">
        <v>0</v>
      </c>
      <c r="D21" s="103" t="n">
        <v>0</v>
      </c>
      <c r="E21" s="103" t="n">
        <v>43892</v>
      </c>
      <c r="F21" s="103" t="n">
        <v>43892</v>
      </c>
    </row>
    <row r="22"/>
    <row r="23"/>
    <row r="24" ht="15" customHeight="1">
      <c r="A24" s="17" t="inlineStr">
        <is>
          <t>Section B — Need / Gap Analysis</t>
        </is>
      </c>
      <c r="B24" s="3" t="n"/>
      <c r="C24" s="3" t="n"/>
      <c r="D24" s="3" t="n"/>
      <c r="E24" s="3" t="n"/>
      <c r="F24" s="4" t="n"/>
    </row>
    <row r="25" ht="30" customHeight="1">
      <c r="A25" s="5" t="inlineStr">
        <is>
          <t>Purpose</t>
        </is>
      </c>
      <c r="B25" s="5" t="inlineStr">
        <is>
          <t>Need</t>
        </is>
      </c>
      <c r="C25" s="5" t="inlineStr">
        <is>
          <t>Existing DB (Y0)</t>
        </is>
      </c>
      <c r="D25" s="5" t="inlineStr">
        <is>
          <t>Liquid NW</t>
        </is>
      </c>
      <c r="E25" s="5" t="inlineStr">
        <is>
          <t>Gap = max(0,Need-DB-NW)</t>
        </is>
      </c>
      <c r="F25" s="5" t="inlineStr">
        <is>
          <t>Verdict</t>
        </is>
      </c>
    </row>
    <row r="26" ht="30" customHeight="1">
      <c r="A26" s="12" t="inlineStr">
        <is>
          <t>Income Replacement (10x)</t>
        </is>
      </c>
      <c r="B26" s="103" t="n">
        <v>2900000</v>
      </c>
      <c r="C26" s="103" t="n">
        <v>1362852</v>
      </c>
      <c r="D26" s="103" t="n">
        <v>2763947.626422</v>
      </c>
      <c r="E26" s="103" t="n">
        <v>0</v>
      </c>
      <c r="F26" s="75" t="inlineStr">
        <is>
          <t>Gap Covered</t>
        </is>
      </c>
    </row>
    <row r="27" ht="30" customHeight="1">
      <c r="A27" s="12" t="inlineStr">
        <is>
          <t>Mortgage Payoff</t>
        </is>
      </c>
      <c r="B27" s="103" t="n">
        <v>290769.34</v>
      </c>
      <c r="C27" s="103" t="n">
        <v>0</v>
      </c>
      <c r="D27" s="103" t="n">
        <v>2763947.626422</v>
      </c>
      <c r="E27" s="103" t="n">
        <v>0</v>
      </c>
      <c r="F27" s="75" t="inlineStr">
        <is>
          <t>Gap Covered</t>
        </is>
      </c>
    </row>
    <row r="28" ht="30" customHeight="1">
      <c r="A28" s="12" t="inlineStr">
        <is>
          <t>Estate Liquidity</t>
        </is>
      </c>
      <c r="B28" s="103" t="n">
        <v>500000</v>
      </c>
      <c r="C28" s="103" t="n">
        <v>1362852</v>
      </c>
      <c r="D28" s="103" t="n">
        <v>2763947.626422</v>
      </c>
      <c r="E28" s="103" t="n">
        <v>0</v>
      </c>
      <c r="F28" s="75" t="inlineStr">
        <is>
          <t>Gap Covered</t>
        </is>
      </c>
    </row>
    <row r="29"/>
    <row r="30"/>
    <row r="31" ht="15" customHeight="1">
      <c r="A31" s="13" t="inlineStr">
        <is>
          <t>Section C — Hybrid Life/LTC Policy Optimization</t>
        </is>
      </c>
      <c r="B31" s="3" t="n"/>
      <c r="C31" s="3" t="n"/>
      <c r="D31" s="3" t="n"/>
      <c r="E31" s="3" t="n"/>
      <c r="F31" s="4" t="n"/>
    </row>
    <row r="32" ht="30" customHeight="1">
      <c r="A32" s="5" t="inlineStr">
        <is>
          <t>Face Value</t>
        </is>
      </c>
      <c r="B32" s="5" t="inlineStr">
        <is>
          <t>Annual Premium</t>
        </is>
      </c>
      <c r="C32" s="5" t="inlineStr">
        <is>
          <t>LTC Daily Benefit</t>
        </is>
      </c>
      <c r="D32" s="5" t="inlineStr">
        <is>
          <t>Benefit Period</t>
        </is>
      </c>
      <c r="E32" s="5" t="inlineStr">
        <is>
          <t>Break-even vs Self-Fund</t>
        </is>
      </c>
      <c r="F32" s="5" t="inlineStr">
        <is>
          <t>Recommendation</t>
        </is>
      </c>
    </row>
    <row r="33" ht="90" customHeight="1">
      <c r="A33" s="97" t="inlineStr">
        <is>
          <t>$250,000</t>
        </is>
      </c>
      <c r="B33" s="97" t="inlineStr">
        <is>
          <t>~$9,500/yr</t>
        </is>
      </c>
      <c r="C33" s="97" t="inlineStr">
        <is>
          <t>$137/day</t>
        </is>
      </c>
      <c r="D33" s="97" t="inlineStr">
        <is>
          <t>3 years</t>
        </is>
      </c>
      <c r="E33" s="97" t="inlineStr">
        <is>
          <t>~0.5 yrs into claim</t>
        </is>
      </c>
      <c r="F33" s="97" t="inlineStr">
        <is>
          <t>Light coverage — 3yr facility = $411K at today cost; covers moderate scenario</t>
        </is>
      </c>
    </row>
    <row r="34" ht="75" customHeight="1">
      <c r="A34" s="97" t="inlineStr">
        <is>
          <t>$350,000</t>
        </is>
      </c>
      <c r="B34" s="97" t="inlineStr">
        <is>
          <t>~$13,000/yr</t>
        </is>
      </c>
      <c r="C34" s="97" t="inlineStr">
        <is>
          <t>$192/day</t>
        </is>
      </c>
      <c r="D34" s="97" t="inlineStr">
        <is>
          <t>4 years</t>
        </is>
      </c>
      <c r="E34" s="97" t="inlineStr">
        <is>
          <t>~0.7 yrs into claim</t>
        </is>
      </c>
      <c r="F34" s="97" t="inlineStr">
        <is>
          <t>Moderate — 4yr = $412K home care / $549K facility coverage</t>
        </is>
      </c>
    </row>
    <row r="35" ht="90" customHeight="1">
      <c r="A35" s="119" t="inlineStr">
        <is>
          <t>$500,000</t>
        </is>
      </c>
      <c r="B35" s="119" t="inlineStr">
        <is>
          <t>~$18,500/yr</t>
        </is>
      </c>
      <c r="C35" s="114" t="inlineStr">
        <is>
          <t>$274/day</t>
        </is>
      </c>
      <c r="D35" s="114" t="inlineStr">
        <is>
          <t>5 years</t>
        </is>
      </c>
      <c r="E35" s="114" t="inlineStr">
        <is>
          <t>~1.1 yrs into claim</t>
        </is>
      </c>
      <c r="F35" s="119" t="inlineStr">
        <is>
          <t>★ OPTIMAL — 5yr facility covers worst-case; premium affordable vs estate risk</t>
        </is>
      </c>
    </row>
    <row r="36" ht="75" customHeight="1">
      <c r="A36" s="97" t="inlineStr">
        <is>
          <t>$750,000</t>
        </is>
      </c>
      <c r="B36" s="97" t="inlineStr">
        <is>
          <t>~$27,000/yr</t>
        </is>
      </c>
      <c r="C36" s="97" t="inlineStr">
        <is>
          <t>$411/day</t>
        </is>
      </c>
      <c r="D36" s="97" t="inlineStr">
        <is>
          <t>6 years</t>
        </is>
      </c>
      <c r="E36" s="97" t="inlineStr">
        <is>
          <t>~1.8 yrs into claim</t>
        </is>
      </c>
      <c r="F36" s="97" t="inlineStr">
        <is>
          <t>Premium — extensive coverage; premium ~1.8% of estate annually</t>
        </is>
      </c>
    </row>
    <row r="37"/>
    <row r="38" ht="45" customHeight="1">
      <c r="A38" s="112" t="inlineStr">
        <is>
          <t>Configured settings: enabled=False, face=$500,000, premium=$18,500/yr, start=2027, insured=Matthew. Update the DAF/Hybrid LTC sections of Plan Data import/export to activate.</t>
        </is>
      </c>
      <c r="B38" s="3" t="n"/>
      <c r="C38" s="3" t="n"/>
      <c r="D38" s="3" t="n"/>
      <c r="E38" s="3" t="n"/>
      <c r="F38" s="4" t="n"/>
    </row>
    <row r="39"/>
    <row r="40" ht="15" customHeight="1">
      <c r="A40" s="13" t="inlineStr">
        <is>
          <t>Section D — All Coverage Options</t>
        </is>
      </c>
      <c r="B40" s="3" t="n"/>
      <c r="C40" s="3" t="n"/>
      <c r="D40" s="3" t="n"/>
      <c r="E40" s="3" t="n"/>
      <c r="F40" s="4" t="n"/>
    </row>
    <row r="41" ht="30" customHeight="1">
      <c r="A41" s="5" t="inlineStr">
        <is>
          <t>Product</t>
        </is>
      </c>
      <c r="B41" s="5" t="inlineStr">
        <is>
          <t>Insured</t>
        </is>
      </c>
      <c r="C41" s="5" t="inlineStr">
        <is>
          <t>Death Benefit</t>
        </is>
      </c>
      <c r="D41" s="5" t="inlineStr">
        <is>
          <t>LTC Accel</t>
        </is>
      </c>
      <c r="E41" s="5" t="inlineStr">
        <is>
          <t>Cash Value</t>
        </is>
      </c>
      <c r="F41" s="5" t="inlineStr">
        <is>
          <t>Verdict</t>
        </is>
      </c>
    </row>
    <row r="42" ht="75" customHeight="1">
      <c r="A42" s="12" t="inlineStr">
        <is>
          <t>20-Year Term</t>
        </is>
      </c>
      <c r="B42" s="12" t="inlineStr">
        <is>
          <t>Matthew or Patricia</t>
        </is>
      </c>
      <c r="C42" s="12" t="inlineStr">
        <is>
          <t>$500K-$1M</t>
        </is>
      </c>
      <c r="D42" s="12" t="inlineStr">
        <is>
          <t>N/A</t>
        </is>
      </c>
      <c r="E42" s="12" t="inlineStr">
        <is>
          <t>None</t>
        </is>
      </c>
      <c r="F42" s="12" t="inlineStr">
        <is>
          <t>Low cost; expires before mortality age — limited utility</t>
        </is>
      </c>
    </row>
    <row r="43" ht="60" customHeight="1">
      <c r="A43" s="12" t="inlineStr">
        <is>
          <t>Hybrid Life/LTC</t>
        </is>
      </c>
      <c r="B43" s="12" t="inlineStr">
        <is>
          <t>Matthew</t>
        </is>
      </c>
      <c r="C43" s="12" t="inlineStr">
        <is>
          <t>$500,000</t>
        </is>
      </c>
      <c r="D43" s="12" t="inlineStr">
        <is>
          <t>Yes, accelerated DB</t>
        </is>
      </c>
      <c r="E43" s="12" t="inlineStr">
        <is>
          <t>Grows modestly</t>
        </is>
      </c>
      <c r="F43" s="75" t="inlineStr">
        <is>
          <t>★ RECOMMENDED — $500K face, start 2027, ~$18,500/yr</t>
        </is>
      </c>
    </row>
    <row r="44" ht="60" customHeight="1">
      <c r="A44" s="12" t="inlineStr">
        <is>
          <t>Second-to-Die GUL</t>
        </is>
      </c>
      <c r="B44" s="12" t="inlineStr">
        <is>
          <t>Joint</t>
        </is>
      </c>
      <c r="C44" s="12" t="inlineStr">
        <is>
          <t>$1M+</t>
        </is>
      </c>
      <c r="D44" s="12" t="inlineStr">
        <is>
          <t>At second death</t>
        </is>
      </c>
      <c r="E44" s="12" t="inlineStr">
        <is>
          <t>None/minimal</t>
        </is>
      </c>
      <c r="F44" s="12" t="inlineStr">
        <is>
          <t>Consider if IL estate tax &gt; $320K materializes</t>
        </is>
      </c>
    </row>
    <row r="45"/>
    <row r="46" ht="60" customHeight="1">
      <c r="A46" s="12" t="inlineStr">
        <is>
          <t>Recommendation: $500K Hybrid Life/LTC (e.g. Lincoln MoneyGuard) starting 2027. Prioritize the lower-cost insured first; consider a second policy in a later review year. Annuity death benefits may be material early but decline over time — the hybrid policy fills the gap as annuity DB expires.</t>
        </is>
      </c>
      <c r="B46" s="3" t="n"/>
      <c r="C46" s="3" t="n"/>
      <c r="D46" s="3" t="n"/>
      <c r="E46" s="3" t="n"/>
      <c r="F46" s="4" t="n"/>
    </row>
    <row r="47"/>
    <row r="48"/>
    <row r="49" ht="15" customHeight="1">
      <c r="A49" s="9" t="inlineStr">
        <is>
          <t>LONG-TERM-CARE STRESS TEST</t>
        </is>
      </c>
    </row>
    <row r="50"/>
    <row r="51" ht="15" customHeight="1">
      <c r="A51" s="13" t="inlineStr">
        <is>
          <t>LTC Scenarios</t>
        </is>
      </c>
      <c r="B51" s="3" t="n"/>
      <c r="C51" s="3" t="n"/>
      <c r="D51" s="3" t="n"/>
      <c r="E51" s="3" t="n"/>
      <c r="F51" s="4" t="n"/>
    </row>
    <row r="52" ht="30" customHeight="1">
      <c r="A52" s="5" t="inlineStr">
        <is>
          <t>Scenario</t>
        </is>
      </c>
      <c r="B52" s="5" t="inlineStr">
        <is>
          <t>Annual Cost Today</t>
        </is>
      </c>
      <c r="C52" s="5" t="inlineStr">
        <is>
          <t>Duration (yrs)</t>
        </is>
      </c>
      <c r="D52" s="5" t="inlineStr">
        <is>
          <t>Total Cost (inflated)</t>
        </is>
      </c>
      <c r="E52" s="5" t="inlineStr">
        <is>
          <t>Funding Source</t>
        </is>
      </c>
      <c r="F52" s="5" t="inlineStr">
        <is>
          <t>Plan Survives?</t>
        </is>
      </c>
    </row>
    <row r="53" ht="30" customHeight="1">
      <c r="A53" s="12" t="inlineStr">
        <is>
          <t>Moderate Home Care</t>
        </is>
      </c>
      <c r="B53" s="103" t="n">
        <v>35000</v>
      </c>
      <c r="C53" s="12" t="n">
        <v>3</v>
      </c>
      <c r="D53" s="103" t="n">
        <v>110880.8749999999</v>
      </c>
      <c r="E53" s="12" t="inlineStr">
        <is>
          <t>Trust / Roth</t>
        </is>
      </c>
      <c r="F53" s="75" t="inlineStr">
        <is>
          <t>YES</t>
        </is>
      </c>
    </row>
    <row r="54" ht="30" customHeight="1">
      <c r="A54" s="12" t="inlineStr">
        <is>
          <t>Severe Home Care</t>
        </is>
      </c>
      <c r="B54" s="103" t="n">
        <v>75000</v>
      </c>
      <c r="C54" s="12" t="n">
        <v>5</v>
      </c>
      <c r="D54" s="103" t="n">
        <v>418581.8269218746</v>
      </c>
      <c r="E54" s="12" t="inlineStr">
        <is>
          <t>Trust / IRA drawdown</t>
        </is>
      </c>
      <c r="F54" s="75" t="inlineStr">
        <is>
          <t>YES</t>
        </is>
      </c>
    </row>
    <row r="55" ht="30" customHeight="1">
      <c r="A55" s="12" t="inlineStr">
        <is>
          <t>Facility (Memory Care)</t>
        </is>
      </c>
      <c r="B55" s="103" t="n">
        <v>120000</v>
      </c>
      <c r="C55" s="12" t="n">
        <v>5</v>
      </c>
      <c r="D55" s="103" t="n">
        <v>669730.9230749994</v>
      </c>
      <c r="E55" s="12" t="inlineStr">
        <is>
          <t>IRA + Trust</t>
        </is>
      </c>
      <c r="F55" s="76" t="inlineStr">
        <is>
          <t>NO</t>
        </is>
      </c>
    </row>
    <row r="56" ht="30" customHeight="1">
      <c r="A56" s="12" t="inlineStr">
        <is>
          <t>Catastrophic (Both)</t>
        </is>
      </c>
      <c r="B56" s="103" t="n">
        <v>200000</v>
      </c>
      <c r="C56" s="12" t="n">
        <v>7</v>
      </c>
      <c r="D56" s="103" t="n">
        <v>1653378.76775925</v>
      </c>
      <c r="E56" s="12" t="inlineStr">
        <is>
          <t>Full portfolio drawdown</t>
        </is>
      </c>
      <c r="F56" s="76" t="inlineStr">
        <is>
          <t>NO</t>
        </is>
      </c>
    </row>
    <row r="57"/>
    <row r="58"/>
    <row r="59" ht="45" customHeight="1">
      <c r="A59" s="2" t="inlineStr">
        <is>
          <t>⚠ Recommendation: Facility-care and catastrophic scenarios stress the plan. Consider a Hybrid Life/LTC policy to cap open-ended risk.  No LTC policy is currently in force (see 3C. LTC + Life Insurance — Life Insurance).</t>
        </is>
      </c>
      <c r="B59" s="3" t="n"/>
      <c r="C59" s="3" t="n"/>
      <c r="D59" s="3" t="n"/>
      <c r="E59" s="3" t="n"/>
      <c r="F59" s="4" t="n"/>
    </row>
  </sheetData>
  <mergeCells count="10">
    <mergeCell ref="A38:F38"/>
    <mergeCell ref="A24:F24"/>
    <mergeCell ref="A51:F51"/>
    <mergeCell ref="A46:F46"/>
    <mergeCell ref="A31:F31"/>
    <mergeCell ref="A40:F40"/>
    <mergeCell ref="A49:H49"/>
    <mergeCell ref="A1:H1"/>
    <mergeCell ref="A3:F3"/>
    <mergeCell ref="A59:F59"/>
  </mergeCells>
  <pageMargins left="0.75" right="0.75" top="1" bottom="1" header="0.5" footer="0.5"/>
</worksheet>
</file>

<file path=xl/worksheets/sheet23.xml><?xml version="1.0" encoding="utf-8"?>
<worksheet xmlns="http://schemas.openxmlformats.org/spreadsheetml/2006/main">
  <sheetPr>
    <tabColor rgb="00B45F06"/>
    <outlinePr summaryBelow="1" summaryRight="1"/>
    <pageSetUpPr/>
  </sheetPr>
  <dimension ref="A1:H14"/>
  <sheetViews>
    <sheetView showGridLines="0" workbookViewId="0">
      <selection activeCell="A1" sqref="A1"/>
    </sheetView>
  </sheetViews>
  <sheetFormatPr baseColWidth="8" defaultRowHeight="15"/>
  <cols>
    <col width="11" customWidth="1" min="1" max="1"/>
    <col width="14" customWidth="1" min="2" max="2"/>
    <col width="17" customWidth="1" min="3" max="3"/>
    <col width="14" customWidth="1" min="4" max="4"/>
    <col width="14" customWidth="1" min="5" max="5"/>
    <col width="14" customWidth="1" min="6" max="6"/>
    <col width="14" customWidth="1" min="7" max="7"/>
    <col width="14" customWidth="1" min="8" max="8"/>
  </cols>
  <sheetData>
    <row r="1" ht="18" customHeight="1">
      <c r="A1" s="174" t="inlineStr">
        <is>
          <t>4. SYSTEM</t>
        </is>
      </c>
    </row>
    <row r="2" ht="20" customHeight="1"/>
    <row r="3" ht="15" customHeight="1">
      <c r="A3" s="2" t="inlineStr">
        <is>
          <t>Plan data snapshot, assumptions, reconciliation, quality control, RMD audit, methodology, and glossary.</t>
        </is>
      </c>
      <c r="B3" s="3" t="n"/>
      <c r="C3" s="3" t="n"/>
      <c r="D3" s="3" t="n"/>
      <c r="E3" s="3" t="n"/>
      <c r="F3" s="3" t="n"/>
      <c r="G3" s="3" t="n"/>
      <c r="H3" s="4" t="n"/>
    </row>
    <row r="4" ht="20" customHeight="1"/>
    <row r="5" ht="15" customHeight="1">
      <c r="A5" s="5" t="inlineStr">
        <is>
          <t>Workbook area</t>
        </is>
      </c>
      <c r="B5" s="4" t="n"/>
      <c r="C5" s="5" t="inlineStr">
        <is>
          <t>Included sheets</t>
        </is>
      </c>
      <c r="D5" s="3" t="n"/>
      <c r="E5" s="3" t="n"/>
      <c r="F5" s="3" t="n"/>
      <c r="G5" s="4" t="n"/>
    </row>
    <row r="6" ht="15" customHeight="1">
      <c r="A6" s="6" t="inlineStr">
        <is>
          <t>4. System</t>
        </is>
      </c>
      <c r="B6" s="4" t="n"/>
      <c r="C6" s="7" t="inlineStr">
        <is>
          <t>4A. Plan Data</t>
        </is>
      </c>
      <c r="D6" s="3" t="n"/>
      <c r="E6" s="3" t="n"/>
      <c r="F6" s="3" t="n"/>
      <c r="G6" s="4" t="n"/>
    </row>
    <row r="7" ht="15" customHeight="1">
      <c r="C7" s="7" t="inlineStr">
        <is>
          <t>4B. Assumptions</t>
        </is>
      </c>
      <c r="D7" s="3" t="n"/>
      <c r="E7" s="3" t="n"/>
      <c r="F7" s="3" t="n"/>
      <c r="G7" s="4" t="n"/>
    </row>
    <row r="8" ht="15" customHeight="1">
      <c r="C8" s="7" t="inlineStr">
        <is>
          <t>4C. Account Reconciliation</t>
        </is>
      </c>
      <c r="D8" s="3" t="n"/>
      <c r="E8" s="3" t="n"/>
      <c r="F8" s="3" t="n"/>
      <c r="G8" s="4" t="n"/>
    </row>
    <row r="9" ht="15" customHeight="1">
      <c r="C9" s="7" t="inlineStr">
        <is>
          <t>4D. Quality Control</t>
        </is>
      </c>
      <c r="D9" s="3" t="n"/>
      <c r="E9" s="3" t="n"/>
      <c r="F9" s="3" t="n"/>
      <c r="G9" s="4" t="n"/>
    </row>
    <row r="10" ht="15" customHeight="1">
      <c r="C10" s="7" t="inlineStr">
        <is>
          <t>4E. RMD Audit</t>
        </is>
      </c>
      <c r="D10" s="3" t="n"/>
      <c r="E10" s="3" t="n"/>
      <c r="F10" s="3" t="n"/>
      <c r="G10" s="4" t="n"/>
    </row>
    <row r="11" ht="15" customHeight="1">
      <c r="C11" s="7" t="inlineStr">
        <is>
          <t>4F. Methodology</t>
        </is>
      </c>
      <c r="D11" s="3" t="n"/>
      <c r="E11" s="3" t="n"/>
      <c r="F11" s="3" t="n"/>
      <c r="G11" s="4" t="n"/>
    </row>
    <row r="12" ht="15" customHeight="1">
      <c r="C12" s="7" t="inlineStr">
        <is>
          <t>4G. Glossary</t>
        </is>
      </c>
      <c r="D12" s="3" t="n"/>
      <c r="E12" s="3" t="n"/>
      <c r="F12" s="3" t="n"/>
      <c r="G12" s="4" t="n"/>
    </row>
    <row r="13" ht="20" customHeight="1"/>
    <row r="14" ht="30" customHeight="1">
      <c r="A14" s="8" t="inlineStr">
        <is>
          <t>This workbook is an output/reporting surface. Edit plan data in the app database; use CSV only for import/export utilities.</t>
        </is>
      </c>
      <c r="B14" s="3" t="n"/>
      <c r="C14" s="3" t="n"/>
      <c r="D14" s="3" t="n"/>
      <c r="E14" s="3" t="n"/>
      <c r="F14" s="3" t="n"/>
      <c r="G14" s="3" t="n"/>
      <c r="H14" s="4" t="n"/>
    </row>
    <row r="15" ht="20" customHeight="1"/>
  </sheetData>
  <mergeCells count="13">
    <mergeCell ref="A3:H3"/>
    <mergeCell ref="C7:G7"/>
    <mergeCell ref="C12:G12"/>
    <mergeCell ref="C6:G6"/>
    <mergeCell ref="C10:G10"/>
    <mergeCell ref="A5:B5"/>
    <mergeCell ref="C11:G11"/>
    <mergeCell ref="C5:G5"/>
    <mergeCell ref="A14:H14"/>
    <mergeCell ref="A1:H1"/>
    <mergeCell ref="C8:G8"/>
    <mergeCell ref="C9:G9"/>
    <mergeCell ref="A6:B6"/>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s>
  <pageMargins left="0.75" right="0.75" top="1" bottom="1" header="0.5" footer="0.5"/>
</worksheet>
</file>

<file path=xl/worksheets/sheet24.xml><?xml version="1.0" encoding="utf-8"?>
<worksheet xmlns="http://schemas.openxmlformats.org/spreadsheetml/2006/main">
  <sheetPr>
    <tabColor rgb="00B45F06"/>
    <outlinePr summaryBelow="1" summaryRight="1"/>
    <pageSetUpPr/>
  </sheetPr>
  <dimension ref="A1:F39"/>
  <sheetViews>
    <sheetView showGridLines="0" workbookViewId="0">
      <selection activeCell="A1" sqref="A1"/>
    </sheetView>
  </sheetViews>
  <sheetFormatPr baseColWidth="8" defaultRowHeight="15"/>
  <cols>
    <col width="17" customWidth="1" min="1" max="1"/>
    <col width="26" customWidth="1" min="2" max="2"/>
    <col width="27.9" customWidth="1" min="3" max="3"/>
    <col width="14" customWidth="1" min="4" max="4"/>
    <col width="14" customWidth="1" min="5" max="5"/>
    <col width="14" customWidth="1" min="6" max="6"/>
  </cols>
  <sheetData>
    <row r="1" ht="18" customHeight="1">
      <c r="A1" s="174" t="inlineStr">
        <is>
          <t>4A. Plan Data — PLAN DATA SNAPSHOT</t>
        </is>
      </c>
    </row>
    <row r="2"/>
    <row r="3" ht="30" customHeight="1">
      <c r="A3" s="120" t="inlineStr">
        <is>
          <t>The workbook is a generated output. Edit plan data in the database-backed app; CSV remains an import/export utility for large tables only.</t>
        </is>
      </c>
      <c r="B3" s="3" t="n"/>
      <c r="C3" s="3" t="n"/>
      <c r="D3" s="3" t="n"/>
      <c r="E3" s="3" t="n"/>
      <c r="F3" s="4" t="n"/>
    </row>
    <row r="4"/>
    <row r="5" ht="15" customHeight="1">
      <c r="A5" s="5" t="inlineStr">
        <is>
          <t>Plan data item</t>
        </is>
      </c>
      <c r="B5" s="5" t="inlineStr">
        <is>
          <t>Value</t>
        </is>
      </c>
      <c r="C5" s="5" t="inlineStr">
        <is>
          <t>Notes</t>
        </is>
      </c>
      <c r="D5" s="3" t="n"/>
      <c r="E5" s="3" t="n"/>
      <c r="F5" s="4" t="n"/>
    </row>
    <row r="6" ht="15" customHeight="1">
      <c r="A6" s="12" t="inlineStr">
        <is>
          <t>Plan Prepared</t>
        </is>
      </c>
      <c r="B6" s="12" t="inlineStr">
        <is>
          <t>2026-07-03</t>
        </is>
      </c>
      <c r="C6" s="12" t="inlineStr">
        <is>
          <t>Source: saved plan snapshot used for this workbook build</t>
        </is>
      </c>
      <c r="D6" s="3" t="n"/>
      <c r="E6" s="3" t="n"/>
      <c r="F6" s="4" t="n"/>
    </row>
    <row r="7" ht="30" customHeight="1">
      <c r="A7" s="12" t="inlineStr">
        <is>
          <t>Clients</t>
        </is>
      </c>
      <c r="B7" s="12" t="inlineStr">
        <is>
          <t>Matthew (DOB: 1962) &amp; Patricia (DOB: 1961)</t>
        </is>
      </c>
      <c r="C7" s="12" t="inlineStr">
        <is>
          <t>Source: saved plan snapshot used for this workbook build</t>
        </is>
      </c>
      <c r="D7" s="3" t="n"/>
      <c r="E7" s="3" t="n"/>
      <c r="F7" s="4" t="n"/>
    </row>
    <row r="8" ht="15" customHeight="1">
      <c r="A8" s="12" t="inlineStr">
        <is>
          <t>Residence State</t>
        </is>
      </c>
      <c r="B8" s="12" t="inlineStr">
        <is>
          <t>Illinois</t>
        </is>
      </c>
      <c r="C8" s="12" t="inlineStr">
        <is>
          <t>Source: saved plan snapshot used for this workbook build</t>
        </is>
      </c>
      <c r="D8" s="3" t="n"/>
      <c r="E8" s="3" t="n"/>
      <c r="F8" s="4" t="n"/>
    </row>
    <row r="9" ht="15" customHeight="1">
      <c r="A9" s="12" t="inlineStr">
        <is>
          <t>Plan Horizon</t>
        </is>
      </c>
      <c r="B9" s="12" t="inlineStr">
        <is>
          <t>2026 – 2056</t>
        </is>
      </c>
      <c r="C9" s="12" t="inlineStr">
        <is>
          <t>Source: saved plan snapshot used for this workbook build</t>
        </is>
      </c>
      <c r="D9" s="3" t="n"/>
      <c r="E9" s="3" t="n"/>
      <c r="F9" s="4" t="n"/>
    </row>
    <row r="10" ht="45" customHeight="1">
      <c r="A10" s="12" t="inlineStr">
        <is>
          <t>Statutory Version</t>
        </is>
      </c>
      <c r="B10" s="12" t="inlineStr">
        <is>
          <t>OBBBA (One Big Beautiful Bill Act), signed July 4 2025</t>
        </is>
      </c>
      <c r="C10" s="12" t="inlineStr">
        <is>
          <t>Source: saved plan snapshot used for this workbook build</t>
        </is>
      </c>
      <c r="D10" s="3" t="n"/>
      <c r="E10" s="3" t="n"/>
      <c r="F10" s="4" t="n"/>
    </row>
    <row r="11" ht="30" customHeight="1">
      <c r="A11" s="12" t="inlineStr">
        <is>
          <t>Workbook Pricing Source</t>
        </is>
      </c>
      <c r="B11" s="12" t="inlineStr">
        <is>
          <t>CACHE — as of 07/03/2026 11:32 AM</t>
        </is>
      </c>
      <c r="C11" s="12" t="inlineStr">
        <is>
          <t>Source: saved plan snapshot used for this workbook build</t>
        </is>
      </c>
      <c r="D11" s="3" t="n"/>
      <c r="E11" s="3" t="n"/>
      <c r="F11" s="4" t="n"/>
    </row>
    <row r="12"/>
    <row r="13" ht="15" customHeight="1">
      <c r="A13" s="5" t="inlineStr">
        <is>
          <t>Section</t>
        </is>
      </c>
      <c r="B13" s="5" t="inlineStr">
        <is>
          <t>Sheet</t>
        </is>
      </c>
      <c r="C13" s="5" t="inlineStr">
        <is>
          <t>Purpose</t>
        </is>
      </c>
      <c r="D13" s="3" t="n"/>
      <c r="E13" s="3" t="n"/>
      <c r="F13" s="4" t="n"/>
    </row>
    <row r="14" ht="15" customHeight="1">
      <c r="A14" s="12" t="inlineStr">
        <is>
          <t>1. Reports</t>
        </is>
      </c>
      <c r="B14" s="12" t="inlineStr">
        <is>
          <t>1A. Executive Summary</t>
        </is>
      </c>
      <c r="C14" s="12" t="inlineStr">
        <is>
          <t>plan-level findings, recommendations, and strategy narrative</t>
        </is>
      </c>
      <c r="D14" s="3" t="n"/>
      <c r="E14" s="3" t="n"/>
      <c r="F14" s="4" t="n"/>
    </row>
    <row r="15" ht="15" customHeight="1">
      <c r="A15" s="12" t="inlineStr">
        <is>
          <t>1. Reports</t>
        </is>
      </c>
      <c r="B15" s="12" t="inlineStr">
        <is>
          <t>1B. Net Worth</t>
        </is>
      </c>
      <c r="C15" s="12" t="inlineStr">
        <is>
          <t>net-worth projection report</t>
        </is>
      </c>
      <c r="D15" s="3" t="n"/>
      <c r="E15" s="3" t="n"/>
      <c r="F15" s="4" t="n"/>
    </row>
    <row r="16" ht="15" customHeight="1">
      <c r="A16" s="12" t="inlineStr">
        <is>
          <t>1. Reports</t>
        </is>
      </c>
      <c r="B16" s="12" t="inlineStr">
        <is>
          <t>1C. Cash Flow</t>
        </is>
      </c>
      <c r="C16" s="12" t="inlineStr">
        <is>
          <t>annual cash-flow report</t>
        </is>
      </c>
      <c r="D16" s="3" t="n"/>
      <c r="E16" s="3" t="n"/>
      <c r="F16" s="4" t="n"/>
    </row>
    <row r="17" ht="15" customHeight="1">
      <c r="A17" s="12" t="inlineStr">
        <is>
          <t>1. Reports</t>
        </is>
      </c>
      <c r="B17" s="12" t="inlineStr">
        <is>
          <t>1D. Balance Sheet</t>
        </is>
      </c>
      <c r="C17" s="12" t="inlineStr">
        <is>
          <t>current household balance sheet</t>
        </is>
      </c>
      <c r="D17" s="3" t="n"/>
      <c r="E17" s="3" t="n"/>
      <c r="F17" s="4" t="n"/>
    </row>
    <row r="18" ht="15" customHeight="1">
      <c r="A18" s="12" t="inlineStr">
        <is>
          <t>1. Reports</t>
        </is>
      </c>
      <c r="B18" s="12" t="inlineStr">
        <is>
          <t>1E. Charts</t>
        </is>
      </c>
      <c r="C18" s="12" t="inlineStr">
        <is>
          <t>visual report dashboard</t>
        </is>
      </c>
      <c r="D18" s="3" t="n"/>
      <c r="E18" s="3" t="n"/>
      <c r="F18" s="4" t="n"/>
    </row>
    <row r="19" ht="15" customHeight="1">
      <c r="A19" s="12" t="inlineStr">
        <is>
          <t>1. Reports</t>
        </is>
      </c>
      <c r="B19" s="12" t="inlineStr">
        <is>
          <t>1F. Lifetime Taxes</t>
        </is>
      </c>
      <c r="C19" s="12" t="inlineStr">
        <is>
          <t>tax projection report</t>
        </is>
      </c>
      <c r="D19" s="3" t="n"/>
      <c r="E19" s="3" t="n"/>
      <c r="F19" s="4" t="n"/>
    </row>
    <row r="20" ht="15" customHeight="1">
      <c r="A20" s="12" t="inlineStr">
        <is>
          <t>1. Reports</t>
        </is>
      </c>
      <c r="B20" s="12" t="inlineStr">
        <is>
          <t>1G. Core Spending</t>
        </is>
      </c>
      <c r="C20" s="33" t="inlineStr"/>
      <c r="D20" s="3" t="n"/>
      <c r="E20" s="3" t="n"/>
      <c r="F20" s="4" t="n"/>
    </row>
    <row r="21" ht="15" customHeight="1">
      <c r="A21" s="12" t="inlineStr">
        <is>
          <t>1. Reports</t>
        </is>
      </c>
      <c r="B21" s="12" t="inlineStr">
        <is>
          <t>1H. Spending Summary</t>
        </is>
      </c>
      <c r="C21" s="33" t="inlineStr"/>
      <c r="D21" s="3" t="n"/>
      <c r="E21" s="3" t="n"/>
      <c r="F21" s="4" t="n"/>
    </row>
    <row r="22" ht="15" customHeight="1">
      <c r="A22" s="12" t="inlineStr">
        <is>
          <t>2. Optimizers</t>
        </is>
      </c>
      <c r="B22" s="12" t="inlineStr">
        <is>
          <t>2A. Roth Conversion</t>
        </is>
      </c>
      <c r="C22" s="12" t="inlineStr">
        <is>
          <t>Roth conversion optimizer</t>
        </is>
      </c>
      <c r="D22" s="3" t="n"/>
      <c r="E22" s="3" t="n"/>
      <c r="F22" s="4" t="n"/>
    </row>
    <row r="23" ht="15" customHeight="1">
      <c r="A23" s="12" t="inlineStr">
        <is>
          <t>2. Optimizers</t>
        </is>
      </c>
      <c r="B23" s="12" t="inlineStr">
        <is>
          <t>2B. Asset Allocation</t>
        </is>
      </c>
      <c r="C23" s="12" t="inlineStr">
        <is>
          <t>asset allocation and rebalancing optimizer</t>
        </is>
      </c>
      <c r="D23" s="3" t="n"/>
      <c r="E23" s="3" t="n"/>
      <c r="F23" s="4" t="n"/>
    </row>
    <row r="24" ht="15" customHeight="1">
      <c r="A24" s="12" t="inlineStr">
        <is>
          <t>2. Optimizers</t>
        </is>
      </c>
      <c r="B24" s="12" t="inlineStr">
        <is>
          <t>2C. State Residency</t>
        </is>
      </c>
      <c r="C24" s="12" t="inlineStr">
        <is>
          <t>state residency optimizer</t>
        </is>
      </c>
      <c r="D24" s="3" t="n"/>
      <c r="E24" s="3" t="n"/>
      <c r="F24" s="4" t="n"/>
    </row>
    <row r="25" ht="15" customHeight="1">
      <c r="A25" s="12" t="inlineStr">
        <is>
          <t>2. Optimizers</t>
        </is>
      </c>
      <c r="B25" s="12" t="inlineStr">
        <is>
          <t>2D. Social Security</t>
        </is>
      </c>
      <c r="C25" s="12" t="inlineStr">
        <is>
          <t>Social Security claiming optimizer</t>
        </is>
      </c>
      <c r="D25" s="3" t="n"/>
      <c r="E25" s="3" t="n"/>
      <c r="F25" s="4" t="n"/>
    </row>
    <row r="26" ht="15" customHeight="1">
      <c r="A26" s="12" t="inlineStr">
        <is>
          <t>2. Optimizers</t>
        </is>
      </c>
      <c r="B26" s="12" t="inlineStr">
        <is>
          <t>2E. S-Corp vs LLC</t>
        </is>
      </c>
      <c r="C26" s="12" t="inlineStr">
        <is>
          <t>entity strategy optimizer</t>
        </is>
      </c>
      <c r="D26" s="3" t="n"/>
      <c r="E26" s="3" t="n"/>
      <c r="F26" s="4" t="n"/>
    </row>
    <row r="27" ht="15" customHeight="1">
      <c r="A27" s="12" t="inlineStr">
        <is>
          <t>2. Optimizers</t>
        </is>
      </c>
      <c r="B27" s="12" t="inlineStr">
        <is>
          <t>2F. Charitable Giving</t>
        </is>
      </c>
      <c r="C27" s="12" t="inlineStr">
        <is>
          <t>charitable giving optimizer</t>
        </is>
      </c>
      <c r="D27" s="3" t="n"/>
      <c r="E27" s="3" t="n"/>
      <c r="F27" s="4" t="n"/>
    </row>
    <row r="28" ht="30" customHeight="1">
      <c r="A28" s="12" t="inlineStr">
        <is>
          <t>2. Optimizers</t>
        </is>
      </c>
      <c r="B28" s="12" t="inlineStr">
        <is>
          <t>2G. Estate &amp; Legacy Planning</t>
        </is>
      </c>
      <c r="C28" s="12" t="inlineStr">
        <is>
          <t>estate and legacy optimizer</t>
        </is>
      </c>
      <c r="D28" s="3" t="n"/>
      <c r="E28" s="3" t="n"/>
      <c r="F28" s="4" t="n"/>
    </row>
    <row r="29" ht="30" customHeight="1">
      <c r="A29" s="12" t="inlineStr">
        <is>
          <t>2. Optimizers</t>
        </is>
      </c>
      <c r="B29" s="12" t="inlineStr">
        <is>
          <t>2H. Planning Levers</t>
        </is>
      </c>
      <c r="C29" s="12" t="inlineStr">
        <is>
          <t>interactive sensitivity dashboard for TNW and probability-of-success levers</t>
        </is>
      </c>
      <c r="D29" s="3" t="n"/>
      <c r="E29" s="3" t="n"/>
      <c r="F29" s="4" t="n"/>
    </row>
    <row r="30" ht="30" customHeight="1">
      <c r="A30" s="12" t="inlineStr">
        <is>
          <t>3. Risk &amp; Stress Tests</t>
        </is>
      </c>
      <c r="B30" s="12" t="inlineStr">
        <is>
          <t>3A. Monte Carlo</t>
        </is>
      </c>
      <c r="C30" s="12" t="inlineStr">
        <is>
          <t>probability-of-success and market stress testing</t>
        </is>
      </c>
      <c r="D30" s="3" t="n"/>
      <c r="E30" s="3" t="n"/>
      <c r="F30" s="4" t="n"/>
    </row>
    <row r="31" ht="30" customHeight="1">
      <c r="A31" s="12" t="inlineStr">
        <is>
          <t>3. Risk &amp; Stress Tests</t>
        </is>
      </c>
      <c r="B31" s="12" t="inlineStr">
        <is>
          <t>3B. Survivor</t>
        </is>
      </c>
      <c r="C31" s="12" t="inlineStr">
        <is>
          <t>survivor stress test</t>
        </is>
      </c>
      <c r="D31" s="3" t="n"/>
      <c r="E31" s="3" t="n"/>
      <c r="F31" s="4" t="n"/>
    </row>
    <row r="32" ht="30" customHeight="1">
      <c r="A32" s="12" t="inlineStr">
        <is>
          <t>3. Risk &amp; Stress Tests</t>
        </is>
      </c>
      <c r="B32" s="12" t="inlineStr">
        <is>
          <t>3C. LTC + Life Insurance</t>
        </is>
      </c>
      <c r="C32" s="12" t="inlineStr">
        <is>
          <t>combined protection stress test</t>
        </is>
      </c>
      <c r="D32" s="3" t="n"/>
      <c r="E32" s="3" t="n"/>
      <c r="F32" s="4" t="n"/>
    </row>
    <row r="33" ht="15" customHeight="1">
      <c r="A33" s="12" t="inlineStr">
        <is>
          <t>4. System</t>
        </is>
      </c>
      <c r="B33" s="12" t="inlineStr">
        <is>
          <t>4A. Plan Data</t>
        </is>
      </c>
      <c r="C33" s="12" t="inlineStr">
        <is>
          <t>database-backed plan snapshot and workbook scope</t>
        </is>
      </c>
      <c r="D33" s="3" t="n"/>
      <c r="E33" s="3" t="n"/>
      <c r="F33" s="4" t="n"/>
    </row>
    <row r="34" ht="15" customHeight="1">
      <c r="A34" s="12" t="inlineStr">
        <is>
          <t>4. System</t>
        </is>
      </c>
      <c r="B34" s="12" t="inlineStr">
        <is>
          <t>4B. Assumptions</t>
        </is>
      </c>
      <c r="C34" s="12" t="inlineStr">
        <is>
          <t>model assumptions and tax-law inputs</t>
        </is>
      </c>
      <c r="D34" s="3" t="n"/>
      <c r="E34" s="3" t="n"/>
      <c r="F34" s="4" t="n"/>
    </row>
    <row r="35" ht="15" customHeight="1">
      <c r="A35" s="12" t="inlineStr">
        <is>
          <t>4. System</t>
        </is>
      </c>
      <c r="B35" s="12" t="inlineStr">
        <is>
          <t>4C. Account Reconciliation</t>
        </is>
      </c>
      <c r="C35" s="12" t="inlineStr">
        <is>
          <t>account-level reconciliation and data checks</t>
        </is>
      </c>
      <c r="D35" s="3" t="n"/>
      <c r="E35" s="3" t="n"/>
      <c r="F35" s="4" t="n"/>
    </row>
    <row r="36" ht="15" customHeight="1">
      <c r="A36" s="12" t="inlineStr">
        <is>
          <t>4. System</t>
        </is>
      </c>
      <c r="B36" s="12" t="inlineStr">
        <is>
          <t>4D. Quality Control</t>
        </is>
      </c>
      <c r="C36" s="12" t="inlineStr">
        <is>
          <t>validation checks and workbook warnings</t>
        </is>
      </c>
      <c r="D36" s="3" t="n"/>
      <c r="E36" s="3" t="n"/>
      <c r="F36" s="4" t="n"/>
    </row>
    <row r="37" ht="15" customHeight="1">
      <c r="A37" s="12" t="inlineStr">
        <is>
          <t>4. System</t>
        </is>
      </c>
      <c r="B37" s="12" t="inlineStr">
        <is>
          <t>4E. RMD Audit</t>
        </is>
      </c>
      <c r="C37" s="12" t="inlineStr">
        <is>
          <t>required minimum distribution audit</t>
        </is>
      </c>
      <c r="D37" s="3" t="n"/>
      <c r="E37" s="3" t="n"/>
      <c r="F37" s="4" t="n"/>
    </row>
    <row r="38" ht="15" customHeight="1">
      <c r="A38" s="12" t="inlineStr">
        <is>
          <t>4. System</t>
        </is>
      </c>
      <c r="B38" s="12" t="inlineStr">
        <is>
          <t>4F. Methodology</t>
        </is>
      </c>
      <c r="C38" s="12" t="inlineStr">
        <is>
          <t>model methodology and rerun notes</t>
        </is>
      </c>
      <c r="D38" s="3" t="n"/>
      <c r="E38" s="3" t="n"/>
      <c r="F38" s="4" t="n"/>
    </row>
    <row r="39" ht="15" customHeight="1">
      <c r="A39" s="12" t="inlineStr">
        <is>
          <t>4. System</t>
        </is>
      </c>
      <c r="B39" s="12" t="inlineStr">
        <is>
          <t>4G. Glossary</t>
        </is>
      </c>
      <c r="C39" s="12" t="inlineStr">
        <is>
          <t>terms and definitions</t>
        </is>
      </c>
      <c r="D39" s="3" t="n"/>
      <c r="E39" s="3" t="n"/>
      <c r="F39" s="4" t="n"/>
    </row>
  </sheetData>
  <mergeCells count="36">
    <mergeCell ref="C17:F17"/>
    <mergeCell ref="C23:F23"/>
    <mergeCell ref="C39:F39"/>
    <mergeCell ref="C8:F8"/>
    <mergeCell ref="C7:F7"/>
    <mergeCell ref="C38:F38"/>
    <mergeCell ref="C32:F32"/>
    <mergeCell ref="A3:F3"/>
    <mergeCell ref="C19:F19"/>
    <mergeCell ref="C37:F37"/>
    <mergeCell ref="C28:F28"/>
    <mergeCell ref="C13:F13"/>
    <mergeCell ref="C18:F18"/>
    <mergeCell ref="C34:F34"/>
    <mergeCell ref="C6:F6"/>
    <mergeCell ref="C30:F30"/>
    <mergeCell ref="C15:F15"/>
    <mergeCell ref="C33:F33"/>
    <mergeCell ref="C24:F24"/>
    <mergeCell ref="C5:F5"/>
    <mergeCell ref="C14:F14"/>
    <mergeCell ref="C35:F35"/>
    <mergeCell ref="C20:F20"/>
    <mergeCell ref="C26:F26"/>
    <mergeCell ref="C29:F29"/>
    <mergeCell ref="C16:F16"/>
    <mergeCell ref="C25:F25"/>
    <mergeCell ref="C10:F10"/>
    <mergeCell ref="C22:F22"/>
    <mergeCell ref="C9:F9"/>
    <mergeCell ref="C31:F31"/>
    <mergeCell ref="A1:F1"/>
    <mergeCell ref="C21:F21"/>
    <mergeCell ref="C11:F11"/>
    <mergeCell ref="C27:F27"/>
    <mergeCell ref="C36:F36"/>
  </mergeCells>
  <pageMargins left="0.75" right="0.75" top="1" bottom="1" header="0.5" footer="0.5"/>
</worksheet>
</file>

<file path=xl/worksheets/sheet25.xml><?xml version="1.0" encoding="utf-8"?>
<worksheet xmlns="http://schemas.openxmlformats.org/spreadsheetml/2006/main">
  <sheetPr>
    <tabColor rgb="00B45F06"/>
    <outlinePr summaryBelow="1" summaryRight="1"/>
    <pageSetUpPr/>
  </sheetPr>
  <dimension ref="A1:H169"/>
  <sheetViews>
    <sheetView showGridLines="0" workbookViewId="0">
      <selection activeCell="A1" sqref="A1"/>
    </sheetView>
  </sheetViews>
  <sheetFormatPr baseColWidth="8" defaultRowHeight="15"/>
  <cols>
    <col width="10"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18" customHeight="1">
      <c r="A1" s="9" t="inlineStr">
        <is>
          <t>ASSUMPTIONS &amp; TAX LAW — Editable Input Tables</t>
        </is>
      </c>
    </row>
    <row r="2" ht="18" customHeight="1">
      <c r="A2" s="10" t="inlineStr">
        <is>
          <t>What the Model Used — Plain-English Impact Checks</t>
        </is>
      </c>
      <c r="B2" s="3" t="n"/>
      <c r="C2" s="3" t="n"/>
      <c r="D2" s="4" t="n"/>
    </row>
    <row r="3" ht="15" customHeight="1">
      <c r="A3" s="5" t="inlineStr">
        <is>
          <t>Parameter</t>
        </is>
      </c>
      <c r="B3" s="5" t="inlineStr">
        <is>
          <t>Value</t>
        </is>
      </c>
      <c r="C3" s="5" t="inlineStr">
        <is>
          <t>Units</t>
        </is>
      </c>
      <c r="D3" s="5" t="inlineStr">
        <is>
          <t>Note</t>
        </is>
      </c>
    </row>
    <row r="4" ht="90" customHeight="1">
      <c r="A4" s="97" t="inlineStr">
        <is>
          <t>Current-year actuals blend</t>
        </is>
      </c>
      <c r="B4" s="175" t="inlineStr">
        <is>
          <t>2026: income/spending actual through 2026-06-25, projected for the remaining 49.59% of the year; account growth/contributions prorated to that same remainder.</t>
        </is>
      </c>
      <c r="C4" s="12" t="inlineStr">
        <is>
          <t>text</t>
        </is>
      </c>
      <c r="D4" s="12" t="inlineStr">
        <is>
          <t>Action: keep YTD transactions and each account's Prior Year End Balance current every January so the current-year row reflects real results, not just a full-year assumption.</t>
        </is>
      </c>
    </row>
    <row r="5" ht="90" customHeight="1">
      <c r="A5" s="97" t="inlineStr">
        <is>
          <t>Time horizon</t>
        </is>
      </c>
      <c r="B5" s="175" t="inlineStr">
        <is>
          <t>2026–2056</t>
        </is>
      </c>
      <c r="C5" s="12" t="inlineStr">
        <is>
          <t>text</t>
        </is>
      </c>
      <c r="D5" s="12" t="inlineStr">
        <is>
          <t>Sets the years included in every income, tax, spending, and terminal-net-worth calculation.</t>
        </is>
      </c>
    </row>
    <row r="6" ht="90" customHeight="1">
      <c r="A6" s="97" t="inlineStr">
        <is>
          <t>Social Security income</t>
        </is>
      </c>
      <c r="B6" s="175" t="inlineStr">
        <is>
          <t>Claim ages Matthew/Patricia: 70/70; funding haircut 22.00% starting 2032</t>
        </is>
      </c>
      <c r="C6" s="12" t="inlineStr">
        <is>
          <t>text</t>
        </is>
      </c>
      <c r="D6" s="12" t="inlineStr">
        <is>
          <t>Action: set the funding haircut to 0% for one scenario if you want to isolate this drag on terminal net worth.</t>
        </is>
      </c>
    </row>
    <row r="7" ht="90" customHeight="1">
      <c r="A7" s="97" t="inlineStr">
        <is>
          <t>Wellness cash flow</t>
        </is>
      </c>
      <c r="B7" s="175" t="inlineStr">
        <is>
          <t>Bridge monthly $1,000; Medicare B/D/G monthly $980; OOP $10,000; ACA PTC On</t>
        </is>
      </c>
      <c r="C7" s="12" t="inlineStr">
        <is>
          <t>text</t>
        </is>
      </c>
      <c r="D7" s="12" t="inlineStr">
        <is>
          <t>Action: if terminal net worth fell, temporarily zero bridge/Medicare/OOP costs to quantify wellness impact, then restore realistic values.</t>
        </is>
      </c>
    </row>
    <row r="8" ht="90" customHeight="1">
      <c r="A8" s="97" t="inlineStr">
        <is>
          <t>Taxable portfolio income</t>
        </is>
      </c>
      <c r="B8" s="175" t="inlineStr">
        <is>
          <t>asset-class/symbol yield assumptions</t>
        </is>
      </c>
      <c r="C8" s="12" t="inlineStr">
        <is>
          <t>text</t>
        </is>
      </c>
      <c r="D8" s="12" t="inlineStr">
        <is>
          <t>Annual dividends/interest can raise AGI, Social Security taxation, IRMAA, NIIT, and reduce Roth-conversion room. Action: review asset location and distribution yields.</t>
        </is>
      </c>
    </row>
    <row r="9" ht="90" customHeight="1">
      <c r="A9" s="97" t="inlineStr">
        <is>
          <t>Roth / IRMAA guardrails</t>
        </is>
      </c>
      <c r="B9" s="175" t="inlineStr">
        <is>
          <t>Policy fill_to_irmaa; IRMAA mode WARN_ONLY; target TIER_2; headroom 100.00%</t>
        </is>
      </c>
      <c r="C9" s="12" t="inlineStr">
        <is>
          <t>text</t>
        </is>
      </c>
      <c r="D9" s="12" t="inlineStr">
        <is>
          <t>Action: if conversions look unexpectedly low, check the IRMAA guardrail and ACA PTC-loss weight before overriding the Roth policy.</t>
        </is>
      </c>
    </row>
    <row r="10" ht="90" customHeight="1">
      <c r="A10" s="97" t="inlineStr">
        <is>
          <t>Estate and survivor treatment</t>
        </is>
      </c>
      <c r="B10" s="175" t="inlineStr">
        <is>
          <t>Basis step-up On; CST On; CST funded/excluded $20,000; portability On</t>
        </is>
      </c>
      <c r="C10" s="12" t="inlineStr">
        <is>
          <t>text</t>
        </is>
      </c>
      <c r="D10" s="12" t="inlineStr">
        <is>
          <t>Action: compare one rebuild with CST or estate objective off if you need to isolate estate-policy impact.</t>
        </is>
      </c>
    </row>
    <row r="11" ht="90" customHeight="1">
      <c r="A11" s="97" t="inlineStr">
        <is>
          <t>Monte Carlo risk mode</t>
        </is>
      </c>
      <c r="B11" s="175" t="inlineStr">
        <is>
          <t>vectorized with None main paths and None sensitivity paths</t>
        </is>
      </c>
      <c r="C11" s="12" t="inlineStr">
        <is>
          <t>text</t>
        </is>
      </c>
      <c r="D11" s="12" t="inlineStr">
        <is>
          <t>Action: raise path counts for final advisor review; raise max_build_seconds if exact scalar MC runs too long.</t>
        </is>
      </c>
    </row>
    <row r="12" ht="90" customHeight="1">
      <c r="A12" s="97" t="inlineStr">
        <is>
          <t>Allocation and real-dollar reporting</t>
        </is>
      </c>
      <c r="B12" s="175" t="inlineStr">
        <is>
          <t>Allocation mode user_target; real-dollar rows On using base year 2026</t>
        </is>
      </c>
      <c r="C12" s="12" t="inlineStr">
        <is>
          <t>text</t>
        </is>
      </c>
      <c r="D12" s="12" t="inlineStr">
        <is>
          <t>Action: use real-dollar outputs for purchasing-power comparisons and nominal outputs only for like-for-like workbook runs.</t>
        </is>
      </c>
    </row>
    <row r="13"/>
    <row r="14" ht="15" customHeight="1">
      <c r="A14" s="10" t="inlineStr">
        <is>
          <t>Economic Assumptions</t>
        </is>
      </c>
      <c r="B14" s="3" t="n"/>
      <c r="C14" s="3" t="n"/>
      <c r="D14" s="4" t="n"/>
    </row>
    <row r="15" ht="15" customHeight="1">
      <c r="A15" s="5" t="inlineStr">
        <is>
          <t>Parameter</t>
        </is>
      </c>
      <c r="B15" s="5" t="inlineStr">
        <is>
          <t>Value</t>
        </is>
      </c>
      <c r="C15" s="5" t="inlineStr">
        <is>
          <t>Units</t>
        </is>
      </c>
      <c r="D15" s="5" t="inlineStr">
        <is>
          <t>Note</t>
        </is>
      </c>
    </row>
    <row r="16" ht="30" customHeight="1">
      <c r="A16" s="97" t="inlineStr">
        <is>
          <t>Inflation (General)</t>
        </is>
      </c>
      <c r="B16" s="176" t="n">
        <v>0.025</v>
      </c>
      <c r="C16" s="12" t="inlineStr">
        <is>
          <t>decimal</t>
        </is>
      </c>
      <c r="D16" s="12" t="inlineStr">
        <is>
          <t>2.50% annual</t>
        </is>
      </c>
    </row>
    <row r="17" ht="15" customHeight="1">
      <c r="A17" s="97" t="inlineStr">
        <is>
          <t>SS COLA</t>
        </is>
      </c>
      <c r="B17" s="176" t="n">
        <v>0.02</v>
      </c>
      <c r="C17" s="12" t="inlineStr">
        <is>
          <t>decimal</t>
        </is>
      </c>
      <c r="D17" s="12" t="inlineStr">
        <is>
          <t>2.00% annual</t>
        </is>
      </c>
    </row>
    <row r="18" ht="30" customHeight="1">
      <c r="A18" s="97" t="inlineStr">
        <is>
          <t>Medicare Inflation</t>
        </is>
      </c>
      <c r="B18" s="176" t="n">
        <v>0.055</v>
      </c>
      <c r="C18" s="12" t="inlineStr">
        <is>
          <t>decimal</t>
        </is>
      </c>
      <c r="D18" s="12" t="inlineStr">
        <is>
          <t>5.50% annual</t>
        </is>
      </c>
    </row>
    <row r="19" ht="90" customHeight="1">
      <c r="A19" s="97" t="inlineStr">
        <is>
          <t>Portfolio Nominal Return</t>
        </is>
      </c>
      <c r="B19" s="176" t="n">
        <v>0.06</v>
      </c>
      <c r="C19" s="12" t="inlineStr">
        <is>
          <t>decimal</t>
        </is>
      </c>
      <c r="D19" s="12" t="inlineStr">
        <is>
          <t>No-volatility deterministic reference return; MC may use asset-class covariance and sampled geometric returns</t>
        </is>
      </c>
    </row>
    <row r="20" ht="30" customHeight="1">
      <c r="A20" s="97" t="inlineStr">
        <is>
          <t>Fed Bracket Inflator</t>
        </is>
      </c>
      <c r="B20" s="176" t="n">
        <v>0.02</v>
      </c>
      <c r="C20" s="12" t="inlineStr">
        <is>
          <t>decimal</t>
        </is>
      </c>
      <c r="D20" s="12" t="inlineStr">
        <is>
          <t>2.00%/yr</t>
        </is>
      </c>
    </row>
    <row r="21" ht="30" customHeight="1">
      <c r="A21" s="97" t="inlineStr">
        <is>
          <t>SS Taxable Fraction</t>
        </is>
      </c>
      <c r="B21" s="176" t="n">
        <v>0.85</v>
      </c>
      <c r="C21" s="12" t="inlineStr">
        <is>
          <t>decimal</t>
        </is>
      </c>
      <c r="D21" s="12" t="inlineStr">
        <is>
          <t>85%</t>
        </is>
      </c>
    </row>
    <row r="22" ht="90" customHeight="1">
      <c r="A22" s="97" t="inlineStr">
        <is>
          <t>Roth Conversion Target Bracket</t>
        </is>
      </c>
      <c r="B22" s="176" t="n">
        <v>0.22</v>
      </c>
      <c r="C22" s="12" t="inlineStr">
        <is>
          <t>decimal</t>
        </is>
      </c>
      <c r="D22" s="12" t="inlineStr">
        <is>
          <t>Configured target bracket used when the selected strategy fills bracket headroom.</t>
        </is>
      </c>
    </row>
    <row r="23" ht="90" customHeight="1">
      <c r="A23" s="97" t="inlineStr">
        <is>
          <t>Roth Legacy Objective Mode</t>
        </is>
      </c>
      <c r="B23" s="175" t="inlineStr">
        <is>
          <t>BALANCED</t>
        </is>
      </c>
      <c r="C23" s="12" t="inlineStr">
        <is>
          <t>text</t>
        </is>
      </c>
      <c r="D23" s="12" t="inlineStr">
        <is>
          <t>OFF, LOW, BALANCED, or STRONG; weights future tax-rate risk and inheritance tax burden in Roth conversion selection.</t>
        </is>
      </c>
    </row>
    <row r="24" ht="90" customHeight="1">
      <c r="A24" s="97" t="inlineStr">
        <is>
          <t>Roth Future Tax Stress</t>
        </is>
      </c>
      <c r="B24" s="176" t="n">
        <v>0.1</v>
      </c>
      <c r="C24" s="12" t="inlineStr">
        <is>
          <t>decimal</t>
        </is>
      </c>
      <c r="D24" s="12" t="inlineStr">
        <is>
          <t>Additional ordinary-tax-rate stress used only in the Roth conversion objective.</t>
        </is>
      </c>
    </row>
    <row r="25" ht="75" customHeight="1">
      <c r="A25" s="97" t="inlineStr">
        <is>
          <t>Heir Ordinary Tax Assumption</t>
        </is>
      </c>
      <c r="B25" s="176" t="n">
        <v>0.24</v>
      </c>
      <c r="C25" s="12" t="inlineStr">
        <is>
          <t>decimal</t>
        </is>
      </c>
      <c r="D25" s="12" t="inlineStr">
        <is>
          <t>Estimated heir ordinary rate used to score inherited pre-tax balances.</t>
        </is>
      </c>
    </row>
    <row r="26"/>
    <row r="27" ht="15" customHeight="1">
      <c r="A27" s="10" t="inlineStr">
        <is>
          <t>Asset Allocation Selection and Recommendations</t>
        </is>
      </c>
      <c r="B27" s="3" t="n"/>
      <c r="C27" s="3" t="n"/>
      <c r="D27" s="4" t="n"/>
    </row>
    <row r="28" ht="15" customHeight="1">
      <c r="A28" s="5" t="inlineStr">
        <is>
          <t>Parameter</t>
        </is>
      </c>
      <c r="B28" s="5" t="inlineStr">
        <is>
          <t>Value</t>
        </is>
      </c>
      <c r="C28" s="5" t="inlineStr">
        <is>
          <t>Units</t>
        </is>
      </c>
      <c r="D28" s="5" t="inlineStr">
        <is>
          <t>Note</t>
        </is>
      </c>
    </row>
    <row r="29" ht="90" customHeight="1">
      <c r="A29" s="97" t="inlineStr">
        <is>
          <t>Capital Market Assumption Mode</t>
        </is>
      </c>
      <c r="B29" s="175" t="inlineStr">
        <is>
          <t>PRESET</t>
        </is>
      </c>
      <c r="C29" s="12" t="inlineStr">
        <is>
          <t>text</t>
        </is>
      </c>
      <c r="D29" s="12" t="inlineStr">
        <is>
          <t>PRESET uses built-in selectable horizon/preset assumptions; CUSTOM_FILE reads expert import assumptions.</t>
        </is>
      </c>
    </row>
    <row r="30" ht="90" customHeight="1">
      <c r="A30" s="97" t="inlineStr">
        <is>
          <t>Capital Market Horizon</t>
        </is>
      </c>
      <c r="B30" s="177" t="n">
        <v>30</v>
      </c>
      <c r="C30" s="12" t="inlineStr">
        <is>
          <t>years</t>
        </is>
      </c>
      <c r="D30" s="12" t="inlineStr">
        <is>
          <t>Supported horizons: 1, 3, 5, 10, 20, 25, 30 years. 30 is the long-term baseline.</t>
        </is>
      </c>
    </row>
    <row r="31" ht="90" customHeight="1">
      <c r="A31" s="97" t="inlineStr">
        <is>
          <t>Capital Market Preset</t>
        </is>
      </c>
      <c r="B31" s="175" t="inlineStr">
        <is>
          <t>BASELINE</t>
        </is>
      </c>
      <c r="C31" s="12" t="inlineStr">
        <is>
          <t>text</t>
        </is>
      </c>
      <c r="D31" s="12" t="inlineStr">
        <is>
          <t>CONSERVATIVE, BASELINE, or AGGRESSIVE. These are planning assumptions, not live forecasts.</t>
        </is>
      </c>
    </row>
    <row r="32" ht="90" customHeight="1">
      <c r="A32" s="97" t="inlineStr">
        <is>
          <t>Correlation Mode</t>
        </is>
      </c>
      <c r="B32" s="175" t="inlineStr">
        <is>
          <t>PRESET</t>
        </is>
      </c>
      <c r="C32" s="12" t="inlineStr">
        <is>
          <t>text</t>
        </is>
      </c>
      <c r="D32" s="12" t="inlineStr">
        <is>
          <t>PRESET, ADVANCED, or CUSTOM_FILE. Pairwise correlations affect diversification benefit.</t>
        </is>
      </c>
    </row>
    <row r="33" ht="75" customHeight="1">
      <c r="A33" s="97" t="inlineStr">
        <is>
          <t>Correlation Preset</t>
        </is>
      </c>
      <c r="B33" s="175" t="inlineStr">
        <is>
          <t>MODERATE</t>
        </is>
      </c>
      <c r="C33" s="12" t="inlineStr">
        <is>
          <t>text</t>
        </is>
      </c>
      <c r="D33" s="12" t="inlineStr">
        <is>
          <t>LOW, MODERATE, HIGH, or STRESS. Stress assumes weaker diversification.</t>
        </is>
      </c>
    </row>
    <row r="34" ht="90" customHeight="1">
      <c r="A34" s="97" t="inlineStr">
        <is>
          <t>Workbook Pricing Source</t>
        </is>
      </c>
      <c r="B34" s="175" t="inlineStr">
        <is>
          <t>CACHE — as of 07/03/2026 11:32 AM</t>
        </is>
      </c>
      <c r="C34" s="12" t="inlineStr">
        <is>
          <t>text</t>
        </is>
      </c>
      <c r="D34" s="12" t="inlineStr">
        <is>
          <t>Cached quotes were used as of 07/03/2026 11:32 AM; cache TTL is 24.0 hours. CACHE mode checks the cache before calling live providers; the cache is still valid until 07/04/2026 11:32 AM. Ticker-level source counts: cash: 1, fresh_cache_24h_from_yahoo: 7.</t>
        </is>
      </c>
    </row>
    <row r="35" ht="90" customHeight="1">
      <c r="A35" s="97" t="inlineStr">
        <is>
          <t>Asset Allocation Recommendation Source</t>
        </is>
      </c>
      <c r="B35" s="175" t="inlineStr">
        <is>
          <t>User-defined allocation</t>
        </is>
      </c>
      <c r="C35" s="12" t="inlineStr">
        <is>
          <t>text</t>
        </is>
      </c>
      <c r="D35" s="12" t="inlineStr">
        <is>
          <t>Selected in the UI and stored in database-backed Plan Data as allocation_selection_mode=user_target; this drives the workbook asset allocation recommendations.</t>
        </is>
      </c>
    </row>
    <row r="36" ht="90" customHeight="1">
      <c r="A36" s="97" t="inlineStr">
        <is>
          <t>Allocation Selection Mode</t>
        </is>
      </c>
      <c r="B36" s="175" t="inlineStr">
        <is>
          <t>Use user-specified allocation</t>
        </is>
      </c>
      <c r="C36" s="12" t="inlineStr">
        <is>
          <t>text</t>
        </is>
      </c>
      <c r="D36" s="12" t="inlineStr">
        <is>
          <t>UI toggle: use the optimizer recommendation or use the user-specified target_pct allocation.</t>
        </is>
      </c>
    </row>
    <row r="37" ht="90" customHeight="1">
      <c r="A37" s="97" t="inlineStr">
        <is>
          <t>Optimizer Recommendation Basis</t>
        </is>
      </c>
      <c r="B37" s="175" t="inlineStr">
        <is>
          <t>Visible as recommendation</t>
        </is>
      </c>
      <c r="C37" s="12" t="inlineStr">
        <is>
          <t>text</t>
        </is>
      </c>
      <c r="D37" s="12" t="inlineStr">
        <is>
          <t>Optimizer recommendation is based on risk tolerance or auto risk score, age, withdrawal rate, years to retirement, human-capital stability, guaranteed-income alternate-crediting mappings, home-equity/REIT coverage switches, concentration flags, enabled asset classes, capital-market assumptions, pairwise correlations, glide path, and inflation-sensitive spending. Consider it as a second-opinion allocation because it can account for household-specific risk capacity and diversification relationships that a static target mix cannot see.</t>
        </is>
      </c>
    </row>
    <row r="38" ht="90" customHeight="1">
      <c r="A38" s="97" t="inlineStr">
        <is>
          <t>User-Specified Allocation Total</t>
        </is>
      </c>
      <c r="B38" s="176" t="n">
        <v>1</v>
      </c>
      <c r="C38" s="12" t="inlineStr">
        <is>
          <t>decimal</t>
        </is>
      </c>
      <c r="D38" s="12" t="inlineStr">
        <is>
          <t>Must equal 100%. If selected as the allocation mode, these target_pct rows drive allocation recommendations.</t>
        </is>
      </c>
    </row>
    <row r="39" ht="90" customHeight="1">
      <c r="A39" s="97" t="inlineStr">
        <is>
          <t>Optimizer Override Total</t>
        </is>
      </c>
      <c r="B39" s="176" t="n">
        <v>0</v>
      </c>
      <c r="C39" s="12" t="inlineStr">
        <is>
          <t>decimal</t>
        </is>
      </c>
      <c r="D39" s="12" t="inlineStr">
        <is>
          <t>0% or blank means the computed optimizer target is used. If any optimizer override is entered, override percentages must total 100%.</t>
        </is>
      </c>
    </row>
    <row r="40" ht="90" customHeight="1">
      <c r="A40" s="97" t="inlineStr">
        <is>
          <t>Optimizer Override — US Large Cap</t>
        </is>
      </c>
      <c r="B40" s="176" t="n">
        <v>0</v>
      </c>
      <c r="C40" s="12" t="inlineStr">
        <is>
          <t>decimal</t>
        </is>
      </c>
      <c r="D40" s="12" t="inlineStr">
        <is>
          <t>Optional optimizer-mode override. If any override row is nonzero, the optimizer override replaces the computed optimizer target and must total 100%.</t>
        </is>
      </c>
    </row>
    <row r="41" ht="90" customHeight="1">
      <c r="A41" s="97" t="inlineStr">
        <is>
          <t>Optimizer Override — US Mid Cap</t>
        </is>
      </c>
      <c r="B41" s="176" t="n">
        <v>0</v>
      </c>
      <c r="C41" s="12" t="inlineStr">
        <is>
          <t>decimal</t>
        </is>
      </c>
      <c r="D41" s="12" t="inlineStr">
        <is>
          <t>Optional optimizer-mode override. If any override row is nonzero, the optimizer override replaces the computed optimizer target and must total 100%.</t>
        </is>
      </c>
    </row>
    <row r="42" ht="90" customHeight="1">
      <c r="A42" s="97" t="inlineStr">
        <is>
          <t>Optimizer Override — US Small Cap</t>
        </is>
      </c>
      <c r="B42" s="176" t="n">
        <v>0</v>
      </c>
      <c r="C42" s="12" t="inlineStr">
        <is>
          <t>decimal</t>
        </is>
      </c>
      <c r="D42" s="12" t="inlineStr">
        <is>
          <t>Optional optimizer-mode override. If any override row is nonzero, the optimizer override replaces the computed optimizer target and must total 100%.</t>
        </is>
      </c>
    </row>
    <row r="43" ht="90" customHeight="1">
      <c r="A43" s="97" t="inlineStr">
        <is>
          <t>Optimizer Override — International</t>
        </is>
      </c>
      <c r="B43" s="176" t="n">
        <v>0</v>
      </c>
      <c r="C43" s="12" t="inlineStr">
        <is>
          <t>decimal</t>
        </is>
      </c>
      <c r="D43" s="12" t="inlineStr">
        <is>
          <t>Optional optimizer-mode override. If any override row is nonzero, the optimizer override replaces the computed optimizer target and must total 100%.</t>
        </is>
      </c>
    </row>
    <row r="44" ht="90" customHeight="1">
      <c r="A44" s="97" t="inlineStr">
        <is>
          <t>Optimizer Override — Emerging Markets</t>
        </is>
      </c>
      <c r="B44" s="176" t="n">
        <v>0</v>
      </c>
      <c r="C44" s="12" t="inlineStr">
        <is>
          <t>decimal</t>
        </is>
      </c>
      <c r="D44" s="12" t="inlineStr">
        <is>
          <t>Optional optimizer-mode override. If any override row is nonzero, the optimizer override replaces the computed optimizer target and must total 100%.</t>
        </is>
      </c>
    </row>
    <row r="45" ht="90" customHeight="1">
      <c r="A45" s="97" t="inlineStr">
        <is>
          <t>Optimizer Override — Commodities</t>
        </is>
      </c>
      <c r="B45" s="176" t="n">
        <v>0</v>
      </c>
      <c r="C45" s="12" t="inlineStr">
        <is>
          <t>decimal</t>
        </is>
      </c>
      <c r="D45" s="12" t="inlineStr">
        <is>
          <t>Optional optimizer-mode override. If any override row is nonzero, the optimizer override replaces the computed optimizer target and must total 100%.</t>
        </is>
      </c>
    </row>
    <row r="46" ht="90" customHeight="1">
      <c r="A46" s="97" t="inlineStr">
        <is>
          <t>Optimizer Override — Bonds</t>
        </is>
      </c>
      <c r="B46" s="176" t="n">
        <v>0</v>
      </c>
      <c r="C46" s="12" t="inlineStr">
        <is>
          <t>decimal</t>
        </is>
      </c>
      <c r="D46" s="12" t="inlineStr">
        <is>
          <t>Optional optimizer-mode override. If any override row is nonzero, the optimizer override replaces the computed optimizer target and must total 100%.</t>
        </is>
      </c>
    </row>
    <row r="47" ht="90" customHeight="1">
      <c r="A47" s="97" t="inlineStr">
        <is>
          <t>Optimizer Override — Short-Term Bonds</t>
        </is>
      </c>
      <c r="B47" s="176" t="n">
        <v>0</v>
      </c>
      <c r="C47" s="12" t="inlineStr">
        <is>
          <t>decimal</t>
        </is>
      </c>
      <c r="D47" s="12" t="inlineStr">
        <is>
          <t>Optional optimizer-mode override. If any override row is nonzero, the optimizer override replaces the computed optimizer target and must total 100%.</t>
        </is>
      </c>
    </row>
    <row r="48" ht="90" customHeight="1">
      <c r="A48" s="97" t="inlineStr">
        <is>
          <t>Optimizer Override — TIPS</t>
        </is>
      </c>
      <c r="B48" s="176" t="n">
        <v>0</v>
      </c>
      <c r="C48" s="12" t="inlineStr">
        <is>
          <t>decimal</t>
        </is>
      </c>
      <c r="D48" s="12" t="inlineStr">
        <is>
          <t>Optional optimizer-mode override. If any override row is nonzero, the optimizer override replaces the computed optimizer target and must total 100%.</t>
        </is>
      </c>
    </row>
    <row r="49" ht="90" customHeight="1">
      <c r="A49" s="97" t="inlineStr">
        <is>
          <t>Optimizer Override — Municipal Bonds</t>
        </is>
      </c>
      <c r="B49" s="176" t="n">
        <v>0</v>
      </c>
      <c r="C49" s="12" t="inlineStr">
        <is>
          <t>decimal</t>
        </is>
      </c>
      <c r="D49" s="12" t="inlineStr">
        <is>
          <t>Optional optimizer-mode override. If any override row is nonzero, the optimizer override replaces the computed optimizer target and must total 100%.</t>
        </is>
      </c>
    </row>
    <row r="50" ht="90" customHeight="1">
      <c r="A50" s="97" t="inlineStr">
        <is>
          <t>Optimizer Override — Managed Futures</t>
        </is>
      </c>
      <c r="B50" s="176" t="n">
        <v>0</v>
      </c>
      <c r="C50" s="12" t="inlineStr">
        <is>
          <t>decimal</t>
        </is>
      </c>
      <c r="D50" s="12" t="inlineStr">
        <is>
          <t>Optional optimizer-mode override. If any override row is nonzero, the optimizer override replaces the computed optimizer target and must total 100%.</t>
        </is>
      </c>
    </row>
    <row r="51" ht="90" customHeight="1">
      <c r="A51" s="97" t="inlineStr">
        <is>
          <t>Optimizer Override — Private Credit</t>
        </is>
      </c>
      <c r="B51" s="176" t="n">
        <v>0</v>
      </c>
      <c r="C51" s="12" t="inlineStr">
        <is>
          <t>decimal</t>
        </is>
      </c>
      <c r="D51" s="12" t="inlineStr">
        <is>
          <t>Optional optimizer-mode override. If any override row is nonzero, the optimizer override replaces the computed optimizer target and must total 100%.</t>
        </is>
      </c>
    </row>
    <row r="52" ht="90" customHeight="1">
      <c r="A52" s="97" t="inlineStr">
        <is>
          <t>Optimizer Override — REITs</t>
        </is>
      </c>
      <c r="B52" s="176" t="n">
        <v>0</v>
      </c>
      <c r="C52" s="12" t="inlineStr">
        <is>
          <t>decimal</t>
        </is>
      </c>
      <c r="D52" s="12" t="inlineStr">
        <is>
          <t>Optional optimizer-mode override. If any override row is nonzero, the optimizer override replaces the computed optimizer target and must total 100%.</t>
        </is>
      </c>
    </row>
    <row r="53" ht="90" customHeight="1">
      <c r="A53" s="97" t="inlineStr">
        <is>
          <t>Optimizer Override — Cash</t>
        </is>
      </c>
      <c r="B53" s="176" t="n">
        <v>0</v>
      </c>
      <c r="C53" s="12" t="inlineStr">
        <is>
          <t>decimal</t>
        </is>
      </c>
      <c r="D53" s="12" t="inlineStr">
        <is>
          <t>Optional optimizer-mode override. If any override row is nonzero, the optimizer override replaces the computed optimizer target and must total 100%.</t>
        </is>
      </c>
    </row>
    <row r="54" ht="90" customHeight="1">
      <c r="A54" s="97" t="inlineStr">
        <is>
          <t>User Target — US Large Cap</t>
        </is>
      </c>
      <c r="B54" s="176" t="n">
        <v>0.35</v>
      </c>
      <c r="C54" s="12" t="inlineStr">
        <is>
          <t>decimal</t>
        </is>
      </c>
      <c r="D54" s="12" t="inlineStr">
        <is>
          <t>Default 40%; broad U.S. large-cap stock exposure. Examples: VOO, IVV, SCHX. User may override this percentage; all target_pct rows must total 100%. Core broad U.S. large-cap stock-index exposure.</t>
        </is>
      </c>
    </row>
    <row r="55" ht="90" customHeight="1">
      <c r="A55" s="97" t="inlineStr">
        <is>
          <t>US Large Cap Example Vehicles</t>
        </is>
      </c>
      <c r="B55" s="175" t="inlineStr">
        <is>
          <t>VOO, IVV, SCHX</t>
        </is>
      </c>
      <c r="C55" s="12" t="inlineStr">
        <is>
          <t>text</t>
        </is>
      </c>
      <c r="D55" s="12" t="inlineStr">
        <is>
          <t>Three examples used when the class is recommended but not currently represented. These are examples, not personalized trade instructions.</t>
        </is>
      </c>
    </row>
    <row r="56" ht="90" customHeight="1">
      <c r="A56" s="97" t="inlineStr">
        <is>
          <t>User Target — US Mid Cap</t>
        </is>
      </c>
      <c r="B56" s="176" t="n">
        <v>0.05</v>
      </c>
      <c r="C56" s="12" t="inlineStr">
        <is>
          <t>decimal</t>
        </is>
      </c>
      <c r="D56" s="12" t="inlineStr">
        <is>
          <t>Default 5%; U.S. mid-cap equity exposure. Examples: VO, IJH, SCHM. User may override this percentage; all target_pct rows must total 100%. U.S. mid-cap equity exposure between large- and small-cap risk/return.</t>
        </is>
      </c>
    </row>
    <row r="57" ht="90" customHeight="1">
      <c r="A57" s="97" t="inlineStr">
        <is>
          <t>US Mid Cap Example Vehicles</t>
        </is>
      </c>
      <c r="B57" s="175" t="inlineStr">
        <is>
          <t>VO, IJH, SCHM</t>
        </is>
      </c>
      <c r="C57" s="12" t="inlineStr">
        <is>
          <t>text</t>
        </is>
      </c>
      <c r="D57" s="12" t="inlineStr">
        <is>
          <t>Three examples used when the class is recommended but not currently represented. These are examples, not personalized trade instructions.</t>
        </is>
      </c>
    </row>
    <row r="58" ht="90" customHeight="1">
      <c r="A58" s="97" t="inlineStr">
        <is>
          <t>User Target — US Small Cap</t>
        </is>
      </c>
      <c r="B58" s="176" t="n">
        <v>0.05</v>
      </c>
      <c r="C58" s="12" t="inlineStr">
        <is>
          <t>decimal</t>
        </is>
      </c>
      <c r="D58" s="12" t="inlineStr">
        <is>
          <t>Default 5%; U.S. small-cap equity exposure. Examples: VB, IJR, SCHA. User may override this percentage; all target_pct rows must total 100%. Higher expected-return U.S. small-company exposure; usually higher volatility.</t>
        </is>
      </c>
    </row>
    <row r="59" ht="90" customHeight="1">
      <c r="A59" s="97" t="inlineStr">
        <is>
          <t>US Small Cap Example Vehicles</t>
        </is>
      </c>
      <c r="B59" s="175" t="inlineStr">
        <is>
          <t>VB, IJR, SCHA</t>
        </is>
      </c>
      <c r="C59" s="12" t="inlineStr">
        <is>
          <t>text</t>
        </is>
      </c>
      <c r="D59" s="12" t="inlineStr">
        <is>
          <t>Three examples used when the class is recommended but not currently represented. These are examples, not personalized trade instructions.</t>
        </is>
      </c>
    </row>
    <row r="60" ht="90" customHeight="1">
      <c r="A60" s="97" t="inlineStr">
        <is>
          <t>User Target — International</t>
        </is>
      </c>
      <c r="B60" s="176" t="n">
        <v>0.2</v>
      </c>
      <c r="C60" s="12" t="inlineStr">
        <is>
          <t>decimal</t>
        </is>
      </c>
      <c r="D60" s="12" t="inlineStr">
        <is>
          <t>Default 20%; developed non-U.S. stock exposure. Examples: VEA, IEFA, SCHF. User may override this percentage; all target_pct rows must total 100%. Developed non-U.S. equity diversification.</t>
        </is>
      </c>
    </row>
    <row r="61" ht="90" customHeight="1">
      <c r="A61" s="97" t="inlineStr">
        <is>
          <t>International Example Vehicles</t>
        </is>
      </c>
      <c r="B61" s="175" t="inlineStr">
        <is>
          <t>VEA, IEFA, SCHF</t>
        </is>
      </c>
      <c r="C61" s="12" t="inlineStr">
        <is>
          <t>text</t>
        </is>
      </c>
      <c r="D61" s="12" t="inlineStr">
        <is>
          <t>Three examples used when the class is recommended but not currently represented. These are examples, not personalized trade instructions.</t>
        </is>
      </c>
    </row>
    <row r="62" ht="90" customHeight="1">
      <c r="A62" s="97" t="inlineStr">
        <is>
          <t>User Target — Emerging Markets</t>
        </is>
      </c>
      <c r="B62" s="176" t="n">
        <v>0.05</v>
      </c>
      <c r="C62" s="12" t="inlineStr">
        <is>
          <t>decimal</t>
        </is>
      </c>
      <c r="D62" s="12" t="inlineStr">
        <is>
          <t>Default 5%; emerging-market stock exposure. Examples: VWO, IEMG, EEM. User may override this percentage; all target_pct rows must total 100%. Higher-growth non-U.S. equity exposure with higher political/currency risk.</t>
        </is>
      </c>
    </row>
    <row r="63" ht="90" customHeight="1">
      <c r="A63" s="97" t="inlineStr">
        <is>
          <t>Emerging Markets Example Vehicles</t>
        </is>
      </c>
      <c r="B63" s="175" t="inlineStr">
        <is>
          <t>VWO, IEMG, EEM</t>
        </is>
      </c>
      <c r="C63" s="12" t="inlineStr">
        <is>
          <t>text</t>
        </is>
      </c>
      <c r="D63" s="12" t="inlineStr">
        <is>
          <t>Three examples used when the class is recommended but not currently represented. These are examples, not personalized trade instructions.</t>
        </is>
      </c>
    </row>
    <row r="64" ht="90" customHeight="1">
      <c r="A64" s="97" t="inlineStr">
        <is>
          <t>User Target — Commodities</t>
        </is>
      </c>
      <c r="B64" s="176" t="n">
        <v>0.05</v>
      </c>
      <c r="C64" s="12" t="inlineStr">
        <is>
          <t>decimal</t>
        </is>
      </c>
      <c r="D64" s="12" t="inlineStr">
        <is>
          <t>Default 0%; optional real-asset/inflation-shock sleeve. Examples: PDBC, DJP, GSG. User may override this percentage; all target_pct rows must total 100%. Broad energy, metals, and agriculture basket; can help inflation shocks.</t>
        </is>
      </c>
    </row>
    <row r="65" ht="90" customHeight="1">
      <c r="A65" s="97" t="inlineStr">
        <is>
          <t>Commodities Example Vehicles</t>
        </is>
      </c>
      <c r="B65" s="175" t="inlineStr">
        <is>
          <t>PDBC, DJP, GSG</t>
        </is>
      </c>
      <c r="C65" s="12" t="inlineStr">
        <is>
          <t>text</t>
        </is>
      </c>
      <c r="D65" s="12" t="inlineStr">
        <is>
          <t>Three examples used when the class is recommended but not currently represented. These are examples, not personalized trade instructions.</t>
        </is>
      </c>
    </row>
    <row r="66" ht="90" customHeight="1">
      <c r="A66" s="97" t="inlineStr">
        <is>
          <t>User Target — Bonds</t>
        </is>
      </c>
      <c r="B66" s="176" t="n">
        <v>0.15</v>
      </c>
      <c r="C66" s="12" t="inlineStr">
        <is>
          <t>decimal</t>
        </is>
      </c>
      <c r="D66" s="12" t="inlineStr">
        <is>
          <t>Default 15%; core investment-grade bond exposure. Examples: BND, AGG, SCHZ. User may override this percentage; all target_pct rows must total 100%. Core duration and credit exposure for ballast and income.</t>
        </is>
      </c>
    </row>
    <row r="67" ht="90" customHeight="1">
      <c r="A67" s="97" t="inlineStr">
        <is>
          <t>Bonds Example Vehicles</t>
        </is>
      </c>
      <c r="B67" s="175" t="inlineStr">
        <is>
          <t>BND, AGG, SCHZ</t>
        </is>
      </c>
      <c r="C67" s="12" t="inlineStr">
        <is>
          <t>text</t>
        </is>
      </c>
      <c r="D67" s="12" t="inlineStr">
        <is>
          <t>Three examples used when the class is recommended but not currently represented. These are examples, not personalized trade instructions.</t>
        </is>
      </c>
    </row>
    <row r="68" ht="90" customHeight="1">
      <c r="A68" s="97" t="inlineStr">
        <is>
          <t>User Target — Short-Term Bonds</t>
        </is>
      </c>
      <c r="B68" s="176" t="n">
        <v>0.05</v>
      </c>
      <c r="C68" s="12" t="inlineStr">
        <is>
          <t>decimal</t>
        </is>
      </c>
      <c r="D68" s="12" t="inlineStr">
        <is>
          <t>Default 5%; short-duration reserve/bond sleeve. Examples: SGOV, SHY, USFR. User may override this percentage; all target_pct rows must total 100%. Low-duration bond reserve; lower rate sensitivity than broad bonds.</t>
        </is>
      </c>
    </row>
    <row r="69" ht="90" customHeight="1">
      <c r="A69" s="97" t="inlineStr">
        <is>
          <t>Short-Term Bonds Example Vehicles</t>
        </is>
      </c>
      <c r="B69" s="175" t="inlineStr">
        <is>
          <t>SGOV, SHY, USFR</t>
        </is>
      </c>
      <c r="C69" s="12" t="inlineStr">
        <is>
          <t>text</t>
        </is>
      </c>
      <c r="D69" s="12" t="inlineStr">
        <is>
          <t>Three examples used when the class is recommended but not currently represented. These are examples, not personalized trade instructions.</t>
        </is>
      </c>
    </row>
    <row r="70" ht="90" customHeight="1">
      <c r="A70" s="97" t="inlineStr">
        <is>
          <t>User Target — TIPS</t>
        </is>
      </c>
      <c r="B70" s="176" t="n">
        <v>0</v>
      </c>
      <c r="C70" s="12" t="inlineStr">
        <is>
          <t>decimal</t>
        </is>
      </c>
      <c r="D70" s="12" t="inlineStr">
        <is>
          <t>Default 0%; optional inflation-linked bonds. Examples: TIP, SCHP, VTIP. User may override this percentage; all target_pct rows must total 100%. Inflation-linked U.S. Treasury bonds; helps hedge real spending risk.</t>
        </is>
      </c>
    </row>
    <row r="71" ht="90" customHeight="1">
      <c r="A71" s="97" t="inlineStr">
        <is>
          <t>TIPS Example Vehicles</t>
        </is>
      </c>
      <c r="B71" s="175" t="inlineStr">
        <is>
          <t>TIP, SCHP, VTIP</t>
        </is>
      </c>
      <c r="C71" s="12" t="inlineStr">
        <is>
          <t>text</t>
        </is>
      </c>
      <c r="D71" s="12" t="inlineStr">
        <is>
          <t>Three examples used when the class is recommended but not currently represented. These are examples, not personalized trade instructions.</t>
        </is>
      </c>
    </row>
    <row r="72" ht="90" customHeight="1">
      <c r="A72" s="97" t="inlineStr">
        <is>
          <t>User Target — Municipal Bonds</t>
        </is>
      </c>
      <c r="B72" s="176" t="n">
        <v>0</v>
      </c>
      <c r="C72" s="12" t="inlineStr">
        <is>
          <t>decimal</t>
        </is>
      </c>
      <c r="D72" s="12" t="inlineStr">
        <is>
          <t>Default 0%; optional tax-exempt bond sleeve. Examples: MUB, VTEB, TFI. User may override this percentage; all target_pct rows must total 100%. Tax-exempt municipal bond sleeve; after-tax benefit depends on tax bracket and state.</t>
        </is>
      </c>
    </row>
    <row r="73" ht="90" customHeight="1">
      <c r="A73" s="97" t="inlineStr">
        <is>
          <t>Municipal Bonds Example Vehicles</t>
        </is>
      </c>
      <c r="B73" s="175" t="inlineStr">
        <is>
          <t>MUB, VTEB, TFI</t>
        </is>
      </c>
      <c r="C73" s="12" t="inlineStr">
        <is>
          <t>text</t>
        </is>
      </c>
      <c r="D73" s="12" t="inlineStr">
        <is>
          <t>Three examples used when the class is recommended but not currently represented. These are examples, not personalized trade instructions.</t>
        </is>
      </c>
    </row>
    <row r="74" ht="90" customHeight="1">
      <c r="A74" s="97" t="inlineStr">
        <is>
          <t>User Target — Managed Futures</t>
        </is>
      </c>
      <c r="B74" s="176" t="n">
        <v>0</v>
      </c>
      <c r="C74" s="12" t="inlineStr">
        <is>
          <t>decimal</t>
        </is>
      </c>
      <c r="D74" s="12" t="inlineStr">
        <is>
          <t>Default 0%; optional trend-following diversifier. Examples: DBMF, KMLM, CTA. User may override this percentage; all target_pct rows must total 100%. Systematic long/short futures trend following; often diversifies equity bear markets.</t>
        </is>
      </c>
    </row>
    <row r="75" ht="90" customHeight="1">
      <c r="A75" s="97" t="inlineStr">
        <is>
          <t>Managed Futures Example Vehicles</t>
        </is>
      </c>
      <c r="B75" s="175" t="inlineStr">
        <is>
          <t>DBMF, KMLM, CTA</t>
        </is>
      </c>
      <c r="C75" s="12" t="inlineStr">
        <is>
          <t>text</t>
        </is>
      </c>
      <c r="D75" s="12" t="inlineStr">
        <is>
          <t>Three examples used when the class is recommended but not currently represented. These are examples, not personalized trade instructions.</t>
        </is>
      </c>
    </row>
    <row r="76" ht="90" customHeight="1">
      <c r="A76" s="97" t="inlineStr">
        <is>
          <t>User Target — Private Credit</t>
        </is>
      </c>
      <c r="B76" s="176" t="n">
        <v>0</v>
      </c>
      <c r="C76" s="12" t="inlineStr">
        <is>
          <t>decimal</t>
        </is>
      </c>
      <c r="D76" s="12" t="inlineStr">
        <is>
          <t>Default 0%; optional senior-loan/CLO-style credit sleeve. Examples: BKLN, SRLN, JAAA. User may override this percentage; all target_pct rows must total 100%. Credit income sleeve with illiquidity and credit-cycle risk; cap conservatively.</t>
        </is>
      </c>
    </row>
    <row r="77" ht="90" customHeight="1">
      <c r="A77" s="97" t="inlineStr">
        <is>
          <t>Private Credit Example Vehicles</t>
        </is>
      </c>
      <c r="B77" s="175" t="inlineStr">
        <is>
          <t>BKLN, SRLN, JAAA</t>
        </is>
      </c>
      <c r="C77" s="12" t="inlineStr">
        <is>
          <t>text</t>
        </is>
      </c>
      <c r="D77" s="12" t="inlineStr">
        <is>
          <t>Three examples used when the class is recommended but not currently represented. These are examples, not personalized trade instructions.</t>
        </is>
      </c>
    </row>
    <row r="78" ht="90" customHeight="1">
      <c r="A78" s="97" t="inlineStr">
        <is>
          <t>User Target — REITs</t>
        </is>
      </c>
      <c r="B78" s="176" t="n">
        <v>0</v>
      </c>
      <c r="C78" s="12" t="inlineStr">
        <is>
          <t>decimal</t>
        </is>
      </c>
      <c r="D78" s="12" t="inlineStr">
        <is>
          <t>Default 0%; optional liquid real-estate exposure. Examples: VNQ, SCHH, IYR. User may override this percentage; all target_pct rows must total 100%. Liquid real estate securities; equity-like drawdowns with income/inflation sensitivity.</t>
        </is>
      </c>
    </row>
    <row r="79" ht="90" customHeight="1">
      <c r="A79" s="97" t="inlineStr">
        <is>
          <t>REITs Example Vehicles</t>
        </is>
      </c>
      <c r="B79" s="175" t="inlineStr">
        <is>
          <t>VNQ, SCHH, IYR</t>
        </is>
      </c>
      <c r="C79" s="12" t="inlineStr">
        <is>
          <t>text</t>
        </is>
      </c>
      <c r="D79" s="12" t="inlineStr">
        <is>
          <t>Three examples used when the class is recommended but not currently represented. These are examples, not personalized trade instructions.</t>
        </is>
      </c>
    </row>
    <row r="80" ht="90" customHeight="1">
      <c r="A80" s="97" t="inlineStr">
        <is>
          <t>User Target — Cash</t>
        </is>
      </c>
      <c r="B80" s="176" t="n">
        <v>0.05</v>
      </c>
      <c r="C80" s="12" t="inlineStr">
        <is>
          <t>decimal</t>
        </is>
      </c>
      <c r="D80" s="12" t="inlineStr">
        <is>
          <t>Default 5%; liquidity and money-market reserve. Examples: CASH, SGOV, BIL. User may override this percentage; all target_pct rows must total 100%. Liquidity reserve and spending buffer.</t>
        </is>
      </c>
    </row>
    <row r="81" ht="90" customHeight="1">
      <c r="A81" s="97" t="inlineStr">
        <is>
          <t>Cash Example Vehicles</t>
        </is>
      </c>
      <c r="B81" s="175" t="inlineStr">
        <is>
          <t>CASH, SGOV, BIL</t>
        </is>
      </c>
      <c r="C81" s="12" t="inlineStr">
        <is>
          <t>text</t>
        </is>
      </c>
      <c r="D81" s="12" t="inlineStr">
        <is>
          <t>Three examples used when the class is recommended but not currently represented. These are examples, not personalized trade instructions.</t>
        </is>
      </c>
    </row>
    <row r="82" ht="90" customHeight="1">
      <c r="A82" s="97" t="inlineStr">
        <is>
          <t>Optimizer Target — US Large Cap</t>
        </is>
      </c>
      <c r="B82" s="176" t="n">
        <v>0.612712653784277</v>
      </c>
      <c r="C82" s="12" t="inlineStr">
        <is>
          <t>decimal</t>
        </is>
      </c>
      <c r="D82" s="12" t="inlineStr">
        <is>
          <t>Computed recommendation using risk tolerance, withdrawal rate, guaranteed-income/home-equity coverage, capital-market assumptions, correlations, glide path, and inflation-sensitive spending.</t>
        </is>
      </c>
    </row>
    <row r="83" ht="90" customHeight="1">
      <c r="A83" s="97" t="inlineStr">
        <is>
          <t>Optimizer Target — International</t>
        </is>
      </c>
      <c r="B83" s="176" t="n">
        <v>0.2168060159544365</v>
      </c>
      <c r="C83" s="12" t="inlineStr">
        <is>
          <t>decimal</t>
        </is>
      </c>
      <c r="D83" s="12" t="inlineStr">
        <is>
          <t>Computed recommendation using risk tolerance, withdrawal rate, guaranteed-income/home-equity coverage, capital-market assumptions, correlations, glide path, and inflation-sensitive spending.</t>
        </is>
      </c>
    </row>
    <row r="84" ht="90" customHeight="1">
      <c r="A84" s="97" t="inlineStr">
        <is>
          <t>Optimizer Target — Commodities</t>
        </is>
      </c>
      <c r="B84" s="176" t="n">
        <v>0.1131161822370973</v>
      </c>
      <c r="C84" s="12" t="inlineStr">
        <is>
          <t>decimal</t>
        </is>
      </c>
      <c r="D84" s="12" t="inlineStr">
        <is>
          <t>Computed recommendation using risk tolerance, withdrawal rate, guaranteed-income/home-equity coverage, capital-market assumptions, correlations, glide path, and inflation-sensitive spending.</t>
        </is>
      </c>
    </row>
    <row r="85" ht="90" customHeight="1">
      <c r="A85" s="97" t="inlineStr">
        <is>
          <t>Optimizer Target — Cash</t>
        </is>
      </c>
      <c r="B85" s="176" t="n">
        <v>0.0573651480241892</v>
      </c>
      <c r="C85" s="12" t="inlineStr">
        <is>
          <t>decimal</t>
        </is>
      </c>
      <c r="D85" s="12" t="inlineStr">
        <is>
          <t>Computed recommendation using risk tolerance, withdrawal rate, guaranteed-income/home-equity coverage, capital-market assumptions, correlations, glide path, and inflation-sensitive spending.</t>
        </is>
      </c>
    </row>
    <row r="86"/>
    <row r="87" ht="15" customHeight="1">
      <c r="A87" s="10" t="inlineStr">
        <is>
          <t>Global Tax-Location Rebalancing Controls</t>
        </is>
      </c>
      <c r="B87" s="3" t="n"/>
      <c r="C87" s="3" t="n"/>
      <c r="D87" s="4" t="n"/>
    </row>
    <row r="88" ht="15" customHeight="1">
      <c r="A88" s="5" t="inlineStr">
        <is>
          <t>Parameter</t>
        </is>
      </c>
      <c r="B88" s="5" t="inlineStr">
        <is>
          <t>Value</t>
        </is>
      </c>
      <c r="C88" s="5" t="inlineStr">
        <is>
          <t>Units</t>
        </is>
      </c>
      <c r="D88" s="5" t="inlineStr">
        <is>
          <t>Note</t>
        </is>
      </c>
    </row>
    <row r="89" ht="90" customHeight="1">
      <c r="A89" s="97" t="inlineStr">
        <is>
          <t>Trade Optimizer Mode</t>
        </is>
      </c>
      <c r="B89" s="175" t="inlineStr">
        <is>
          <t>GLOBAL_TAX_AWARE</t>
        </is>
      </c>
      <c r="C89" s="12" t="inlineStr">
        <is>
          <t>text</t>
        </is>
      </c>
      <c r="D89" s="12" t="inlineStr">
        <is>
          <t>GLOBAL_TAX_AWARE solves household-level drift/tax/location tradeoffs; HEURISTIC uses the prior account-by-account engine.</t>
        </is>
      </c>
    </row>
    <row r="90" ht="90" customHeight="1">
      <c r="A90" s="97" t="inlineStr">
        <is>
          <t>Objective</t>
        </is>
      </c>
      <c r="B90" s="175" t="inlineStr">
        <is>
          <t>Minimize drift + tax cost + turnover + location inefficiency</t>
        </is>
      </c>
      <c r="C90" s="12" t="inlineStr">
        <is>
          <t>text</t>
        </is>
      </c>
      <c r="D90" s="12" t="inlineStr">
        <is>
          <t>A conservative linear objective balances diversification against taxes, turnover, and account-location fit.</t>
        </is>
      </c>
    </row>
    <row r="91" ht="90" customHeight="1">
      <c r="A91" s="97" t="inlineStr">
        <is>
          <t>Maximum Turnover</t>
        </is>
      </c>
      <c r="B91" s="176" t="n">
        <v>0.2</v>
      </c>
      <c r="C91" s="12" t="inlineStr">
        <is>
          <t>decimal</t>
        </is>
      </c>
      <c r="D91" s="12" t="inlineStr">
        <is>
          <t>Addresses unintended consequence: excessive turnover and noisy small improvements.</t>
        </is>
      </c>
    </row>
    <row r="92" ht="60" customHeight="1">
      <c r="A92" s="97" t="inlineStr">
        <is>
          <t>Minimum Trade Amount</t>
        </is>
      </c>
      <c r="B92" s="178" t="n">
        <v>500</v>
      </c>
      <c r="C92" s="12" t="inlineStr">
        <is>
          <t>USD</t>
        </is>
      </c>
      <c r="D92" s="12" t="inlineStr">
        <is>
          <t>Addresses false precision and operational burden.</t>
        </is>
      </c>
    </row>
    <row r="93" ht="90" customHeight="1">
      <c r="A93" s="97" t="inlineStr">
        <is>
          <t>Taxable Gain Policy</t>
        </is>
      </c>
      <c r="B93" s="175" t="inlineStr">
        <is>
          <t>DRIFT_THRESHOLD</t>
        </is>
      </c>
      <c r="C93" s="12" t="inlineStr">
        <is>
          <t>text</t>
        </is>
      </c>
      <c r="D93" s="12" t="inlineStr">
        <is>
          <t>NEVER, DRIFT_THRESHOLD, WITHIN_BUDGET, or ALWAYS; controls tax tail wagging the dog and income-timing effects.</t>
        </is>
      </c>
    </row>
    <row r="94" ht="90" customHeight="1">
      <c r="A94" s="97" t="inlineStr">
        <is>
          <t>Taxable Gain Budget</t>
        </is>
      </c>
      <c r="B94" s="178" t="n">
        <v>2500</v>
      </c>
      <c r="C94" s="12" t="inlineStr">
        <is>
          <t>USD</t>
        </is>
      </c>
      <c r="D94" s="12" t="inlineStr">
        <is>
          <t>Limits estimated tax cost from taxable gain sales in one workbook cycle.</t>
        </is>
      </c>
    </row>
    <row r="95" ht="75" customHeight="1">
      <c r="A95" s="97" t="inlineStr">
        <is>
          <t>Max Tax Cost</t>
        </is>
      </c>
      <c r="B95" s="175" t="n">
        <v>25</v>
      </c>
      <c r="C95" s="12" t="inlineStr">
        <is>
          <t>bps</t>
        </is>
      </c>
      <c r="D95" s="12" t="inlineStr">
        <is>
          <t>Basis-point tax-drag limit for taxable sales before deferral.</t>
        </is>
      </c>
    </row>
    <row r="96" ht="90" customHeight="1">
      <c r="A96" s="97" t="inlineStr">
        <is>
          <t>Asset Location Strength</t>
        </is>
      </c>
      <c r="B96" s="175" t="inlineStr">
        <is>
          <t>BALANCED</t>
        </is>
      </c>
      <c r="C96" s="12" t="inlineStr">
        <is>
          <t>text</t>
        </is>
      </c>
      <c r="D96" s="12" t="inlineStr">
        <is>
          <t>LIGHT/BALANCED/STRONG controls how hard the optimizer pushes Roth growth, pre-tax income assets, and taxable tax-efficient equity.</t>
        </is>
      </c>
    </row>
    <row r="97" ht="45" customHeight="1">
      <c r="A97" s="97" t="inlineStr">
        <is>
          <t>Max Account Single Asset</t>
        </is>
      </c>
      <c r="B97" s="176" t="n">
        <v>0.45</v>
      </c>
      <c r="C97" s="12" t="inlineStr">
        <is>
          <t>decimal</t>
        </is>
      </c>
      <c r="D97" s="12" t="inlineStr">
        <is>
          <t>Reduces account-level concentration risk.</t>
        </is>
      </c>
    </row>
    <row r="98" ht="75" customHeight="1">
      <c r="A98" s="97" t="inlineStr">
        <is>
          <t>Max Roth High-Growth Tilt</t>
        </is>
      </c>
      <c r="B98" s="176" t="n">
        <v>0.85</v>
      </c>
      <c r="C98" s="12" t="inlineStr">
        <is>
          <t>decimal</t>
        </is>
      </c>
      <c r="D98" s="12" t="inlineStr">
        <is>
          <t>Limits unintended high-volatility concentration in Roth accounts.</t>
        </is>
      </c>
    </row>
    <row r="99" ht="90" customHeight="1">
      <c r="A99" s="97" t="inlineStr">
        <is>
          <t>Annuity calibration dependency</t>
        </is>
      </c>
      <c r="B99" s="175" t="inlineStr">
        <is>
          <t>Carrier-illustration dependent</t>
        </is>
      </c>
      <c r="C99" s="12" t="inlineStr">
        <is>
          <t>text</t>
        </is>
      </c>
      <c r="D99" s="12" t="inlineStr">
        <is>
          <t>PV/reserve and death-benefit figures use editable calibration assumptions; refresh against current carrier illustrations before annuity sale, replacement, or valuation decisions.</t>
        </is>
      </c>
    </row>
    <row r="100" ht="90" customHeight="1">
      <c r="A100" s="97" t="inlineStr">
        <is>
          <t>Max Pre-Tax Fixed Income Tilt</t>
        </is>
      </c>
      <c r="B100" s="176" t="n">
        <v>0.85</v>
      </c>
      <c r="C100" s="12" t="inlineStr">
        <is>
          <t>decimal</t>
        </is>
      </c>
      <c r="D100" s="12" t="inlineStr">
        <is>
          <t>Limits unintended bond-heavy pre-tax allocation and future RMD concentration risk.</t>
        </is>
      </c>
    </row>
    <row r="101" ht="90" customHeight="1">
      <c r="A101" s="97" t="inlineStr">
        <is>
          <t>Wash-Sale Policy</t>
        </is>
      </c>
      <c r="B101" s="175" t="inlineStr">
        <is>
          <t>FLAG_ONLY</t>
        </is>
      </c>
      <c r="C101" s="12" t="inlineStr">
        <is>
          <t>text</t>
        </is>
      </c>
      <c r="D101" s="12" t="inlineStr">
        <is>
          <t>Workbook flags review items; it does not certify wash-sale compliance or see outside/spousal trades.</t>
        </is>
      </c>
    </row>
    <row r="102" ht="90" customHeight="1">
      <c r="A102" s="97" t="inlineStr">
        <is>
          <t>Solver Fallback Policy</t>
        </is>
      </c>
      <c r="B102" s="175" t="inlineStr">
        <is>
          <t>HEURISTIC</t>
        </is>
      </c>
      <c r="C102" s="12" t="inlineStr">
        <is>
          <t>text</t>
        </is>
      </c>
      <c r="D102" s="12" t="inlineStr">
        <is>
          <t>HEURISTIC keeps workbook usable if the global optimization problem is infeasible.</t>
        </is>
      </c>
    </row>
    <row r="103"/>
    <row r="104" ht="15" customHeight="1">
      <c r="A104" s="10" t="inlineStr">
        <is>
          <t>Federal Tax Brackets — Tax Reference Year</t>
        </is>
      </c>
      <c r="B104" s="3" t="n"/>
      <c r="C104" s="3" t="n"/>
      <c r="D104" s="4" t="n"/>
    </row>
    <row r="105" ht="15" customHeight="1">
      <c r="A105" s="5" t="inlineStr">
        <is>
          <t>Parameter</t>
        </is>
      </c>
      <c r="B105" s="5" t="inlineStr">
        <is>
          <t>Value</t>
        </is>
      </c>
      <c r="C105" s="5" t="inlineStr">
        <is>
          <t>Units</t>
        </is>
      </c>
      <c r="D105" s="5" t="inlineStr">
        <is>
          <t>Note</t>
        </is>
      </c>
    </row>
    <row r="106" ht="30" customHeight="1">
      <c r="A106" s="97" t="inlineStr">
        <is>
          <t>10% bracket top</t>
        </is>
      </c>
      <c r="B106" s="178" t="n">
        <v>23200</v>
      </c>
      <c r="C106" s="12" t="inlineStr">
        <is>
          <t>USD</t>
        </is>
      </c>
      <c r="D106" s="12" t="inlineStr">
        <is>
          <t>inflates at bracket inflator</t>
        </is>
      </c>
    </row>
    <row r="107" ht="30" customHeight="1">
      <c r="A107" s="97" t="inlineStr">
        <is>
          <t>12% bracket top</t>
        </is>
      </c>
      <c r="B107" s="178" t="n">
        <v>94300</v>
      </c>
      <c r="C107" s="12" t="inlineStr">
        <is>
          <t>USD</t>
        </is>
      </c>
      <c r="D107" s="33" t="inlineStr"/>
    </row>
    <row r="108" ht="30" customHeight="1">
      <c r="A108" s="97" t="inlineStr">
        <is>
          <t>22% bracket top</t>
        </is>
      </c>
      <c r="B108" s="178" t="n">
        <v>201050</v>
      </c>
      <c r="C108" s="12" t="inlineStr">
        <is>
          <t>USD</t>
        </is>
      </c>
      <c r="D108" s="33" t="inlineStr"/>
    </row>
    <row r="109" ht="30" customHeight="1">
      <c r="A109" s="97" t="inlineStr">
        <is>
          <t>24% bracket top</t>
        </is>
      </c>
      <c r="B109" s="178" t="n">
        <v>383900</v>
      </c>
      <c r="C109" s="12" t="inlineStr">
        <is>
          <t>USD</t>
        </is>
      </c>
      <c r="D109" s="33" t="inlineStr"/>
    </row>
    <row r="110" ht="30" customHeight="1">
      <c r="A110" s="97" t="inlineStr">
        <is>
          <t>32% bracket top</t>
        </is>
      </c>
      <c r="B110" s="178" t="n">
        <v>487450</v>
      </c>
      <c r="C110" s="12" t="inlineStr">
        <is>
          <t>USD</t>
        </is>
      </c>
      <c r="D110" s="33" t="inlineStr"/>
    </row>
    <row r="111" ht="30" customHeight="1">
      <c r="A111" s="97" t="inlineStr">
        <is>
          <t>35% bracket top</t>
        </is>
      </c>
      <c r="B111" s="178" t="n">
        <v>731200</v>
      </c>
      <c r="C111" s="12" t="inlineStr">
        <is>
          <t>USD</t>
        </is>
      </c>
      <c r="D111" s="33" t="inlineStr"/>
    </row>
    <row r="112" ht="15" customHeight="1">
      <c r="A112" s="97" t="inlineStr">
        <is>
          <t>37%+</t>
        </is>
      </c>
      <c r="B112" s="175" t="n">
        <v/>
      </c>
      <c r="C112" s="12" t="inlineStr">
        <is>
          <t>USD</t>
        </is>
      </c>
      <c r="D112" s="33" t="inlineStr"/>
    </row>
    <row r="113"/>
    <row r="114" ht="15" customHeight="1">
      <c r="A114" s="10" t="inlineStr">
        <is>
          <t>SALT Cap Schedule</t>
        </is>
      </c>
      <c r="B114" s="3" t="n"/>
      <c r="C114" s="3" t="n"/>
      <c r="D114" s="4" t="n"/>
    </row>
    <row r="115" ht="15" customHeight="1">
      <c r="A115" s="5" t="inlineStr">
        <is>
          <t>Parameter</t>
        </is>
      </c>
      <c r="B115" s="5" t="inlineStr">
        <is>
          <t>Value</t>
        </is>
      </c>
      <c r="C115" s="5" t="inlineStr">
        <is>
          <t>Units</t>
        </is>
      </c>
      <c r="D115" s="5" t="inlineStr">
        <is>
          <t>Note</t>
        </is>
      </c>
    </row>
    <row r="116" ht="60" customHeight="1">
      <c r="A116" s="97" t="inlineStr">
        <is>
          <t>2025 SALT Cap</t>
        </is>
      </c>
      <c r="B116" s="178" t="n">
        <v>40000</v>
      </c>
      <c r="C116" s="12" t="inlineStr">
        <is>
          <t>USD</t>
        </is>
      </c>
      <c r="D116" s="12" t="inlineStr">
        <is>
          <t>Phase-down: max(cap - 0.30×max(MAGI-500K,0), 10000)</t>
        </is>
      </c>
    </row>
    <row r="117" ht="45" customHeight="1">
      <c r="A117" s="97" t="inlineStr">
        <is>
          <t>Reference-Year SALT Cap</t>
        </is>
      </c>
      <c r="B117" s="178" t="n">
        <v>40400</v>
      </c>
      <c r="C117" s="12" t="inlineStr">
        <is>
          <t>USD</t>
        </is>
      </c>
      <c r="D117" s="33" t="inlineStr"/>
    </row>
    <row r="118" ht="30" customHeight="1">
      <c r="A118" s="97" t="inlineStr">
        <is>
          <t>2027 SALT Cap</t>
        </is>
      </c>
      <c r="B118" s="178" t="n">
        <v>40804</v>
      </c>
      <c r="C118" s="12" t="inlineStr">
        <is>
          <t>USD</t>
        </is>
      </c>
      <c r="D118" s="33" t="inlineStr"/>
    </row>
    <row r="119" ht="45" customHeight="1">
      <c r="A119" s="97" t="inlineStr">
        <is>
          <t>Reference-Year + 2 SALT Cap</t>
        </is>
      </c>
      <c r="B119" s="178" t="n">
        <v>41212</v>
      </c>
      <c r="C119" s="12" t="inlineStr">
        <is>
          <t>USD</t>
        </is>
      </c>
      <c r="D119" s="33" t="inlineStr"/>
    </row>
    <row r="120" ht="45" customHeight="1">
      <c r="A120" s="97" t="inlineStr">
        <is>
          <t>Reference-Year + 3 SALT Cap</t>
        </is>
      </c>
      <c r="B120" s="178" t="n">
        <v>41624</v>
      </c>
      <c r="C120" s="12" t="inlineStr">
        <is>
          <t>USD</t>
        </is>
      </c>
      <c r="D120" s="33" t="inlineStr"/>
    </row>
    <row r="121" ht="45" customHeight="1">
      <c r="A121" s="97" t="inlineStr">
        <is>
          <t>Post-Schedule SALT Cap</t>
        </is>
      </c>
      <c r="B121" s="178" t="n">
        <v>10000</v>
      </c>
      <c r="C121" s="12" t="inlineStr">
        <is>
          <t>USD</t>
        </is>
      </c>
      <c r="D121" s="12" t="inlineStr">
        <is>
          <t>REVERTS to $10K — model must honor this</t>
        </is>
      </c>
    </row>
    <row r="122"/>
    <row r="123" ht="15" customHeight="1">
      <c r="A123" s="10" t="inlineStr">
        <is>
          <t>Other Statutory Parameters</t>
        </is>
      </c>
      <c r="B123" s="3" t="n"/>
      <c r="C123" s="3" t="n"/>
      <c r="D123" s="4" t="n"/>
    </row>
    <row r="124" ht="15" customHeight="1">
      <c r="A124" s="5" t="inlineStr">
        <is>
          <t>Parameter</t>
        </is>
      </c>
      <c r="B124" s="5" t="inlineStr">
        <is>
          <t>Value</t>
        </is>
      </c>
      <c r="C124" s="5" t="inlineStr">
        <is>
          <t>Units</t>
        </is>
      </c>
      <c r="D124" s="5" t="inlineStr">
        <is>
          <t>Note</t>
        </is>
      </c>
    </row>
    <row r="125" ht="30" customHeight="1">
      <c r="A125" s="97" t="inlineStr">
        <is>
          <t>§121 Exclusion (MFJ)</t>
        </is>
      </c>
      <c r="B125" s="178" t="n">
        <v>500000</v>
      </c>
      <c r="C125" s="12" t="inlineStr">
        <is>
          <t>USD</t>
        </is>
      </c>
      <c r="D125" s="12" t="inlineStr">
        <is>
          <t>Home sale gain exclusion</t>
        </is>
      </c>
    </row>
    <row r="126" ht="45" customHeight="1">
      <c r="A126" s="97" t="inlineStr">
        <is>
          <t>QCD Annual Limit (per person)</t>
        </is>
      </c>
      <c r="B126" s="178" t="n">
        <v>108000</v>
      </c>
      <c r="C126" s="12" t="inlineStr">
        <is>
          <t>USD</t>
        </is>
      </c>
      <c r="D126" s="12" t="inlineStr">
        <is>
          <t>2025, indexed</t>
        </is>
      </c>
    </row>
    <row r="127" ht="45" customHeight="1">
      <c r="A127" s="97" t="inlineStr">
        <is>
          <t>Federal Estate Exemption (MFJ)</t>
        </is>
      </c>
      <c r="B127" s="178" t="n">
        <v>30000000</v>
      </c>
      <c r="C127" s="12" t="inlineStr">
        <is>
          <t>USD</t>
        </is>
      </c>
      <c r="D127" s="12" t="inlineStr">
        <is>
          <t>Indexed from the tax reference year</t>
        </is>
      </c>
    </row>
    <row r="128" ht="45" customHeight="1">
      <c r="A128" s="97" t="inlineStr">
        <is>
          <t>IL State Estate Exemption</t>
        </is>
      </c>
      <c r="B128" s="178" t="n">
        <v>4000000</v>
      </c>
      <c r="C128" s="12" t="inlineStr">
        <is>
          <t>USD</t>
        </is>
      </c>
      <c r="D128" s="12" t="inlineStr">
        <is>
          <t>With CST doubling, cliff structure</t>
        </is>
      </c>
    </row>
    <row r="129" ht="45" customHeight="1">
      <c r="A129" s="97" t="inlineStr">
        <is>
          <t>Annual Gift-Tax Exclusion</t>
        </is>
      </c>
      <c r="B129" s="178" t="n">
        <v>19000</v>
      </c>
      <c r="C129" s="12" t="inlineStr">
        <is>
          <t>USD</t>
        </is>
      </c>
      <c r="D129" s="12" t="inlineStr">
        <is>
          <t>tax reference year, per donee</t>
        </is>
      </c>
    </row>
    <row r="130" ht="30" customHeight="1">
      <c r="A130" s="97" t="inlineStr">
        <is>
          <t>RMD Start Age</t>
        </is>
      </c>
      <c r="B130" s="177" t="n">
        <v>75</v>
      </c>
      <c r="C130" s="12" t="inlineStr">
        <is>
          <t>years</t>
        </is>
      </c>
      <c r="D130" s="12" t="inlineStr">
        <is>
          <t>SECURE 2.0 §107 — born 1960+</t>
        </is>
      </c>
    </row>
    <row r="131" ht="45" customHeight="1">
      <c r="A131" s="97" t="inlineStr">
        <is>
          <t>NIIT Rate</t>
        </is>
      </c>
      <c r="B131" s="176" t="n">
        <v>0.038</v>
      </c>
      <c r="C131" s="12" t="inlineStr">
        <is>
          <t>decimal</t>
        </is>
      </c>
      <c r="D131" s="12" t="inlineStr">
        <is>
          <t>3.8% on NII above MAGI threshold</t>
        </is>
      </c>
    </row>
    <row r="132" ht="45" customHeight="1">
      <c r="A132" s="97" t="inlineStr">
        <is>
          <t>NIIT MAGI Threshold (MFJ)</t>
        </is>
      </c>
      <c r="B132" s="178" t="n">
        <v>250000</v>
      </c>
      <c r="C132" s="12" t="inlineStr">
        <is>
          <t>USD</t>
        </is>
      </c>
      <c r="D132" s="12" t="inlineStr">
        <is>
          <t>NOT indexed</t>
        </is>
      </c>
    </row>
    <row r="133" ht="60" customHeight="1">
      <c r="A133" s="97" t="inlineStr">
        <is>
          <t>Standard Deduction MFJ — Reference Year</t>
        </is>
      </c>
      <c r="B133" s="178" t="n">
        <v>31500</v>
      </c>
      <c r="C133" s="12" t="inlineStr">
        <is>
          <t>USD</t>
        </is>
      </c>
      <c r="D133" s="12" t="inlineStr">
        <is>
          <t>+ $1,650/spouse age 65+</t>
        </is>
      </c>
    </row>
    <row r="134" ht="60" customHeight="1">
      <c r="A134" s="97" t="inlineStr">
        <is>
          <t>IRMAA Tier 2 Threshold (MFJ)</t>
        </is>
      </c>
      <c r="B134" s="178" t="n">
        <v>268000</v>
      </c>
      <c r="C134" s="12" t="inlineStr">
        <is>
          <t>USD</t>
        </is>
      </c>
      <c r="D134" s="12" t="inlineStr">
        <is>
          <t>reference-year threshold, inflated annually</t>
        </is>
      </c>
    </row>
    <row r="135"/>
    <row r="136"/>
    <row r="137" ht="15" customHeight="1">
      <c r="A137" s="13" t="inlineStr">
        <is>
          <t>Projected Target-Bracket Reference — MFJ</t>
        </is>
      </c>
      <c r="B137" s="3" t="n"/>
      <c r="C137" s="3" t="n"/>
      <c r="D137" s="3" t="n"/>
      <c r="E137" s="3" t="n"/>
      <c r="F137" s="4" t="n"/>
    </row>
    <row r="138" ht="30" customHeight="1">
      <c r="A138" s="5" t="inlineStr">
        <is>
          <t>Year</t>
        </is>
      </c>
      <c r="B138" s="5" t="inlineStr">
        <is>
          <t>Reference Bracket Top</t>
        </is>
      </c>
    </row>
    <row r="139" ht="15" customHeight="1">
      <c r="A139" s="25" t="n">
        <v>2026</v>
      </c>
      <c r="B139" s="103" t="n">
        <v>201050</v>
      </c>
    </row>
    <row r="140" ht="15" customHeight="1">
      <c r="A140" s="25" t="n">
        <v>2027</v>
      </c>
      <c r="B140" s="103" t="n">
        <v>205071</v>
      </c>
    </row>
    <row r="141" ht="15" customHeight="1">
      <c r="A141" s="25" t="n">
        <v>2028</v>
      </c>
      <c r="B141" s="103" t="n">
        <v>209172.42</v>
      </c>
    </row>
    <row r="142" ht="30" customHeight="1">
      <c r="A142" s="25" t="n">
        <v>2029</v>
      </c>
      <c r="B142" s="103" t="n">
        <v>213355.8684</v>
      </c>
    </row>
    <row r="143" ht="30" customHeight="1">
      <c r="A143" s="25" t="n">
        <v>2030</v>
      </c>
      <c r="B143" s="103" t="n">
        <v>217622.985768</v>
      </c>
    </row>
    <row r="144" ht="30" customHeight="1">
      <c r="A144" s="25" t="n">
        <v>2031</v>
      </c>
      <c r="B144" s="103" t="n">
        <v>221975.44548336</v>
      </c>
    </row>
    <row r="145" ht="30" customHeight="1">
      <c r="A145" s="25" t="n">
        <v>2032</v>
      </c>
      <c r="B145" s="103" t="n">
        <v>226414.9543930272</v>
      </c>
    </row>
    <row r="146" ht="30" customHeight="1">
      <c r="A146" s="25" t="n">
        <v>2033</v>
      </c>
      <c r="B146" s="103" t="n">
        <v>230943.2534808877</v>
      </c>
    </row>
    <row r="147" ht="30" customHeight="1">
      <c r="A147" s="25" t="n">
        <v>2034</v>
      </c>
      <c r="B147" s="103" t="n">
        <v>235562.1185505055</v>
      </c>
    </row>
    <row r="148" ht="30" customHeight="1">
      <c r="A148" s="25" t="n">
        <v>2035</v>
      </c>
      <c r="B148" s="103" t="n">
        <v>240273.3609215156</v>
      </c>
    </row>
    <row r="149" ht="30" customHeight="1">
      <c r="A149" s="25" t="n">
        <v>2036</v>
      </c>
      <c r="B149" s="103" t="n">
        <v>245078.828139946</v>
      </c>
    </row>
    <row r="150" ht="30" customHeight="1">
      <c r="A150" s="25" t="n">
        <v>2037</v>
      </c>
      <c r="B150" s="103" t="n">
        <v>249980.4047027449</v>
      </c>
    </row>
    <row r="151" ht="30" customHeight="1">
      <c r="A151" s="25" t="n">
        <v>2038</v>
      </c>
      <c r="B151" s="103" t="n">
        <v>254980.0127967998</v>
      </c>
    </row>
    <row r="152" ht="30" customHeight="1">
      <c r="A152" s="25" t="n">
        <v>2039</v>
      </c>
      <c r="B152" s="103" t="n">
        <v>260079.6130527358</v>
      </c>
    </row>
    <row r="153" ht="30" customHeight="1">
      <c r="A153" s="25" t="n">
        <v>2040</v>
      </c>
      <c r="B153" s="103" t="n">
        <v>265281.2053137905</v>
      </c>
    </row>
    <row r="154" ht="30" customHeight="1">
      <c r="A154" s="25" t="n">
        <v>2041</v>
      </c>
      <c r="B154" s="103" t="n">
        <v>270586.8294200663</v>
      </c>
    </row>
    <row r="155" ht="30" customHeight="1">
      <c r="A155" s="25" t="n">
        <v>2042</v>
      </c>
      <c r="B155" s="103" t="n">
        <v>275998.5660084676</v>
      </c>
    </row>
    <row r="156" ht="30" customHeight="1">
      <c r="A156" s="25" t="n">
        <v>2043</v>
      </c>
      <c r="B156" s="103" t="n">
        <v>281518.537328637</v>
      </c>
    </row>
    <row r="157" ht="30" customHeight="1">
      <c r="A157" s="25" t="n">
        <v>2044</v>
      </c>
      <c r="B157" s="103" t="n">
        <v>287148.9080752098</v>
      </c>
    </row>
    <row r="158" ht="30" customHeight="1">
      <c r="A158" s="25" t="n">
        <v>2045</v>
      </c>
      <c r="B158" s="103" t="n">
        <v>292891.886236714</v>
      </c>
    </row>
    <row r="159" ht="30" customHeight="1">
      <c r="A159" s="25" t="n">
        <v>2046</v>
      </c>
      <c r="B159" s="103" t="n">
        <v>298749.7239614482</v>
      </c>
    </row>
    <row r="160" ht="30" customHeight="1">
      <c r="A160" s="25" t="n">
        <v>2047</v>
      </c>
      <c r="B160" s="103" t="n">
        <v>304724.7184406772</v>
      </c>
    </row>
    <row r="161" ht="30" customHeight="1">
      <c r="A161" s="25" t="n">
        <v>2048</v>
      </c>
      <c r="B161" s="103" t="n">
        <v>310819.2128094907</v>
      </c>
    </row>
    <row r="162" ht="30" customHeight="1">
      <c r="A162" s="25" t="n">
        <v>2049</v>
      </c>
      <c r="B162" s="103" t="n">
        <v>317035.5970656806</v>
      </c>
    </row>
    <row r="163" ht="30" customHeight="1">
      <c r="A163" s="25" t="n">
        <v>2050</v>
      </c>
      <c r="B163" s="103" t="n">
        <v>323376.3090069942</v>
      </c>
    </row>
    <row r="164" ht="30" customHeight="1">
      <c r="A164" s="25" t="n">
        <v>2051</v>
      </c>
      <c r="B164" s="103" t="n">
        <v>329843.8351871341</v>
      </c>
    </row>
    <row r="165" ht="30" customHeight="1">
      <c r="A165" s="25" t="n">
        <v>2052</v>
      </c>
      <c r="B165" s="103" t="n">
        <v>336440.7118908768</v>
      </c>
    </row>
    <row r="166" ht="30" customHeight="1">
      <c r="A166" s="25" t="n">
        <v>2053</v>
      </c>
      <c r="B166" s="103" t="n">
        <v>343169.5261286943</v>
      </c>
    </row>
    <row r="167" ht="30" customHeight="1">
      <c r="A167" s="25" t="n">
        <v>2054</v>
      </c>
      <c r="B167" s="103" t="n">
        <v>350032.9166512683</v>
      </c>
    </row>
    <row r="168" ht="30" customHeight="1">
      <c r="A168" s="25" t="n">
        <v>2055</v>
      </c>
      <c r="B168" s="103" t="n">
        <v>357033.5749842936</v>
      </c>
    </row>
    <row r="169" ht="30" customHeight="1">
      <c r="A169" s="25" t="n">
        <v>2056</v>
      </c>
      <c r="B169" s="103" t="n">
        <v>364174.2464839795</v>
      </c>
    </row>
  </sheetData>
  <mergeCells count="9">
    <mergeCell ref="A27:D27"/>
    <mergeCell ref="A137:F137"/>
    <mergeCell ref="A114:D114"/>
    <mergeCell ref="A87:D87"/>
    <mergeCell ref="A104:D104"/>
    <mergeCell ref="A2:D2"/>
    <mergeCell ref="A1:H1"/>
    <mergeCell ref="A123:D123"/>
    <mergeCell ref="A14:D14"/>
  </mergeCells>
  <pageMargins left="0.75" right="0.75" top="1" bottom="1" header="0.5" footer="0.5"/>
</worksheet>
</file>

<file path=xl/worksheets/sheet26.xml><?xml version="1.0" encoding="utf-8"?>
<worksheet xmlns="http://schemas.openxmlformats.org/spreadsheetml/2006/main">
  <sheetPr>
    <tabColor rgb="00B45F06"/>
    <outlinePr summaryBelow="1" summaryRight="1"/>
    <pageSetUpPr/>
  </sheetPr>
  <dimension ref="A1:Q314"/>
  <sheetViews>
    <sheetView showGridLines="0" workbookViewId="0">
      <pane ySplit="4" topLeftCell="A5" activePane="bottomLeft" state="frozen"/>
      <selection pane="bottomLeft" activeCell="A1" sqref="A1"/>
    </sheetView>
  </sheetViews>
  <sheetFormatPr baseColWidth="8" defaultRowHeight="15"/>
  <cols>
    <col width="9.4" customWidth="1" min="1" max="1"/>
    <col width="8" customWidth="1" min="2" max="2"/>
    <col width="8" customWidth="1" min="3" max="3"/>
    <col width="8" customWidth="1" min="4" max="4"/>
    <col width="8" customWidth="1" min="5" max="5"/>
    <col width="9.4" customWidth="1" min="6" max="6"/>
    <col width="9.4" customWidth="1" min="7" max="7"/>
    <col width="9.4" customWidth="1" min="8" max="8"/>
    <col width="9.4" customWidth="1" min="9" max="9"/>
    <col width="9.4" customWidth="1" min="10" max="10"/>
    <col width="9.4" customWidth="1" min="11" max="11"/>
    <col width="9.4" customWidth="1" min="12" max="12"/>
    <col width="9.4" customWidth="1" min="13" max="13"/>
    <col width="9.4" customWidth="1" min="14" max="14"/>
    <col width="9.4" customWidth="1" min="15" max="15"/>
    <col width="9.4" customWidth="1" min="16" max="16"/>
    <col width="8" customWidth="1" min="17" max="17"/>
  </cols>
  <sheetData>
    <row r="1" ht="18" customHeight="1">
      <c r="A1" s="9" t="inlineStr">
        <is>
          <t>Roll Forward by Account and Year</t>
        </is>
      </c>
    </row>
    <row r="2" ht="36" customHeight="1">
      <c r="A2" s="97" t="inlineStr">
        <is>
          <t>Formula: Opening + Deposits + Transfers In - Transfers Out + Roth Conversion In - Roth Conversion Out - Withdrawals + Growth = Ending. This sheet explains movements that do not appear as cash-flow withdrawals, such as Roth conversions and death-year rollovers.</t>
        </is>
      </c>
      <c r="B2" s="3" t="n"/>
      <c r="C2" s="3" t="n"/>
      <c r="D2" s="3" t="n"/>
      <c r="E2" s="3" t="n"/>
      <c r="F2" s="3" t="n"/>
      <c r="G2" s="3" t="n"/>
      <c r="H2" s="3" t="n"/>
      <c r="I2" s="3" t="n"/>
      <c r="J2" s="3" t="n"/>
      <c r="K2" s="3" t="n"/>
      <c r="L2" s="3" t="n"/>
      <c r="M2" s="3" t="n"/>
      <c r="N2" s="3" t="n"/>
      <c r="O2" s="3" t="n"/>
      <c r="P2" s="4" t="n"/>
    </row>
    <row r="3"/>
    <row r="4" ht="30" customHeight="1">
      <c r="A4" s="39" t="inlineStr">
        <is>
          <t>Year</t>
        </is>
      </c>
      <c r="B4" s="39" t="inlineStr">
        <is>
          <t>Account</t>
        </is>
      </c>
      <c r="C4" s="39" t="inlineStr">
        <is>
          <t>Owner</t>
        </is>
      </c>
      <c r="D4" s="39" t="inlineStr">
        <is>
          <t>Tax</t>
        </is>
      </c>
      <c r="E4" s="39" t="inlineStr">
        <is>
          <t>Type</t>
        </is>
      </c>
      <c r="F4" s="179" t="inlineStr">
        <is>
          <t>Opening</t>
        </is>
      </c>
      <c r="G4" s="23" t="inlineStr">
        <is>
          <t>Deposits</t>
        </is>
      </c>
      <c r="H4" s="23" t="inlineStr">
        <is>
          <t>Transfers In</t>
        </is>
      </c>
      <c r="I4" s="23" t="inlineStr">
        <is>
          <t>Transfers Out</t>
        </is>
      </c>
      <c r="J4" s="23" t="inlineStr">
        <is>
          <t>Roth Conv In</t>
        </is>
      </c>
      <c r="K4" s="23" t="inlineStr">
        <is>
          <t>Roth Conv Out</t>
        </is>
      </c>
      <c r="L4" s="23" t="inlineStr">
        <is>
          <t>Withdrawals</t>
        </is>
      </c>
      <c r="M4" s="23" t="inlineStr">
        <is>
          <t>Growth</t>
        </is>
      </c>
      <c r="N4" s="179" t="inlineStr">
        <is>
          <t>Calculated Ending</t>
        </is>
      </c>
      <c r="O4" s="179" t="inlineStr">
        <is>
          <t>Reported Ending</t>
        </is>
      </c>
      <c r="P4" s="179" t="inlineStr">
        <is>
          <t>Foot Delta</t>
        </is>
      </c>
      <c r="Q4" s="23" t="inlineStr">
        <is>
          <t>Notes</t>
        </is>
      </c>
    </row>
    <row r="5" ht="45" customHeight="1">
      <c r="A5" s="26" t="n">
        <v>2026</v>
      </c>
      <c r="B5" s="12" t="inlineStr">
        <is>
          <t>Business Checking</t>
        </is>
      </c>
      <c r="C5" s="12" t="inlineStr">
        <is>
          <t>Matthew</t>
        </is>
      </c>
      <c r="D5" s="41" t="inlineStr">
        <is>
          <t>cash</t>
        </is>
      </c>
      <c r="E5" s="12" t="inlineStr">
        <is>
          <t>checking</t>
        </is>
      </c>
      <c r="F5" s="27" t="n">
        <v>5000</v>
      </c>
      <c r="G5" s="27" t="n">
        <v>0</v>
      </c>
      <c r="H5" s="27" t="n">
        <v>0</v>
      </c>
      <c r="I5" s="27" t="n">
        <v>0</v>
      </c>
      <c r="J5" s="27" t="n">
        <v>0</v>
      </c>
      <c r="K5" s="27" t="n">
        <v>0</v>
      </c>
      <c r="L5" s="27" t="n">
        <v>0</v>
      </c>
      <c r="M5" s="27" t="n">
        <v>0</v>
      </c>
      <c r="N5" s="27" t="n">
        <v>5000</v>
      </c>
      <c r="O5" s="27" t="n">
        <v>5000</v>
      </c>
      <c r="P5" s="27" t="n">
        <v>0</v>
      </c>
      <c r="Q5" s="33" t="inlineStr"/>
    </row>
    <row r="6" ht="30" customHeight="1">
      <c r="A6" s="26" t="n">
        <v>2026</v>
      </c>
      <c r="B6" s="12" t="inlineStr">
        <is>
          <t>Family Checking</t>
        </is>
      </c>
      <c r="C6" s="12" t="inlineStr">
        <is>
          <t>Matthew</t>
        </is>
      </c>
      <c r="D6" s="41" t="inlineStr">
        <is>
          <t>cash</t>
        </is>
      </c>
      <c r="E6" s="12" t="inlineStr">
        <is>
          <t>checking</t>
        </is>
      </c>
      <c r="F6" s="27" t="n">
        <v>15000</v>
      </c>
      <c r="G6" s="27" t="n">
        <v>0</v>
      </c>
      <c r="H6" s="27" t="n">
        <v>0</v>
      </c>
      <c r="I6" s="27" t="n">
        <v>0</v>
      </c>
      <c r="J6" s="27" t="n">
        <v>0</v>
      </c>
      <c r="K6" s="27" t="n">
        <v>0</v>
      </c>
      <c r="L6" s="27" t="n">
        <v>0</v>
      </c>
      <c r="M6" s="27" t="n">
        <v>0</v>
      </c>
      <c r="N6" s="27" t="n">
        <v>15000</v>
      </c>
      <c r="O6" s="27" t="n">
        <v>15000</v>
      </c>
      <c r="P6" s="27" t="n">
        <v>0</v>
      </c>
      <c r="Q6" s="33" t="inlineStr"/>
    </row>
    <row r="7" ht="30" customHeight="1">
      <c r="A7" s="26" t="n">
        <v>2026</v>
      </c>
      <c r="B7" s="12" t="inlineStr">
        <is>
          <t>Matthew HSA</t>
        </is>
      </c>
      <c r="C7" s="12" t="inlineStr">
        <is>
          <t>Matthew</t>
        </is>
      </c>
      <c r="D7" s="41" t="inlineStr">
        <is>
          <t>hsa</t>
        </is>
      </c>
      <c r="E7" s="12" t="inlineStr">
        <is>
          <t>hsa</t>
        </is>
      </c>
      <c r="F7" s="27" t="n">
        <v>72070.00887999999</v>
      </c>
      <c r="G7" s="27" t="n">
        <v>3756.369863013698</v>
      </c>
      <c r="H7" s="27" t="n">
        <v>0</v>
      </c>
      <c r="I7" s="27" t="n">
        <v>0</v>
      </c>
      <c r="J7" s="27" t="n">
        <v>0</v>
      </c>
      <c r="K7" s="27" t="n">
        <v>0</v>
      </c>
      <c r="L7" s="27" t="n">
        <v>0</v>
      </c>
      <c r="M7" s="27" t="n">
        <v>2256.094446983914</v>
      </c>
      <c r="N7" s="27" t="n">
        <v>78082.4731899976</v>
      </c>
      <c r="O7" s="27" t="n">
        <v>78082.4731899976</v>
      </c>
      <c r="P7" s="27" t="n">
        <v>0</v>
      </c>
      <c r="Q7" s="12" t="inlineStr">
        <is>
          <t>deposit</t>
        </is>
      </c>
    </row>
    <row r="8" ht="45" customHeight="1">
      <c r="A8" s="26" t="n">
        <v>2026</v>
      </c>
      <c r="B8" s="12" t="inlineStr">
        <is>
          <t>Matthew 401k</t>
        </is>
      </c>
      <c r="C8" s="12" t="inlineStr">
        <is>
          <t>Matthew</t>
        </is>
      </c>
      <c r="D8" s="41" t="inlineStr">
        <is>
          <t>pre_tax</t>
        </is>
      </c>
      <c r="E8" s="12" t="inlineStr">
        <is>
          <t>401k</t>
        </is>
      </c>
      <c r="F8" s="27" t="n">
        <v>14934.4</v>
      </c>
      <c r="G8" s="27" t="n">
        <v>11901.3698630137</v>
      </c>
      <c r="H8" s="27" t="n">
        <v>0</v>
      </c>
      <c r="I8" s="27" t="n">
        <v>0</v>
      </c>
      <c r="J8" s="27" t="n">
        <v>0</v>
      </c>
      <c r="K8" s="27" t="n">
        <v>0</v>
      </c>
      <c r="L8" s="27" t="n">
        <v>0.0003208661698845249</v>
      </c>
      <c r="M8" s="27" t="n">
        <v>798.4560471992387</v>
      </c>
      <c r="N8" s="27" t="n">
        <v>27634.22558934677</v>
      </c>
      <c r="O8" s="27" t="n">
        <v>27634.22558934677</v>
      </c>
      <c r="P8" s="27" t="n">
        <v>0</v>
      </c>
      <c r="Q8" s="12" t="inlineStr">
        <is>
          <t>withdrawal; deposit</t>
        </is>
      </c>
    </row>
    <row r="9" ht="30" customHeight="1">
      <c r="A9" s="26" t="n">
        <v>2026</v>
      </c>
      <c r="B9" s="12" t="inlineStr">
        <is>
          <t>Matthew IRA</t>
        </is>
      </c>
      <c r="C9" s="12" t="inlineStr">
        <is>
          <t>Matthew</t>
        </is>
      </c>
      <c r="D9" s="41" t="inlineStr">
        <is>
          <t>pre_tax</t>
        </is>
      </c>
      <c r="E9" s="12" t="inlineStr">
        <is>
          <t>traditional_ira</t>
        </is>
      </c>
      <c r="F9" s="27" t="n">
        <v>1331690.46142</v>
      </c>
      <c r="G9" s="27" t="n">
        <v>0</v>
      </c>
      <c r="H9" s="27" t="n">
        <v>0</v>
      </c>
      <c r="I9" s="27" t="n">
        <v>0</v>
      </c>
      <c r="J9" s="27" t="n">
        <v>0</v>
      </c>
      <c r="K9" s="27" t="n">
        <v>0</v>
      </c>
      <c r="L9" s="27" t="n">
        <v>0.0159225697644884</v>
      </c>
      <c r="M9" s="27" t="n">
        <v>39622.35133726602</v>
      </c>
      <c r="N9" s="27" t="n">
        <v>1371312.796834697</v>
      </c>
      <c r="O9" s="27" t="n">
        <v>1371312.796834697</v>
      </c>
      <c r="P9" s="27" t="n">
        <v>0</v>
      </c>
      <c r="Q9" s="12" t="inlineStr">
        <is>
          <t>withdrawal</t>
        </is>
      </c>
    </row>
    <row r="10" ht="30" customHeight="1">
      <c r="A10" s="26" t="n">
        <v>2026</v>
      </c>
      <c r="B10" s="12" t="inlineStr">
        <is>
          <t>Matthew Roth</t>
        </is>
      </c>
      <c r="C10" s="12" t="inlineStr">
        <is>
          <t>Matthew</t>
        </is>
      </c>
      <c r="D10" s="41" t="inlineStr">
        <is>
          <t>roth</t>
        </is>
      </c>
      <c r="E10" s="12" t="inlineStr">
        <is>
          <t>roth_ira</t>
        </is>
      </c>
      <c r="F10" s="27" t="n">
        <v>138318.17527</v>
      </c>
      <c r="G10" s="27" t="n">
        <v>0</v>
      </c>
      <c r="H10" s="27" t="n">
        <v>0</v>
      </c>
      <c r="I10" s="27" t="n">
        <v>0</v>
      </c>
      <c r="J10" s="27" t="n">
        <v>0</v>
      </c>
      <c r="K10" s="27" t="n">
        <v>0</v>
      </c>
      <c r="L10" s="27" t="n">
        <v>0</v>
      </c>
      <c r="M10" s="27" t="n">
        <v>4115.43940666356</v>
      </c>
      <c r="N10" s="27" t="n">
        <v>142433.6146766635</v>
      </c>
      <c r="O10" s="27" t="n">
        <v>142433.6146766635</v>
      </c>
      <c r="P10" s="27" t="n">
        <v>0</v>
      </c>
      <c r="Q10" s="33" t="inlineStr"/>
    </row>
    <row r="11" ht="30" customHeight="1">
      <c r="A11" s="26" t="n">
        <v>2026</v>
      </c>
      <c r="B11" s="12" t="inlineStr">
        <is>
          <t>Matthew Trust</t>
        </is>
      </c>
      <c r="C11" s="12" t="inlineStr">
        <is>
          <t>Matthew</t>
        </is>
      </c>
      <c r="D11" s="41" t="inlineStr">
        <is>
          <t>taxable</t>
        </is>
      </c>
      <c r="E11" s="12" t="inlineStr">
        <is>
          <t>trust</t>
        </is>
      </c>
      <c r="F11" s="27" t="n">
        <v>207796.24624</v>
      </c>
      <c r="G11" s="27" t="n">
        <v>0</v>
      </c>
      <c r="H11" s="27" t="n">
        <v>0</v>
      </c>
      <c r="I11" s="27" t="n">
        <v>0</v>
      </c>
      <c r="J11" s="27" t="n">
        <v>0</v>
      </c>
      <c r="K11" s="27" t="n">
        <v>0</v>
      </c>
      <c r="L11" s="27" t="n">
        <v>53527.10849962672</v>
      </c>
      <c r="M11" s="27" t="n">
        <v>1298.601336409588</v>
      </c>
      <c r="N11" s="27" t="n">
        <v>155567.7390767829</v>
      </c>
      <c r="O11" s="27" t="n">
        <v>155567.7390767829</v>
      </c>
      <c r="P11" s="27" t="n">
        <v>2.91038304567337e-11</v>
      </c>
      <c r="Q11" s="12" t="inlineStr">
        <is>
          <t>withdrawal</t>
        </is>
      </c>
    </row>
    <row r="12" ht="60" customHeight="1">
      <c r="A12" s="26" t="n">
        <v>2026</v>
      </c>
      <c r="B12" s="12" t="inlineStr">
        <is>
          <t>Patricia IRA</t>
        </is>
      </c>
      <c r="C12" s="12" t="inlineStr">
        <is>
          <t>Patricia</t>
        </is>
      </c>
      <c r="D12" s="41" t="inlineStr">
        <is>
          <t>pre_tax</t>
        </is>
      </c>
      <c r="E12" s="12" t="inlineStr">
        <is>
          <t>traditional_ira</t>
        </is>
      </c>
      <c r="F12" s="27" t="n">
        <v>460853.2724699999</v>
      </c>
      <c r="G12" s="27" t="n">
        <v>0</v>
      </c>
      <c r="H12" s="27" t="n">
        <v>0</v>
      </c>
      <c r="I12" s="27" t="n">
        <v>0</v>
      </c>
      <c r="J12" s="27" t="n">
        <v>0</v>
      </c>
      <c r="K12" s="27" t="n">
        <v>125000</v>
      </c>
      <c r="L12" s="27" t="n">
        <v>0.00401568331114502</v>
      </c>
      <c r="M12" s="27" t="n">
        <v>9992.78491894213</v>
      </c>
      <c r="N12" s="27" t="n">
        <v>345846.0533732587</v>
      </c>
      <c r="O12" s="27" t="n">
        <v>345846.0533732587</v>
      </c>
      <c r="P12" s="27" t="n">
        <v>0</v>
      </c>
      <c r="Q12" s="12" t="inlineStr">
        <is>
          <t>Roth conversion; withdrawal</t>
        </is>
      </c>
    </row>
    <row r="13" ht="30" customHeight="1">
      <c r="A13" s="26" t="n">
        <v>2026</v>
      </c>
      <c r="B13" s="12" t="inlineStr">
        <is>
          <t>Patricia Roth</t>
        </is>
      </c>
      <c r="C13" s="12" t="inlineStr">
        <is>
          <t>Patricia</t>
        </is>
      </c>
      <c r="D13" s="41" t="inlineStr">
        <is>
          <t>roth</t>
        </is>
      </c>
      <c r="E13" s="12" t="inlineStr">
        <is>
          <t>roth_ira</t>
        </is>
      </c>
      <c r="F13" s="27" t="n">
        <v>206022.888794</v>
      </c>
      <c r="G13" s="27" t="n">
        <v>0</v>
      </c>
      <c r="H13" s="27" t="n">
        <v>0</v>
      </c>
      <c r="I13" s="27" t="n">
        <v>0</v>
      </c>
      <c r="J13" s="27" t="n">
        <v>125000</v>
      </c>
      <c r="K13" s="27" t="n">
        <v>0</v>
      </c>
      <c r="L13" s="27" t="n">
        <v>0</v>
      </c>
      <c r="M13" s="27" t="n">
        <v>9849.064581651615</v>
      </c>
      <c r="N13" s="27" t="n">
        <v>340871.9533756516</v>
      </c>
      <c r="O13" s="27" t="n">
        <v>340871.9533756516</v>
      </c>
      <c r="P13" s="27" t="n">
        <v>0</v>
      </c>
      <c r="Q13" s="12" t="inlineStr">
        <is>
          <t>Roth conversion</t>
        </is>
      </c>
    </row>
    <row r="14" ht="30" customHeight="1">
      <c r="A14" s="26" t="n">
        <v>2026</v>
      </c>
      <c r="B14" s="12" t="inlineStr">
        <is>
          <t>Patricia Trust</t>
        </is>
      </c>
      <c r="C14" s="12" t="inlineStr">
        <is>
          <t>Patricia</t>
        </is>
      </c>
      <c r="D14" s="41" t="inlineStr">
        <is>
          <t>taxable</t>
        </is>
      </c>
      <c r="E14" s="12" t="inlineStr">
        <is>
          <t>trust</t>
        </is>
      </c>
      <c r="F14" s="27" t="n">
        <v>332262.173348</v>
      </c>
      <c r="G14" s="27" t="n">
        <v>0</v>
      </c>
      <c r="H14" s="27" t="n">
        <v>0</v>
      </c>
      <c r="I14" s="27" t="n">
        <v>0</v>
      </c>
      <c r="J14" s="27" t="n">
        <v>0</v>
      </c>
      <c r="K14" s="27" t="n">
        <v>0</v>
      </c>
      <c r="L14" s="27" t="n">
        <v>85588.8098314291</v>
      </c>
      <c r="M14" s="27" t="n">
        <v>2942.451075842413</v>
      </c>
      <c r="N14" s="27" t="n">
        <v>249615.8145924133</v>
      </c>
      <c r="O14" s="27" t="n">
        <v>249615.8145924133</v>
      </c>
      <c r="P14" s="27" t="n">
        <v>0</v>
      </c>
      <c r="Q14" s="12" t="inlineStr">
        <is>
          <t>withdrawal</t>
        </is>
      </c>
    </row>
    <row r="15" ht="45" customHeight="1">
      <c r="A15" s="26" t="n">
        <v>2027</v>
      </c>
      <c r="B15" s="12" t="inlineStr">
        <is>
          <t>Business Checking</t>
        </is>
      </c>
      <c r="C15" s="12" t="inlineStr">
        <is>
          <t>Matthew</t>
        </is>
      </c>
      <c r="D15" s="41" t="inlineStr">
        <is>
          <t>cash</t>
        </is>
      </c>
      <c r="E15" s="12" t="inlineStr">
        <is>
          <t>checking</t>
        </is>
      </c>
      <c r="F15" s="27" t="n">
        <v>5000</v>
      </c>
      <c r="G15" s="27" t="n">
        <v>0</v>
      </c>
      <c r="H15" s="27" t="n">
        <v>0</v>
      </c>
      <c r="I15" s="27" t="n">
        <v>0</v>
      </c>
      <c r="J15" s="27" t="n">
        <v>0</v>
      </c>
      <c r="K15" s="27" t="n">
        <v>0</v>
      </c>
      <c r="L15" s="27" t="n">
        <v>0</v>
      </c>
      <c r="M15" s="27" t="n">
        <v>0</v>
      </c>
      <c r="N15" s="27" t="n">
        <v>5000</v>
      </c>
      <c r="O15" s="27" t="n">
        <v>5000</v>
      </c>
      <c r="P15" s="27" t="n">
        <v>0</v>
      </c>
      <c r="Q15" s="33" t="inlineStr"/>
    </row>
    <row r="16" ht="30" customHeight="1">
      <c r="A16" s="26" t="n">
        <v>2027</v>
      </c>
      <c r="B16" s="12" t="inlineStr">
        <is>
          <t>Family Checking</t>
        </is>
      </c>
      <c r="C16" s="12" t="inlineStr">
        <is>
          <t>Matthew</t>
        </is>
      </c>
      <c r="D16" s="41" t="inlineStr">
        <is>
          <t>cash</t>
        </is>
      </c>
      <c r="E16" s="12" t="inlineStr">
        <is>
          <t>checking</t>
        </is>
      </c>
      <c r="F16" s="27" t="n">
        <v>15000</v>
      </c>
      <c r="G16" s="27" t="n">
        <v>0</v>
      </c>
      <c r="H16" s="27" t="n">
        <v>0</v>
      </c>
      <c r="I16" s="27" t="n">
        <v>0</v>
      </c>
      <c r="J16" s="27" t="n">
        <v>0</v>
      </c>
      <c r="K16" s="27" t="n">
        <v>0</v>
      </c>
      <c r="L16" s="27" t="n">
        <v>0</v>
      </c>
      <c r="M16" s="27" t="n">
        <v>0</v>
      </c>
      <c r="N16" s="27" t="n">
        <v>15000</v>
      </c>
      <c r="O16" s="27" t="n">
        <v>15000</v>
      </c>
      <c r="P16" s="27" t="n">
        <v>0</v>
      </c>
      <c r="Q16" s="33" t="inlineStr"/>
    </row>
    <row r="17" ht="30" customHeight="1">
      <c r="A17" s="26" t="n">
        <v>2027</v>
      </c>
      <c r="B17" s="12" t="inlineStr">
        <is>
          <t>Matthew HSA</t>
        </is>
      </c>
      <c r="C17" s="12" t="inlineStr">
        <is>
          <t>Matthew</t>
        </is>
      </c>
      <c r="D17" s="41" t="inlineStr">
        <is>
          <t>hsa</t>
        </is>
      </c>
      <c r="E17" s="12" t="inlineStr">
        <is>
          <t>hsa</t>
        </is>
      </c>
      <c r="F17" s="27" t="n">
        <v>78082.4731899976</v>
      </c>
      <c r="G17" s="27" t="n">
        <v>0</v>
      </c>
      <c r="H17" s="27" t="n">
        <v>0</v>
      </c>
      <c r="I17" s="27" t="n">
        <v>0</v>
      </c>
      <c r="J17" s="27" t="n">
        <v>0</v>
      </c>
      <c r="K17" s="27" t="n">
        <v>0</v>
      </c>
      <c r="L17" s="27" t="n">
        <v>0</v>
      </c>
      <c r="M17" s="27" t="n">
        <v>4684.948391399856</v>
      </c>
      <c r="N17" s="27" t="n">
        <v>82767.42158139746</v>
      </c>
      <c r="O17" s="27" t="n">
        <v>82767.42158139746</v>
      </c>
      <c r="P17" s="27" t="n">
        <v>0</v>
      </c>
      <c r="Q17" s="33" t="inlineStr"/>
    </row>
    <row r="18" ht="30" customHeight="1">
      <c r="A18" s="26" t="n">
        <v>2027</v>
      </c>
      <c r="B18" s="12" t="inlineStr">
        <is>
          <t>Matthew 401k</t>
        </is>
      </c>
      <c r="C18" s="12" t="inlineStr">
        <is>
          <t>Matthew</t>
        </is>
      </c>
      <c r="D18" s="41" t="inlineStr">
        <is>
          <t>pre_tax</t>
        </is>
      </c>
      <c r="E18" s="12" t="inlineStr">
        <is>
          <t>401k</t>
        </is>
      </c>
      <c r="F18" s="27" t="n">
        <v>27634.22558934677</v>
      </c>
      <c r="G18" s="27" t="n">
        <v>0</v>
      </c>
      <c r="H18" s="27" t="n">
        <v>0</v>
      </c>
      <c r="I18" s="27" t="n">
        <v>0</v>
      </c>
      <c r="J18" s="27" t="n">
        <v>0</v>
      </c>
      <c r="K18" s="27" t="n">
        <v>0</v>
      </c>
      <c r="L18" s="27" t="n">
        <v>0.0004590935092138949</v>
      </c>
      <c r="M18" s="27" t="n">
        <v>1658.053507815195</v>
      </c>
      <c r="N18" s="27" t="n">
        <v>29292.27863806845</v>
      </c>
      <c r="O18" s="27" t="n">
        <v>29292.27863806845</v>
      </c>
      <c r="P18" s="27" t="n">
        <v>0</v>
      </c>
      <c r="Q18" s="12" t="inlineStr">
        <is>
          <t>withdrawal</t>
        </is>
      </c>
    </row>
    <row r="19" ht="30" customHeight="1">
      <c r="A19" s="26" t="n">
        <v>2027</v>
      </c>
      <c r="B19" s="12" t="inlineStr">
        <is>
          <t>Matthew IRA</t>
        </is>
      </c>
      <c r="C19" s="12" t="inlineStr">
        <is>
          <t>Matthew</t>
        </is>
      </c>
      <c r="D19" s="41" t="inlineStr">
        <is>
          <t>pre_tax</t>
        </is>
      </c>
      <c r="E19" s="12" t="inlineStr">
        <is>
          <t>traditional_ira</t>
        </is>
      </c>
      <c r="F19" s="27" t="n">
        <v>1371312.796834697</v>
      </c>
      <c r="G19" s="27" t="n">
        <v>0</v>
      </c>
      <c r="H19" s="27" t="n">
        <v>0</v>
      </c>
      <c r="I19" s="27" t="n">
        <v>0</v>
      </c>
      <c r="J19" s="27" t="n">
        <v>0</v>
      </c>
      <c r="K19" s="27" t="n">
        <v>0</v>
      </c>
      <c r="L19" s="27" t="n">
        <v>0.02278192316601276</v>
      </c>
      <c r="M19" s="27" t="n">
        <v>82278.7664431664</v>
      </c>
      <c r="N19" s="27" t="n">
        <v>1453591.54049594</v>
      </c>
      <c r="O19" s="27" t="n">
        <v>1453591.54049594</v>
      </c>
      <c r="P19" s="27" t="n">
        <v>0</v>
      </c>
      <c r="Q19" s="12" t="inlineStr">
        <is>
          <t>withdrawal</t>
        </is>
      </c>
    </row>
    <row r="20" ht="30" customHeight="1">
      <c r="A20" s="26" t="n">
        <v>2027</v>
      </c>
      <c r="B20" s="12" t="inlineStr">
        <is>
          <t>Matthew Roth</t>
        </is>
      </c>
      <c r="C20" s="12" t="inlineStr">
        <is>
          <t>Matthew</t>
        </is>
      </c>
      <c r="D20" s="41" t="inlineStr">
        <is>
          <t>roth</t>
        </is>
      </c>
      <c r="E20" s="12" t="inlineStr">
        <is>
          <t>roth_ira</t>
        </is>
      </c>
      <c r="F20" s="27" t="n">
        <v>142433.6146766635</v>
      </c>
      <c r="G20" s="27" t="n">
        <v>0</v>
      </c>
      <c r="H20" s="27" t="n">
        <v>0</v>
      </c>
      <c r="I20" s="27" t="n">
        <v>0</v>
      </c>
      <c r="J20" s="27" t="n">
        <v>0</v>
      </c>
      <c r="K20" s="27" t="n">
        <v>0</v>
      </c>
      <c r="L20" s="27" t="n">
        <v>0</v>
      </c>
      <c r="M20" s="27" t="n">
        <v>8546.016880599811</v>
      </c>
      <c r="N20" s="27" t="n">
        <v>150979.6315572633</v>
      </c>
      <c r="O20" s="27" t="n">
        <v>150979.6315572633</v>
      </c>
      <c r="P20" s="27" t="n">
        <v>0</v>
      </c>
      <c r="Q20" s="33" t="inlineStr"/>
    </row>
    <row r="21" ht="30" customHeight="1">
      <c r="A21" s="26" t="n">
        <v>2027</v>
      </c>
      <c r="B21" s="12" t="inlineStr">
        <is>
          <t>Matthew Trust</t>
        </is>
      </c>
      <c r="C21" s="12" t="inlineStr">
        <is>
          <t>Matthew</t>
        </is>
      </c>
      <c r="D21" s="41" t="inlineStr">
        <is>
          <t>taxable</t>
        </is>
      </c>
      <c r="E21" s="12" t="inlineStr">
        <is>
          <t>trust</t>
        </is>
      </c>
      <c r="F21" s="27" t="n">
        <v>155567.7390767829</v>
      </c>
      <c r="G21" s="27" t="n">
        <v>0</v>
      </c>
      <c r="H21" s="27" t="n">
        <v>0</v>
      </c>
      <c r="I21" s="27" t="n">
        <v>0</v>
      </c>
      <c r="J21" s="27" t="n">
        <v>0</v>
      </c>
      <c r="K21" s="27" t="n">
        <v>0</v>
      </c>
      <c r="L21" s="27" t="n">
        <v>121801.2803046803</v>
      </c>
      <c r="M21" s="27" t="n">
        <v>1305.557851532543</v>
      </c>
      <c r="N21" s="27" t="n">
        <v>35072.01662363517</v>
      </c>
      <c r="O21" s="27" t="n">
        <v>35072.01662363516</v>
      </c>
      <c r="P21" s="27" t="n">
        <v>-1.455191522836685e-11</v>
      </c>
      <c r="Q21" s="12" t="inlineStr">
        <is>
          <t>withdrawal</t>
        </is>
      </c>
    </row>
    <row r="22" ht="60" customHeight="1">
      <c r="A22" s="26" t="n">
        <v>2027</v>
      </c>
      <c r="B22" s="12" t="inlineStr">
        <is>
          <t>Patricia IRA</t>
        </is>
      </c>
      <c r="C22" s="12" t="inlineStr">
        <is>
          <t>Patricia</t>
        </is>
      </c>
      <c r="D22" s="41" t="inlineStr">
        <is>
          <t>pre_tax</t>
        </is>
      </c>
      <c r="E22" s="12" t="inlineStr">
        <is>
          <t>traditional_ira</t>
        </is>
      </c>
      <c r="F22" s="27" t="n">
        <v>345846.0533732587</v>
      </c>
      <c r="G22" s="27" t="n">
        <v>0</v>
      </c>
      <c r="H22" s="27" t="n">
        <v>0</v>
      </c>
      <c r="I22" s="27" t="n">
        <v>0</v>
      </c>
      <c r="J22" s="27" t="n">
        <v>0</v>
      </c>
      <c r="K22" s="27" t="n">
        <v>228915.4845178686</v>
      </c>
      <c r="L22" s="27" t="n">
        <v>0.001942593434240941</v>
      </c>
      <c r="M22" s="27" t="n">
        <v>7015.834014767802</v>
      </c>
      <c r="N22" s="27" t="n">
        <v>123946.4009275645</v>
      </c>
      <c r="O22" s="27" t="n">
        <v>123946.4009275645</v>
      </c>
      <c r="P22" s="27" t="n">
        <v>0</v>
      </c>
      <c r="Q22" s="12" t="inlineStr">
        <is>
          <t>Roth conversion; withdrawal</t>
        </is>
      </c>
    </row>
    <row r="23" ht="30" customHeight="1">
      <c r="A23" s="26" t="n">
        <v>2027</v>
      </c>
      <c r="B23" s="12" t="inlineStr">
        <is>
          <t>Patricia Roth</t>
        </is>
      </c>
      <c r="C23" s="12" t="inlineStr">
        <is>
          <t>Patricia</t>
        </is>
      </c>
      <c r="D23" s="41" t="inlineStr">
        <is>
          <t>roth</t>
        </is>
      </c>
      <c r="E23" s="12" t="inlineStr">
        <is>
          <t>roth_ira</t>
        </is>
      </c>
      <c r="F23" s="27" t="n">
        <v>340871.9533756516</v>
      </c>
      <c r="G23" s="27" t="n">
        <v>0</v>
      </c>
      <c r="H23" s="27" t="n">
        <v>0</v>
      </c>
      <c r="I23" s="27" t="n">
        <v>0</v>
      </c>
      <c r="J23" s="27" t="n">
        <v>228915.4845178686</v>
      </c>
      <c r="K23" s="27" t="n">
        <v>0</v>
      </c>
      <c r="L23" s="27" t="n">
        <v>0</v>
      </c>
      <c r="M23" s="27" t="n">
        <v>34187.24627361121</v>
      </c>
      <c r="N23" s="27" t="n">
        <v>603974.6841671314</v>
      </c>
      <c r="O23" s="27" t="n">
        <v>603974.6841671314</v>
      </c>
      <c r="P23" s="27" t="n">
        <v>0</v>
      </c>
      <c r="Q23" s="12" t="inlineStr">
        <is>
          <t>Roth conversion</t>
        </is>
      </c>
    </row>
    <row r="24" ht="30" customHeight="1">
      <c r="A24" s="26" t="n">
        <v>2027</v>
      </c>
      <c r="B24" s="12" t="inlineStr">
        <is>
          <t>Patricia Trust</t>
        </is>
      </c>
      <c r="C24" s="12" t="inlineStr">
        <is>
          <t>Patricia</t>
        </is>
      </c>
      <c r="D24" s="41" t="inlineStr">
        <is>
          <t>taxable</t>
        </is>
      </c>
      <c r="E24" s="12" t="inlineStr">
        <is>
          <t>trust</t>
        </is>
      </c>
      <c r="F24" s="27" t="n">
        <v>249615.8145924133</v>
      </c>
      <c r="G24" s="27" t="n">
        <v>0</v>
      </c>
      <c r="H24" s="27" t="n">
        <v>0</v>
      </c>
      <c r="I24" s="27" t="n">
        <v>0</v>
      </c>
      <c r="J24" s="27" t="n">
        <v>0</v>
      </c>
      <c r="K24" s="27" t="n">
        <v>0</v>
      </c>
      <c r="L24" s="27" t="n">
        <v>195435.9302390163</v>
      </c>
      <c r="M24" s="27" t="n">
        <v>2285.042430848431</v>
      </c>
      <c r="N24" s="27" t="n">
        <v>56464.92678424541</v>
      </c>
      <c r="O24" s="27" t="n">
        <v>56464.9267842454</v>
      </c>
      <c r="P24" s="27" t="n">
        <v>-7.275957614183426e-12</v>
      </c>
      <c r="Q24" s="12" t="inlineStr">
        <is>
          <t>withdrawal</t>
        </is>
      </c>
    </row>
    <row r="25" ht="45" customHeight="1">
      <c r="A25" s="26" t="n">
        <v>2028</v>
      </c>
      <c r="B25" s="12" t="inlineStr">
        <is>
          <t>Business Checking</t>
        </is>
      </c>
      <c r="C25" s="12" t="inlineStr">
        <is>
          <t>Matthew</t>
        </is>
      </c>
      <c r="D25" s="41" t="inlineStr">
        <is>
          <t>cash</t>
        </is>
      </c>
      <c r="E25" s="12" t="inlineStr">
        <is>
          <t>checking</t>
        </is>
      </c>
      <c r="F25" s="27" t="n">
        <v>5000</v>
      </c>
      <c r="G25" s="27" t="n">
        <v>0</v>
      </c>
      <c r="H25" s="27" t="n">
        <v>0</v>
      </c>
      <c r="I25" s="27" t="n">
        <v>0</v>
      </c>
      <c r="J25" s="27" t="n">
        <v>0</v>
      </c>
      <c r="K25" s="27" t="n">
        <v>0</v>
      </c>
      <c r="L25" s="27" t="n">
        <v>0</v>
      </c>
      <c r="M25" s="27" t="n">
        <v>0</v>
      </c>
      <c r="N25" s="27" t="n">
        <v>5000</v>
      </c>
      <c r="O25" s="27" t="n">
        <v>5000</v>
      </c>
      <c r="P25" s="27" t="n">
        <v>0</v>
      </c>
      <c r="Q25" s="33" t="inlineStr"/>
    </row>
    <row r="26" ht="30" customHeight="1">
      <c r="A26" s="26" t="n">
        <v>2028</v>
      </c>
      <c r="B26" s="12" t="inlineStr">
        <is>
          <t>Family Checking</t>
        </is>
      </c>
      <c r="C26" s="12" t="inlineStr">
        <is>
          <t>Matthew</t>
        </is>
      </c>
      <c r="D26" s="41" t="inlineStr">
        <is>
          <t>cash</t>
        </is>
      </c>
      <c r="E26" s="12" t="inlineStr">
        <is>
          <t>checking</t>
        </is>
      </c>
      <c r="F26" s="27" t="n">
        <v>15000</v>
      </c>
      <c r="G26" s="27" t="n">
        <v>0</v>
      </c>
      <c r="H26" s="27" t="n">
        <v>0</v>
      </c>
      <c r="I26" s="27" t="n">
        <v>0</v>
      </c>
      <c r="J26" s="27" t="n">
        <v>0</v>
      </c>
      <c r="K26" s="27" t="n">
        <v>0</v>
      </c>
      <c r="L26" s="27" t="n">
        <v>0</v>
      </c>
      <c r="M26" s="27" t="n">
        <v>0</v>
      </c>
      <c r="N26" s="27" t="n">
        <v>15000</v>
      </c>
      <c r="O26" s="27" t="n">
        <v>15000</v>
      </c>
      <c r="P26" s="27" t="n">
        <v>0</v>
      </c>
      <c r="Q26" s="33" t="inlineStr"/>
    </row>
    <row r="27" ht="30" customHeight="1">
      <c r="A27" s="26" t="n">
        <v>2028</v>
      </c>
      <c r="B27" s="12" t="inlineStr">
        <is>
          <t>Matthew HSA</t>
        </is>
      </c>
      <c r="C27" s="12" t="inlineStr">
        <is>
          <t>Matthew</t>
        </is>
      </c>
      <c r="D27" s="41" t="inlineStr">
        <is>
          <t>hsa</t>
        </is>
      </c>
      <c r="E27" s="12" t="inlineStr">
        <is>
          <t>hsa</t>
        </is>
      </c>
      <c r="F27" s="27" t="n">
        <v>82767.42158139746</v>
      </c>
      <c r="G27" s="27" t="n">
        <v>0</v>
      </c>
      <c r="H27" s="27" t="n">
        <v>0</v>
      </c>
      <c r="I27" s="27" t="n">
        <v>0</v>
      </c>
      <c r="J27" s="27" t="n">
        <v>0</v>
      </c>
      <c r="K27" s="27" t="n">
        <v>0</v>
      </c>
      <c r="L27" s="27" t="n">
        <v>0</v>
      </c>
      <c r="M27" s="27" t="n">
        <v>4966.045294883847</v>
      </c>
      <c r="N27" s="27" t="n">
        <v>87733.46687628131</v>
      </c>
      <c r="O27" s="27" t="n">
        <v>87733.46687628131</v>
      </c>
      <c r="P27" s="27" t="n">
        <v>0</v>
      </c>
      <c r="Q27" s="33" t="inlineStr"/>
    </row>
    <row r="28" ht="30" customHeight="1">
      <c r="A28" s="26" t="n">
        <v>2028</v>
      </c>
      <c r="B28" s="12" t="inlineStr">
        <is>
          <t>Matthew 401k</t>
        </is>
      </c>
      <c r="C28" s="12" t="inlineStr">
        <is>
          <t>Matthew</t>
        </is>
      </c>
      <c r="D28" s="41" t="inlineStr">
        <is>
          <t>pre_tax</t>
        </is>
      </c>
      <c r="E28" s="12" t="inlineStr">
        <is>
          <t>401k</t>
        </is>
      </c>
      <c r="F28" s="27" t="n">
        <v>29292.27863806845</v>
      </c>
      <c r="G28" s="27" t="n">
        <v>0</v>
      </c>
      <c r="H28" s="27" t="n">
        <v>0</v>
      </c>
      <c r="I28" s="27" t="n">
        <v>0</v>
      </c>
      <c r="J28" s="27" t="n">
        <v>0</v>
      </c>
      <c r="K28" s="27" t="n">
        <v>29292.27863806845</v>
      </c>
      <c r="L28" s="27" t="n">
        <v>0</v>
      </c>
      <c r="M28" s="27" t="n">
        <v>0</v>
      </c>
      <c r="N28" s="27" t="n">
        <v>0</v>
      </c>
      <c r="O28" s="27" t="n">
        <v>0</v>
      </c>
      <c r="P28" s="27" t="n">
        <v>0</v>
      </c>
      <c r="Q28" s="12" t="inlineStr">
        <is>
          <t>Roth conversion</t>
        </is>
      </c>
    </row>
    <row r="29" ht="60" customHeight="1">
      <c r="A29" s="26" t="n">
        <v>2028</v>
      </c>
      <c r="B29" s="12" t="inlineStr">
        <is>
          <t>Matthew IRA</t>
        </is>
      </c>
      <c r="C29" s="12" t="inlineStr">
        <is>
          <t>Matthew</t>
        </is>
      </c>
      <c r="D29" s="41" t="inlineStr">
        <is>
          <t>pre_tax</t>
        </is>
      </c>
      <c r="E29" s="12" t="inlineStr">
        <is>
          <t>traditional_ira</t>
        </is>
      </c>
      <c r="F29" s="27" t="n">
        <v>1453591.54049594</v>
      </c>
      <c r="G29" s="27" t="n">
        <v>0</v>
      </c>
      <c r="H29" s="27" t="n">
        <v>0</v>
      </c>
      <c r="I29" s="27" t="n">
        <v>0</v>
      </c>
      <c r="J29" s="27" t="n">
        <v>0</v>
      </c>
      <c r="K29" s="27" t="n">
        <v>64260.30731689837</v>
      </c>
      <c r="L29" s="27" t="n">
        <v>225625.5662517284</v>
      </c>
      <c r="M29" s="27" t="n">
        <v>69822.34001563878</v>
      </c>
      <c r="N29" s="27" t="n">
        <v>1233528.006942952</v>
      </c>
      <c r="O29" s="27" t="n">
        <v>1233528.006942952</v>
      </c>
      <c r="P29" s="27" t="n">
        <v>0</v>
      </c>
      <c r="Q29" s="12" t="inlineStr">
        <is>
          <t>Roth conversion; withdrawal</t>
        </is>
      </c>
    </row>
    <row r="30" ht="30" customHeight="1">
      <c r="A30" s="26" t="n">
        <v>2028</v>
      </c>
      <c r="B30" s="12" t="inlineStr">
        <is>
          <t>Matthew Roth</t>
        </is>
      </c>
      <c r="C30" s="12" t="inlineStr">
        <is>
          <t>Matthew</t>
        </is>
      </c>
      <c r="D30" s="41" t="inlineStr">
        <is>
          <t>roth</t>
        </is>
      </c>
      <c r="E30" s="12" t="inlineStr">
        <is>
          <t>roth_ira</t>
        </is>
      </c>
      <c r="F30" s="27" t="n">
        <v>150979.6315572633</v>
      </c>
      <c r="G30" s="27" t="n">
        <v>0</v>
      </c>
      <c r="H30" s="27" t="n">
        <v>0</v>
      </c>
      <c r="I30" s="27" t="n">
        <v>0</v>
      </c>
      <c r="J30" s="27" t="n">
        <v>93552.58595496682</v>
      </c>
      <c r="K30" s="27" t="n">
        <v>0</v>
      </c>
      <c r="L30" s="27" t="n">
        <v>0</v>
      </c>
      <c r="M30" s="27" t="n">
        <v>14671.93305073381</v>
      </c>
      <c r="N30" s="27" t="n">
        <v>259204.150562964</v>
      </c>
      <c r="O30" s="27" t="n">
        <v>259204.150562964</v>
      </c>
      <c r="P30" s="27" t="n">
        <v>0</v>
      </c>
      <c r="Q30" s="12" t="inlineStr">
        <is>
          <t>Roth conversion</t>
        </is>
      </c>
    </row>
    <row r="31" ht="30" customHeight="1">
      <c r="A31" s="26" t="n">
        <v>2028</v>
      </c>
      <c r="B31" s="12" t="inlineStr">
        <is>
          <t>Matthew Trust</t>
        </is>
      </c>
      <c r="C31" s="12" t="inlineStr">
        <is>
          <t>Matthew</t>
        </is>
      </c>
      <c r="D31" s="41" t="inlineStr">
        <is>
          <t>taxable</t>
        </is>
      </c>
      <c r="E31" s="12" t="inlineStr">
        <is>
          <t>trust</t>
        </is>
      </c>
      <c r="F31" s="27" t="n">
        <v>35072.01662363516</v>
      </c>
      <c r="G31" s="27" t="n">
        <v>0</v>
      </c>
      <c r="H31" s="27" t="n">
        <v>0</v>
      </c>
      <c r="I31" s="27" t="n">
        <v>0</v>
      </c>
      <c r="J31" s="27" t="n">
        <v>0</v>
      </c>
      <c r="K31" s="27" t="n">
        <v>0</v>
      </c>
      <c r="L31" s="27" t="n">
        <v>35072.01662363516</v>
      </c>
      <c r="M31" s="27" t="n">
        <v>0</v>
      </c>
      <c r="N31" s="27" t="n">
        <v>0</v>
      </c>
      <c r="O31" s="27" t="n">
        <v>0</v>
      </c>
      <c r="P31" s="27" t="n">
        <v>0</v>
      </c>
      <c r="Q31" s="12" t="inlineStr">
        <is>
          <t>withdrawal</t>
        </is>
      </c>
    </row>
    <row r="32" ht="30" customHeight="1">
      <c r="A32" s="26" t="n">
        <v>2028</v>
      </c>
      <c r="B32" s="12" t="inlineStr">
        <is>
          <t>Patricia IRA</t>
        </is>
      </c>
      <c r="C32" s="12" t="inlineStr">
        <is>
          <t>Patricia</t>
        </is>
      </c>
      <c r="D32" s="41" t="inlineStr">
        <is>
          <t>pre_tax</t>
        </is>
      </c>
      <c r="E32" s="12" t="inlineStr">
        <is>
          <t>traditional_ira</t>
        </is>
      </c>
      <c r="F32" s="27" t="n">
        <v>123946.4009275645</v>
      </c>
      <c r="G32" s="27" t="n">
        <v>0</v>
      </c>
      <c r="H32" s="27" t="n">
        <v>0</v>
      </c>
      <c r="I32" s="27" t="n">
        <v>0</v>
      </c>
      <c r="J32" s="27" t="n">
        <v>0</v>
      </c>
      <c r="K32" s="27" t="n">
        <v>123946.4009275645</v>
      </c>
      <c r="L32" s="27" t="n">
        <v>0</v>
      </c>
      <c r="M32" s="27" t="n">
        <v>0</v>
      </c>
      <c r="N32" s="27" t="n">
        <v>0</v>
      </c>
      <c r="O32" s="27" t="n">
        <v>0</v>
      </c>
      <c r="P32" s="27" t="n">
        <v>0</v>
      </c>
      <c r="Q32" s="12" t="inlineStr">
        <is>
          <t>Roth conversion</t>
        </is>
      </c>
    </row>
    <row r="33" ht="30" customHeight="1">
      <c r="A33" s="26" t="n">
        <v>2028</v>
      </c>
      <c r="B33" s="12" t="inlineStr">
        <is>
          <t>Patricia Roth</t>
        </is>
      </c>
      <c r="C33" s="12" t="inlineStr">
        <is>
          <t>Patricia</t>
        </is>
      </c>
      <c r="D33" s="41" t="inlineStr">
        <is>
          <t>roth</t>
        </is>
      </c>
      <c r="E33" s="12" t="inlineStr">
        <is>
          <t>roth_ira</t>
        </is>
      </c>
      <c r="F33" s="27" t="n">
        <v>603974.6841671314</v>
      </c>
      <c r="G33" s="27" t="n">
        <v>0</v>
      </c>
      <c r="H33" s="27" t="n">
        <v>0</v>
      </c>
      <c r="I33" s="27" t="n">
        <v>0</v>
      </c>
      <c r="J33" s="27" t="n">
        <v>123946.4009275645</v>
      </c>
      <c r="K33" s="27" t="n">
        <v>0</v>
      </c>
      <c r="L33" s="27" t="n">
        <v>0</v>
      </c>
      <c r="M33" s="27" t="n">
        <v>43675.26510568176</v>
      </c>
      <c r="N33" s="27" t="n">
        <v>771596.3502003776</v>
      </c>
      <c r="O33" s="27" t="n">
        <v>771596.3502003776</v>
      </c>
      <c r="P33" s="27" t="n">
        <v>0</v>
      </c>
      <c r="Q33" s="12" t="inlineStr">
        <is>
          <t>Roth conversion</t>
        </is>
      </c>
    </row>
    <row r="34" ht="30" customHeight="1">
      <c r="A34" s="26" t="n">
        <v>2028</v>
      </c>
      <c r="B34" s="12" t="inlineStr">
        <is>
          <t>Patricia Trust</t>
        </is>
      </c>
      <c r="C34" s="12" t="inlineStr">
        <is>
          <t>Patricia</t>
        </is>
      </c>
      <c r="D34" s="41" t="inlineStr">
        <is>
          <t>taxable</t>
        </is>
      </c>
      <c r="E34" s="12" t="inlineStr">
        <is>
          <t>trust</t>
        </is>
      </c>
      <c r="F34" s="27" t="n">
        <v>56464.9267842454</v>
      </c>
      <c r="G34" s="27" t="n">
        <v>0</v>
      </c>
      <c r="H34" s="27" t="n">
        <v>0</v>
      </c>
      <c r="I34" s="27" t="n">
        <v>0</v>
      </c>
      <c r="J34" s="27" t="n">
        <v>0</v>
      </c>
      <c r="K34" s="27" t="n">
        <v>0</v>
      </c>
      <c r="L34" s="27" t="n">
        <v>56464.9267842454</v>
      </c>
      <c r="M34" s="27" t="n">
        <v>0</v>
      </c>
      <c r="N34" s="27" t="n">
        <v>0</v>
      </c>
      <c r="O34" s="27" t="n">
        <v>0</v>
      </c>
      <c r="P34" s="27" t="n">
        <v>0</v>
      </c>
      <c r="Q34" s="12" t="inlineStr">
        <is>
          <t>withdrawal</t>
        </is>
      </c>
    </row>
    <row r="35" ht="45" customHeight="1">
      <c r="A35" s="26" t="n">
        <v>2029</v>
      </c>
      <c r="B35" s="12" t="inlineStr">
        <is>
          <t>Business Checking</t>
        </is>
      </c>
      <c r="C35" s="12" t="inlineStr">
        <is>
          <t>Matthew</t>
        </is>
      </c>
      <c r="D35" s="41" t="inlineStr">
        <is>
          <t>cash</t>
        </is>
      </c>
      <c r="E35" s="12" t="inlineStr">
        <is>
          <t>checking</t>
        </is>
      </c>
      <c r="F35" s="27" t="n">
        <v>5000</v>
      </c>
      <c r="G35" s="27" t="n">
        <v>0</v>
      </c>
      <c r="H35" s="27" t="n">
        <v>0</v>
      </c>
      <c r="I35" s="27" t="n">
        <v>0</v>
      </c>
      <c r="J35" s="27" t="n">
        <v>0</v>
      </c>
      <c r="K35" s="27" t="n">
        <v>0</v>
      </c>
      <c r="L35" s="27" t="n">
        <v>0</v>
      </c>
      <c r="M35" s="27" t="n">
        <v>0</v>
      </c>
      <c r="N35" s="27" t="n">
        <v>5000</v>
      </c>
      <c r="O35" s="27" t="n">
        <v>5000</v>
      </c>
      <c r="P35" s="27" t="n">
        <v>0</v>
      </c>
      <c r="Q35" s="33" t="inlineStr"/>
    </row>
    <row r="36" ht="30" customHeight="1">
      <c r="A36" s="26" t="n">
        <v>2029</v>
      </c>
      <c r="B36" s="12" t="inlineStr">
        <is>
          <t>Family Checking</t>
        </is>
      </c>
      <c r="C36" s="12" t="inlineStr">
        <is>
          <t>Matthew</t>
        </is>
      </c>
      <c r="D36" s="41" t="inlineStr">
        <is>
          <t>cash</t>
        </is>
      </c>
      <c r="E36" s="12" t="inlineStr">
        <is>
          <t>checking</t>
        </is>
      </c>
      <c r="F36" s="27" t="n">
        <v>15000</v>
      </c>
      <c r="G36" s="27" t="n">
        <v>0</v>
      </c>
      <c r="H36" s="27" t="n">
        <v>0</v>
      </c>
      <c r="I36" s="27" t="n">
        <v>0</v>
      </c>
      <c r="J36" s="27" t="n">
        <v>0</v>
      </c>
      <c r="K36" s="27" t="n">
        <v>0</v>
      </c>
      <c r="L36" s="27" t="n">
        <v>0</v>
      </c>
      <c r="M36" s="27" t="n">
        <v>0</v>
      </c>
      <c r="N36" s="27" t="n">
        <v>15000</v>
      </c>
      <c r="O36" s="27" t="n">
        <v>15000</v>
      </c>
      <c r="P36" s="27" t="n">
        <v>0</v>
      </c>
      <c r="Q36" s="33" t="inlineStr"/>
    </row>
    <row r="37" ht="30" customHeight="1">
      <c r="A37" s="26" t="n">
        <v>2029</v>
      </c>
      <c r="B37" s="12" t="inlineStr">
        <is>
          <t>Matthew HSA</t>
        </is>
      </c>
      <c r="C37" s="12" t="inlineStr">
        <is>
          <t>Matthew</t>
        </is>
      </c>
      <c r="D37" s="41" t="inlineStr">
        <is>
          <t>hsa</t>
        </is>
      </c>
      <c r="E37" s="12" t="inlineStr">
        <is>
          <t>hsa</t>
        </is>
      </c>
      <c r="F37" s="27" t="n">
        <v>87733.46687628131</v>
      </c>
      <c r="G37" s="27" t="n">
        <v>0</v>
      </c>
      <c r="H37" s="27" t="n">
        <v>0</v>
      </c>
      <c r="I37" s="27" t="n">
        <v>0</v>
      </c>
      <c r="J37" s="27" t="n">
        <v>0</v>
      </c>
      <c r="K37" s="27" t="n">
        <v>0</v>
      </c>
      <c r="L37" s="27" t="n">
        <v>0</v>
      </c>
      <c r="M37" s="27" t="n">
        <v>5264.008012576878</v>
      </c>
      <c r="N37" s="27" t="n">
        <v>92997.47488885818</v>
      </c>
      <c r="O37" s="27" t="n">
        <v>92997.47488885818</v>
      </c>
      <c r="P37" s="27" t="n">
        <v>0</v>
      </c>
      <c r="Q37" s="33" t="inlineStr"/>
    </row>
    <row r="38" ht="30" customHeight="1">
      <c r="A38" s="26" t="n">
        <v>2029</v>
      </c>
      <c r="B38" s="12" t="inlineStr">
        <is>
          <t>Matthew 401k</t>
        </is>
      </c>
      <c r="C38" s="12" t="inlineStr">
        <is>
          <t>Matthew</t>
        </is>
      </c>
      <c r="D38" s="41" t="inlineStr">
        <is>
          <t>pre_tax</t>
        </is>
      </c>
      <c r="E38" s="12" t="inlineStr">
        <is>
          <t>401k</t>
        </is>
      </c>
      <c r="F38" s="27" t="n">
        <v>0</v>
      </c>
      <c r="G38" s="27" t="n">
        <v>0</v>
      </c>
      <c r="H38" s="27" t="n">
        <v>0</v>
      </c>
      <c r="I38" s="27" t="n">
        <v>0</v>
      </c>
      <c r="J38" s="27" t="n">
        <v>0</v>
      </c>
      <c r="K38" s="27" t="n">
        <v>0</v>
      </c>
      <c r="L38" s="27" t="n">
        <v>0</v>
      </c>
      <c r="M38" s="27" t="n">
        <v>0</v>
      </c>
      <c r="N38" s="27" t="n">
        <v>0</v>
      </c>
      <c r="O38" s="27" t="n">
        <v>0</v>
      </c>
      <c r="P38" s="27" t="n">
        <v>0</v>
      </c>
      <c r="Q38" s="33" t="inlineStr"/>
    </row>
    <row r="39" ht="60" customHeight="1">
      <c r="A39" s="26" t="n">
        <v>2029</v>
      </c>
      <c r="B39" s="12" t="inlineStr">
        <is>
          <t>Matthew IRA</t>
        </is>
      </c>
      <c r="C39" s="12" t="inlineStr">
        <is>
          <t>Matthew</t>
        </is>
      </c>
      <c r="D39" s="41" t="inlineStr">
        <is>
          <t>pre_tax</t>
        </is>
      </c>
      <c r="E39" s="12" t="inlineStr">
        <is>
          <t>traditional_ira</t>
        </is>
      </c>
      <c r="F39" s="27" t="n">
        <v>1233528.006942952</v>
      </c>
      <c r="G39" s="27" t="n">
        <v>0</v>
      </c>
      <c r="H39" s="27" t="n">
        <v>0</v>
      </c>
      <c r="I39" s="27" t="n">
        <v>0</v>
      </c>
      <c r="J39" s="27" t="n">
        <v>0</v>
      </c>
      <c r="K39" s="27" t="n">
        <v>145660.6749970365</v>
      </c>
      <c r="L39" s="27" t="n">
        <v>174387.840226602</v>
      </c>
      <c r="M39" s="27" t="n">
        <v>54808.76950315879</v>
      </c>
      <c r="N39" s="27" t="n">
        <v>968288.2612224719</v>
      </c>
      <c r="O39" s="27" t="n">
        <v>968288.2612224719</v>
      </c>
      <c r="P39" s="27" t="n">
        <v>0</v>
      </c>
      <c r="Q39" s="12" t="inlineStr">
        <is>
          <t>Roth conversion; withdrawal</t>
        </is>
      </c>
    </row>
    <row r="40" ht="30" customHeight="1">
      <c r="A40" s="26" t="n">
        <v>2029</v>
      </c>
      <c r="B40" s="12" t="inlineStr">
        <is>
          <t>Matthew Roth</t>
        </is>
      </c>
      <c r="C40" s="12" t="inlineStr">
        <is>
          <t>Matthew</t>
        </is>
      </c>
      <c r="D40" s="41" t="inlineStr">
        <is>
          <t>roth</t>
        </is>
      </c>
      <c r="E40" s="12" t="inlineStr">
        <is>
          <t>roth_ira</t>
        </is>
      </c>
      <c r="F40" s="27" t="n">
        <v>259204.150562964</v>
      </c>
      <c r="G40" s="27" t="n">
        <v>0</v>
      </c>
      <c r="H40" s="27" t="n">
        <v>0</v>
      </c>
      <c r="I40" s="27" t="n">
        <v>0</v>
      </c>
      <c r="J40" s="27" t="n">
        <v>145660.6749970365</v>
      </c>
      <c r="K40" s="27" t="n">
        <v>0</v>
      </c>
      <c r="L40" s="27" t="n">
        <v>0</v>
      </c>
      <c r="M40" s="27" t="n">
        <v>24291.88953360002</v>
      </c>
      <c r="N40" s="27" t="n">
        <v>429156.7150936004</v>
      </c>
      <c r="O40" s="27" t="n">
        <v>429156.7150936004</v>
      </c>
      <c r="P40" s="27" t="n">
        <v>0</v>
      </c>
      <c r="Q40" s="12" t="inlineStr">
        <is>
          <t>Roth conversion</t>
        </is>
      </c>
    </row>
    <row r="41" ht="30" customHeight="1">
      <c r="A41" s="26" t="n">
        <v>2029</v>
      </c>
      <c r="B41" s="12" t="inlineStr">
        <is>
          <t>Matthew Trust</t>
        </is>
      </c>
      <c r="C41" s="12" t="inlineStr">
        <is>
          <t>Matthew</t>
        </is>
      </c>
      <c r="D41" s="41" t="inlineStr">
        <is>
          <t>taxable</t>
        </is>
      </c>
      <c r="E41" s="12" t="inlineStr">
        <is>
          <t>trust</t>
        </is>
      </c>
      <c r="F41" s="27" t="n">
        <v>0</v>
      </c>
      <c r="G41" s="27" t="n">
        <v>0</v>
      </c>
      <c r="H41" s="27" t="n">
        <v>0</v>
      </c>
      <c r="I41" s="27" t="n">
        <v>0</v>
      </c>
      <c r="J41" s="27" t="n">
        <v>0</v>
      </c>
      <c r="K41" s="27" t="n">
        <v>0</v>
      </c>
      <c r="L41" s="27" t="n">
        <v>0</v>
      </c>
      <c r="M41" s="27" t="n">
        <v>0</v>
      </c>
      <c r="N41" s="27" t="n">
        <v>0</v>
      </c>
      <c r="O41" s="27" t="n">
        <v>0</v>
      </c>
      <c r="P41" s="27" t="n">
        <v>0</v>
      </c>
      <c r="Q41" s="33" t="inlineStr"/>
    </row>
    <row r="42" ht="30" customHeight="1">
      <c r="A42" s="26" t="n">
        <v>2029</v>
      </c>
      <c r="B42" s="12" t="inlineStr">
        <is>
          <t>Patricia IRA</t>
        </is>
      </c>
      <c r="C42" s="12" t="inlineStr">
        <is>
          <t>Patricia</t>
        </is>
      </c>
      <c r="D42" s="41" t="inlineStr">
        <is>
          <t>pre_tax</t>
        </is>
      </c>
      <c r="E42" s="12" t="inlineStr">
        <is>
          <t>traditional_ira</t>
        </is>
      </c>
      <c r="F42" s="27" t="n">
        <v>0</v>
      </c>
      <c r="G42" s="27" t="n">
        <v>0</v>
      </c>
      <c r="H42" s="27" t="n">
        <v>0</v>
      </c>
      <c r="I42" s="27" t="n">
        <v>0</v>
      </c>
      <c r="J42" s="27" t="n">
        <v>0</v>
      </c>
      <c r="K42" s="27" t="n">
        <v>0</v>
      </c>
      <c r="L42" s="27" t="n">
        <v>0</v>
      </c>
      <c r="M42" s="27" t="n">
        <v>0</v>
      </c>
      <c r="N42" s="27" t="n">
        <v>0</v>
      </c>
      <c r="O42" s="27" t="n">
        <v>0</v>
      </c>
      <c r="P42" s="27" t="n">
        <v>0</v>
      </c>
      <c r="Q42" s="33" t="inlineStr"/>
    </row>
    <row r="43" ht="30" customHeight="1">
      <c r="A43" s="26" t="n">
        <v>2029</v>
      </c>
      <c r="B43" s="12" t="inlineStr">
        <is>
          <t>Patricia Roth</t>
        </is>
      </c>
      <c r="C43" s="12" t="inlineStr">
        <is>
          <t>Patricia</t>
        </is>
      </c>
      <c r="D43" s="41" t="inlineStr">
        <is>
          <t>roth</t>
        </is>
      </c>
      <c r="E43" s="12" t="inlineStr">
        <is>
          <t>roth_ira</t>
        </is>
      </c>
      <c r="F43" s="27" t="n">
        <v>771596.3502003776</v>
      </c>
      <c r="G43" s="27" t="n">
        <v>0</v>
      </c>
      <c r="H43" s="27" t="n">
        <v>0</v>
      </c>
      <c r="I43" s="27" t="n">
        <v>0</v>
      </c>
      <c r="J43" s="27" t="n">
        <v>0</v>
      </c>
      <c r="K43" s="27" t="n">
        <v>0</v>
      </c>
      <c r="L43" s="27" t="n">
        <v>0</v>
      </c>
      <c r="M43" s="27" t="n">
        <v>46295.78101202266</v>
      </c>
      <c r="N43" s="27" t="n">
        <v>817892.1312124003</v>
      </c>
      <c r="O43" s="27" t="n">
        <v>817892.1312124003</v>
      </c>
      <c r="P43" s="27" t="n">
        <v>0</v>
      </c>
      <c r="Q43" s="33" t="inlineStr"/>
    </row>
    <row r="44" ht="30" customHeight="1">
      <c r="A44" s="26" t="n">
        <v>2029</v>
      </c>
      <c r="B44" s="12" t="inlineStr">
        <is>
          <t>Patricia Trust</t>
        </is>
      </c>
      <c r="C44" s="12" t="inlineStr">
        <is>
          <t>Patricia</t>
        </is>
      </c>
      <c r="D44" s="41" t="inlineStr">
        <is>
          <t>taxable</t>
        </is>
      </c>
      <c r="E44" s="12" t="inlineStr">
        <is>
          <t>trust</t>
        </is>
      </c>
      <c r="F44" s="27" t="n">
        <v>0</v>
      </c>
      <c r="G44" s="27" t="n">
        <v>0</v>
      </c>
      <c r="H44" s="27" t="n">
        <v>0</v>
      </c>
      <c r="I44" s="27" t="n">
        <v>0</v>
      </c>
      <c r="J44" s="27" t="n">
        <v>0</v>
      </c>
      <c r="K44" s="27" t="n">
        <v>0</v>
      </c>
      <c r="L44" s="27" t="n">
        <v>0</v>
      </c>
      <c r="M44" s="27" t="n">
        <v>0</v>
      </c>
      <c r="N44" s="27" t="n">
        <v>0</v>
      </c>
      <c r="O44" s="27" t="n">
        <v>0</v>
      </c>
      <c r="P44" s="27" t="n">
        <v>0</v>
      </c>
      <c r="Q44" s="33" t="inlineStr"/>
    </row>
    <row r="45" ht="45" customHeight="1">
      <c r="A45" s="26" t="n">
        <v>2030</v>
      </c>
      <c r="B45" s="12" t="inlineStr">
        <is>
          <t>Business Checking</t>
        </is>
      </c>
      <c r="C45" s="12" t="inlineStr">
        <is>
          <t>Matthew</t>
        </is>
      </c>
      <c r="D45" s="41" t="inlineStr">
        <is>
          <t>cash</t>
        </is>
      </c>
      <c r="E45" s="12" t="inlineStr">
        <is>
          <t>checking</t>
        </is>
      </c>
      <c r="F45" s="27" t="n">
        <v>5000</v>
      </c>
      <c r="G45" s="27" t="n">
        <v>0</v>
      </c>
      <c r="H45" s="27" t="n">
        <v>0</v>
      </c>
      <c r="I45" s="27" t="n">
        <v>0</v>
      </c>
      <c r="J45" s="27" t="n">
        <v>0</v>
      </c>
      <c r="K45" s="27" t="n">
        <v>0</v>
      </c>
      <c r="L45" s="27" t="n">
        <v>0</v>
      </c>
      <c r="M45" s="27" t="n">
        <v>0</v>
      </c>
      <c r="N45" s="27" t="n">
        <v>5000</v>
      </c>
      <c r="O45" s="27" t="n">
        <v>5000</v>
      </c>
      <c r="P45" s="27" t="n">
        <v>0</v>
      </c>
      <c r="Q45" s="33" t="inlineStr"/>
    </row>
    <row r="46" ht="30" customHeight="1">
      <c r="A46" s="26" t="n">
        <v>2030</v>
      </c>
      <c r="B46" s="12" t="inlineStr">
        <is>
          <t>Family Checking</t>
        </is>
      </c>
      <c r="C46" s="12" t="inlineStr">
        <is>
          <t>Matthew</t>
        </is>
      </c>
      <c r="D46" s="41" t="inlineStr">
        <is>
          <t>cash</t>
        </is>
      </c>
      <c r="E46" s="12" t="inlineStr">
        <is>
          <t>checking</t>
        </is>
      </c>
      <c r="F46" s="27" t="n">
        <v>15000</v>
      </c>
      <c r="G46" s="27" t="n">
        <v>0</v>
      </c>
      <c r="H46" s="27" t="n">
        <v>0</v>
      </c>
      <c r="I46" s="27" t="n">
        <v>0</v>
      </c>
      <c r="J46" s="27" t="n">
        <v>0</v>
      </c>
      <c r="K46" s="27" t="n">
        <v>0</v>
      </c>
      <c r="L46" s="27" t="n">
        <v>0</v>
      </c>
      <c r="M46" s="27" t="n">
        <v>0</v>
      </c>
      <c r="N46" s="27" t="n">
        <v>15000</v>
      </c>
      <c r="O46" s="27" t="n">
        <v>15000</v>
      </c>
      <c r="P46" s="27" t="n">
        <v>0</v>
      </c>
      <c r="Q46" s="33" t="inlineStr"/>
    </row>
    <row r="47" ht="30" customHeight="1">
      <c r="A47" s="26" t="n">
        <v>2030</v>
      </c>
      <c r="B47" s="12" t="inlineStr">
        <is>
          <t>Matthew HSA</t>
        </is>
      </c>
      <c r="C47" s="12" t="inlineStr">
        <is>
          <t>Matthew</t>
        </is>
      </c>
      <c r="D47" s="41" t="inlineStr">
        <is>
          <t>hsa</t>
        </is>
      </c>
      <c r="E47" s="12" t="inlineStr">
        <is>
          <t>hsa</t>
        </is>
      </c>
      <c r="F47" s="27" t="n">
        <v>92997.47488885818</v>
      </c>
      <c r="G47" s="27" t="n">
        <v>0</v>
      </c>
      <c r="H47" s="27" t="n">
        <v>0</v>
      </c>
      <c r="I47" s="27" t="n">
        <v>0</v>
      </c>
      <c r="J47" s="27" t="n">
        <v>0</v>
      </c>
      <c r="K47" s="27" t="n">
        <v>0</v>
      </c>
      <c r="L47" s="27" t="n">
        <v>0</v>
      </c>
      <c r="M47" s="27" t="n">
        <v>5579.84849333149</v>
      </c>
      <c r="N47" s="27" t="n">
        <v>98577.32338218967</v>
      </c>
      <c r="O47" s="27" t="n">
        <v>98577.32338218967</v>
      </c>
      <c r="P47" s="27" t="n">
        <v>0</v>
      </c>
      <c r="Q47" s="33" t="inlineStr"/>
    </row>
    <row r="48" ht="30" customHeight="1">
      <c r="A48" s="26" t="n">
        <v>2030</v>
      </c>
      <c r="B48" s="12" t="inlineStr">
        <is>
          <t>Matthew 401k</t>
        </is>
      </c>
      <c r="C48" s="12" t="inlineStr">
        <is>
          <t>Matthew</t>
        </is>
      </c>
      <c r="D48" s="41" t="inlineStr">
        <is>
          <t>pre_tax</t>
        </is>
      </c>
      <c r="E48" s="12" t="inlineStr">
        <is>
          <t>401k</t>
        </is>
      </c>
      <c r="F48" s="27" t="n">
        <v>0</v>
      </c>
      <c r="G48" s="27" t="n">
        <v>0</v>
      </c>
      <c r="H48" s="27" t="n">
        <v>0</v>
      </c>
      <c r="I48" s="27" t="n">
        <v>0</v>
      </c>
      <c r="J48" s="27" t="n">
        <v>0</v>
      </c>
      <c r="K48" s="27" t="n">
        <v>0</v>
      </c>
      <c r="L48" s="27" t="n">
        <v>0</v>
      </c>
      <c r="M48" s="27" t="n">
        <v>0</v>
      </c>
      <c r="N48" s="27" t="n">
        <v>0</v>
      </c>
      <c r="O48" s="27" t="n">
        <v>0</v>
      </c>
      <c r="P48" s="27" t="n">
        <v>0</v>
      </c>
      <c r="Q48" s="33" t="inlineStr"/>
    </row>
    <row r="49" ht="60" customHeight="1">
      <c r="A49" s="26" t="n">
        <v>2030</v>
      </c>
      <c r="B49" s="12" t="inlineStr">
        <is>
          <t>Matthew IRA</t>
        </is>
      </c>
      <c r="C49" s="12" t="inlineStr">
        <is>
          <t>Matthew</t>
        </is>
      </c>
      <c r="D49" s="41" t="inlineStr">
        <is>
          <t>pre_tax</t>
        </is>
      </c>
      <c r="E49" s="12" t="inlineStr">
        <is>
          <t>traditional_ira</t>
        </is>
      </c>
      <c r="F49" s="27" t="n">
        <v>968288.2612224719</v>
      </c>
      <c r="G49" s="27" t="n">
        <v>0</v>
      </c>
      <c r="H49" s="27" t="n">
        <v>0</v>
      </c>
      <c r="I49" s="27" t="n">
        <v>0</v>
      </c>
      <c r="J49" s="27" t="n">
        <v>0</v>
      </c>
      <c r="K49" s="27" t="n">
        <v>155297.4833840013</v>
      </c>
      <c r="L49" s="27" t="n">
        <v>105517.6818934454</v>
      </c>
      <c r="M49" s="27" t="n">
        <v>42448.38575670151</v>
      </c>
      <c r="N49" s="27" t="n">
        <v>749921.4817017267</v>
      </c>
      <c r="O49" s="27" t="n">
        <v>749921.4817017267</v>
      </c>
      <c r="P49" s="27" t="n">
        <v>0</v>
      </c>
      <c r="Q49" s="12" t="inlineStr">
        <is>
          <t>Roth conversion; withdrawal</t>
        </is>
      </c>
    </row>
    <row r="50" ht="30" customHeight="1">
      <c r="A50" s="26" t="n">
        <v>2030</v>
      </c>
      <c r="B50" s="12" t="inlineStr">
        <is>
          <t>Matthew Roth</t>
        </is>
      </c>
      <c r="C50" s="12" t="inlineStr">
        <is>
          <t>Matthew</t>
        </is>
      </c>
      <c r="D50" s="41" t="inlineStr">
        <is>
          <t>roth</t>
        </is>
      </c>
      <c r="E50" s="12" t="inlineStr">
        <is>
          <t>roth_ira</t>
        </is>
      </c>
      <c r="F50" s="27" t="n">
        <v>429156.7150936004</v>
      </c>
      <c r="G50" s="27" t="n">
        <v>0</v>
      </c>
      <c r="H50" s="27" t="n">
        <v>0</v>
      </c>
      <c r="I50" s="27" t="n">
        <v>0</v>
      </c>
      <c r="J50" s="27" t="n">
        <v>155297.4833840013</v>
      </c>
      <c r="K50" s="27" t="n">
        <v>0</v>
      </c>
      <c r="L50" s="27" t="n">
        <v>0</v>
      </c>
      <c r="M50" s="27" t="n">
        <v>35067.2519086561</v>
      </c>
      <c r="N50" s="27" t="n">
        <v>619521.4503862578</v>
      </c>
      <c r="O50" s="27" t="n">
        <v>619521.4503862578</v>
      </c>
      <c r="P50" s="27" t="n">
        <v>0</v>
      </c>
      <c r="Q50" s="12" t="inlineStr">
        <is>
          <t>Roth conversion</t>
        </is>
      </c>
    </row>
    <row r="51" ht="45" customHeight="1">
      <c r="A51" s="26" t="n">
        <v>2030</v>
      </c>
      <c r="B51" s="12" t="inlineStr">
        <is>
          <t>Matthew Trust</t>
        </is>
      </c>
      <c r="C51" s="12" t="inlineStr">
        <is>
          <t>Matthew</t>
        </is>
      </c>
      <c r="D51" s="41" t="inlineStr">
        <is>
          <t>taxable</t>
        </is>
      </c>
      <c r="E51" s="12" t="inlineStr">
        <is>
          <t>trust</t>
        </is>
      </c>
      <c r="F51" s="27" t="n">
        <v>0</v>
      </c>
      <c r="G51" s="27" t="n">
        <v>66000</v>
      </c>
      <c r="H51" s="27" t="n">
        <v>0</v>
      </c>
      <c r="I51" s="27" t="n">
        <v>0</v>
      </c>
      <c r="J51" s="27" t="n">
        <v>0</v>
      </c>
      <c r="K51" s="27" t="n">
        <v>0</v>
      </c>
      <c r="L51" s="27" t="n">
        <v>66000</v>
      </c>
      <c r="M51" s="27" t="n">
        <v>0</v>
      </c>
      <c r="N51" s="27" t="n">
        <v>0</v>
      </c>
      <c r="O51" s="27" t="n">
        <v>0</v>
      </c>
      <c r="P51" s="27" t="n">
        <v>0</v>
      </c>
      <c r="Q51" s="12" t="inlineStr">
        <is>
          <t>withdrawal; deposit</t>
        </is>
      </c>
    </row>
    <row r="52" ht="30" customHeight="1">
      <c r="A52" s="26" t="n">
        <v>2030</v>
      </c>
      <c r="B52" s="12" t="inlineStr">
        <is>
          <t>Patricia IRA</t>
        </is>
      </c>
      <c r="C52" s="12" t="inlineStr">
        <is>
          <t>Patricia</t>
        </is>
      </c>
      <c r="D52" s="41" t="inlineStr">
        <is>
          <t>pre_tax</t>
        </is>
      </c>
      <c r="E52" s="12" t="inlineStr">
        <is>
          <t>traditional_ira</t>
        </is>
      </c>
      <c r="F52" s="27" t="n">
        <v>0</v>
      </c>
      <c r="G52" s="27" t="n">
        <v>0</v>
      </c>
      <c r="H52" s="27" t="n">
        <v>0</v>
      </c>
      <c r="I52" s="27" t="n">
        <v>0</v>
      </c>
      <c r="J52" s="27" t="n">
        <v>0</v>
      </c>
      <c r="K52" s="27" t="n">
        <v>0</v>
      </c>
      <c r="L52" s="27" t="n">
        <v>0</v>
      </c>
      <c r="M52" s="27" t="n">
        <v>0</v>
      </c>
      <c r="N52" s="27" t="n">
        <v>0</v>
      </c>
      <c r="O52" s="27" t="n">
        <v>0</v>
      </c>
      <c r="P52" s="27" t="n">
        <v>0</v>
      </c>
      <c r="Q52" s="33" t="inlineStr"/>
    </row>
    <row r="53" ht="30" customHeight="1">
      <c r="A53" s="26" t="n">
        <v>2030</v>
      </c>
      <c r="B53" s="12" t="inlineStr">
        <is>
          <t>Patricia Roth</t>
        </is>
      </c>
      <c r="C53" s="12" t="inlineStr">
        <is>
          <t>Patricia</t>
        </is>
      </c>
      <c r="D53" s="41" t="inlineStr">
        <is>
          <t>roth</t>
        </is>
      </c>
      <c r="E53" s="12" t="inlineStr">
        <is>
          <t>roth_ira</t>
        </is>
      </c>
      <c r="F53" s="27" t="n">
        <v>817892.1312124003</v>
      </c>
      <c r="G53" s="27" t="n">
        <v>0</v>
      </c>
      <c r="H53" s="27" t="n">
        <v>0</v>
      </c>
      <c r="I53" s="27" t="n">
        <v>0</v>
      </c>
      <c r="J53" s="27" t="n">
        <v>0</v>
      </c>
      <c r="K53" s="27" t="n">
        <v>0</v>
      </c>
      <c r="L53" s="27" t="n">
        <v>0</v>
      </c>
      <c r="M53" s="27" t="n">
        <v>49073.52787274402</v>
      </c>
      <c r="N53" s="27" t="n">
        <v>866965.6590851443</v>
      </c>
      <c r="O53" s="27" t="n">
        <v>866965.6590851443</v>
      </c>
      <c r="P53" s="27" t="n">
        <v>0</v>
      </c>
      <c r="Q53" s="33" t="inlineStr"/>
    </row>
    <row r="54" ht="30" customHeight="1">
      <c r="A54" s="26" t="n">
        <v>2030</v>
      </c>
      <c r="B54" s="12" t="inlineStr">
        <is>
          <t>Patricia Trust</t>
        </is>
      </c>
      <c r="C54" s="12" t="inlineStr">
        <is>
          <t>Patricia</t>
        </is>
      </c>
      <c r="D54" s="41" t="inlineStr">
        <is>
          <t>taxable</t>
        </is>
      </c>
      <c r="E54" s="12" t="inlineStr">
        <is>
          <t>trust</t>
        </is>
      </c>
      <c r="F54" s="27" t="n">
        <v>0</v>
      </c>
      <c r="G54" s="27" t="n">
        <v>0</v>
      </c>
      <c r="H54" s="27" t="n">
        <v>0</v>
      </c>
      <c r="I54" s="27" t="n">
        <v>0</v>
      </c>
      <c r="J54" s="27" t="n">
        <v>0</v>
      </c>
      <c r="K54" s="27" t="n">
        <v>0</v>
      </c>
      <c r="L54" s="27" t="n">
        <v>0</v>
      </c>
      <c r="M54" s="27" t="n">
        <v>0</v>
      </c>
      <c r="N54" s="27" t="n">
        <v>0</v>
      </c>
      <c r="O54" s="27" t="n">
        <v>0</v>
      </c>
      <c r="P54" s="27" t="n">
        <v>0</v>
      </c>
      <c r="Q54" s="33" t="inlineStr"/>
    </row>
    <row r="55" ht="45" customHeight="1">
      <c r="A55" s="26" t="n">
        <v>2031</v>
      </c>
      <c r="B55" s="12" t="inlineStr">
        <is>
          <t>Business Checking</t>
        </is>
      </c>
      <c r="C55" s="12" t="inlineStr">
        <is>
          <t>Matthew</t>
        </is>
      </c>
      <c r="D55" s="41" t="inlineStr">
        <is>
          <t>cash</t>
        </is>
      </c>
      <c r="E55" s="12" t="inlineStr">
        <is>
          <t>checking</t>
        </is>
      </c>
      <c r="F55" s="27" t="n">
        <v>5000</v>
      </c>
      <c r="G55" s="27" t="n">
        <v>0</v>
      </c>
      <c r="H55" s="27" t="n">
        <v>0</v>
      </c>
      <c r="I55" s="27" t="n">
        <v>0</v>
      </c>
      <c r="J55" s="27" t="n">
        <v>0</v>
      </c>
      <c r="K55" s="27" t="n">
        <v>0</v>
      </c>
      <c r="L55" s="27" t="n">
        <v>0</v>
      </c>
      <c r="M55" s="27" t="n">
        <v>0</v>
      </c>
      <c r="N55" s="27" t="n">
        <v>5000</v>
      </c>
      <c r="O55" s="27" t="n">
        <v>5000</v>
      </c>
      <c r="P55" s="27" t="n">
        <v>0</v>
      </c>
      <c r="Q55" s="33" t="inlineStr"/>
    </row>
    <row r="56" ht="30" customHeight="1">
      <c r="A56" s="26" t="n">
        <v>2031</v>
      </c>
      <c r="B56" s="12" t="inlineStr">
        <is>
          <t>Family Checking</t>
        </is>
      </c>
      <c r="C56" s="12" t="inlineStr">
        <is>
          <t>Matthew</t>
        </is>
      </c>
      <c r="D56" s="41" t="inlineStr">
        <is>
          <t>cash</t>
        </is>
      </c>
      <c r="E56" s="12" t="inlineStr">
        <is>
          <t>checking</t>
        </is>
      </c>
      <c r="F56" s="27" t="n">
        <v>15000</v>
      </c>
      <c r="G56" s="27" t="n">
        <v>0</v>
      </c>
      <c r="H56" s="27" t="n">
        <v>0</v>
      </c>
      <c r="I56" s="27" t="n">
        <v>0</v>
      </c>
      <c r="J56" s="27" t="n">
        <v>0</v>
      </c>
      <c r="K56" s="27" t="n">
        <v>0</v>
      </c>
      <c r="L56" s="27" t="n">
        <v>0</v>
      </c>
      <c r="M56" s="27" t="n">
        <v>0</v>
      </c>
      <c r="N56" s="27" t="n">
        <v>15000</v>
      </c>
      <c r="O56" s="27" t="n">
        <v>15000</v>
      </c>
      <c r="P56" s="27" t="n">
        <v>0</v>
      </c>
      <c r="Q56" s="33" t="inlineStr"/>
    </row>
    <row r="57" ht="30" customHeight="1">
      <c r="A57" s="26" t="n">
        <v>2031</v>
      </c>
      <c r="B57" s="12" t="inlineStr">
        <is>
          <t>Matthew HSA</t>
        </is>
      </c>
      <c r="C57" s="12" t="inlineStr">
        <is>
          <t>Matthew</t>
        </is>
      </c>
      <c r="D57" s="41" t="inlineStr">
        <is>
          <t>hsa</t>
        </is>
      </c>
      <c r="E57" s="12" t="inlineStr">
        <is>
          <t>hsa</t>
        </is>
      </c>
      <c r="F57" s="27" t="n">
        <v>98577.32338218967</v>
      </c>
      <c r="G57" s="27" t="n">
        <v>0</v>
      </c>
      <c r="H57" s="27" t="n">
        <v>0</v>
      </c>
      <c r="I57" s="27" t="n">
        <v>0</v>
      </c>
      <c r="J57" s="27" t="n">
        <v>0</v>
      </c>
      <c r="K57" s="27" t="n">
        <v>0</v>
      </c>
      <c r="L57" s="27" t="n">
        <v>9857.732338218968</v>
      </c>
      <c r="M57" s="27" t="n">
        <v>5323.175462638243</v>
      </c>
      <c r="N57" s="27" t="n">
        <v>94042.76650660895</v>
      </c>
      <c r="O57" s="27" t="n">
        <v>94042.76650660895</v>
      </c>
      <c r="P57" s="27" t="n">
        <v>0</v>
      </c>
      <c r="Q57" s="12" t="inlineStr">
        <is>
          <t>withdrawal</t>
        </is>
      </c>
    </row>
    <row r="58" ht="30" customHeight="1">
      <c r="A58" s="26" t="n">
        <v>2031</v>
      </c>
      <c r="B58" s="12" t="inlineStr">
        <is>
          <t>Matthew 401k</t>
        </is>
      </c>
      <c r="C58" s="12" t="inlineStr">
        <is>
          <t>Matthew</t>
        </is>
      </c>
      <c r="D58" s="41" t="inlineStr">
        <is>
          <t>pre_tax</t>
        </is>
      </c>
      <c r="E58" s="12" t="inlineStr">
        <is>
          <t>401k</t>
        </is>
      </c>
      <c r="F58" s="27" t="n">
        <v>0</v>
      </c>
      <c r="G58" s="27" t="n">
        <v>0</v>
      </c>
      <c r="H58" s="27" t="n">
        <v>0</v>
      </c>
      <c r="I58" s="27" t="n">
        <v>0</v>
      </c>
      <c r="J58" s="27" t="n">
        <v>0</v>
      </c>
      <c r="K58" s="27" t="n">
        <v>0</v>
      </c>
      <c r="L58" s="27" t="n">
        <v>0</v>
      </c>
      <c r="M58" s="27" t="n">
        <v>0</v>
      </c>
      <c r="N58" s="27" t="n">
        <v>0</v>
      </c>
      <c r="O58" s="27" t="n">
        <v>0</v>
      </c>
      <c r="P58" s="27" t="n">
        <v>0</v>
      </c>
      <c r="Q58" s="33" t="inlineStr"/>
    </row>
    <row r="59" ht="60" customHeight="1">
      <c r="A59" s="26" t="n">
        <v>2031</v>
      </c>
      <c r="B59" s="12" t="inlineStr">
        <is>
          <t>Matthew IRA</t>
        </is>
      </c>
      <c r="C59" s="12" t="inlineStr">
        <is>
          <t>Matthew</t>
        </is>
      </c>
      <c r="D59" s="41" t="inlineStr">
        <is>
          <t>pre_tax</t>
        </is>
      </c>
      <c r="E59" s="12" t="inlineStr">
        <is>
          <t>traditional_ira</t>
        </is>
      </c>
      <c r="F59" s="27" t="n">
        <v>749921.4817017267</v>
      </c>
      <c r="G59" s="27" t="n">
        <v>0</v>
      </c>
      <c r="H59" s="27" t="n">
        <v>0</v>
      </c>
      <c r="I59" s="27" t="n">
        <v>0</v>
      </c>
      <c r="J59" s="27" t="n">
        <v>0</v>
      </c>
      <c r="K59" s="27" t="n">
        <v>125267.2076368838</v>
      </c>
      <c r="L59" s="27" t="n">
        <v>94223.07362225579</v>
      </c>
      <c r="M59" s="27" t="n">
        <v>31825.87202655522</v>
      </c>
      <c r="N59" s="27" t="n">
        <v>562257.0724691423</v>
      </c>
      <c r="O59" s="27" t="n">
        <v>562257.0724691423</v>
      </c>
      <c r="P59" s="27" t="n">
        <v>0</v>
      </c>
      <c r="Q59" s="12" t="inlineStr">
        <is>
          <t>Roth conversion; withdrawal</t>
        </is>
      </c>
    </row>
    <row r="60" ht="30" customHeight="1">
      <c r="A60" s="26" t="n">
        <v>2031</v>
      </c>
      <c r="B60" s="12" t="inlineStr">
        <is>
          <t>Matthew Roth</t>
        </is>
      </c>
      <c r="C60" s="12" t="inlineStr">
        <is>
          <t>Matthew</t>
        </is>
      </c>
      <c r="D60" s="41" t="inlineStr">
        <is>
          <t>roth</t>
        </is>
      </c>
      <c r="E60" s="12" t="inlineStr">
        <is>
          <t>roth_ira</t>
        </is>
      </c>
      <c r="F60" s="27" t="n">
        <v>619521.4503862578</v>
      </c>
      <c r="G60" s="27" t="n">
        <v>0</v>
      </c>
      <c r="H60" s="27" t="n">
        <v>0</v>
      </c>
      <c r="I60" s="27" t="n">
        <v>0</v>
      </c>
      <c r="J60" s="27" t="n">
        <v>125267.2076368838</v>
      </c>
      <c r="K60" s="27" t="n">
        <v>0</v>
      </c>
      <c r="L60" s="27" t="n">
        <v>0</v>
      </c>
      <c r="M60" s="27" t="n">
        <v>44687.3194813885</v>
      </c>
      <c r="N60" s="27" t="n">
        <v>789475.9775045302</v>
      </c>
      <c r="O60" s="27" t="n">
        <v>789475.9775045302</v>
      </c>
      <c r="P60" s="27" t="n">
        <v>0</v>
      </c>
      <c r="Q60" s="12" t="inlineStr">
        <is>
          <t>Roth conversion</t>
        </is>
      </c>
    </row>
    <row r="61" ht="30" customHeight="1">
      <c r="A61" s="26" t="n">
        <v>2031</v>
      </c>
      <c r="B61" s="12" t="inlineStr">
        <is>
          <t>Matthew Trust</t>
        </is>
      </c>
      <c r="C61" s="12" t="inlineStr">
        <is>
          <t>Matthew</t>
        </is>
      </c>
      <c r="D61" s="41" t="inlineStr">
        <is>
          <t>taxable</t>
        </is>
      </c>
      <c r="E61" s="12" t="inlineStr">
        <is>
          <t>trust</t>
        </is>
      </c>
      <c r="F61" s="27" t="n">
        <v>0</v>
      </c>
      <c r="G61" s="27" t="n">
        <v>0</v>
      </c>
      <c r="H61" s="27" t="n">
        <v>0</v>
      </c>
      <c r="I61" s="27" t="n">
        <v>0</v>
      </c>
      <c r="J61" s="27" t="n">
        <v>0</v>
      </c>
      <c r="K61" s="27" t="n">
        <v>0</v>
      </c>
      <c r="L61" s="27" t="n">
        <v>0</v>
      </c>
      <c r="M61" s="27" t="n">
        <v>0</v>
      </c>
      <c r="N61" s="27" t="n">
        <v>0</v>
      </c>
      <c r="O61" s="27" t="n">
        <v>0</v>
      </c>
      <c r="P61" s="27" t="n">
        <v>0</v>
      </c>
      <c r="Q61" s="33" t="inlineStr"/>
    </row>
    <row r="62" ht="30" customHeight="1">
      <c r="A62" s="26" t="n">
        <v>2031</v>
      </c>
      <c r="B62" s="12" t="inlineStr">
        <is>
          <t>Patricia IRA</t>
        </is>
      </c>
      <c r="C62" s="12" t="inlineStr">
        <is>
          <t>Patricia</t>
        </is>
      </c>
      <c r="D62" s="41" t="inlineStr">
        <is>
          <t>pre_tax</t>
        </is>
      </c>
      <c r="E62" s="12" t="inlineStr">
        <is>
          <t>traditional_ira</t>
        </is>
      </c>
      <c r="F62" s="27" t="n">
        <v>0</v>
      </c>
      <c r="G62" s="27" t="n">
        <v>0</v>
      </c>
      <c r="H62" s="27" t="n">
        <v>0</v>
      </c>
      <c r="I62" s="27" t="n">
        <v>0</v>
      </c>
      <c r="J62" s="27" t="n">
        <v>0</v>
      </c>
      <c r="K62" s="27" t="n">
        <v>0</v>
      </c>
      <c r="L62" s="27" t="n">
        <v>0</v>
      </c>
      <c r="M62" s="27" t="n">
        <v>0</v>
      </c>
      <c r="N62" s="27" t="n">
        <v>0</v>
      </c>
      <c r="O62" s="27" t="n">
        <v>0</v>
      </c>
      <c r="P62" s="27" t="n">
        <v>0</v>
      </c>
      <c r="Q62" s="33" t="inlineStr"/>
    </row>
    <row r="63" ht="30" customHeight="1">
      <c r="A63" s="26" t="n">
        <v>2031</v>
      </c>
      <c r="B63" s="12" t="inlineStr">
        <is>
          <t>Patricia Roth</t>
        </is>
      </c>
      <c r="C63" s="12" t="inlineStr">
        <is>
          <t>Patricia</t>
        </is>
      </c>
      <c r="D63" s="41" t="inlineStr">
        <is>
          <t>roth</t>
        </is>
      </c>
      <c r="E63" s="12" t="inlineStr">
        <is>
          <t>roth_ira</t>
        </is>
      </c>
      <c r="F63" s="27" t="n">
        <v>866965.6590851443</v>
      </c>
      <c r="G63" s="27" t="n">
        <v>0</v>
      </c>
      <c r="H63" s="27" t="n">
        <v>0</v>
      </c>
      <c r="I63" s="27" t="n">
        <v>0</v>
      </c>
      <c r="J63" s="27" t="n">
        <v>0</v>
      </c>
      <c r="K63" s="27" t="n">
        <v>0</v>
      </c>
      <c r="L63" s="27" t="n">
        <v>0</v>
      </c>
      <c r="M63" s="27" t="n">
        <v>52017.93954510865</v>
      </c>
      <c r="N63" s="27" t="n">
        <v>918983.598630253</v>
      </c>
      <c r="O63" s="27" t="n">
        <v>918983.598630253</v>
      </c>
      <c r="P63" s="27" t="n">
        <v>0</v>
      </c>
      <c r="Q63" s="33" t="inlineStr"/>
    </row>
    <row r="64" ht="30" customHeight="1">
      <c r="A64" s="26" t="n">
        <v>2031</v>
      </c>
      <c r="B64" s="12" t="inlineStr">
        <is>
          <t>Patricia Trust</t>
        </is>
      </c>
      <c r="C64" s="12" t="inlineStr">
        <is>
          <t>Patricia</t>
        </is>
      </c>
      <c r="D64" s="41" t="inlineStr">
        <is>
          <t>taxable</t>
        </is>
      </c>
      <c r="E64" s="12" t="inlineStr">
        <is>
          <t>trust</t>
        </is>
      </c>
      <c r="F64" s="27" t="n">
        <v>0</v>
      </c>
      <c r="G64" s="27" t="n">
        <v>0</v>
      </c>
      <c r="H64" s="27" t="n">
        <v>0</v>
      </c>
      <c r="I64" s="27" t="n">
        <v>0</v>
      </c>
      <c r="J64" s="27" t="n">
        <v>0</v>
      </c>
      <c r="K64" s="27" t="n">
        <v>0</v>
      </c>
      <c r="L64" s="27" t="n">
        <v>0</v>
      </c>
      <c r="M64" s="27" t="n">
        <v>0</v>
      </c>
      <c r="N64" s="27" t="n">
        <v>0</v>
      </c>
      <c r="O64" s="27" t="n">
        <v>0</v>
      </c>
      <c r="P64" s="27" t="n">
        <v>0</v>
      </c>
      <c r="Q64" s="33" t="inlineStr"/>
    </row>
    <row r="65" ht="45" customHeight="1">
      <c r="A65" s="26" t="n">
        <v>2032</v>
      </c>
      <c r="B65" s="12" t="inlineStr">
        <is>
          <t>Business Checking</t>
        </is>
      </c>
      <c r="C65" s="12" t="inlineStr">
        <is>
          <t>Matthew</t>
        </is>
      </c>
      <c r="D65" s="41" t="inlineStr">
        <is>
          <t>cash</t>
        </is>
      </c>
      <c r="E65" s="12" t="inlineStr">
        <is>
          <t>checking</t>
        </is>
      </c>
      <c r="F65" s="27" t="n">
        <v>5000</v>
      </c>
      <c r="G65" s="27" t="n">
        <v>0</v>
      </c>
      <c r="H65" s="27" t="n">
        <v>0</v>
      </c>
      <c r="I65" s="27" t="n">
        <v>0</v>
      </c>
      <c r="J65" s="27" t="n">
        <v>0</v>
      </c>
      <c r="K65" s="27" t="n">
        <v>0</v>
      </c>
      <c r="L65" s="27" t="n">
        <v>0</v>
      </c>
      <c r="M65" s="27" t="n">
        <v>0</v>
      </c>
      <c r="N65" s="27" t="n">
        <v>5000</v>
      </c>
      <c r="O65" s="27" t="n">
        <v>5000</v>
      </c>
      <c r="P65" s="27" t="n">
        <v>0</v>
      </c>
      <c r="Q65" s="33" t="inlineStr"/>
    </row>
    <row r="66" ht="30" customHeight="1">
      <c r="A66" s="26" t="n">
        <v>2032</v>
      </c>
      <c r="B66" s="12" t="inlineStr">
        <is>
          <t>Family Checking</t>
        </is>
      </c>
      <c r="C66" s="12" t="inlineStr">
        <is>
          <t>Matthew</t>
        </is>
      </c>
      <c r="D66" s="41" t="inlineStr">
        <is>
          <t>cash</t>
        </is>
      </c>
      <c r="E66" s="12" t="inlineStr">
        <is>
          <t>checking</t>
        </is>
      </c>
      <c r="F66" s="27" t="n">
        <v>15000</v>
      </c>
      <c r="G66" s="27" t="n">
        <v>0</v>
      </c>
      <c r="H66" s="27" t="n">
        <v>0</v>
      </c>
      <c r="I66" s="27" t="n">
        <v>0</v>
      </c>
      <c r="J66" s="27" t="n">
        <v>0</v>
      </c>
      <c r="K66" s="27" t="n">
        <v>0</v>
      </c>
      <c r="L66" s="27" t="n">
        <v>0</v>
      </c>
      <c r="M66" s="27" t="n">
        <v>0</v>
      </c>
      <c r="N66" s="27" t="n">
        <v>15000</v>
      </c>
      <c r="O66" s="27" t="n">
        <v>15000</v>
      </c>
      <c r="P66" s="27" t="n">
        <v>0</v>
      </c>
      <c r="Q66" s="33" t="inlineStr"/>
    </row>
    <row r="67" ht="30" customHeight="1">
      <c r="A67" s="26" t="n">
        <v>2032</v>
      </c>
      <c r="B67" s="12" t="inlineStr">
        <is>
          <t>Matthew HSA</t>
        </is>
      </c>
      <c r="C67" s="12" t="inlineStr">
        <is>
          <t>Matthew</t>
        </is>
      </c>
      <c r="D67" s="41" t="inlineStr">
        <is>
          <t>hsa</t>
        </is>
      </c>
      <c r="E67" s="12" t="inlineStr">
        <is>
          <t>hsa</t>
        </is>
      </c>
      <c r="F67" s="27" t="n">
        <v>94042.76650660895</v>
      </c>
      <c r="G67" s="27" t="n">
        <v>0</v>
      </c>
      <c r="H67" s="27" t="n">
        <v>0</v>
      </c>
      <c r="I67" s="27" t="n">
        <v>0</v>
      </c>
      <c r="J67" s="27" t="n">
        <v>0</v>
      </c>
      <c r="K67" s="27" t="n">
        <v>0</v>
      </c>
      <c r="L67" s="27" t="n">
        <v>10449.19627851211</v>
      </c>
      <c r="M67" s="27" t="n">
        <v>5015.614213685811</v>
      </c>
      <c r="N67" s="27" t="n">
        <v>88609.18444178267</v>
      </c>
      <c r="O67" s="27" t="n">
        <v>88609.18444178267</v>
      </c>
      <c r="P67" s="27" t="n">
        <v>0</v>
      </c>
      <c r="Q67" s="12" t="inlineStr">
        <is>
          <t>withdrawal</t>
        </is>
      </c>
    </row>
    <row r="68" ht="30" customHeight="1">
      <c r="A68" s="26" t="n">
        <v>2032</v>
      </c>
      <c r="B68" s="12" t="inlineStr">
        <is>
          <t>Matthew 401k</t>
        </is>
      </c>
      <c r="C68" s="12" t="inlineStr">
        <is>
          <t>Matthew</t>
        </is>
      </c>
      <c r="D68" s="41" t="inlineStr">
        <is>
          <t>pre_tax</t>
        </is>
      </c>
      <c r="E68" s="12" t="inlineStr">
        <is>
          <t>401k</t>
        </is>
      </c>
      <c r="F68" s="27" t="n">
        <v>0</v>
      </c>
      <c r="G68" s="27" t="n">
        <v>0</v>
      </c>
      <c r="H68" s="27" t="n">
        <v>0</v>
      </c>
      <c r="I68" s="27" t="n">
        <v>0</v>
      </c>
      <c r="J68" s="27" t="n">
        <v>0</v>
      </c>
      <c r="K68" s="27" t="n">
        <v>0</v>
      </c>
      <c r="L68" s="27" t="n">
        <v>0</v>
      </c>
      <c r="M68" s="27" t="n">
        <v>0</v>
      </c>
      <c r="N68" s="27" t="n">
        <v>0</v>
      </c>
      <c r="O68" s="27" t="n">
        <v>0</v>
      </c>
      <c r="P68" s="27" t="n">
        <v>0</v>
      </c>
      <c r="Q68" s="33" t="inlineStr"/>
    </row>
    <row r="69" ht="60" customHeight="1">
      <c r="A69" s="26" t="n">
        <v>2032</v>
      </c>
      <c r="B69" s="12" t="inlineStr">
        <is>
          <t>Matthew IRA</t>
        </is>
      </c>
      <c r="C69" s="12" t="inlineStr">
        <is>
          <t>Matthew</t>
        </is>
      </c>
      <c r="D69" s="41" t="inlineStr">
        <is>
          <t>pre_tax</t>
        </is>
      </c>
      <c r="E69" s="12" t="inlineStr">
        <is>
          <t>traditional_ira</t>
        </is>
      </c>
      <c r="F69" s="27" t="n">
        <v>562257.0724691423</v>
      </c>
      <c r="G69" s="27" t="n">
        <v>0</v>
      </c>
      <c r="H69" s="27" t="n">
        <v>0</v>
      </c>
      <c r="I69" s="27" t="n">
        <v>0</v>
      </c>
      <c r="J69" s="27" t="n">
        <v>0</v>
      </c>
      <c r="K69" s="27" t="n">
        <v>108908.4900564799</v>
      </c>
      <c r="L69" s="27" t="n">
        <v>198129.785700357</v>
      </c>
      <c r="M69" s="27" t="n">
        <v>15313.12780273832</v>
      </c>
      <c r="N69" s="27" t="n">
        <v>270531.9245150437</v>
      </c>
      <c r="O69" s="27" t="n">
        <v>270531.9245150437</v>
      </c>
      <c r="P69" s="27" t="n">
        <v>0</v>
      </c>
      <c r="Q69" s="12" t="inlineStr">
        <is>
          <t>Roth conversion; withdrawal</t>
        </is>
      </c>
    </row>
    <row r="70" ht="30" customHeight="1">
      <c r="A70" s="26" t="n">
        <v>2032</v>
      </c>
      <c r="B70" s="12" t="inlineStr">
        <is>
          <t>Matthew Roth</t>
        </is>
      </c>
      <c r="C70" s="12" t="inlineStr">
        <is>
          <t>Matthew</t>
        </is>
      </c>
      <c r="D70" s="41" t="inlineStr">
        <is>
          <t>roth</t>
        </is>
      </c>
      <c r="E70" s="12" t="inlineStr">
        <is>
          <t>roth_ira</t>
        </is>
      </c>
      <c r="F70" s="27" t="n">
        <v>789475.9775045302</v>
      </c>
      <c r="G70" s="27" t="n">
        <v>0</v>
      </c>
      <c r="H70" s="27" t="n">
        <v>0</v>
      </c>
      <c r="I70" s="27" t="n">
        <v>0</v>
      </c>
      <c r="J70" s="27" t="n">
        <v>108908.4900564799</v>
      </c>
      <c r="K70" s="27" t="n">
        <v>0</v>
      </c>
      <c r="L70" s="27" t="n">
        <v>0</v>
      </c>
      <c r="M70" s="27" t="n">
        <v>53903.06805366061</v>
      </c>
      <c r="N70" s="27" t="n">
        <v>952287.5356146707</v>
      </c>
      <c r="O70" s="27" t="n">
        <v>952287.5356146707</v>
      </c>
      <c r="P70" s="27" t="n">
        <v>0</v>
      </c>
      <c r="Q70" s="12" t="inlineStr">
        <is>
          <t>Roth conversion</t>
        </is>
      </c>
    </row>
    <row r="71" ht="30" customHeight="1">
      <c r="A71" s="26" t="n">
        <v>2032</v>
      </c>
      <c r="B71" s="12" t="inlineStr">
        <is>
          <t>Matthew Trust</t>
        </is>
      </c>
      <c r="C71" s="12" t="inlineStr">
        <is>
          <t>Matthew</t>
        </is>
      </c>
      <c r="D71" s="41" t="inlineStr">
        <is>
          <t>taxable</t>
        </is>
      </c>
      <c r="E71" s="12" t="inlineStr">
        <is>
          <t>trust</t>
        </is>
      </c>
      <c r="F71" s="27" t="n">
        <v>0</v>
      </c>
      <c r="G71" s="27" t="n">
        <v>0</v>
      </c>
      <c r="H71" s="27" t="n">
        <v>0</v>
      </c>
      <c r="I71" s="27" t="n">
        <v>0</v>
      </c>
      <c r="J71" s="27" t="n">
        <v>0</v>
      </c>
      <c r="K71" s="27" t="n">
        <v>0</v>
      </c>
      <c r="L71" s="27" t="n">
        <v>0</v>
      </c>
      <c r="M71" s="27" t="n">
        <v>0</v>
      </c>
      <c r="N71" s="27" t="n">
        <v>0</v>
      </c>
      <c r="O71" s="27" t="n">
        <v>0</v>
      </c>
      <c r="P71" s="27" t="n">
        <v>0</v>
      </c>
      <c r="Q71" s="33" t="inlineStr"/>
    </row>
    <row r="72" ht="30" customHeight="1">
      <c r="A72" s="26" t="n">
        <v>2032</v>
      </c>
      <c r="B72" s="12" t="inlineStr">
        <is>
          <t>Patricia IRA</t>
        </is>
      </c>
      <c r="C72" s="12" t="inlineStr">
        <is>
          <t>Patricia</t>
        </is>
      </c>
      <c r="D72" s="41" t="inlineStr">
        <is>
          <t>pre_tax</t>
        </is>
      </c>
      <c r="E72" s="12" t="inlineStr">
        <is>
          <t>traditional_ira</t>
        </is>
      </c>
      <c r="F72" s="27" t="n">
        <v>0</v>
      </c>
      <c r="G72" s="27" t="n">
        <v>0</v>
      </c>
      <c r="H72" s="27" t="n">
        <v>0</v>
      </c>
      <c r="I72" s="27" t="n">
        <v>0</v>
      </c>
      <c r="J72" s="27" t="n">
        <v>0</v>
      </c>
      <c r="K72" s="27" t="n">
        <v>0</v>
      </c>
      <c r="L72" s="27" t="n">
        <v>0</v>
      </c>
      <c r="M72" s="27" t="n">
        <v>0</v>
      </c>
      <c r="N72" s="27" t="n">
        <v>0</v>
      </c>
      <c r="O72" s="27" t="n">
        <v>0</v>
      </c>
      <c r="P72" s="27" t="n">
        <v>0</v>
      </c>
      <c r="Q72" s="33" t="inlineStr"/>
    </row>
    <row r="73" ht="30" customHeight="1">
      <c r="A73" s="26" t="n">
        <v>2032</v>
      </c>
      <c r="B73" s="12" t="inlineStr">
        <is>
          <t>Patricia Roth</t>
        </is>
      </c>
      <c r="C73" s="12" t="inlineStr">
        <is>
          <t>Patricia</t>
        </is>
      </c>
      <c r="D73" s="41" t="inlineStr">
        <is>
          <t>roth</t>
        </is>
      </c>
      <c r="E73" s="12" t="inlineStr">
        <is>
          <t>roth_ira</t>
        </is>
      </c>
      <c r="F73" s="27" t="n">
        <v>918983.598630253</v>
      </c>
      <c r="G73" s="27" t="n">
        <v>0</v>
      </c>
      <c r="H73" s="27" t="n">
        <v>0</v>
      </c>
      <c r="I73" s="27" t="n">
        <v>0</v>
      </c>
      <c r="J73" s="27" t="n">
        <v>0</v>
      </c>
      <c r="K73" s="27" t="n">
        <v>0</v>
      </c>
      <c r="L73" s="27" t="n">
        <v>0</v>
      </c>
      <c r="M73" s="27" t="n">
        <v>55139.01591781518</v>
      </c>
      <c r="N73" s="27" t="n">
        <v>974122.6145480681</v>
      </c>
      <c r="O73" s="27" t="n">
        <v>974122.6145480681</v>
      </c>
      <c r="P73" s="27" t="n">
        <v>0</v>
      </c>
      <c r="Q73" s="33" t="inlineStr"/>
    </row>
    <row r="74" ht="30" customHeight="1">
      <c r="A74" s="26" t="n">
        <v>2032</v>
      </c>
      <c r="B74" s="12" t="inlineStr">
        <is>
          <t>Patricia Trust</t>
        </is>
      </c>
      <c r="C74" s="12" t="inlineStr">
        <is>
          <t>Patricia</t>
        </is>
      </c>
      <c r="D74" s="41" t="inlineStr">
        <is>
          <t>taxable</t>
        </is>
      </c>
      <c r="E74" s="12" t="inlineStr">
        <is>
          <t>trust</t>
        </is>
      </c>
      <c r="F74" s="27" t="n">
        <v>0</v>
      </c>
      <c r="G74" s="27" t="n">
        <v>0</v>
      </c>
      <c r="H74" s="27" t="n">
        <v>0</v>
      </c>
      <c r="I74" s="27" t="n">
        <v>0</v>
      </c>
      <c r="J74" s="27" t="n">
        <v>0</v>
      </c>
      <c r="K74" s="27" t="n">
        <v>0</v>
      </c>
      <c r="L74" s="27" t="n">
        <v>0</v>
      </c>
      <c r="M74" s="27" t="n">
        <v>0</v>
      </c>
      <c r="N74" s="27" t="n">
        <v>0</v>
      </c>
      <c r="O74" s="27" t="n">
        <v>0</v>
      </c>
      <c r="P74" s="27" t="n">
        <v>0</v>
      </c>
      <c r="Q74" s="33" t="inlineStr"/>
    </row>
    <row r="75" ht="45" customHeight="1">
      <c r="A75" s="26" t="n">
        <v>2033</v>
      </c>
      <c r="B75" s="12" t="inlineStr">
        <is>
          <t>Business Checking</t>
        </is>
      </c>
      <c r="C75" s="12" t="inlineStr">
        <is>
          <t>Matthew</t>
        </is>
      </c>
      <c r="D75" s="41" t="inlineStr">
        <is>
          <t>cash</t>
        </is>
      </c>
      <c r="E75" s="12" t="inlineStr">
        <is>
          <t>checking</t>
        </is>
      </c>
      <c r="F75" s="27" t="n">
        <v>5000</v>
      </c>
      <c r="G75" s="27" t="n">
        <v>0</v>
      </c>
      <c r="H75" s="27" t="n">
        <v>0</v>
      </c>
      <c r="I75" s="27" t="n">
        <v>0</v>
      </c>
      <c r="J75" s="27" t="n">
        <v>0</v>
      </c>
      <c r="K75" s="27" t="n">
        <v>0</v>
      </c>
      <c r="L75" s="27" t="n">
        <v>0</v>
      </c>
      <c r="M75" s="27" t="n">
        <v>0</v>
      </c>
      <c r="N75" s="27" t="n">
        <v>5000</v>
      </c>
      <c r="O75" s="27" t="n">
        <v>5000</v>
      </c>
      <c r="P75" s="27" t="n">
        <v>0</v>
      </c>
      <c r="Q75" s="33" t="inlineStr"/>
    </row>
    <row r="76" ht="30" customHeight="1">
      <c r="A76" s="26" t="n">
        <v>2033</v>
      </c>
      <c r="B76" s="12" t="inlineStr">
        <is>
          <t>Family Checking</t>
        </is>
      </c>
      <c r="C76" s="12" t="inlineStr">
        <is>
          <t>Matthew</t>
        </is>
      </c>
      <c r="D76" s="41" t="inlineStr">
        <is>
          <t>cash</t>
        </is>
      </c>
      <c r="E76" s="12" t="inlineStr">
        <is>
          <t>checking</t>
        </is>
      </c>
      <c r="F76" s="27" t="n">
        <v>15000</v>
      </c>
      <c r="G76" s="27" t="n">
        <v>0</v>
      </c>
      <c r="H76" s="27" t="n">
        <v>0</v>
      </c>
      <c r="I76" s="27" t="n">
        <v>0</v>
      </c>
      <c r="J76" s="27" t="n">
        <v>0</v>
      </c>
      <c r="K76" s="27" t="n">
        <v>0</v>
      </c>
      <c r="L76" s="27" t="n">
        <v>0</v>
      </c>
      <c r="M76" s="27" t="n">
        <v>0</v>
      </c>
      <c r="N76" s="27" t="n">
        <v>15000</v>
      </c>
      <c r="O76" s="27" t="n">
        <v>15000</v>
      </c>
      <c r="P76" s="27" t="n">
        <v>0</v>
      </c>
      <c r="Q76" s="33" t="inlineStr"/>
    </row>
    <row r="77" ht="30" customHeight="1">
      <c r="A77" s="26" t="n">
        <v>2033</v>
      </c>
      <c r="B77" s="12" t="inlineStr">
        <is>
          <t>Matthew HSA</t>
        </is>
      </c>
      <c r="C77" s="12" t="inlineStr">
        <is>
          <t>Matthew</t>
        </is>
      </c>
      <c r="D77" s="41" t="inlineStr">
        <is>
          <t>hsa</t>
        </is>
      </c>
      <c r="E77" s="12" t="inlineStr">
        <is>
          <t>hsa</t>
        </is>
      </c>
      <c r="F77" s="27" t="n">
        <v>88609.18444178267</v>
      </c>
      <c r="G77" s="27" t="n">
        <v>0</v>
      </c>
      <c r="H77" s="27" t="n">
        <v>0</v>
      </c>
      <c r="I77" s="27" t="n">
        <v>0</v>
      </c>
      <c r="J77" s="27" t="n">
        <v>0</v>
      </c>
      <c r="K77" s="27" t="n">
        <v>0</v>
      </c>
      <c r="L77" s="27" t="n">
        <v>11076.14805522283</v>
      </c>
      <c r="M77" s="27" t="n">
        <v>4651.98218319359</v>
      </c>
      <c r="N77" s="27" t="n">
        <v>82185.01856975342</v>
      </c>
      <c r="O77" s="27" t="n">
        <v>82185.01856975342</v>
      </c>
      <c r="P77" s="27" t="n">
        <v>0</v>
      </c>
      <c r="Q77" s="12" t="inlineStr">
        <is>
          <t>withdrawal</t>
        </is>
      </c>
    </row>
    <row r="78" ht="30" customHeight="1">
      <c r="A78" s="26" t="n">
        <v>2033</v>
      </c>
      <c r="B78" s="12" t="inlineStr">
        <is>
          <t>Matthew 401k</t>
        </is>
      </c>
      <c r="C78" s="12" t="inlineStr">
        <is>
          <t>Matthew</t>
        </is>
      </c>
      <c r="D78" s="41" t="inlineStr">
        <is>
          <t>pre_tax</t>
        </is>
      </c>
      <c r="E78" s="12" t="inlineStr">
        <is>
          <t>401k</t>
        </is>
      </c>
      <c r="F78" s="27" t="n">
        <v>0</v>
      </c>
      <c r="G78" s="27" t="n">
        <v>0</v>
      </c>
      <c r="H78" s="27" t="n">
        <v>0</v>
      </c>
      <c r="I78" s="27" t="n">
        <v>0</v>
      </c>
      <c r="J78" s="27" t="n">
        <v>0</v>
      </c>
      <c r="K78" s="27" t="n">
        <v>0</v>
      </c>
      <c r="L78" s="27" t="n">
        <v>0</v>
      </c>
      <c r="M78" s="27" t="n">
        <v>0</v>
      </c>
      <c r="N78" s="27" t="n">
        <v>0</v>
      </c>
      <c r="O78" s="27" t="n">
        <v>0</v>
      </c>
      <c r="P78" s="27" t="n">
        <v>0</v>
      </c>
      <c r="Q78" s="33" t="inlineStr"/>
    </row>
    <row r="79" ht="60" customHeight="1">
      <c r="A79" s="26" t="n">
        <v>2033</v>
      </c>
      <c r="B79" s="12" t="inlineStr">
        <is>
          <t>Matthew IRA</t>
        </is>
      </c>
      <c r="C79" s="12" t="inlineStr">
        <is>
          <t>Matthew</t>
        </is>
      </c>
      <c r="D79" s="41" t="inlineStr">
        <is>
          <t>pre_tax</t>
        </is>
      </c>
      <c r="E79" s="12" t="inlineStr">
        <is>
          <t>traditional_ira</t>
        </is>
      </c>
      <c r="F79" s="27" t="n">
        <v>270531.9245150437</v>
      </c>
      <c r="G79" s="27" t="n">
        <v>0</v>
      </c>
      <c r="H79" s="27" t="n">
        <v>0</v>
      </c>
      <c r="I79" s="27" t="n">
        <v>0</v>
      </c>
      <c r="J79" s="27" t="n">
        <v>0</v>
      </c>
      <c r="K79" s="27" t="n">
        <v>116223.4463601649</v>
      </c>
      <c r="L79" s="27" t="n">
        <v>77551.61812451128</v>
      </c>
      <c r="M79" s="27" t="n">
        <v>4605.411601822049</v>
      </c>
      <c r="N79" s="27" t="n">
        <v>81362.27163218954</v>
      </c>
      <c r="O79" s="27" t="n">
        <v>81362.27163218954</v>
      </c>
      <c r="P79" s="27" t="n">
        <v>0</v>
      </c>
      <c r="Q79" s="12" t="inlineStr">
        <is>
          <t>Roth conversion; withdrawal</t>
        </is>
      </c>
    </row>
    <row r="80" ht="30" customHeight="1">
      <c r="A80" s="26" t="n">
        <v>2033</v>
      </c>
      <c r="B80" s="12" t="inlineStr">
        <is>
          <t>Matthew Roth</t>
        </is>
      </c>
      <c r="C80" s="12" t="inlineStr">
        <is>
          <t>Matthew</t>
        </is>
      </c>
      <c r="D80" s="41" t="inlineStr">
        <is>
          <t>roth</t>
        </is>
      </c>
      <c r="E80" s="12" t="inlineStr">
        <is>
          <t>roth_ira</t>
        </is>
      </c>
      <c r="F80" s="27" t="n">
        <v>952287.5356146707</v>
      </c>
      <c r="G80" s="27" t="n">
        <v>0</v>
      </c>
      <c r="H80" s="27" t="n">
        <v>0</v>
      </c>
      <c r="I80" s="27" t="n">
        <v>0</v>
      </c>
      <c r="J80" s="27" t="n">
        <v>116223.4463601649</v>
      </c>
      <c r="K80" s="27" t="n">
        <v>0</v>
      </c>
      <c r="L80" s="27" t="n">
        <v>0</v>
      </c>
      <c r="M80" s="27" t="n">
        <v>64110.65891849013</v>
      </c>
      <c r="N80" s="27" t="n">
        <v>1132621.640893326</v>
      </c>
      <c r="O80" s="27" t="n">
        <v>1132621.640893326</v>
      </c>
      <c r="P80" s="27" t="n">
        <v>0</v>
      </c>
      <c r="Q80" s="12" t="inlineStr">
        <is>
          <t>Roth conversion</t>
        </is>
      </c>
    </row>
    <row r="81" ht="30" customHeight="1">
      <c r="A81" s="26" t="n">
        <v>2033</v>
      </c>
      <c r="B81" s="12" t="inlineStr">
        <is>
          <t>Matthew Trust</t>
        </is>
      </c>
      <c r="C81" s="12" t="inlineStr">
        <is>
          <t>Matthew</t>
        </is>
      </c>
      <c r="D81" s="41" t="inlineStr">
        <is>
          <t>taxable</t>
        </is>
      </c>
      <c r="E81" s="12" t="inlineStr">
        <is>
          <t>trust</t>
        </is>
      </c>
      <c r="F81" s="27" t="n">
        <v>0</v>
      </c>
      <c r="G81" s="27" t="n">
        <v>0</v>
      </c>
      <c r="H81" s="27" t="n">
        <v>0</v>
      </c>
      <c r="I81" s="27" t="n">
        <v>0</v>
      </c>
      <c r="J81" s="27" t="n">
        <v>0</v>
      </c>
      <c r="K81" s="27" t="n">
        <v>0</v>
      </c>
      <c r="L81" s="27" t="n">
        <v>0</v>
      </c>
      <c r="M81" s="27" t="n">
        <v>0</v>
      </c>
      <c r="N81" s="27" t="n">
        <v>0</v>
      </c>
      <c r="O81" s="27" t="n">
        <v>0</v>
      </c>
      <c r="P81" s="27" t="n">
        <v>0</v>
      </c>
      <c r="Q81" s="33" t="inlineStr"/>
    </row>
    <row r="82" ht="30" customHeight="1">
      <c r="A82" s="26" t="n">
        <v>2033</v>
      </c>
      <c r="B82" s="12" t="inlineStr">
        <is>
          <t>Patricia IRA</t>
        </is>
      </c>
      <c r="C82" s="12" t="inlineStr">
        <is>
          <t>Patricia</t>
        </is>
      </c>
      <c r="D82" s="41" t="inlineStr">
        <is>
          <t>pre_tax</t>
        </is>
      </c>
      <c r="E82" s="12" t="inlineStr">
        <is>
          <t>traditional_ira</t>
        </is>
      </c>
      <c r="F82" s="27" t="n">
        <v>0</v>
      </c>
      <c r="G82" s="27" t="n">
        <v>0</v>
      </c>
      <c r="H82" s="27" t="n">
        <v>0</v>
      </c>
      <c r="I82" s="27" t="n">
        <v>0</v>
      </c>
      <c r="J82" s="27" t="n">
        <v>0</v>
      </c>
      <c r="K82" s="27" t="n">
        <v>0</v>
      </c>
      <c r="L82" s="27" t="n">
        <v>0</v>
      </c>
      <c r="M82" s="27" t="n">
        <v>0</v>
      </c>
      <c r="N82" s="27" t="n">
        <v>0</v>
      </c>
      <c r="O82" s="27" t="n">
        <v>0</v>
      </c>
      <c r="P82" s="27" t="n">
        <v>0</v>
      </c>
      <c r="Q82" s="33" t="inlineStr"/>
    </row>
    <row r="83" ht="30" customHeight="1">
      <c r="A83" s="26" t="n">
        <v>2033</v>
      </c>
      <c r="B83" s="12" t="inlineStr">
        <is>
          <t>Patricia Roth</t>
        </is>
      </c>
      <c r="C83" s="12" t="inlineStr">
        <is>
          <t>Patricia</t>
        </is>
      </c>
      <c r="D83" s="41" t="inlineStr">
        <is>
          <t>roth</t>
        </is>
      </c>
      <c r="E83" s="12" t="inlineStr">
        <is>
          <t>roth_ira</t>
        </is>
      </c>
      <c r="F83" s="27" t="n">
        <v>974122.6145480681</v>
      </c>
      <c r="G83" s="27" t="n">
        <v>0</v>
      </c>
      <c r="H83" s="27" t="n">
        <v>0</v>
      </c>
      <c r="I83" s="27" t="n">
        <v>0</v>
      </c>
      <c r="J83" s="27" t="n">
        <v>0</v>
      </c>
      <c r="K83" s="27" t="n">
        <v>0</v>
      </c>
      <c r="L83" s="27" t="n">
        <v>0</v>
      </c>
      <c r="M83" s="27" t="n">
        <v>58447.35687288408</v>
      </c>
      <c r="N83" s="27" t="n">
        <v>1032569.971420952</v>
      </c>
      <c r="O83" s="27" t="n">
        <v>1032569.971420952</v>
      </c>
      <c r="P83" s="27" t="n">
        <v>0</v>
      </c>
      <c r="Q83" s="33" t="inlineStr"/>
    </row>
    <row r="84" ht="30" customHeight="1">
      <c r="A84" s="26" t="n">
        <v>2033</v>
      </c>
      <c r="B84" s="12" t="inlineStr">
        <is>
          <t>Patricia Trust</t>
        </is>
      </c>
      <c r="C84" s="12" t="inlineStr">
        <is>
          <t>Patricia</t>
        </is>
      </c>
      <c r="D84" s="41" t="inlineStr">
        <is>
          <t>taxable</t>
        </is>
      </c>
      <c r="E84" s="12" t="inlineStr">
        <is>
          <t>trust</t>
        </is>
      </c>
      <c r="F84" s="27" t="n">
        <v>0</v>
      </c>
      <c r="G84" s="27" t="n">
        <v>0</v>
      </c>
      <c r="H84" s="27" t="n">
        <v>0</v>
      </c>
      <c r="I84" s="27" t="n">
        <v>0</v>
      </c>
      <c r="J84" s="27" t="n">
        <v>0</v>
      </c>
      <c r="K84" s="27" t="n">
        <v>0</v>
      </c>
      <c r="L84" s="27" t="n">
        <v>0</v>
      </c>
      <c r="M84" s="27" t="n">
        <v>0</v>
      </c>
      <c r="N84" s="27" t="n">
        <v>0</v>
      </c>
      <c r="O84" s="27" t="n">
        <v>0</v>
      </c>
      <c r="P84" s="27" t="n">
        <v>0</v>
      </c>
      <c r="Q84" s="33" t="inlineStr"/>
    </row>
    <row r="85" ht="45" customHeight="1">
      <c r="A85" s="26" t="n">
        <v>2034</v>
      </c>
      <c r="B85" s="12" t="inlineStr">
        <is>
          <t>Business Checking</t>
        </is>
      </c>
      <c r="C85" s="12" t="inlineStr">
        <is>
          <t>Matthew</t>
        </is>
      </c>
      <c r="D85" s="41" t="inlineStr">
        <is>
          <t>cash</t>
        </is>
      </c>
      <c r="E85" s="12" t="inlineStr">
        <is>
          <t>checking</t>
        </is>
      </c>
      <c r="F85" s="27" t="n">
        <v>5000</v>
      </c>
      <c r="G85" s="27" t="n">
        <v>0</v>
      </c>
      <c r="H85" s="27" t="n">
        <v>0</v>
      </c>
      <c r="I85" s="27" t="n">
        <v>0</v>
      </c>
      <c r="J85" s="27" t="n">
        <v>0</v>
      </c>
      <c r="K85" s="27" t="n">
        <v>0</v>
      </c>
      <c r="L85" s="27" t="n">
        <v>0</v>
      </c>
      <c r="M85" s="27" t="n">
        <v>0</v>
      </c>
      <c r="N85" s="27" t="n">
        <v>5000</v>
      </c>
      <c r="O85" s="27" t="n">
        <v>5000</v>
      </c>
      <c r="P85" s="27" t="n">
        <v>0</v>
      </c>
      <c r="Q85" s="33" t="inlineStr"/>
    </row>
    <row r="86" ht="30" customHeight="1">
      <c r="A86" s="26" t="n">
        <v>2034</v>
      </c>
      <c r="B86" s="12" t="inlineStr">
        <is>
          <t>Family Checking</t>
        </is>
      </c>
      <c r="C86" s="12" t="inlineStr">
        <is>
          <t>Matthew</t>
        </is>
      </c>
      <c r="D86" s="41" t="inlineStr">
        <is>
          <t>cash</t>
        </is>
      </c>
      <c r="E86" s="12" t="inlineStr">
        <is>
          <t>checking</t>
        </is>
      </c>
      <c r="F86" s="27" t="n">
        <v>15000</v>
      </c>
      <c r="G86" s="27" t="n">
        <v>0</v>
      </c>
      <c r="H86" s="27" t="n">
        <v>0</v>
      </c>
      <c r="I86" s="27" t="n">
        <v>0</v>
      </c>
      <c r="J86" s="27" t="n">
        <v>0</v>
      </c>
      <c r="K86" s="27" t="n">
        <v>0</v>
      </c>
      <c r="L86" s="27" t="n">
        <v>0</v>
      </c>
      <c r="M86" s="27" t="n">
        <v>0</v>
      </c>
      <c r="N86" s="27" t="n">
        <v>15000</v>
      </c>
      <c r="O86" s="27" t="n">
        <v>15000</v>
      </c>
      <c r="P86" s="27" t="n">
        <v>0</v>
      </c>
      <c r="Q86" s="33" t="inlineStr"/>
    </row>
    <row r="87" ht="30" customHeight="1">
      <c r="A87" s="26" t="n">
        <v>2034</v>
      </c>
      <c r="B87" s="12" t="inlineStr">
        <is>
          <t>Matthew HSA</t>
        </is>
      </c>
      <c r="C87" s="12" t="inlineStr">
        <is>
          <t>Matthew</t>
        </is>
      </c>
      <c r="D87" s="41" t="inlineStr">
        <is>
          <t>hsa</t>
        </is>
      </c>
      <c r="E87" s="12" t="inlineStr">
        <is>
          <t>hsa</t>
        </is>
      </c>
      <c r="F87" s="27" t="n">
        <v>82185.01856975342</v>
      </c>
      <c r="G87" s="27" t="n">
        <v>0</v>
      </c>
      <c r="H87" s="27" t="n">
        <v>0</v>
      </c>
      <c r="I87" s="27" t="n">
        <v>0</v>
      </c>
      <c r="J87" s="27" t="n">
        <v>0</v>
      </c>
      <c r="K87" s="27" t="n">
        <v>0</v>
      </c>
      <c r="L87" s="27" t="n">
        <v>11740.7169385362</v>
      </c>
      <c r="M87" s="27" t="n">
        <v>4226.658097873033</v>
      </c>
      <c r="N87" s="27" t="n">
        <v>74670.95972909025</v>
      </c>
      <c r="O87" s="27" t="n">
        <v>74670.95972909025</v>
      </c>
      <c r="P87" s="27" t="n">
        <v>0</v>
      </c>
      <c r="Q87" s="12" t="inlineStr">
        <is>
          <t>withdrawal</t>
        </is>
      </c>
    </row>
    <row r="88" ht="30" customHeight="1">
      <c r="A88" s="26" t="n">
        <v>2034</v>
      </c>
      <c r="B88" s="12" t="inlineStr">
        <is>
          <t>Matthew 401k</t>
        </is>
      </c>
      <c r="C88" s="12" t="inlineStr">
        <is>
          <t>Matthew</t>
        </is>
      </c>
      <c r="D88" s="41" t="inlineStr">
        <is>
          <t>pre_tax</t>
        </is>
      </c>
      <c r="E88" s="12" t="inlineStr">
        <is>
          <t>401k</t>
        </is>
      </c>
      <c r="F88" s="27" t="n">
        <v>0</v>
      </c>
      <c r="G88" s="27" t="n">
        <v>0</v>
      </c>
      <c r="H88" s="27" t="n">
        <v>0</v>
      </c>
      <c r="I88" s="27" t="n">
        <v>0</v>
      </c>
      <c r="J88" s="27" t="n">
        <v>0</v>
      </c>
      <c r="K88" s="27" t="n">
        <v>0</v>
      </c>
      <c r="L88" s="27" t="n">
        <v>0</v>
      </c>
      <c r="M88" s="27" t="n">
        <v>0</v>
      </c>
      <c r="N88" s="27" t="n">
        <v>0</v>
      </c>
      <c r="O88" s="27" t="n">
        <v>0</v>
      </c>
      <c r="P88" s="27" t="n">
        <v>0</v>
      </c>
      <c r="Q88" s="33" t="inlineStr"/>
    </row>
    <row r="89" ht="30" customHeight="1">
      <c r="A89" s="26" t="n">
        <v>2034</v>
      </c>
      <c r="B89" s="12" t="inlineStr">
        <is>
          <t>Matthew IRA</t>
        </is>
      </c>
      <c r="C89" s="12" t="inlineStr">
        <is>
          <t>Matthew</t>
        </is>
      </c>
      <c r="D89" s="41" t="inlineStr">
        <is>
          <t>pre_tax</t>
        </is>
      </c>
      <c r="E89" s="12" t="inlineStr">
        <is>
          <t>traditional_ira</t>
        </is>
      </c>
      <c r="F89" s="27" t="n">
        <v>81362.27163218954</v>
      </c>
      <c r="G89" s="27" t="n">
        <v>0</v>
      </c>
      <c r="H89" s="27" t="n">
        <v>0</v>
      </c>
      <c r="I89" s="27" t="n">
        <v>0</v>
      </c>
      <c r="J89" s="27" t="n">
        <v>0</v>
      </c>
      <c r="K89" s="27" t="n">
        <v>81362.27163218954</v>
      </c>
      <c r="L89" s="27" t="n">
        <v>0</v>
      </c>
      <c r="M89" s="27" t="n">
        <v>0</v>
      </c>
      <c r="N89" s="27" t="n">
        <v>0</v>
      </c>
      <c r="O89" s="27" t="n">
        <v>0</v>
      </c>
      <c r="P89" s="27" t="n">
        <v>0</v>
      </c>
      <c r="Q89" s="12" t="inlineStr">
        <is>
          <t>Roth conversion</t>
        </is>
      </c>
    </row>
    <row r="90" ht="60" customHeight="1">
      <c r="A90" s="26" t="n">
        <v>2034</v>
      </c>
      <c r="B90" s="12" t="inlineStr">
        <is>
          <t>Matthew Roth</t>
        </is>
      </c>
      <c r="C90" s="12" t="inlineStr">
        <is>
          <t>Matthew</t>
        </is>
      </c>
      <c r="D90" s="41" t="inlineStr">
        <is>
          <t>roth</t>
        </is>
      </c>
      <c r="E90" s="12" t="inlineStr">
        <is>
          <t>roth_ira</t>
        </is>
      </c>
      <c r="F90" s="27" t="n">
        <v>1132621.640893326</v>
      </c>
      <c r="G90" s="27" t="n">
        <v>0</v>
      </c>
      <c r="H90" s="27" t="n">
        <v>0</v>
      </c>
      <c r="I90" s="27" t="n">
        <v>0</v>
      </c>
      <c r="J90" s="27" t="n">
        <v>81362.27163218954</v>
      </c>
      <c r="K90" s="27" t="n">
        <v>0</v>
      </c>
      <c r="L90" s="27" t="n">
        <v>63251.03636473881</v>
      </c>
      <c r="M90" s="27" t="n">
        <v>69043.97256964659</v>
      </c>
      <c r="N90" s="27" t="n">
        <v>1219776.848730423</v>
      </c>
      <c r="O90" s="27" t="n">
        <v>1219776.848730423</v>
      </c>
      <c r="P90" s="27" t="n">
        <v>0</v>
      </c>
      <c r="Q90" s="12" t="inlineStr">
        <is>
          <t>Roth conversion; withdrawal</t>
        </is>
      </c>
    </row>
    <row r="91" ht="30" customHeight="1">
      <c r="A91" s="26" t="n">
        <v>2034</v>
      </c>
      <c r="B91" s="12" t="inlineStr">
        <is>
          <t>Matthew Trust</t>
        </is>
      </c>
      <c r="C91" s="12" t="inlineStr">
        <is>
          <t>Matthew</t>
        </is>
      </c>
      <c r="D91" s="41" t="inlineStr">
        <is>
          <t>taxable</t>
        </is>
      </c>
      <c r="E91" s="12" t="inlineStr">
        <is>
          <t>trust</t>
        </is>
      </c>
      <c r="F91" s="27" t="n">
        <v>0</v>
      </c>
      <c r="G91" s="27" t="n">
        <v>0</v>
      </c>
      <c r="H91" s="27" t="n">
        <v>0</v>
      </c>
      <c r="I91" s="27" t="n">
        <v>0</v>
      </c>
      <c r="J91" s="27" t="n">
        <v>0</v>
      </c>
      <c r="K91" s="27" t="n">
        <v>0</v>
      </c>
      <c r="L91" s="27" t="n">
        <v>0</v>
      </c>
      <c r="M91" s="27" t="n">
        <v>0</v>
      </c>
      <c r="N91" s="27" t="n">
        <v>0</v>
      </c>
      <c r="O91" s="27" t="n">
        <v>0</v>
      </c>
      <c r="P91" s="27" t="n">
        <v>0</v>
      </c>
      <c r="Q91" s="33" t="inlineStr"/>
    </row>
    <row r="92" ht="30" customHeight="1">
      <c r="A92" s="26" t="n">
        <v>2034</v>
      </c>
      <c r="B92" s="12" t="inlineStr">
        <is>
          <t>Patricia IRA</t>
        </is>
      </c>
      <c r="C92" s="12" t="inlineStr">
        <is>
          <t>Patricia</t>
        </is>
      </c>
      <c r="D92" s="41" t="inlineStr">
        <is>
          <t>pre_tax</t>
        </is>
      </c>
      <c r="E92" s="12" t="inlineStr">
        <is>
          <t>traditional_ira</t>
        </is>
      </c>
      <c r="F92" s="27" t="n">
        <v>0</v>
      </c>
      <c r="G92" s="27" t="n">
        <v>0</v>
      </c>
      <c r="H92" s="27" t="n">
        <v>0</v>
      </c>
      <c r="I92" s="27" t="n">
        <v>0</v>
      </c>
      <c r="J92" s="27" t="n">
        <v>0</v>
      </c>
      <c r="K92" s="27" t="n">
        <v>0</v>
      </c>
      <c r="L92" s="27" t="n">
        <v>0</v>
      </c>
      <c r="M92" s="27" t="n">
        <v>0</v>
      </c>
      <c r="N92" s="27" t="n">
        <v>0</v>
      </c>
      <c r="O92" s="27" t="n">
        <v>0</v>
      </c>
      <c r="P92" s="27" t="n">
        <v>0</v>
      </c>
      <c r="Q92" s="33" t="inlineStr"/>
    </row>
    <row r="93" ht="30" customHeight="1">
      <c r="A93" s="26" t="n">
        <v>2034</v>
      </c>
      <c r="B93" s="12" t="inlineStr">
        <is>
          <t>Patricia Roth</t>
        </is>
      </c>
      <c r="C93" s="12" t="inlineStr">
        <is>
          <t>Patricia</t>
        </is>
      </c>
      <c r="D93" s="41" t="inlineStr">
        <is>
          <t>roth</t>
        </is>
      </c>
      <c r="E93" s="12" t="inlineStr">
        <is>
          <t>roth_ira</t>
        </is>
      </c>
      <c r="F93" s="27" t="n">
        <v>1032569.971420952</v>
      </c>
      <c r="G93" s="27" t="n">
        <v>0</v>
      </c>
      <c r="H93" s="27" t="n">
        <v>0</v>
      </c>
      <c r="I93" s="27" t="n">
        <v>0</v>
      </c>
      <c r="J93" s="27" t="n">
        <v>0</v>
      </c>
      <c r="K93" s="27" t="n">
        <v>0</v>
      </c>
      <c r="L93" s="27" t="n">
        <v>53799.00024837542</v>
      </c>
      <c r="M93" s="27" t="n">
        <v>58726.25827035461</v>
      </c>
      <c r="N93" s="27" t="n">
        <v>1037497.229442931</v>
      </c>
      <c r="O93" s="27" t="n">
        <v>1037497.229442931</v>
      </c>
      <c r="P93" s="27" t="n">
        <v>0</v>
      </c>
      <c r="Q93" s="12" t="inlineStr">
        <is>
          <t>withdrawal</t>
        </is>
      </c>
    </row>
    <row r="94" ht="30" customHeight="1">
      <c r="A94" s="26" t="n">
        <v>2034</v>
      </c>
      <c r="B94" s="12" t="inlineStr">
        <is>
          <t>Patricia Trust</t>
        </is>
      </c>
      <c r="C94" s="12" t="inlineStr">
        <is>
          <t>Patricia</t>
        </is>
      </c>
      <c r="D94" s="41" t="inlineStr">
        <is>
          <t>taxable</t>
        </is>
      </c>
      <c r="E94" s="12" t="inlineStr">
        <is>
          <t>trust</t>
        </is>
      </c>
      <c r="F94" s="27" t="n">
        <v>0</v>
      </c>
      <c r="G94" s="27" t="n">
        <v>0</v>
      </c>
      <c r="H94" s="27" t="n">
        <v>0</v>
      </c>
      <c r="I94" s="27" t="n">
        <v>0</v>
      </c>
      <c r="J94" s="27" t="n">
        <v>0</v>
      </c>
      <c r="K94" s="27" t="n">
        <v>0</v>
      </c>
      <c r="L94" s="27" t="n">
        <v>0</v>
      </c>
      <c r="M94" s="27" t="n">
        <v>0</v>
      </c>
      <c r="N94" s="27" t="n">
        <v>0</v>
      </c>
      <c r="O94" s="27" t="n">
        <v>0</v>
      </c>
      <c r="P94" s="27" t="n">
        <v>0</v>
      </c>
      <c r="Q94" s="33" t="inlineStr"/>
    </row>
    <row r="95" ht="45" customHeight="1">
      <c r="A95" s="26" t="n">
        <v>2035</v>
      </c>
      <c r="B95" s="12" t="inlineStr">
        <is>
          <t>Business Checking</t>
        </is>
      </c>
      <c r="C95" s="12" t="inlineStr">
        <is>
          <t>Matthew</t>
        </is>
      </c>
      <c r="D95" s="41" t="inlineStr">
        <is>
          <t>cash</t>
        </is>
      </c>
      <c r="E95" s="12" t="inlineStr">
        <is>
          <t>checking</t>
        </is>
      </c>
      <c r="F95" s="27" t="n">
        <v>5000</v>
      </c>
      <c r="G95" s="27" t="n">
        <v>0</v>
      </c>
      <c r="H95" s="27" t="n">
        <v>0</v>
      </c>
      <c r="I95" s="27" t="n">
        <v>0</v>
      </c>
      <c r="J95" s="27" t="n">
        <v>0</v>
      </c>
      <c r="K95" s="27" t="n">
        <v>0</v>
      </c>
      <c r="L95" s="27" t="n">
        <v>0</v>
      </c>
      <c r="M95" s="27" t="n">
        <v>0</v>
      </c>
      <c r="N95" s="27" t="n">
        <v>5000</v>
      </c>
      <c r="O95" s="27" t="n">
        <v>5000</v>
      </c>
      <c r="P95" s="27" t="n">
        <v>0</v>
      </c>
      <c r="Q95" s="33" t="inlineStr"/>
    </row>
    <row r="96" ht="30" customHeight="1">
      <c r="A96" s="26" t="n">
        <v>2035</v>
      </c>
      <c r="B96" s="12" t="inlineStr">
        <is>
          <t>Family Checking</t>
        </is>
      </c>
      <c r="C96" s="12" t="inlineStr">
        <is>
          <t>Matthew</t>
        </is>
      </c>
      <c r="D96" s="41" t="inlineStr">
        <is>
          <t>cash</t>
        </is>
      </c>
      <c r="E96" s="12" t="inlineStr">
        <is>
          <t>checking</t>
        </is>
      </c>
      <c r="F96" s="27" t="n">
        <v>15000</v>
      </c>
      <c r="G96" s="27" t="n">
        <v>0</v>
      </c>
      <c r="H96" s="27" t="n">
        <v>0</v>
      </c>
      <c r="I96" s="27" t="n">
        <v>0</v>
      </c>
      <c r="J96" s="27" t="n">
        <v>0</v>
      </c>
      <c r="K96" s="27" t="n">
        <v>0</v>
      </c>
      <c r="L96" s="27" t="n">
        <v>0</v>
      </c>
      <c r="M96" s="27" t="n">
        <v>0</v>
      </c>
      <c r="N96" s="27" t="n">
        <v>15000</v>
      </c>
      <c r="O96" s="27" t="n">
        <v>15000</v>
      </c>
      <c r="P96" s="27" t="n">
        <v>0</v>
      </c>
      <c r="Q96" s="33" t="inlineStr"/>
    </row>
    <row r="97" ht="30" customHeight="1">
      <c r="A97" s="26" t="n">
        <v>2035</v>
      </c>
      <c r="B97" s="12" t="inlineStr">
        <is>
          <t>Matthew HSA</t>
        </is>
      </c>
      <c r="C97" s="12" t="inlineStr">
        <is>
          <t>Matthew</t>
        </is>
      </c>
      <c r="D97" s="41" t="inlineStr">
        <is>
          <t>hsa</t>
        </is>
      </c>
      <c r="E97" s="12" t="inlineStr">
        <is>
          <t>hsa</t>
        </is>
      </c>
      <c r="F97" s="27" t="n">
        <v>74670.95972909025</v>
      </c>
      <c r="G97" s="27" t="n">
        <v>0</v>
      </c>
      <c r="H97" s="27" t="n">
        <v>0</v>
      </c>
      <c r="I97" s="27" t="n">
        <v>0</v>
      </c>
      <c r="J97" s="27" t="n">
        <v>0</v>
      </c>
      <c r="K97" s="27" t="n">
        <v>0</v>
      </c>
      <c r="L97" s="27" t="n">
        <v>12445.15995484837</v>
      </c>
      <c r="M97" s="27" t="n">
        <v>3733.547986454512</v>
      </c>
      <c r="N97" s="27" t="n">
        <v>65959.34776069639</v>
      </c>
      <c r="O97" s="27" t="n">
        <v>65959.34776069639</v>
      </c>
      <c r="P97" s="27" t="n">
        <v>0</v>
      </c>
      <c r="Q97" s="12" t="inlineStr">
        <is>
          <t>withdrawal</t>
        </is>
      </c>
    </row>
    <row r="98" ht="30" customHeight="1">
      <c r="A98" s="26" t="n">
        <v>2035</v>
      </c>
      <c r="B98" s="12" t="inlineStr">
        <is>
          <t>Matthew 401k</t>
        </is>
      </c>
      <c r="C98" s="12" t="inlineStr">
        <is>
          <t>Matthew</t>
        </is>
      </c>
      <c r="D98" s="41" t="inlineStr">
        <is>
          <t>pre_tax</t>
        </is>
      </c>
      <c r="E98" s="12" t="inlineStr">
        <is>
          <t>401k</t>
        </is>
      </c>
      <c r="F98" s="27" t="n">
        <v>0</v>
      </c>
      <c r="G98" s="27" t="n">
        <v>0</v>
      </c>
      <c r="H98" s="27" t="n">
        <v>0</v>
      </c>
      <c r="I98" s="27" t="n">
        <v>0</v>
      </c>
      <c r="J98" s="27" t="n">
        <v>0</v>
      </c>
      <c r="K98" s="27" t="n">
        <v>0</v>
      </c>
      <c r="L98" s="27" t="n">
        <v>0</v>
      </c>
      <c r="M98" s="27" t="n">
        <v>0</v>
      </c>
      <c r="N98" s="27" t="n">
        <v>0</v>
      </c>
      <c r="O98" s="27" t="n">
        <v>0</v>
      </c>
      <c r="P98" s="27" t="n">
        <v>0</v>
      </c>
      <c r="Q98" s="33" t="inlineStr"/>
    </row>
    <row r="99" ht="30" customHeight="1">
      <c r="A99" s="26" t="n">
        <v>2035</v>
      </c>
      <c r="B99" s="12" t="inlineStr">
        <is>
          <t>Matthew IRA</t>
        </is>
      </c>
      <c r="C99" s="12" t="inlineStr">
        <is>
          <t>Matthew</t>
        </is>
      </c>
      <c r="D99" s="41" t="inlineStr">
        <is>
          <t>pre_tax</t>
        </is>
      </c>
      <c r="E99" s="12" t="inlineStr">
        <is>
          <t>traditional_ira</t>
        </is>
      </c>
      <c r="F99" s="27" t="n">
        <v>0</v>
      </c>
      <c r="G99" s="27" t="n">
        <v>0</v>
      </c>
      <c r="H99" s="27" t="n">
        <v>0</v>
      </c>
      <c r="I99" s="27" t="n">
        <v>0</v>
      </c>
      <c r="J99" s="27" t="n">
        <v>0</v>
      </c>
      <c r="K99" s="27" t="n">
        <v>0</v>
      </c>
      <c r="L99" s="27" t="n">
        <v>0</v>
      </c>
      <c r="M99" s="27" t="n">
        <v>0</v>
      </c>
      <c r="N99" s="27" t="n">
        <v>0</v>
      </c>
      <c r="O99" s="27" t="n">
        <v>0</v>
      </c>
      <c r="P99" s="27" t="n">
        <v>0</v>
      </c>
      <c r="Q99" s="33" t="inlineStr"/>
    </row>
    <row r="100" ht="30" customHeight="1">
      <c r="A100" s="26" t="n">
        <v>2035</v>
      </c>
      <c r="B100" s="12" t="inlineStr">
        <is>
          <t>Matthew Roth</t>
        </is>
      </c>
      <c r="C100" s="12" t="inlineStr">
        <is>
          <t>Matthew</t>
        </is>
      </c>
      <c r="D100" s="41" t="inlineStr">
        <is>
          <t>roth</t>
        </is>
      </c>
      <c r="E100" s="12" t="inlineStr">
        <is>
          <t>roth_ira</t>
        </is>
      </c>
      <c r="F100" s="27" t="n">
        <v>1219776.848730423</v>
      </c>
      <c r="G100" s="27" t="n">
        <v>0</v>
      </c>
      <c r="H100" s="27" t="n">
        <v>0</v>
      </c>
      <c r="I100" s="27" t="n">
        <v>0</v>
      </c>
      <c r="J100" s="27" t="n">
        <v>0</v>
      </c>
      <c r="K100" s="27" t="n">
        <v>0</v>
      </c>
      <c r="L100" s="27" t="n">
        <v>35744.88544972553</v>
      </c>
      <c r="M100" s="27" t="n">
        <v>71041.91779684185</v>
      </c>
      <c r="N100" s="27" t="n">
        <v>1255073.881077539</v>
      </c>
      <c r="O100" s="27" t="n">
        <v>1255073.881077539</v>
      </c>
      <c r="P100" s="27" t="n">
        <v>0</v>
      </c>
      <c r="Q100" s="12" t="inlineStr">
        <is>
          <t>withdrawal</t>
        </is>
      </c>
    </row>
    <row r="101" ht="30" customHeight="1">
      <c r="A101" s="26" t="n">
        <v>2035</v>
      </c>
      <c r="B101" s="12" t="inlineStr">
        <is>
          <t>Matthew Trust</t>
        </is>
      </c>
      <c r="C101" s="12" t="inlineStr">
        <is>
          <t>Matthew</t>
        </is>
      </c>
      <c r="D101" s="41" t="inlineStr">
        <is>
          <t>taxable</t>
        </is>
      </c>
      <c r="E101" s="12" t="inlineStr">
        <is>
          <t>trust</t>
        </is>
      </c>
      <c r="F101" s="27" t="n">
        <v>0</v>
      </c>
      <c r="G101" s="27" t="n">
        <v>0</v>
      </c>
      <c r="H101" s="27" t="n">
        <v>0</v>
      </c>
      <c r="I101" s="27" t="n">
        <v>0</v>
      </c>
      <c r="J101" s="27" t="n">
        <v>0</v>
      </c>
      <c r="K101" s="27" t="n">
        <v>0</v>
      </c>
      <c r="L101" s="27" t="n">
        <v>0</v>
      </c>
      <c r="M101" s="27" t="n">
        <v>0</v>
      </c>
      <c r="N101" s="27" t="n">
        <v>0</v>
      </c>
      <c r="O101" s="27" t="n">
        <v>0</v>
      </c>
      <c r="P101" s="27" t="n">
        <v>0</v>
      </c>
      <c r="Q101" s="33" t="inlineStr"/>
    </row>
    <row r="102" ht="30" customHeight="1">
      <c r="A102" s="26" t="n">
        <v>2035</v>
      </c>
      <c r="B102" s="12" t="inlineStr">
        <is>
          <t>Patricia IRA</t>
        </is>
      </c>
      <c r="C102" s="12" t="inlineStr">
        <is>
          <t>Patricia</t>
        </is>
      </c>
      <c r="D102" s="41" t="inlineStr">
        <is>
          <t>pre_tax</t>
        </is>
      </c>
      <c r="E102" s="12" t="inlineStr">
        <is>
          <t>traditional_ira</t>
        </is>
      </c>
      <c r="F102" s="27" t="n">
        <v>0</v>
      </c>
      <c r="G102" s="27" t="n">
        <v>0</v>
      </c>
      <c r="H102" s="27" t="n">
        <v>0</v>
      </c>
      <c r="I102" s="27" t="n">
        <v>0</v>
      </c>
      <c r="J102" s="27" t="n">
        <v>0</v>
      </c>
      <c r="K102" s="27" t="n">
        <v>0</v>
      </c>
      <c r="L102" s="27" t="n">
        <v>0</v>
      </c>
      <c r="M102" s="27" t="n">
        <v>0</v>
      </c>
      <c r="N102" s="27" t="n">
        <v>0</v>
      </c>
      <c r="O102" s="27" t="n">
        <v>0</v>
      </c>
      <c r="P102" s="27" t="n">
        <v>0</v>
      </c>
      <c r="Q102" s="33" t="inlineStr"/>
    </row>
    <row r="103" ht="30" customHeight="1">
      <c r="A103" s="26" t="n">
        <v>2035</v>
      </c>
      <c r="B103" s="12" t="inlineStr">
        <is>
          <t>Patricia Roth</t>
        </is>
      </c>
      <c r="C103" s="12" t="inlineStr">
        <is>
          <t>Patricia</t>
        </is>
      </c>
      <c r="D103" s="41" t="inlineStr">
        <is>
          <t>roth</t>
        </is>
      </c>
      <c r="E103" s="12" t="inlineStr">
        <is>
          <t>roth_ira</t>
        </is>
      </c>
      <c r="F103" s="27" t="n">
        <v>1037497.229442931</v>
      </c>
      <c r="G103" s="27" t="n">
        <v>0</v>
      </c>
      <c r="H103" s="27" t="n">
        <v>0</v>
      </c>
      <c r="I103" s="27" t="n">
        <v>0</v>
      </c>
      <c r="J103" s="27" t="n">
        <v>0</v>
      </c>
      <c r="K103" s="27" t="n">
        <v>0</v>
      </c>
      <c r="L103" s="27" t="n">
        <v>30403.2820916748</v>
      </c>
      <c r="M103" s="27" t="n">
        <v>60425.63684107539</v>
      </c>
      <c r="N103" s="27" t="n">
        <v>1067519.584192332</v>
      </c>
      <c r="O103" s="27" t="n">
        <v>1067519.584192332</v>
      </c>
      <c r="P103" s="27" t="n">
        <v>0</v>
      </c>
      <c r="Q103" s="12" t="inlineStr">
        <is>
          <t>withdrawal</t>
        </is>
      </c>
    </row>
    <row r="104" ht="30" customHeight="1">
      <c r="A104" s="26" t="n">
        <v>2035</v>
      </c>
      <c r="B104" s="12" t="inlineStr">
        <is>
          <t>Patricia Trust</t>
        </is>
      </c>
      <c r="C104" s="12" t="inlineStr">
        <is>
          <t>Patricia</t>
        </is>
      </c>
      <c r="D104" s="41" t="inlineStr">
        <is>
          <t>taxable</t>
        </is>
      </c>
      <c r="E104" s="12" t="inlineStr">
        <is>
          <t>trust</t>
        </is>
      </c>
      <c r="F104" s="27" t="n">
        <v>0</v>
      </c>
      <c r="G104" s="27" t="n">
        <v>0</v>
      </c>
      <c r="H104" s="27" t="n">
        <v>0</v>
      </c>
      <c r="I104" s="27" t="n">
        <v>0</v>
      </c>
      <c r="J104" s="27" t="n">
        <v>0</v>
      </c>
      <c r="K104" s="27" t="n">
        <v>0</v>
      </c>
      <c r="L104" s="27" t="n">
        <v>0</v>
      </c>
      <c r="M104" s="27" t="n">
        <v>0</v>
      </c>
      <c r="N104" s="27" t="n">
        <v>0</v>
      </c>
      <c r="O104" s="27" t="n">
        <v>0</v>
      </c>
      <c r="P104" s="27" t="n">
        <v>0</v>
      </c>
      <c r="Q104" s="33" t="inlineStr"/>
    </row>
    <row r="105" ht="45" customHeight="1">
      <c r="A105" s="26" t="n">
        <v>2036</v>
      </c>
      <c r="B105" s="12" t="inlineStr">
        <is>
          <t>Business Checking</t>
        </is>
      </c>
      <c r="C105" s="12" t="inlineStr">
        <is>
          <t>Matthew</t>
        </is>
      </c>
      <c r="D105" s="41" t="inlineStr">
        <is>
          <t>cash</t>
        </is>
      </c>
      <c r="E105" s="12" t="inlineStr">
        <is>
          <t>checking</t>
        </is>
      </c>
      <c r="F105" s="27" t="n">
        <v>5000</v>
      </c>
      <c r="G105" s="27" t="n">
        <v>0</v>
      </c>
      <c r="H105" s="27" t="n">
        <v>0</v>
      </c>
      <c r="I105" s="27" t="n">
        <v>0</v>
      </c>
      <c r="J105" s="27" t="n">
        <v>0</v>
      </c>
      <c r="K105" s="27" t="n">
        <v>0</v>
      </c>
      <c r="L105" s="27" t="n">
        <v>0</v>
      </c>
      <c r="M105" s="27" t="n">
        <v>0</v>
      </c>
      <c r="N105" s="27" t="n">
        <v>5000</v>
      </c>
      <c r="O105" s="27" t="n">
        <v>5000</v>
      </c>
      <c r="P105" s="27" t="n">
        <v>0</v>
      </c>
      <c r="Q105" s="33" t="inlineStr"/>
    </row>
    <row r="106" ht="30" customHeight="1">
      <c r="A106" s="26" t="n">
        <v>2036</v>
      </c>
      <c r="B106" s="12" t="inlineStr">
        <is>
          <t>Family Checking</t>
        </is>
      </c>
      <c r="C106" s="12" t="inlineStr">
        <is>
          <t>Matthew</t>
        </is>
      </c>
      <c r="D106" s="41" t="inlineStr">
        <is>
          <t>cash</t>
        </is>
      </c>
      <c r="E106" s="12" t="inlineStr">
        <is>
          <t>checking</t>
        </is>
      </c>
      <c r="F106" s="27" t="n">
        <v>15000</v>
      </c>
      <c r="G106" s="27" t="n">
        <v>0</v>
      </c>
      <c r="H106" s="27" t="n">
        <v>0</v>
      </c>
      <c r="I106" s="27" t="n">
        <v>0</v>
      </c>
      <c r="J106" s="27" t="n">
        <v>0</v>
      </c>
      <c r="K106" s="27" t="n">
        <v>0</v>
      </c>
      <c r="L106" s="27" t="n">
        <v>0</v>
      </c>
      <c r="M106" s="27" t="n">
        <v>0</v>
      </c>
      <c r="N106" s="27" t="n">
        <v>15000</v>
      </c>
      <c r="O106" s="27" t="n">
        <v>15000</v>
      </c>
      <c r="P106" s="27" t="n">
        <v>0</v>
      </c>
      <c r="Q106" s="33" t="inlineStr"/>
    </row>
    <row r="107" ht="30" customHeight="1">
      <c r="A107" s="26" t="n">
        <v>2036</v>
      </c>
      <c r="B107" s="12" t="inlineStr">
        <is>
          <t>Matthew HSA</t>
        </is>
      </c>
      <c r="C107" s="12" t="inlineStr">
        <is>
          <t>Matthew</t>
        </is>
      </c>
      <c r="D107" s="41" t="inlineStr">
        <is>
          <t>hsa</t>
        </is>
      </c>
      <c r="E107" s="12" t="inlineStr">
        <is>
          <t>hsa</t>
        </is>
      </c>
      <c r="F107" s="27" t="n">
        <v>65959.34776069639</v>
      </c>
      <c r="G107" s="27" t="n">
        <v>0</v>
      </c>
      <c r="H107" s="27" t="n">
        <v>0</v>
      </c>
      <c r="I107" s="27" t="n">
        <v>0</v>
      </c>
      <c r="J107" s="27" t="n">
        <v>0</v>
      </c>
      <c r="K107" s="27" t="n">
        <v>0</v>
      </c>
      <c r="L107" s="27" t="n">
        <v>13191.86955213928</v>
      </c>
      <c r="M107" s="27" t="n">
        <v>3166.048692513426</v>
      </c>
      <c r="N107" s="27" t="n">
        <v>55933.52690107053</v>
      </c>
      <c r="O107" s="27" t="n">
        <v>55933.52690107053</v>
      </c>
      <c r="P107" s="27" t="n">
        <v>0</v>
      </c>
      <c r="Q107" s="12" t="inlineStr">
        <is>
          <t>withdrawal</t>
        </is>
      </c>
    </row>
    <row r="108" ht="30" customHeight="1">
      <c r="A108" s="26" t="n">
        <v>2036</v>
      </c>
      <c r="B108" s="12" t="inlineStr">
        <is>
          <t>Matthew 401k</t>
        </is>
      </c>
      <c r="C108" s="12" t="inlineStr">
        <is>
          <t>Matthew</t>
        </is>
      </c>
      <c r="D108" s="41" t="inlineStr">
        <is>
          <t>pre_tax</t>
        </is>
      </c>
      <c r="E108" s="12" t="inlineStr">
        <is>
          <t>401k</t>
        </is>
      </c>
      <c r="F108" s="27" t="n">
        <v>0</v>
      </c>
      <c r="G108" s="27" t="n">
        <v>0</v>
      </c>
      <c r="H108" s="27" t="n">
        <v>0</v>
      </c>
      <c r="I108" s="27" t="n">
        <v>0</v>
      </c>
      <c r="J108" s="27" t="n">
        <v>0</v>
      </c>
      <c r="K108" s="27" t="n">
        <v>0</v>
      </c>
      <c r="L108" s="27" t="n">
        <v>0</v>
      </c>
      <c r="M108" s="27" t="n">
        <v>0</v>
      </c>
      <c r="N108" s="27" t="n">
        <v>0</v>
      </c>
      <c r="O108" s="27" t="n">
        <v>0</v>
      </c>
      <c r="P108" s="27" t="n">
        <v>0</v>
      </c>
      <c r="Q108" s="33" t="inlineStr"/>
    </row>
    <row r="109" ht="30" customHeight="1">
      <c r="A109" s="26" t="n">
        <v>2036</v>
      </c>
      <c r="B109" s="12" t="inlineStr">
        <is>
          <t>Matthew IRA</t>
        </is>
      </c>
      <c r="C109" s="12" t="inlineStr">
        <is>
          <t>Matthew</t>
        </is>
      </c>
      <c r="D109" s="41" t="inlineStr">
        <is>
          <t>pre_tax</t>
        </is>
      </c>
      <c r="E109" s="12" t="inlineStr">
        <is>
          <t>traditional_ira</t>
        </is>
      </c>
      <c r="F109" s="27" t="n">
        <v>0</v>
      </c>
      <c r="G109" s="27" t="n">
        <v>0</v>
      </c>
      <c r="H109" s="27" t="n">
        <v>0</v>
      </c>
      <c r="I109" s="27" t="n">
        <v>0</v>
      </c>
      <c r="J109" s="27" t="n">
        <v>0</v>
      </c>
      <c r="K109" s="27" t="n">
        <v>0</v>
      </c>
      <c r="L109" s="27" t="n">
        <v>0</v>
      </c>
      <c r="M109" s="27" t="n">
        <v>0</v>
      </c>
      <c r="N109" s="27" t="n">
        <v>0</v>
      </c>
      <c r="O109" s="27" t="n">
        <v>0</v>
      </c>
      <c r="P109" s="27" t="n">
        <v>0</v>
      </c>
      <c r="Q109" s="33" t="inlineStr"/>
    </row>
    <row r="110" ht="30" customHeight="1">
      <c r="A110" s="26" t="n">
        <v>2036</v>
      </c>
      <c r="B110" s="12" t="inlineStr">
        <is>
          <t>Matthew Roth</t>
        </is>
      </c>
      <c r="C110" s="12" t="inlineStr">
        <is>
          <t>Matthew</t>
        </is>
      </c>
      <c r="D110" s="41" t="inlineStr">
        <is>
          <t>roth</t>
        </is>
      </c>
      <c r="E110" s="12" t="inlineStr">
        <is>
          <t>roth_ira</t>
        </is>
      </c>
      <c r="F110" s="27" t="n">
        <v>1255073.881077539</v>
      </c>
      <c r="G110" s="27" t="n">
        <v>0</v>
      </c>
      <c r="H110" s="27" t="n">
        <v>0</v>
      </c>
      <c r="I110" s="27" t="n">
        <v>0</v>
      </c>
      <c r="J110" s="27" t="n">
        <v>0</v>
      </c>
      <c r="K110" s="27" t="n">
        <v>0</v>
      </c>
      <c r="L110" s="27" t="n">
        <v>35269.82643390564</v>
      </c>
      <c r="M110" s="27" t="n">
        <v>73188.24327861803</v>
      </c>
      <c r="N110" s="27" t="n">
        <v>1292992.297922252</v>
      </c>
      <c r="O110" s="27" t="n">
        <v>1292992.297922252</v>
      </c>
      <c r="P110" s="27" t="n">
        <v>0</v>
      </c>
      <c r="Q110" s="12" t="inlineStr">
        <is>
          <t>withdrawal</t>
        </is>
      </c>
    </row>
    <row r="111" ht="30" customHeight="1">
      <c r="A111" s="26" t="n">
        <v>2036</v>
      </c>
      <c r="B111" s="12" t="inlineStr">
        <is>
          <t>Matthew Trust</t>
        </is>
      </c>
      <c r="C111" s="12" t="inlineStr">
        <is>
          <t>Matthew</t>
        </is>
      </c>
      <c r="D111" s="41" t="inlineStr">
        <is>
          <t>taxable</t>
        </is>
      </c>
      <c r="E111" s="12" t="inlineStr">
        <is>
          <t>trust</t>
        </is>
      </c>
      <c r="F111" s="27" t="n">
        <v>0</v>
      </c>
      <c r="G111" s="27" t="n">
        <v>0</v>
      </c>
      <c r="H111" s="27" t="n">
        <v>0</v>
      </c>
      <c r="I111" s="27" t="n">
        <v>0</v>
      </c>
      <c r="J111" s="27" t="n">
        <v>0</v>
      </c>
      <c r="K111" s="27" t="n">
        <v>0</v>
      </c>
      <c r="L111" s="27" t="n">
        <v>0</v>
      </c>
      <c r="M111" s="27" t="n">
        <v>0</v>
      </c>
      <c r="N111" s="27" t="n">
        <v>0</v>
      </c>
      <c r="O111" s="27" t="n">
        <v>0</v>
      </c>
      <c r="P111" s="27" t="n">
        <v>0</v>
      </c>
      <c r="Q111" s="33" t="inlineStr"/>
    </row>
    <row r="112" ht="30" customHeight="1">
      <c r="A112" s="26" t="n">
        <v>2036</v>
      </c>
      <c r="B112" s="12" t="inlineStr">
        <is>
          <t>Patricia IRA</t>
        </is>
      </c>
      <c r="C112" s="12" t="inlineStr">
        <is>
          <t>Patricia</t>
        </is>
      </c>
      <c r="D112" s="41" t="inlineStr">
        <is>
          <t>pre_tax</t>
        </is>
      </c>
      <c r="E112" s="12" t="inlineStr">
        <is>
          <t>traditional_ira</t>
        </is>
      </c>
      <c r="F112" s="27" t="n">
        <v>0</v>
      </c>
      <c r="G112" s="27" t="n">
        <v>0</v>
      </c>
      <c r="H112" s="27" t="n">
        <v>0</v>
      </c>
      <c r="I112" s="27" t="n">
        <v>0</v>
      </c>
      <c r="J112" s="27" t="n">
        <v>0</v>
      </c>
      <c r="K112" s="27" t="n">
        <v>0</v>
      </c>
      <c r="L112" s="27" t="n">
        <v>0</v>
      </c>
      <c r="M112" s="27" t="n">
        <v>0</v>
      </c>
      <c r="N112" s="27" t="n">
        <v>0</v>
      </c>
      <c r="O112" s="27" t="n">
        <v>0</v>
      </c>
      <c r="P112" s="27" t="n">
        <v>0</v>
      </c>
      <c r="Q112" s="33" t="inlineStr"/>
    </row>
    <row r="113" ht="30" customHeight="1">
      <c r="A113" s="26" t="n">
        <v>2036</v>
      </c>
      <c r="B113" s="12" t="inlineStr">
        <is>
          <t>Patricia Roth</t>
        </is>
      </c>
      <c r="C113" s="12" t="inlineStr">
        <is>
          <t>Patricia</t>
        </is>
      </c>
      <c r="D113" s="41" t="inlineStr">
        <is>
          <t>roth</t>
        </is>
      </c>
      <c r="E113" s="12" t="inlineStr">
        <is>
          <t>roth_ira</t>
        </is>
      </c>
      <c r="F113" s="27" t="n">
        <v>1067519.584192332</v>
      </c>
      <c r="G113" s="27" t="n">
        <v>0</v>
      </c>
      <c r="H113" s="27" t="n">
        <v>0</v>
      </c>
      <c r="I113" s="27" t="n">
        <v>0</v>
      </c>
      <c r="J113" s="27" t="n">
        <v>0</v>
      </c>
      <c r="K113" s="27" t="n">
        <v>0</v>
      </c>
      <c r="L113" s="27" t="n">
        <v>29999.21440236916</v>
      </c>
      <c r="M113" s="27" t="n">
        <v>62251.22218739778</v>
      </c>
      <c r="N113" s="27" t="n">
        <v>1099771.591977361</v>
      </c>
      <c r="O113" s="27" t="n">
        <v>1099771.591977361</v>
      </c>
      <c r="P113" s="27" t="n">
        <v>0</v>
      </c>
      <c r="Q113" s="12" t="inlineStr">
        <is>
          <t>withdrawal</t>
        </is>
      </c>
    </row>
    <row r="114" ht="30" customHeight="1">
      <c r="A114" s="26" t="n">
        <v>2036</v>
      </c>
      <c r="B114" s="12" t="inlineStr">
        <is>
          <t>Patricia Trust</t>
        </is>
      </c>
      <c r="C114" s="12" t="inlineStr">
        <is>
          <t>Patricia</t>
        </is>
      </c>
      <c r="D114" s="41" t="inlineStr">
        <is>
          <t>taxable</t>
        </is>
      </c>
      <c r="E114" s="12" t="inlineStr">
        <is>
          <t>trust</t>
        </is>
      </c>
      <c r="F114" s="27" t="n">
        <v>0</v>
      </c>
      <c r="G114" s="27" t="n">
        <v>0</v>
      </c>
      <c r="H114" s="27" t="n">
        <v>0</v>
      </c>
      <c r="I114" s="27" t="n">
        <v>0</v>
      </c>
      <c r="J114" s="27" t="n">
        <v>0</v>
      </c>
      <c r="K114" s="27" t="n">
        <v>0</v>
      </c>
      <c r="L114" s="27" t="n">
        <v>0</v>
      </c>
      <c r="M114" s="27" t="n">
        <v>0</v>
      </c>
      <c r="N114" s="27" t="n">
        <v>0</v>
      </c>
      <c r="O114" s="27" t="n">
        <v>0</v>
      </c>
      <c r="P114" s="27" t="n">
        <v>0</v>
      </c>
      <c r="Q114" s="33" t="inlineStr"/>
    </row>
    <row r="115" ht="45" customHeight="1">
      <c r="A115" s="26" t="n">
        <v>2037</v>
      </c>
      <c r="B115" s="12" t="inlineStr">
        <is>
          <t>Business Checking</t>
        </is>
      </c>
      <c r="C115" s="12" t="inlineStr">
        <is>
          <t>Matthew</t>
        </is>
      </c>
      <c r="D115" s="41" t="inlineStr">
        <is>
          <t>cash</t>
        </is>
      </c>
      <c r="E115" s="12" t="inlineStr">
        <is>
          <t>checking</t>
        </is>
      </c>
      <c r="F115" s="27" t="n">
        <v>5000</v>
      </c>
      <c r="G115" s="27" t="n">
        <v>0</v>
      </c>
      <c r="H115" s="27" t="n">
        <v>0</v>
      </c>
      <c r="I115" s="27" t="n">
        <v>0</v>
      </c>
      <c r="J115" s="27" t="n">
        <v>0</v>
      </c>
      <c r="K115" s="27" t="n">
        <v>0</v>
      </c>
      <c r="L115" s="27" t="n">
        <v>0</v>
      </c>
      <c r="M115" s="27" t="n">
        <v>0</v>
      </c>
      <c r="N115" s="27" t="n">
        <v>5000</v>
      </c>
      <c r="O115" s="27" t="n">
        <v>5000</v>
      </c>
      <c r="P115" s="27" t="n">
        <v>0</v>
      </c>
      <c r="Q115" s="33" t="inlineStr"/>
    </row>
    <row r="116" ht="30" customHeight="1">
      <c r="A116" s="26" t="n">
        <v>2037</v>
      </c>
      <c r="B116" s="12" t="inlineStr">
        <is>
          <t>Family Checking</t>
        </is>
      </c>
      <c r="C116" s="12" t="inlineStr">
        <is>
          <t>Matthew</t>
        </is>
      </c>
      <c r="D116" s="41" t="inlineStr">
        <is>
          <t>cash</t>
        </is>
      </c>
      <c r="E116" s="12" t="inlineStr">
        <is>
          <t>checking</t>
        </is>
      </c>
      <c r="F116" s="27" t="n">
        <v>15000</v>
      </c>
      <c r="G116" s="27" t="n">
        <v>0</v>
      </c>
      <c r="H116" s="27" t="n">
        <v>0</v>
      </c>
      <c r="I116" s="27" t="n">
        <v>0</v>
      </c>
      <c r="J116" s="27" t="n">
        <v>0</v>
      </c>
      <c r="K116" s="27" t="n">
        <v>0</v>
      </c>
      <c r="L116" s="27" t="n">
        <v>0</v>
      </c>
      <c r="M116" s="27" t="n">
        <v>0</v>
      </c>
      <c r="N116" s="27" t="n">
        <v>15000</v>
      </c>
      <c r="O116" s="27" t="n">
        <v>15000</v>
      </c>
      <c r="P116" s="27" t="n">
        <v>0</v>
      </c>
      <c r="Q116" s="33" t="inlineStr"/>
    </row>
    <row r="117" ht="30" customHeight="1">
      <c r="A117" s="26" t="n">
        <v>2037</v>
      </c>
      <c r="B117" s="12" t="inlineStr">
        <is>
          <t>Matthew HSA</t>
        </is>
      </c>
      <c r="C117" s="12" t="inlineStr">
        <is>
          <t>Matthew</t>
        </is>
      </c>
      <c r="D117" s="41" t="inlineStr">
        <is>
          <t>hsa</t>
        </is>
      </c>
      <c r="E117" s="12" t="inlineStr">
        <is>
          <t>hsa</t>
        </is>
      </c>
      <c r="F117" s="27" t="n">
        <v>55933.52690107053</v>
      </c>
      <c r="G117" s="27" t="n">
        <v>0</v>
      </c>
      <c r="H117" s="27" t="n">
        <v>0</v>
      </c>
      <c r="I117" s="27" t="n">
        <v>0</v>
      </c>
      <c r="J117" s="27" t="n">
        <v>0</v>
      </c>
      <c r="K117" s="27" t="n">
        <v>0</v>
      </c>
      <c r="L117" s="27" t="n">
        <v>13983.38172526763</v>
      </c>
      <c r="M117" s="27" t="n">
        <v>2517.008710548174</v>
      </c>
      <c r="N117" s="27" t="n">
        <v>44467.15388635107</v>
      </c>
      <c r="O117" s="27" t="n">
        <v>44467.15388635107</v>
      </c>
      <c r="P117" s="27" t="n">
        <v>0</v>
      </c>
      <c r="Q117" s="12" t="inlineStr">
        <is>
          <t>withdrawal</t>
        </is>
      </c>
    </row>
    <row r="118" ht="30" customHeight="1">
      <c r="A118" s="26" t="n">
        <v>2037</v>
      </c>
      <c r="B118" s="12" t="inlineStr">
        <is>
          <t>Matthew 401k</t>
        </is>
      </c>
      <c r="C118" s="12" t="inlineStr">
        <is>
          <t>Matthew</t>
        </is>
      </c>
      <c r="D118" s="41" t="inlineStr">
        <is>
          <t>pre_tax</t>
        </is>
      </c>
      <c r="E118" s="12" t="inlineStr">
        <is>
          <t>401k</t>
        </is>
      </c>
      <c r="F118" s="27" t="n">
        <v>0</v>
      </c>
      <c r="G118" s="27" t="n">
        <v>0</v>
      </c>
      <c r="H118" s="27" t="n">
        <v>0</v>
      </c>
      <c r="I118" s="27" t="n">
        <v>0</v>
      </c>
      <c r="J118" s="27" t="n">
        <v>0</v>
      </c>
      <c r="K118" s="27" t="n">
        <v>0</v>
      </c>
      <c r="L118" s="27" t="n">
        <v>0</v>
      </c>
      <c r="M118" s="27" t="n">
        <v>0</v>
      </c>
      <c r="N118" s="27" t="n">
        <v>0</v>
      </c>
      <c r="O118" s="27" t="n">
        <v>0</v>
      </c>
      <c r="P118" s="27" t="n">
        <v>0</v>
      </c>
      <c r="Q118" s="33" t="inlineStr"/>
    </row>
    <row r="119" ht="30" customHeight="1">
      <c r="A119" s="26" t="n">
        <v>2037</v>
      </c>
      <c r="B119" s="12" t="inlineStr">
        <is>
          <t>Matthew IRA</t>
        </is>
      </c>
      <c r="C119" s="12" t="inlineStr">
        <is>
          <t>Matthew</t>
        </is>
      </c>
      <c r="D119" s="41" t="inlineStr">
        <is>
          <t>pre_tax</t>
        </is>
      </c>
      <c r="E119" s="12" t="inlineStr">
        <is>
          <t>traditional_ira</t>
        </is>
      </c>
      <c r="F119" s="27" t="n">
        <v>0</v>
      </c>
      <c r="G119" s="27" t="n">
        <v>0</v>
      </c>
      <c r="H119" s="27" t="n">
        <v>0</v>
      </c>
      <c r="I119" s="27" t="n">
        <v>0</v>
      </c>
      <c r="J119" s="27" t="n">
        <v>0</v>
      </c>
      <c r="K119" s="27" t="n">
        <v>0</v>
      </c>
      <c r="L119" s="27" t="n">
        <v>0</v>
      </c>
      <c r="M119" s="27" t="n">
        <v>0</v>
      </c>
      <c r="N119" s="27" t="n">
        <v>0</v>
      </c>
      <c r="O119" s="27" t="n">
        <v>0</v>
      </c>
      <c r="P119" s="27" t="n">
        <v>0</v>
      </c>
      <c r="Q119" s="33" t="inlineStr"/>
    </row>
    <row r="120" ht="30" customHeight="1">
      <c r="A120" s="26" t="n">
        <v>2037</v>
      </c>
      <c r="B120" s="12" t="inlineStr">
        <is>
          <t>Matthew Roth</t>
        </is>
      </c>
      <c r="C120" s="12" t="inlineStr">
        <is>
          <t>Matthew</t>
        </is>
      </c>
      <c r="D120" s="41" t="inlineStr">
        <is>
          <t>roth</t>
        </is>
      </c>
      <c r="E120" s="12" t="inlineStr">
        <is>
          <t>roth_ira</t>
        </is>
      </c>
      <c r="F120" s="27" t="n">
        <v>1292992.297922252</v>
      </c>
      <c r="G120" s="27" t="n">
        <v>0</v>
      </c>
      <c r="H120" s="27" t="n">
        <v>0</v>
      </c>
      <c r="I120" s="27" t="n">
        <v>0</v>
      </c>
      <c r="J120" s="27" t="n">
        <v>0</v>
      </c>
      <c r="K120" s="27" t="n">
        <v>0</v>
      </c>
      <c r="L120" s="27" t="n">
        <v>37613.91916609966</v>
      </c>
      <c r="M120" s="27" t="n">
        <v>75322.70272536912</v>
      </c>
      <c r="N120" s="27" t="n">
        <v>1330701.081481521</v>
      </c>
      <c r="O120" s="27" t="n">
        <v>1330701.081481521</v>
      </c>
      <c r="P120" s="27" t="n">
        <v>0</v>
      </c>
      <c r="Q120" s="12" t="inlineStr">
        <is>
          <t>withdrawal</t>
        </is>
      </c>
    </row>
    <row r="121" ht="30" customHeight="1">
      <c r="A121" s="26" t="n">
        <v>2037</v>
      </c>
      <c r="B121" s="12" t="inlineStr">
        <is>
          <t>Matthew Trust</t>
        </is>
      </c>
      <c r="C121" s="12" t="inlineStr">
        <is>
          <t>Matthew</t>
        </is>
      </c>
      <c r="D121" s="41" t="inlineStr">
        <is>
          <t>taxable</t>
        </is>
      </c>
      <c r="E121" s="12" t="inlineStr">
        <is>
          <t>trust</t>
        </is>
      </c>
      <c r="F121" s="27" t="n">
        <v>0</v>
      </c>
      <c r="G121" s="27" t="n">
        <v>0</v>
      </c>
      <c r="H121" s="27" t="n">
        <v>0</v>
      </c>
      <c r="I121" s="27" t="n">
        <v>0</v>
      </c>
      <c r="J121" s="27" t="n">
        <v>0</v>
      </c>
      <c r="K121" s="27" t="n">
        <v>0</v>
      </c>
      <c r="L121" s="27" t="n">
        <v>0</v>
      </c>
      <c r="M121" s="27" t="n">
        <v>5.626402019072994e-13</v>
      </c>
      <c r="N121" s="27" t="n">
        <v>5.626402019072994e-13</v>
      </c>
      <c r="O121" s="27" t="n">
        <v>1.511455543027415e-11</v>
      </c>
      <c r="P121" s="27" t="n">
        <v>1.455191522836685e-11</v>
      </c>
      <c r="Q121" s="33" t="inlineStr"/>
    </row>
    <row r="122" ht="30" customHeight="1">
      <c r="A122" s="26" t="n">
        <v>2037</v>
      </c>
      <c r="B122" s="12" t="inlineStr">
        <is>
          <t>Patricia IRA</t>
        </is>
      </c>
      <c r="C122" s="12" t="inlineStr">
        <is>
          <t>Patricia</t>
        </is>
      </c>
      <c r="D122" s="41" t="inlineStr">
        <is>
          <t>pre_tax</t>
        </is>
      </c>
      <c r="E122" s="12" t="inlineStr">
        <is>
          <t>traditional_ira</t>
        </is>
      </c>
      <c r="F122" s="27" t="n">
        <v>0</v>
      </c>
      <c r="G122" s="27" t="n">
        <v>0</v>
      </c>
      <c r="H122" s="27" t="n">
        <v>0</v>
      </c>
      <c r="I122" s="27" t="n">
        <v>0</v>
      </c>
      <c r="J122" s="27" t="n">
        <v>0</v>
      </c>
      <c r="K122" s="27" t="n">
        <v>0</v>
      </c>
      <c r="L122" s="27" t="n">
        <v>0</v>
      </c>
      <c r="M122" s="27" t="n">
        <v>0</v>
      </c>
      <c r="N122" s="27" t="n">
        <v>0</v>
      </c>
      <c r="O122" s="27" t="n">
        <v>0</v>
      </c>
      <c r="P122" s="27" t="n">
        <v>0</v>
      </c>
      <c r="Q122" s="33" t="inlineStr"/>
    </row>
    <row r="123" ht="30" customHeight="1">
      <c r="A123" s="26" t="n">
        <v>2037</v>
      </c>
      <c r="B123" s="12" t="inlineStr">
        <is>
          <t>Patricia Roth</t>
        </is>
      </c>
      <c r="C123" s="12" t="inlineStr">
        <is>
          <t>Patricia</t>
        </is>
      </c>
      <c r="D123" s="41" t="inlineStr">
        <is>
          <t>roth</t>
        </is>
      </c>
      <c r="E123" s="12" t="inlineStr">
        <is>
          <t>roth_ira</t>
        </is>
      </c>
      <c r="F123" s="27" t="n">
        <v>1099771.591977361</v>
      </c>
      <c r="G123" s="27" t="n">
        <v>0</v>
      </c>
      <c r="H123" s="27" t="n">
        <v>0</v>
      </c>
      <c r="I123" s="27" t="n">
        <v>0</v>
      </c>
      <c r="J123" s="27" t="n">
        <v>0</v>
      </c>
      <c r="K123" s="27" t="n">
        <v>0</v>
      </c>
      <c r="L123" s="27" t="n">
        <v>31993.01328266426</v>
      </c>
      <c r="M123" s="27" t="n">
        <v>64066.71472168179</v>
      </c>
      <c r="N123" s="27" t="n">
        <v>1131845.293416378</v>
      </c>
      <c r="O123" s="27" t="n">
        <v>1131845.293416378</v>
      </c>
      <c r="P123" s="27" t="n">
        <v>0</v>
      </c>
      <c r="Q123" s="12" t="inlineStr">
        <is>
          <t>withdrawal</t>
        </is>
      </c>
    </row>
    <row r="124" ht="30" customHeight="1">
      <c r="A124" s="26" t="n">
        <v>2037</v>
      </c>
      <c r="B124" s="12" t="inlineStr">
        <is>
          <t>Patricia Trust</t>
        </is>
      </c>
      <c r="C124" s="12" t="inlineStr">
        <is>
          <t>Patricia</t>
        </is>
      </c>
      <c r="D124" s="41" t="inlineStr">
        <is>
          <t>taxable</t>
        </is>
      </c>
      <c r="E124" s="12" t="inlineStr">
        <is>
          <t>trust</t>
        </is>
      </c>
      <c r="F124" s="27" t="n">
        <v>0</v>
      </c>
      <c r="G124" s="27" t="n">
        <v>0</v>
      </c>
      <c r="H124" s="27" t="n">
        <v>0</v>
      </c>
      <c r="I124" s="27" t="n">
        <v>0</v>
      </c>
      <c r="J124" s="27" t="n">
        <v>0</v>
      </c>
      <c r="K124" s="27" t="n">
        <v>0</v>
      </c>
      <c r="L124" s="27" t="n">
        <v>0</v>
      </c>
      <c r="M124" s="27" t="n">
        <v>0</v>
      </c>
      <c r="N124" s="27" t="n">
        <v>0</v>
      </c>
      <c r="O124" s="27" t="n">
        <v>0</v>
      </c>
      <c r="P124" s="27" t="n">
        <v>0</v>
      </c>
      <c r="Q124" s="33" t="inlineStr"/>
    </row>
    <row r="125" ht="45" customHeight="1">
      <c r="A125" s="26" t="n">
        <v>2038</v>
      </c>
      <c r="B125" s="12" t="inlineStr">
        <is>
          <t>Business Checking</t>
        </is>
      </c>
      <c r="C125" s="12" t="inlineStr">
        <is>
          <t>Matthew</t>
        </is>
      </c>
      <c r="D125" s="41" t="inlineStr">
        <is>
          <t>cash</t>
        </is>
      </c>
      <c r="E125" s="12" t="inlineStr">
        <is>
          <t>checking</t>
        </is>
      </c>
      <c r="F125" s="27" t="n">
        <v>5000</v>
      </c>
      <c r="G125" s="27" t="n">
        <v>0</v>
      </c>
      <c r="H125" s="27" t="n">
        <v>0</v>
      </c>
      <c r="I125" s="27" t="n">
        <v>0</v>
      </c>
      <c r="J125" s="27" t="n">
        <v>0</v>
      </c>
      <c r="K125" s="27" t="n">
        <v>0</v>
      </c>
      <c r="L125" s="27" t="n">
        <v>0</v>
      </c>
      <c r="M125" s="27" t="n">
        <v>0</v>
      </c>
      <c r="N125" s="27" t="n">
        <v>5000</v>
      </c>
      <c r="O125" s="27" t="n">
        <v>5000</v>
      </c>
      <c r="P125" s="27" t="n">
        <v>0</v>
      </c>
      <c r="Q125" s="33" t="inlineStr"/>
    </row>
    <row r="126" ht="30" customHeight="1">
      <c r="A126" s="26" t="n">
        <v>2038</v>
      </c>
      <c r="B126" s="12" t="inlineStr">
        <is>
          <t>Family Checking</t>
        </is>
      </c>
      <c r="C126" s="12" t="inlineStr">
        <is>
          <t>Matthew</t>
        </is>
      </c>
      <c r="D126" s="41" t="inlineStr">
        <is>
          <t>cash</t>
        </is>
      </c>
      <c r="E126" s="12" t="inlineStr">
        <is>
          <t>checking</t>
        </is>
      </c>
      <c r="F126" s="27" t="n">
        <v>15000</v>
      </c>
      <c r="G126" s="27" t="n">
        <v>0</v>
      </c>
      <c r="H126" s="27" t="n">
        <v>0</v>
      </c>
      <c r="I126" s="27" t="n">
        <v>0</v>
      </c>
      <c r="J126" s="27" t="n">
        <v>0</v>
      </c>
      <c r="K126" s="27" t="n">
        <v>0</v>
      </c>
      <c r="L126" s="27" t="n">
        <v>0</v>
      </c>
      <c r="M126" s="27" t="n">
        <v>0</v>
      </c>
      <c r="N126" s="27" t="n">
        <v>15000</v>
      </c>
      <c r="O126" s="27" t="n">
        <v>15000</v>
      </c>
      <c r="P126" s="27" t="n">
        <v>0</v>
      </c>
      <c r="Q126" s="33" t="inlineStr"/>
    </row>
    <row r="127" ht="30" customHeight="1">
      <c r="A127" s="26" t="n">
        <v>2038</v>
      </c>
      <c r="B127" s="12" t="inlineStr">
        <is>
          <t>Matthew HSA</t>
        </is>
      </c>
      <c r="C127" s="12" t="inlineStr">
        <is>
          <t>Matthew</t>
        </is>
      </c>
      <c r="D127" s="41" t="inlineStr">
        <is>
          <t>hsa</t>
        </is>
      </c>
      <c r="E127" s="12" t="inlineStr">
        <is>
          <t>hsa</t>
        </is>
      </c>
      <c r="F127" s="27" t="n">
        <v>44467.15388635107</v>
      </c>
      <c r="G127" s="27" t="n">
        <v>0</v>
      </c>
      <c r="H127" s="27" t="n">
        <v>0</v>
      </c>
      <c r="I127" s="27" t="n">
        <v>0</v>
      </c>
      <c r="J127" s="27" t="n">
        <v>0</v>
      </c>
      <c r="K127" s="27" t="n">
        <v>0</v>
      </c>
      <c r="L127" s="27" t="n">
        <v>14822.38462878369</v>
      </c>
      <c r="M127" s="27" t="n">
        <v>1778.686155454043</v>
      </c>
      <c r="N127" s="27" t="n">
        <v>31423.45541302142</v>
      </c>
      <c r="O127" s="27" t="n">
        <v>31423.45541302142</v>
      </c>
      <c r="P127" s="27" t="n">
        <v>0</v>
      </c>
      <c r="Q127" s="12" t="inlineStr">
        <is>
          <t>withdrawal</t>
        </is>
      </c>
    </row>
    <row r="128" ht="30" customHeight="1">
      <c r="A128" s="26" t="n">
        <v>2038</v>
      </c>
      <c r="B128" s="12" t="inlineStr">
        <is>
          <t>Matthew 401k</t>
        </is>
      </c>
      <c r="C128" s="12" t="inlineStr">
        <is>
          <t>Matthew</t>
        </is>
      </c>
      <c r="D128" s="41" t="inlineStr">
        <is>
          <t>pre_tax</t>
        </is>
      </c>
      <c r="E128" s="12" t="inlineStr">
        <is>
          <t>401k</t>
        </is>
      </c>
      <c r="F128" s="27" t="n">
        <v>0</v>
      </c>
      <c r="G128" s="27" t="n">
        <v>0</v>
      </c>
      <c r="H128" s="27" t="n">
        <v>0</v>
      </c>
      <c r="I128" s="27" t="n">
        <v>0</v>
      </c>
      <c r="J128" s="27" t="n">
        <v>0</v>
      </c>
      <c r="K128" s="27" t="n">
        <v>0</v>
      </c>
      <c r="L128" s="27" t="n">
        <v>0</v>
      </c>
      <c r="M128" s="27" t="n">
        <v>0</v>
      </c>
      <c r="N128" s="27" t="n">
        <v>0</v>
      </c>
      <c r="O128" s="27" t="n">
        <v>0</v>
      </c>
      <c r="P128" s="27" t="n">
        <v>0</v>
      </c>
      <c r="Q128" s="33" t="inlineStr"/>
    </row>
    <row r="129" ht="30" customHeight="1">
      <c r="A129" s="26" t="n">
        <v>2038</v>
      </c>
      <c r="B129" s="12" t="inlineStr">
        <is>
          <t>Matthew IRA</t>
        </is>
      </c>
      <c r="C129" s="12" t="inlineStr">
        <is>
          <t>Matthew</t>
        </is>
      </c>
      <c r="D129" s="41" t="inlineStr">
        <is>
          <t>pre_tax</t>
        </is>
      </c>
      <c r="E129" s="12" t="inlineStr">
        <is>
          <t>traditional_ira</t>
        </is>
      </c>
      <c r="F129" s="27" t="n">
        <v>0</v>
      </c>
      <c r="G129" s="27" t="n">
        <v>0</v>
      </c>
      <c r="H129" s="27" t="n">
        <v>0</v>
      </c>
      <c r="I129" s="27" t="n">
        <v>0</v>
      </c>
      <c r="J129" s="27" t="n">
        <v>0</v>
      </c>
      <c r="K129" s="27" t="n">
        <v>0</v>
      </c>
      <c r="L129" s="27" t="n">
        <v>0</v>
      </c>
      <c r="M129" s="27" t="n">
        <v>0</v>
      </c>
      <c r="N129" s="27" t="n">
        <v>0</v>
      </c>
      <c r="O129" s="27" t="n">
        <v>0</v>
      </c>
      <c r="P129" s="27" t="n">
        <v>0</v>
      </c>
      <c r="Q129" s="33" t="inlineStr"/>
    </row>
    <row r="130" ht="30" customHeight="1">
      <c r="A130" s="26" t="n">
        <v>2038</v>
      </c>
      <c r="B130" s="12" t="inlineStr">
        <is>
          <t>Matthew Roth</t>
        </is>
      </c>
      <c r="C130" s="12" t="inlineStr">
        <is>
          <t>Matthew</t>
        </is>
      </c>
      <c r="D130" s="41" t="inlineStr">
        <is>
          <t>roth</t>
        </is>
      </c>
      <c r="E130" s="12" t="inlineStr">
        <is>
          <t>roth_ira</t>
        </is>
      </c>
      <c r="F130" s="27" t="n">
        <v>1330701.081481521</v>
      </c>
      <c r="G130" s="27" t="n">
        <v>0</v>
      </c>
      <c r="H130" s="27" t="n">
        <v>0</v>
      </c>
      <c r="I130" s="27" t="n">
        <v>0</v>
      </c>
      <c r="J130" s="27" t="n">
        <v>0</v>
      </c>
      <c r="K130" s="27" t="n">
        <v>0</v>
      </c>
      <c r="L130" s="27" t="n">
        <v>41199.4122553405</v>
      </c>
      <c r="M130" s="27" t="n">
        <v>77370.10015357083</v>
      </c>
      <c r="N130" s="27" t="n">
        <v>1366871.769379751</v>
      </c>
      <c r="O130" s="27" t="n">
        <v>1366871.769379751</v>
      </c>
      <c r="P130" s="27" t="n">
        <v>0</v>
      </c>
      <c r="Q130" s="12" t="inlineStr">
        <is>
          <t>withdrawal</t>
        </is>
      </c>
    </row>
    <row r="131" ht="30" customHeight="1">
      <c r="A131" s="26" t="n">
        <v>2038</v>
      </c>
      <c r="B131" s="12" t="inlineStr">
        <is>
          <t>Matthew Trust</t>
        </is>
      </c>
      <c r="C131" s="12" t="inlineStr">
        <is>
          <t>Matthew</t>
        </is>
      </c>
      <c r="D131" s="41" t="inlineStr">
        <is>
          <t>taxable</t>
        </is>
      </c>
      <c r="E131" s="12" t="inlineStr">
        <is>
          <t>trust</t>
        </is>
      </c>
      <c r="F131" s="27" t="n">
        <v>1.511455543027415e-11</v>
      </c>
      <c r="G131" s="27" t="n">
        <v>0</v>
      </c>
      <c r="H131" s="27" t="n">
        <v>0</v>
      </c>
      <c r="I131" s="27" t="n">
        <v>0</v>
      </c>
      <c r="J131" s="27" t="n">
        <v>0</v>
      </c>
      <c r="K131" s="27" t="n">
        <v>0</v>
      </c>
      <c r="L131" s="27" t="n">
        <v>0</v>
      </c>
      <c r="M131" s="27" t="n">
        <v>0</v>
      </c>
      <c r="N131" s="27" t="n">
        <v>1.511455543027415e-11</v>
      </c>
      <c r="O131" s="27" t="n">
        <v>0</v>
      </c>
      <c r="P131" s="27" t="n">
        <v>-1.511455543027415e-11</v>
      </c>
      <c r="Q131" s="33" t="inlineStr"/>
    </row>
    <row r="132" ht="30" customHeight="1">
      <c r="A132" s="26" t="n">
        <v>2038</v>
      </c>
      <c r="B132" s="12" t="inlineStr">
        <is>
          <t>Patricia IRA</t>
        </is>
      </c>
      <c r="C132" s="12" t="inlineStr">
        <is>
          <t>Patricia</t>
        </is>
      </c>
      <c r="D132" s="41" t="inlineStr">
        <is>
          <t>pre_tax</t>
        </is>
      </c>
      <c r="E132" s="12" t="inlineStr">
        <is>
          <t>traditional_ira</t>
        </is>
      </c>
      <c r="F132" s="27" t="n">
        <v>0</v>
      </c>
      <c r="G132" s="27" t="n">
        <v>0</v>
      </c>
      <c r="H132" s="27" t="n">
        <v>0</v>
      </c>
      <c r="I132" s="27" t="n">
        <v>0</v>
      </c>
      <c r="J132" s="27" t="n">
        <v>0</v>
      </c>
      <c r="K132" s="27" t="n">
        <v>0</v>
      </c>
      <c r="L132" s="27" t="n">
        <v>0</v>
      </c>
      <c r="M132" s="27" t="n">
        <v>0</v>
      </c>
      <c r="N132" s="27" t="n">
        <v>0</v>
      </c>
      <c r="O132" s="27" t="n">
        <v>0</v>
      </c>
      <c r="P132" s="27" t="n">
        <v>0</v>
      </c>
      <c r="Q132" s="33" t="inlineStr"/>
    </row>
    <row r="133" ht="30" customHeight="1">
      <c r="A133" s="26" t="n">
        <v>2038</v>
      </c>
      <c r="B133" s="12" t="inlineStr">
        <is>
          <t>Patricia Roth</t>
        </is>
      </c>
      <c r="C133" s="12" t="inlineStr">
        <is>
          <t>Patricia</t>
        </is>
      </c>
      <c r="D133" s="41" t="inlineStr">
        <is>
          <t>roth</t>
        </is>
      </c>
      <c r="E133" s="12" t="inlineStr">
        <is>
          <t>roth_ira</t>
        </is>
      </c>
      <c r="F133" s="27" t="n">
        <v>1131845.293416378</v>
      </c>
      <c r="G133" s="27" t="n">
        <v>0</v>
      </c>
      <c r="H133" s="27" t="n">
        <v>0</v>
      </c>
      <c r="I133" s="27" t="n">
        <v>0</v>
      </c>
      <c r="J133" s="27" t="n">
        <v>0</v>
      </c>
      <c r="K133" s="27" t="n">
        <v>0</v>
      </c>
      <c r="L133" s="27" t="n">
        <v>35042.7015515849</v>
      </c>
      <c r="M133" s="27" t="n">
        <v>65808.1555118876</v>
      </c>
      <c r="N133" s="27" t="n">
        <v>1162610.747376681</v>
      </c>
      <c r="O133" s="27" t="n">
        <v>1162610.747376681</v>
      </c>
      <c r="P133" s="27" t="n">
        <v>0</v>
      </c>
      <c r="Q133" s="12" t="inlineStr">
        <is>
          <t>withdrawal</t>
        </is>
      </c>
    </row>
    <row r="134" ht="30" customHeight="1">
      <c r="A134" s="26" t="n">
        <v>2038</v>
      </c>
      <c r="B134" s="12" t="inlineStr">
        <is>
          <t>Patricia Trust</t>
        </is>
      </c>
      <c r="C134" s="12" t="inlineStr">
        <is>
          <t>Patricia</t>
        </is>
      </c>
      <c r="D134" s="41" t="inlineStr">
        <is>
          <t>taxable</t>
        </is>
      </c>
      <c r="E134" s="12" t="inlineStr">
        <is>
          <t>trust</t>
        </is>
      </c>
      <c r="F134" s="27" t="n">
        <v>0</v>
      </c>
      <c r="G134" s="27" t="n">
        <v>0</v>
      </c>
      <c r="H134" s="27" t="n">
        <v>0</v>
      </c>
      <c r="I134" s="27" t="n">
        <v>0</v>
      </c>
      <c r="J134" s="27" t="n">
        <v>0</v>
      </c>
      <c r="K134" s="27" t="n">
        <v>0</v>
      </c>
      <c r="L134" s="27" t="n">
        <v>0</v>
      </c>
      <c r="M134" s="27" t="n">
        <v>0</v>
      </c>
      <c r="N134" s="27" t="n">
        <v>0</v>
      </c>
      <c r="O134" s="27" t="n">
        <v>0</v>
      </c>
      <c r="P134" s="27" t="n">
        <v>0</v>
      </c>
      <c r="Q134" s="33" t="inlineStr"/>
    </row>
    <row r="135" ht="45" customHeight="1">
      <c r="A135" s="26" t="n">
        <v>2039</v>
      </c>
      <c r="B135" s="12" t="inlineStr">
        <is>
          <t>Business Checking</t>
        </is>
      </c>
      <c r="C135" s="12" t="inlineStr">
        <is>
          <t>Matthew</t>
        </is>
      </c>
      <c r="D135" s="41" t="inlineStr">
        <is>
          <t>cash</t>
        </is>
      </c>
      <c r="E135" s="12" t="inlineStr">
        <is>
          <t>checking</t>
        </is>
      </c>
      <c r="F135" s="27" t="n">
        <v>5000</v>
      </c>
      <c r="G135" s="27" t="n">
        <v>0</v>
      </c>
      <c r="H135" s="27" t="n">
        <v>0</v>
      </c>
      <c r="I135" s="27" t="n">
        <v>0</v>
      </c>
      <c r="J135" s="27" t="n">
        <v>0</v>
      </c>
      <c r="K135" s="27" t="n">
        <v>0</v>
      </c>
      <c r="L135" s="27" t="n">
        <v>0</v>
      </c>
      <c r="M135" s="27" t="n">
        <v>0</v>
      </c>
      <c r="N135" s="27" t="n">
        <v>5000</v>
      </c>
      <c r="O135" s="27" t="n">
        <v>5000</v>
      </c>
      <c r="P135" s="27" t="n">
        <v>0</v>
      </c>
      <c r="Q135" s="33" t="inlineStr"/>
    </row>
    <row r="136" ht="30" customHeight="1">
      <c r="A136" s="26" t="n">
        <v>2039</v>
      </c>
      <c r="B136" s="12" t="inlineStr">
        <is>
          <t>Family Checking</t>
        </is>
      </c>
      <c r="C136" s="12" t="inlineStr">
        <is>
          <t>Matthew</t>
        </is>
      </c>
      <c r="D136" s="41" t="inlineStr">
        <is>
          <t>cash</t>
        </is>
      </c>
      <c r="E136" s="12" t="inlineStr">
        <is>
          <t>checking</t>
        </is>
      </c>
      <c r="F136" s="27" t="n">
        <v>15000</v>
      </c>
      <c r="G136" s="27" t="n">
        <v>0</v>
      </c>
      <c r="H136" s="27" t="n">
        <v>0</v>
      </c>
      <c r="I136" s="27" t="n">
        <v>0</v>
      </c>
      <c r="J136" s="27" t="n">
        <v>0</v>
      </c>
      <c r="K136" s="27" t="n">
        <v>0</v>
      </c>
      <c r="L136" s="27" t="n">
        <v>0</v>
      </c>
      <c r="M136" s="27" t="n">
        <v>0</v>
      </c>
      <c r="N136" s="27" t="n">
        <v>15000</v>
      </c>
      <c r="O136" s="27" t="n">
        <v>15000</v>
      </c>
      <c r="P136" s="27" t="n">
        <v>0</v>
      </c>
      <c r="Q136" s="33" t="inlineStr"/>
    </row>
    <row r="137" ht="30" customHeight="1">
      <c r="A137" s="26" t="n">
        <v>2039</v>
      </c>
      <c r="B137" s="12" t="inlineStr">
        <is>
          <t>Matthew HSA</t>
        </is>
      </c>
      <c r="C137" s="12" t="inlineStr">
        <is>
          <t>Matthew</t>
        </is>
      </c>
      <c r="D137" s="41" t="inlineStr">
        <is>
          <t>hsa</t>
        </is>
      </c>
      <c r="E137" s="12" t="inlineStr">
        <is>
          <t>hsa</t>
        </is>
      </c>
      <c r="F137" s="27" t="n">
        <v>31423.45541302142</v>
      </c>
      <c r="G137" s="27" t="n">
        <v>0</v>
      </c>
      <c r="H137" s="27" t="n">
        <v>0</v>
      </c>
      <c r="I137" s="27" t="n">
        <v>0</v>
      </c>
      <c r="J137" s="27" t="n">
        <v>0</v>
      </c>
      <c r="K137" s="27" t="n">
        <v>0</v>
      </c>
      <c r="L137" s="27" t="n">
        <v>15711.72770651071</v>
      </c>
      <c r="M137" s="27" t="n">
        <v>942.7036623906426</v>
      </c>
      <c r="N137" s="27" t="n">
        <v>16654.43136890135</v>
      </c>
      <c r="O137" s="27" t="n">
        <v>16654.43136890135</v>
      </c>
      <c r="P137" s="27" t="n">
        <v>0</v>
      </c>
      <c r="Q137" s="12" t="inlineStr">
        <is>
          <t>withdrawal</t>
        </is>
      </c>
    </row>
    <row r="138" ht="30" customHeight="1">
      <c r="A138" s="26" t="n">
        <v>2039</v>
      </c>
      <c r="B138" s="12" t="inlineStr">
        <is>
          <t>Matthew 401k</t>
        </is>
      </c>
      <c r="C138" s="12" t="inlineStr">
        <is>
          <t>Matthew</t>
        </is>
      </c>
      <c r="D138" s="41" t="inlineStr">
        <is>
          <t>pre_tax</t>
        </is>
      </c>
      <c r="E138" s="12" t="inlineStr">
        <is>
          <t>401k</t>
        </is>
      </c>
      <c r="F138" s="27" t="n">
        <v>0</v>
      </c>
      <c r="G138" s="27" t="n">
        <v>0</v>
      </c>
      <c r="H138" s="27" t="n">
        <v>0</v>
      </c>
      <c r="I138" s="27" t="n">
        <v>0</v>
      </c>
      <c r="J138" s="27" t="n">
        <v>0</v>
      </c>
      <c r="K138" s="27" t="n">
        <v>0</v>
      </c>
      <c r="L138" s="27" t="n">
        <v>0</v>
      </c>
      <c r="M138" s="27" t="n">
        <v>0</v>
      </c>
      <c r="N138" s="27" t="n">
        <v>0</v>
      </c>
      <c r="O138" s="27" t="n">
        <v>0</v>
      </c>
      <c r="P138" s="27" t="n">
        <v>0</v>
      </c>
      <c r="Q138" s="33" t="inlineStr"/>
    </row>
    <row r="139" ht="30" customHeight="1">
      <c r="A139" s="26" t="n">
        <v>2039</v>
      </c>
      <c r="B139" s="12" t="inlineStr">
        <is>
          <t>Matthew IRA</t>
        </is>
      </c>
      <c r="C139" s="12" t="inlineStr">
        <is>
          <t>Matthew</t>
        </is>
      </c>
      <c r="D139" s="41" t="inlineStr">
        <is>
          <t>pre_tax</t>
        </is>
      </c>
      <c r="E139" s="12" t="inlineStr">
        <is>
          <t>traditional_ira</t>
        </is>
      </c>
      <c r="F139" s="27" t="n">
        <v>0</v>
      </c>
      <c r="G139" s="27" t="n">
        <v>0</v>
      </c>
      <c r="H139" s="27" t="n">
        <v>0</v>
      </c>
      <c r="I139" s="27" t="n">
        <v>0</v>
      </c>
      <c r="J139" s="27" t="n">
        <v>0</v>
      </c>
      <c r="K139" s="27" t="n">
        <v>0</v>
      </c>
      <c r="L139" s="27" t="n">
        <v>0</v>
      </c>
      <c r="M139" s="27" t="n">
        <v>0</v>
      </c>
      <c r="N139" s="27" t="n">
        <v>0</v>
      </c>
      <c r="O139" s="27" t="n">
        <v>0</v>
      </c>
      <c r="P139" s="27" t="n">
        <v>0</v>
      </c>
      <c r="Q139" s="33" t="inlineStr"/>
    </row>
    <row r="140" ht="30" customHeight="1">
      <c r="A140" s="26" t="n">
        <v>2039</v>
      </c>
      <c r="B140" s="12" t="inlineStr">
        <is>
          <t>Matthew Roth</t>
        </is>
      </c>
      <c r="C140" s="12" t="inlineStr">
        <is>
          <t>Matthew</t>
        </is>
      </c>
      <c r="D140" s="41" t="inlineStr">
        <is>
          <t>roth</t>
        </is>
      </c>
      <c r="E140" s="12" t="inlineStr">
        <is>
          <t>roth_ira</t>
        </is>
      </c>
      <c r="F140" s="27" t="n">
        <v>1366871.769379751</v>
      </c>
      <c r="G140" s="27" t="n">
        <v>0</v>
      </c>
      <c r="H140" s="27" t="n">
        <v>0</v>
      </c>
      <c r="I140" s="27" t="n">
        <v>0</v>
      </c>
      <c r="J140" s="27" t="n">
        <v>0</v>
      </c>
      <c r="K140" s="27" t="n">
        <v>0</v>
      </c>
      <c r="L140" s="27" t="n">
        <v>44850.41621716692</v>
      </c>
      <c r="M140" s="27" t="n">
        <v>79321.28118975506</v>
      </c>
      <c r="N140" s="27" t="n">
        <v>1401342.634352339</v>
      </c>
      <c r="O140" s="27" t="n">
        <v>1401342.634352339</v>
      </c>
      <c r="P140" s="27" t="n">
        <v>0</v>
      </c>
      <c r="Q140" s="12" t="inlineStr">
        <is>
          <t>withdrawal</t>
        </is>
      </c>
    </row>
    <row r="141" ht="30" customHeight="1">
      <c r="A141" s="26" t="n">
        <v>2039</v>
      </c>
      <c r="B141" s="12" t="inlineStr">
        <is>
          <t>Matthew Trust</t>
        </is>
      </c>
      <c r="C141" s="12" t="inlineStr">
        <is>
          <t>Matthew</t>
        </is>
      </c>
      <c r="D141" s="41" t="inlineStr">
        <is>
          <t>taxable</t>
        </is>
      </c>
      <c r="E141" s="12" t="inlineStr">
        <is>
          <t>trust</t>
        </is>
      </c>
      <c r="F141" s="27" t="n">
        <v>0</v>
      </c>
      <c r="G141" s="27" t="n">
        <v>0</v>
      </c>
      <c r="H141" s="27" t="n">
        <v>0</v>
      </c>
      <c r="I141" s="27" t="n">
        <v>0</v>
      </c>
      <c r="J141" s="27" t="n">
        <v>0</v>
      </c>
      <c r="K141" s="27" t="n">
        <v>0</v>
      </c>
      <c r="L141" s="27" t="n">
        <v>0</v>
      </c>
      <c r="M141" s="27" t="n">
        <v>0</v>
      </c>
      <c r="N141" s="27" t="n">
        <v>0</v>
      </c>
      <c r="O141" s="27" t="n">
        <v>0</v>
      </c>
      <c r="P141" s="27" t="n">
        <v>0</v>
      </c>
      <c r="Q141" s="33" t="inlineStr"/>
    </row>
    <row r="142" ht="30" customHeight="1">
      <c r="A142" s="26" t="n">
        <v>2039</v>
      </c>
      <c r="B142" s="12" t="inlineStr">
        <is>
          <t>Patricia IRA</t>
        </is>
      </c>
      <c r="C142" s="12" t="inlineStr">
        <is>
          <t>Patricia</t>
        </is>
      </c>
      <c r="D142" s="41" t="inlineStr">
        <is>
          <t>pre_tax</t>
        </is>
      </c>
      <c r="E142" s="12" t="inlineStr">
        <is>
          <t>traditional_ira</t>
        </is>
      </c>
      <c r="F142" s="27" t="n">
        <v>0</v>
      </c>
      <c r="G142" s="27" t="n">
        <v>0</v>
      </c>
      <c r="H142" s="27" t="n">
        <v>0</v>
      </c>
      <c r="I142" s="27" t="n">
        <v>0</v>
      </c>
      <c r="J142" s="27" t="n">
        <v>0</v>
      </c>
      <c r="K142" s="27" t="n">
        <v>0</v>
      </c>
      <c r="L142" s="27" t="n">
        <v>0</v>
      </c>
      <c r="M142" s="27" t="n">
        <v>0</v>
      </c>
      <c r="N142" s="27" t="n">
        <v>0</v>
      </c>
      <c r="O142" s="27" t="n">
        <v>0</v>
      </c>
      <c r="P142" s="27" t="n">
        <v>0</v>
      </c>
      <c r="Q142" s="33" t="inlineStr"/>
    </row>
    <row r="143" ht="30" customHeight="1">
      <c r="A143" s="26" t="n">
        <v>2039</v>
      </c>
      <c r="B143" s="12" t="inlineStr">
        <is>
          <t>Patricia Roth</t>
        </is>
      </c>
      <c r="C143" s="12" t="inlineStr">
        <is>
          <t>Patricia</t>
        </is>
      </c>
      <c r="D143" s="41" t="inlineStr">
        <is>
          <t>roth</t>
        </is>
      </c>
      <c r="E143" s="12" t="inlineStr">
        <is>
          <t>roth_ira</t>
        </is>
      </c>
      <c r="F143" s="27" t="n">
        <v>1162610.747376681</v>
      </c>
      <c r="G143" s="27" t="n">
        <v>0</v>
      </c>
      <c r="H143" s="27" t="n">
        <v>0</v>
      </c>
      <c r="I143" s="27" t="n">
        <v>0</v>
      </c>
      <c r="J143" s="27" t="n">
        <v>0</v>
      </c>
      <c r="K143" s="27" t="n">
        <v>0</v>
      </c>
      <c r="L143" s="27" t="n">
        <v>38148.11095415113</v>
      </c>
      <c r="M143" s="27" t="n">
        <v>67467.75818535179</v>
      </c>
      <c r="N143" s="27" t="n">
        <v>1191930.394607882</v>
      </c>
      <c r="O143" s="27" t="n">
        <v>1191930.394607882</v>
      </c>
      <c r="P143" s="27" t="n">
        <v>0</v>
      </c>
      <c r="Q143" s="12" t="inlineStr">
        <is>
          <t>withdrawal</t>
        </is>
      </c>
    </row>
    <row r="144" ht="30" customHeight="1">
      <c r="A144" s="26" t="n">
        <v>2039</v>
      </c>
      <c r="B144" s="12" t="inlineStr">
        <is>
          <t>Patricia Trust</t>
        </is>
      </c>
      <c r="C144" s="12" t="inlineStr">
        <is>
          <t>Patricia</t>
        </is>
      </c>
      <c r="D144" s="41" t="inlineStr">
        <is>
          <t>taxable</t>
        </is>
      </c>
      <c r="E144" s="12" t="inlineStr">
        <is>
          <t>trust</t>
        </is>
      </c>
      <c r="F144" s="27" t="n">
        <v>0</v>
      </c>
      <c r="G144" s="27" t="n">
        <v>0</v>
      </c>
      <c r="H144" s="27" t="n">
        <v>0</v>
      </c>
      <c r="I144" s="27" t="n">
        <v>0</v>
      </c>
      <c r="J144" s="27" t="n">
        <v>0</v>
      </c>
      <c r="K144" s="27" t="n">
        <v>0</v>
      </c>
      <c r="L144" s="27" t="n">
        <v>0</v>
      </c>
      <c r="M144" s="27" t="n">
        <v>0</v>
      </c>
      <c r="N144" s="27" t="n">
        <v>0</v>
      </c>
      <c r="O144" s="27" t="n">
        <v>0</v>
      </c>
      <c r="P144" s="27" t="n">
        <v>0</v>
      </c>
      <c r="Q144" s="33" t="inlineStr"/>
    </row>
    <row r="145" ht="45" customHeight="1">
      <c r="A145" s="26" t="n">
        <v>2040</v>
      </c>
      <c r="B145" s="12" t="inlineStr">
        <is>
          <t>Business Checking</t>
        </is>
      </c>
      <c r="C145" s="12" t="inlineStr">
        <is>
          <t>Matthew</t>
        </is>
      </c>
      <c r="D145" s="41" t="inlineStr">
        <is>
          <t>cash</t>
        </is>
      </c>
      <c r="E145" s="12" t="inlineStr">
        <is>
          <t>checking</t>
        </is>
      </c>
      <c r="F145" s="27" t="n">
        <v>5000</v>
      </c>
      <c r="G145" s="27" t="n">
        <v>0</v>
      </c>
      <c r="H145" s="27" t="n">
        <v>0</v>
      </c>
      <c r="I145" s="27" t="n">
        <v>0</v>
      </c>
      <c r="J145" s="27" t="n">
        <v>0</v>
      </c>
      <c r="K145" s="27" t="n">
        <v>0</v>
      </c>
      <c r="L145" s="27" t="n">
        <v>0</v>
      </c>
      <c r="M145" s="27" t="n">
        <v>0</v>
      </c>
      <c r="N145" s="27" t="n">
        <v>5000</v>
      </c>
      <c r="O145" s="27" t="n">
        <v>5000</v>
      </c>
      <c r="P145" s="27" t="n">
        <v>0</v>
      </c>
      <c r="Q145" s="33" t="inlineStr"/>
    </row>
    <row r="146" ht="30" customHeight="1">
      <c r="A146" s="26" t="n">
        <v>2040</v>
      </c>
      <c r="B146" s="12" t="inlineStr">
        <is>
          <t>Family Checking</t>
        </is>
      </c>
      <c r="C146" s="12" t="inlineStr">
        <is>
          <t>Matthew</t>
        </is>
      </c>
      <c r="D146" s="41" t="inlineStr">
        <is>
          <t>cash</t>
        </is>
      </c>
      <c r="E146" s="12" t="inlineStr">
        <is>
          <t>checking</t>
        </is>
      </c>
      <c r="F146" s="27" t="n">
        <v>15000</v>
      </c>
      <c r="G146" s="27" t="n">
        <v>0</v>
      </c>
      <c r="H146" s="27" t="n">
        <v>0</v>
      </c>
      <c r="I146" s="27" t="n">
        <v>0</v>
      </c>
      <c r="J146" s="27" t="n">
        <v>0</v>
      </c>
      <c r="K146" s="27" t="n">
        <v>0</v>
      </c>
      <c r="L146" s="27" t="n">
        <v>0</v>
      </c>
      <c r="M146" s="27" t="n">
        <v>0</v>
      </c>
      <c r="N146" s="27" t="n">
        <v>15000</v>
      </c>
      <c r="O146" s="27" t="n">
        <v>15000</v>
      </c>
      <c r="P146" s="27" t="n">
        <v>0</v>
      </c>
      <c r="Q146" s="33" t="inlineStr"/>
    </row>
    <row r="147" ht="30" customHeight="1">
      <c r="A147" s="26" t="n">
        <v>2040</v>
      </c>
      <c r="B147" s="12" t="inlineStr">
        <is>
          <t>Matthew HSA</t>
        </is>
      </c>
      <c r="C147" s="12" t="inlineStr">
        <is>
          <t>Matthew</t>
        </is>
      </c>
      <c r="D147" s="41" t="inlineStr">
        <is>
          <t>hsa</t>
        </is>
      </c>
      <c r="E147" s="12" t="inlineStr">
        <is>
          <t>hsa</t>
        </is>
      </c>
      <c r="F147" s="27" t="n">
        <v>16654.43136890135</v>
      </c>
      <c r="G147" s="27" t="n">
        <v>0</v>
      </c>
      <c r="H147" s="27" t="n">
        <v>0</v>
      </c>
      <c r="I147" s="27" t="n">
        <v>0</v>
      </c>
      <c r="J147" s="27" t="n">
        <v>0</v>
      </c>
      <c r="K147" s="27" t="n">
        <v>0</v>
      </c>
      <c r="L147" s="27" t="n">
        <v>16654.43136890135</v>
      </c>
      <c r="M147" s="27" t="n">
        <v>0</v>
      </c>
      <c r="N147" s="27" t="n">
        <v>0</v>
      </c>
      <c r="O147" s="27" t="n">
        <v>0</v>
      </c>
      <c r="P147" s="27" t="n">
        <v>0</v>
      </c>
      <c r="Q147" s="12" t="inlineStr">
        <is>
          <t>withdrawal</t>
        </is>
      </c>
    </row>
    <row r="148" ht="30" customHeight="1">
      <c r="A148" s="26" t="n">
        <v>2040</v>
      </c>
      <c r="B148" s="12" t="inlineStr">
        <is>
          <t>Matthew 401k</t>
        </is>
      </c>
      <c r="C148" s="12" t="inlineStr">
        <is>
          <t>Matthew</t>
        </is>
      </c>
      <c r="D148" s="41" t="inlineStr">
        <is>
          <t>pre_tax</t>
        </is>
      </c>
      <c r="E148" s="12" t="inlineStr">
        <is>
          <t>401k</t>
        </is>
      </c>
      <c r="F148" s="27" t="n">
        <v>0</v>
      </c>
      <c r="G148" s="27" t="n">
        <v>0</v>
      </c>
      <c r="H148" s="27" t="n">
        <v>0</v>
      </c>
      <c r="I148" s="27" t="n">
        <v>0</v>
      </c>
      <c r="J148" s="27" t="n">
        <v>0</v>
      </c>
      <c r="K148" s="27" t="n">
        <v>0</v>
      </c>
      <c r="L148" s="27" t="n">
        <v>0</v>
      </c>
      <c r="M148" s="27" t="n">
        <v>0</v>
      </c>
      <c r="N148" s="27" t="n">
        <v>0</v>
      </c>
      <c r="O148" s="27" t="n">
        <v>0</v>
      </c>
      <c r="P148" s="27" t="n">
        <v>0</v>
      </c>
      <c r="Q148" s="33" t="inlineStr"/>
    </row>
    <row r="149" ht="30" customHeight="1">
      <c r="A149" s="26" t="n">
        <v>2040</v>
      </c>
      <c r="B149" s="12" t="inlineStr">
        <is>
          <t>Matthew IRA</t>
        </is>
      </c>
      <c r="C149" s="12" t="inlineStr">
        <is>
          <t>Matthew</t>
        </is>
      </c>
      <c r="D149" s="41" t="inlineStr">
        <is>
          <t>pre_tax</t>
        </is>
      </c>
      <c r="E149" s="12" t="inlineStr">
        <is>
          <t>traditional_ira</t>
        </is>
      </c>
      <c r="F149" s="27" t="n">
        <v>0</v>
      </c>
      <c r="G149" s="27" t="n">
        <v>0</v>
      </c>
      <c r="H149" s="27" t="n">
        <v>0</v>
      </c>
      <c r="I149" s="27" t="n">
        <v>0</v>
      </c>
      <c r="J149" s="27" t="n">
        <v>0</v>
      </c>
      <c r="K149" s="27" t="n">
        <v>0</v>
      </c>
      <c r="L149" s="27" t="n">
        <v>0</v>
      </c>
      <c r="M149" s="27" t="n">
        <v>0</v>
      </c>
      <c r="N149" s="27" t="n">
        <v>0</v>
      </c>
      <c r="O149" s="27" t="n">
        <v>0</v>
      </c>
      <c r="P149" s="27" t="n">
        <v>0</v>
      </c>
      <c r="Q149" s="33" t="inlineStr"/>
    </row>
    <row r="150" ht="30" customHeight="1">
      <c r="A150" s="26" t="n">
        <v>2040</v>
      </c>
      <c r="B150" s="12" t="inlineStr">
        <is>
          <t>Matthew Roth</t>
        </is>
      </c>
      <c r="C150" s="12" t="inlineStr">
        <is>
          <t>Matthew</t>
        </is>
      </c>
      <c r="D150" s="41" t="inlineStr">
        <is>
          <t>roth</t>
        </is>
      </c>
      <c r="E150" s="12" t="inlineStr">
        <is>
          <t>roth_ira</t>
        </is>
      </c>
      <c r="F150" s="27" t="n">
        <v>1401342.634352339</v>
      </c>
      <c r="G150" s="27" t="n">
        <v>0</v>
      </c>
      <c r="H150" s="27" t="n">
        <v>0</v>
      </c>
      <c r="I150" s="27" t="n">
        <v>0</v>
      </c>
      <c r="J150" s="27" t="n">
        <v>0</v>
      </c>
      <c r="K150" s="27" t="n">
        <v>0</v>
      </c>
      <c r="L150" s="27" t="n">
        <v>48574.45097789907</v>
      </c>
      <c r="M150" s="27" t="n">
        <v>81166.09100246642</v>
      </c>
      <c r="N150" s="27" t="n">
        <v>1433934.274376907</v>
      </c>
      <c r="O150" s="27" t="n">
        <v>1433934.274376907</v>
      </c>
      <c r="P150" s="27" t="n">
        <v>0</v>
      </c>
      <c r="Q150" s="12" t="inlineStr">
        <is>
          <t>withdrawal</t>
        </is>
      </c>
    </row>
    <row r="151" ht="30" customHeight="1">
      <c r="A151" s="26" t="n">
        <v>2040</v>
      </c>
      <c r="B151" s="12" t="inlineStr">
        <is>
          <t>Matthew Trust</t>
        </is>
      </c>
      <c r="C151" s="12" t="inlineStr">
        <is>
          <t>Matthew</t>
        </is>
      </c>
      <c r="D151" s="41" t="inlineStr">
        <is>
          <t>taxable</t>
        </is>
      </c>
      <c r="E151" s="12" t="inlineStr">
        <is>
          <t>trust</t>
        </is>
      </c>
      <c r="F151" s="27" t="n">
        <v>0</v>
      </c>
      <c r="G151" s="27" t="n">
        <v>0</v>
      </c>
      <c r="H151" s="27" t="n">
        <v>0</v>
      </c>
      <c r="I151" s="27" t="n">
        <v>0</v>
      </c>
      <c r="J151" s="27" t="n">
        <v>0</v>
      </c>
      <c r="K151" s="27" t="n">
        <v>0</v>
      </c>
      <c r="L151" s="27" t="n">
        <v>0</v>
      </c>
      <c r="M151" s="27" t="n">
        <v>0</v>
      </c>
      <c r="N151" s="27" t="n">
        <v>0</v>
      </c>
      <c r="O151" s="27" t="n">
        <v>0</v>
      </c>
      <c r="P151" s="27" t="n">
        <v>0</v>
      </c>
      <c r="Q151" s="33" t="inlineStr"/>
    </row>
    <row r="152" ht="30" customHeight="1">
      <c r="A152" s="26" t="n">
        <v>2040</v>
      </c>
      <c r="B152" s="12" t="inlineStr">
        <is>
          <t>Patricia IRA</t>
        </is>
      </c>
      <c r="C152" s="12" t="inlineStr">
        <is>
          <t>Patricia</t>
        </is>
      </c>
      <c r="D152" s="41" t="inlineStr">
        <is>
          <t>pre_tax</t>
        </is>
      </c>
      <c r="E152" s="12" t="inlineStr">
        <is>
          <t>traditional_ira</t>
        </is>
      </c>
      <c r="F152" s="27" t="n">
        <v>0</v>
      </c>
      <c r="G152" s="27" t="n">
        <v>0</v>
      </c>
      <c r="H152" s="27" t="n">
        <v>0</v>
      </c>
      <c r="I152" s="27" t="n">
        <v>0</v>
      </c>
      <c r="J152" s="27" t="n">
        <v>0</v>
      </c>
      <c r="K152" s="27" t="n">
        <v>0</v>
      </c>
      <c r="L152" s="27" t="n">
        <v>0</v>
      </c>
      <c r="M152" s="27" t="n">
        <v>0</v>
      </c>
      <c r="N152" s="27" t="n">
        <v>0</v>
      </c>
      <c r="O152" s="27" t="n">
        <v>0</v>
      </c>
      <c r="P152" s="27" t="n">
        <v>0</v>
      </c>
      <c r="Q152" s="33" t="inlineStr"/>
    </row>
    <row r="153" ht="30" customHeight="1">
      <c r="A153" s="26" t="n">
        <v>2040</v>
      </c>
      <c r="B153" s="12" t="inlineStr">
        <is>
          <t>Patricia Roth</t>
        </is>
      </c>
      <c r="C153" s="12" t="inlineStr">
        <is>
          <t>Patricia</t>
        </is>
      </c>
      <c r="D153" s="41" t="inlineStr">
        <is>
          <t>roth</t>
        </is>
      </c>
      <c r="E153" s="12" t="inlineStr">
        <is>
          <t>roth_ira</t>
        </is>
      </c>
      <c r="F153" s="27" t="n">
        <v>1191930.394607882</v>
      </c>
      <c r="G153" s="27" t="n">
        <v>0</v>
      </c>
      <c r="H153" s="27" t="n">
        <v>0</v>
      </c>
      <c r="I153" s="27" t="n">
        <v>0</v>
      </c>
      <c r="J153" s="27" t="n">
        <v>0</v>
      </c>
      <c r="K153" s="27" t="n">
        <v>0</v>
      </c>
      <c r="L153" s="27" t="n">
        <v>41315.63766252423</v>
      </c>
      <c r="M153" s="27" t="n">
        <v>69036.88541672144</v>
      </c>
      <c r="N153" s="27" t="n">
        <v>1219651.642362079</v>
      </c>
      <c r="O153" s="27" t="n">
        <v>1219651.642362079</v>
      </c>
      <c r="P153" s="27" t="n">
        <v>0</v>
      </c>
      <c r="Q153" s="12" t="inlineStr">
        <is>
          <t>withdrawal</t>
        </is>
      </c>
    </row>
    <row r="154" ht="30" customHeight="1">
      <c r="A154" s="26" t="n">
        <v>2040</v>
      </c>
      <c r="B154" s="12" t="inlineStr">
        <is>
          <t>Patricia Trust</t>
        </is>
      </c>
      <c r="C154" s="12" t="inlineStr">
        <is>
          <t>Patricia</t>
        </is>
      </c>
      <c r="D154" s="41" t="inlineStr">
        <is>
          <t>taxable</t>
        </is>
      </c>
      <c r="E154" s="12" t="inlineStr">
        <is>
          <t>trust</t>
        </is>
      </c>
      <c r="F154" s="27" t="n">
        <v>0</v>
      </c>
      <c r="G154" s="27" t="n">
        <v>0</v>
      </c>
      <c r="H154" s="27" t="n">
        <v>0</v>
      </c>
      <c r="I154" s="27" t="n">
        <v>0</v>
      </c>
      <c r="J154" s="27" t="n">
        <v>0</v>
      </c>
      <c r="K154" s="27" t="n">
        <v>0</v>
      </c>
      <c r="L154" s="27" t="n">
        <v>0</v>
      </c>
      <c r="M154" s="27" t="n">
        <v>0</v>
      </c>
      <c r="N154" s="27" t="n">
        <v>0</v>
      </c>
      <c r="O154" s="27" t="n">
        <v>0</v>
      </c>
      <c r="P154" s="27" t="n">
        <v>0</v>
      </c>
      <c r="Q154" s="33" t="inlineStr"/>
    </row>
    <row r="155" ht="45" customHeight="1">
      <c r="A155" s="26" t="n">
        <v>2041</v>
      </c>
      <c r="B155" s="12" t="inlineStr">
        <is>
          <t>Business Checking</t>
        </is>
      </c>
      <c r="C155" s="12" t="inlineStr">
        <is>
          <t>Matthew</t>
        </is>
      </c>
      <c r="D155" s="41" t="inlineStr">
        <is>
          <t>cash</t>
        </is>
      </c>
      <c r="E155" s="12" t="inlineStr">
        <is>
          <t>checking</t>
        </is>
      </c>
      <c r="F155" s="27" t="n">
        <v>5000</v>
      </c>
      <c r="G155" s="27" t="n">
        <v>0</v>
      </c>
      <c r="H155" s="27" t="n">
        <v>0</v>
      </c>
      <c r="I155" s="27" t="n">
        <v>0</v>
      </c>
      <c r="J155" s="27" t="n">
        <v>0</v>
      </c>
      <c r="K155" s="27" t="n">
        <v>0</v>
      </c>
      <c r="L155" s="27" t="n">
        <v>0</v>
      </c>
      <c r="M155" s="27" t="n">
        <v>0</v>
      </c>
      <c r="N155" s="27" t="n">
        <v>5000</v>
      </c>
      <c r="O155" s="27" t="n">
        <v>5000</v>
      </c>
      <c r="P155" s="27" t="n">
        <v>0</v>
      </c>
      <c r="Q155" s="33" t="inlineStr"/>
    </row>
    <row r="156" ht="30" customHeight="1">
      <c r="A156" s="26" t="n">
        <v>2041</v>
      </c>
      <c r="B156" s="12" t="inlineStr">
        <is>
          <t>Family Checking</t>
        </is>
      </c>
      <c r="C156" s="12" t="inlineStr">
        <is>
          <t>Matthew</t>
        </is>
      </c>
      <c r="D156" s="41" t="inlineStr">
        <is>
          <t>cash</t>
        </is>
      </c>
      <c r="E156" s="12" t="inlineStr">
        <is>
          <t>checking</t>
        </is>
      </c>
      <c r="F156" s="27" t="n">
        <v>15000</v>
      </c>
      <c r="G156" s="27" t="n">
        <v>0</v>
      </c>
      <c r="H156" s="27" t="n">
        <v>0</v>
      </c>
      <c r="I156" s="27" t="n">
        <v>0</v>
      </c>
      <c r="J156" s="27" t="n">
        <v>0</v>
      </c>
      <c r="K156" s="27" t="n">
        <v>0</v>
      </c>
      <c r="L156" s="27" t="n">
        <v>0</v>
      </c>
      <c r="M156" s="27" t="n">
        <v>0</v>
      </c>
      <c r="N156" s="27" t="n">
        <v>15000</v>
      </c>
      <c r="O156" s="27" t="n">
        <v>15000</v>
      </c>
      <c r="P156" s="27" t="n">
        <v>0</v>
      </c>
      <c r="Q156" s="33" t="inlineStr"/>
    </row>
    <row r="157" ht="30" customHeight="1">
      <c r="A157" s="26" t="n">
        <v>2041</v>
      </c>
      <c r="B157" s="12" t="inlineStr">
        <is>
          <t>Matthew HSA</t>
        </is>
      </c>
      <c r="C157" s="12" t="inlineStr">
        <is>
          <t>Matthew</t>
        </is>
      </c>
      <c r="D157" s="41" t="inlineStr">
        <is>
          <t>hsa</t>
        </is>
      </c>
      <c r="E157" s="12" t="inlineStr">
        <is>
          <t>hsa</t>
        </is>
      </c>
      <c r="F157" s="27" t="n">
        <v>0</v>
      </c>
      <c r="G157" s="27" t="n">
        <v>0</v>
      </c>
      <c r="H157" s="27" t="n">
        <v>0</v>
      </c>
      <c r="I157" s="27" t="n">
        <v>0</v>
      </c>
      <c r="J157" s="27" t="n">
        <v>0</v>
      </c>
      <c r="K157" s="27" t="n">
        <v>0</v>
      </c>
      <c r="L157" s="27" t="n">
        <v>0</v>
      </c>
      <c r="M157" s="27" t="n">
        <v>0</v>
      </c>
      <c r="N157" s="27" t="n">
        <v>0</v>
      </c>
      <c r="O157" s="27" t="n">
        <v>0</v>
      </c>
      <c r="P157" s="27" t="n">
        <v>0</v>
      </c>
      <c r="Q157" s="33" t="inlineStr"/>
    </row>
    <row r="158" ht="30" customHeight="1">
      <c r="A158" s="26" t="n">
        <v>2041</v>
      </c>
      <c r="B158" s="12" t="inlineStr">
        <is>
          <t>Matthew 401k</t>
        </is>
      </c>
      <c r="C158" s="12" t="inlineStr">
        <is>
          <t>Matthew</t>
        </is>
      </c>
      <c r="D158" s="41" t="inlineStr">
        <is>
          <t>pre_tax</t>
        </is>
      </c>
      <c r="E158" s="12" t="inlineStr">
        <is>
          <t>401k</t>
        </is>
      </c>
      <c r="F158" s="27" t="n">
        <v>0</v>
      </c>
      <c r="G158" s="27" t="n">
        <v>0</v>
      </c>
      <c r="H158" s="27" t="n">
        <v>0</v>
      </c>
      <c r="I158" s="27" t="n">
        <v>0</v>
      </c>
      <c r="J158" s="27" t="n">
        <v>0</v>
      </c>
      <c r="K158" s="27" t="n">
        <v>0</v>
      </c>
      <c r="L158" s="27" t="n">
        <v>0</v>
      </c>
      <c r="M158" s="27" t="n">
        <v>0</v>
      </c>
      <c r="N158" s="27" t="n">
        <v>0</v>
      </c>
      <c r="O158" s="27" t="n">
        <v>0</v>
      </c>
      <c r="P158" s="27" t="n">
        <v>0</v>
      </c>
      <c r="Q158" s="33" t="inlineStr"/>
    </row>
    <row r="159" ht="30" customHeight="1">
      <c r="A159" s="26" t="n">
        <v>2041</v>
      </c>
      <c r="B159" s="12" t="inlineStr">
        <is>
          <t>Matthew IRA</t>
        </is>
      </c>
      <c r="C159" s="12" t="inlineStr">
        <is>
          <t>Matthew</t>
        </is>
      </c>
      <c r="D159" s="41" t="inlineStr">
        <is>
          <t>pre_tax</t>
        </is>
      </c>
      <c r="E159" s="12" t="inlineStr">
        <is>
          <t>traditional_ira</t>
        </is>
      </c>
      <c r="F159" s="27" t="n">
        <v>0</v>
      </c>
      <c r="G159" s="27" t="n">
        <v>0</v>
      </c>
      <c r="H159" s="27" t="n">
        <v>0</v>
      </c>
      <c r="I159" s="27" t="n">
        <v>0</v>
      </c>
      <c r="J159" s="27" t="n">
        <v>0</v>
      </c>
      <c r="K159" s="27" t="n">
        <v>0</v>
      </c>
      <c r="L159" s="27" t="n">
        <v>0</v>
      </c>
      <c r="M159" s="27" t="n">
        <v>0</v>
      </c>
      <c r="N159" s="27" t="n">
        <v>0</v>
      </c>
      <c r="O159" s="27" t="n">
        <v>0</v>
      </c>
      <c r="P159" s="27" t="n">
        <v>0</v>
      </c>
      <c r="Q159" s="33" t="inlineStr"/>
    </row>
    <row r="160" ht="30" customHeight="1">
      <c r="A160" s="26" t="n">
        <v>2041</v>
      </c>
      <c r="B160" s="12" t="inlineStr">
        <is>
          <t>Matthew Roth</t>
        </is>
      </c>
      <c r="C160" s="12" t="inlineStr">
        <is>
          <t>Matthew</t>
        </is>
      </c>
      <c r="D160" s="41" t="inlineStr">
        <is>
          <t>roth</t>
        </is>
      </c>
      <c r="E160" s="12" t="inlineStr">
        <is>
          <t>roth_ira</t>
        </is>
      </c>
      <c r="F160" s="27" t="n">
        <v>1433934.274376907</v>
      </c>
      <c r="G160" s="27" t="n">
        <v>0</v>
      </c>
      <c r="H160" s="27" t="n">
        <v>0</v>
      </c>
      <c r="I160" s="27" t="n">
        <v>0</v>
      </c>
      <c r="J160" s="27" t="n">
        <v>0</v>
      </c>
      <c r="K160" s="27" t="n">
        <v>0</v>
      </c>
      <c r="L160" s="27" t="n">
        <v>59455.17903356504</v>
      </c>
      <c r="M160" s="27" t="n">
        <v>82468.74572060049</v>
      </c>
      <c r="N160" s="27" t="n">
        <v>1456947.841063942</v>
      </c>
      <c r="O160" s="27" t="n">
        <v>1456947.841063942</v>
      </c>
      <c r="P160" s="27" t="n">
        <v>0</v>
      </c>
      <c r="Q160" s="12" t="inlineStr">
        <is>
          <t>withdrawal</t>
        </is>
      </c>
    </row>
    <row r="161" ht="30" customHeight="1">
      <c r="A161" s="26" t="n">
        <v>2041</v>
      </c>
      <c r="B161" s="12" t="inlineStr">
        <is>
          <t>Matthew Trust</t>
        </is>
      </c>
      <c r="C161" s="12" t="inlineStr">
        <is>
          <t>Matthew</t>
        </is>
      </c>
      <c r="D161" s="41" t="inlineStr">
        <is>
          <t>taxable</t>
        </is>
      </c>
      <c r="E161" s="12" t="inlineStr">
        <is>
          <t>trust</t>
        </is>
      </c>
      <c r="F161" s="27" t="n">
        <v>0</v>
      </c>
      <c r="G161" s="27" t="n">
        <v>0</v>
      </c>
      <c r="H161" s="27" t="n">
        <v>0</v>
      </c>
      <c r="I161" s="27" t="n">
        <v>0</v>
      </c>
      <c r="J161" s="27" t="n">
        <v>0</v>
      </c>
      <c r="K161" s="27" t="n">
        <v>0</v>
      </c>
      <c r="L161" s="27" t="n">
        <v>0</v>
      </c>
      <c r="M161" s="27" t="n">
        <v>0</v>
      </c>
      <c r="N161" s="27" t="n">
        <v>0</v>
      </c>
      <c r="O161" s="27" t="n">
        <v>0</v>
      </c>
      <c r="P161" s="27" t="n">
        <v>0</v>
      </c>
      <c r="Q161" s="33" t="inlineStr"/>
    </row>
    <row r="162" ht="30" customHeight="1">
      <c r="A162" s="26" t="n">
        <v>2041</v>
      </c>
      <c r="B162" s="12" t="inlineStr">
        <is>
          <t>Patricia IRA</t>
        </is>
      </c>
      <c r="C162" s="12" t="inlineStr">
        <is>
          <t>Patricia</t>
        </is>
      </c>
      <c r="D162" s="41" t="inlineStr">
        <is>
          <t>pre_tax</t>
        </is>
      </c>
      <c r="E162" s="12" t="inlineStr">
        <is>
          <t>traditional_ira</t>
        </is>
      </c>
      <c r="F162" s="27" t="n">
        <v>0</v>
      </c>
      <c r="G162" s="27" t="n">
        <v>0</v>
      </c>
      <c r="H162" s="27" t="n">
        <v>0</v>
      </c>
      <c r="I162" s="27" t="n">
        <v>0</v>
      </c>
      <c r="J162" s="27" t="n">
        <v>0</v>
      </c>
      <c r="K162" s="27" t="n">
        <v>0</v>
      </c>
      <c r="L162" s="27" t="n">
        <v>0</v>
      </c>
      <c r="M162" s="27" t="n">
        <v>0</v>
      </c>
      <c r="N162" s="27" t="n">
        <v>0</v>
      </c>
      <c r="O162" s="27" t="n">
        <v>0</v>
      </c>
      <c r="P162" s="27" t="n">
        <v>0</v>
      </c>
      <c r="Q162" s="33" t="inlineStr"/>
    </row>
    <row r="163" ht="30" customHeight="1">
      <c r="A163" s="26" t="n">
        <v>2041</v>
      </c>
      <c r="B163" s="12" t="inlineStr">
        <is>
          <t>Patricia Roth</t>
        </is>
      </c>
      <c r="C163" s="12" t="inlineStr">
        <is>
          <t>Patricia</t>
        </is>
      </c>
      <c r="D163" s="41" t="inlineStr">
        <is>
          <t>roth</t>
        </is>
      </c>
      <c r="E163" s="12" t="inlineStr">
        <is>
          <t>roth_ira</t>
        </is>
      </c>
      <c r="F163" s="27" t="n">
        <v>1219651.642362079</v>
      </c>
      <c r="G163" s="27" t="n">
        <v>0</v>
      </c>
      <c r="H163" s="27" t="n">
        <v>0</v>
      </c>
      <c r="I163" s="27" t="n">
        <v>0</v>
      </c>
      <c r="J163" s="27" t="n">
        <v>0</v>
      </c>
      <c r="K163" s="27" t="n">
        <v>0</v>
      </c>
      <c r="L163" s="27" t="n">
        <v>50570.38390879464</v>
      </c>
      <c r="M163" s="27" t="n">
        <v>70144.87550719705</v>
      </c>
      <c r="N163" s="27" t="n">
        <v>1239226.133960481</v>
      </c>
      <c r="O163" s="27" t="n">
        <v>1239226.133960481</v>
      </c>
      <c r="P163" s="27" t="n">
        <v>0</v>
      </c>
      <c r="Q163" s="12" t="inlineStr">
        <is>
          <t>withdrawal</t>
        </is>
      </c>
    </row>
    <row r="164" ht="30" customHeight="1">
      <c r="A164" s="26" t="n">
        <v>2041</v>
      </c>
      <c r="B164" s="12" t="inlineStr">
        <is>
          <t>Patricia Trust</t>
        </is>
      </c>
      <c r="C164" s="12" t="inlineStr">
        <is>
          <t>Patricia</t>
        </is>
      </c>
      <c r="D164" s="41" t="inlineStr">
        <is>
          <t>taxable</t>
        </is>
      </c>
      <c r="E164" s="12" t="inlineStr">
        <is>
          <t>trust</t>
        </is>
      </c>
      <c r="F164" s="27" t="n">
        <v>0</v>
      </c>
      <c r="G164" s="27" t="n">
        <v>0</v>
      </c>
      <c r="H164" s="27" t="n">
        <v>0</v>
      </c>
      <c r="I164" s="27" t="n">
        <v>0</v>
      </c>
      <c r="J164" s="27" t="n">
        <v>0</v>
      </c>
      <c r="K164" s="27" t="n">
        <v>0</v>
      </c>
      <c r="L164" s="27" t="n">
        <v>0</v>
      </c>
      <c r="M164" s="27" t="n">
        <v>0</v>
      </c>
      <c r="N164" s="27" t="n">
        <v>0</v>
      </c>
      <c r="O164" s="27" t="n">
        <v>0</v>
      </c>
      <c r="P164" s="27" t="n">
        <v>0</v>
      </c>
      <c r="Q164" s="33" t="inlineStr"/>
    </row>
    <row r="165" ht="45" customHeight="1">
      <c r="A165" s="26" t="n">
        <v>2042</v>
      </c>
      <c r="B165" s="12" t="inlineStr">
        <is>
          <t>Business Checking</t>
        </is>
      </c>
      <c r="C165" s="12" t="inlineStr">
        <is>
          <t>Matthew</t>
        </is>
      </c>
      <c r="D165" s="41" t="inlineStr">
        <is>
          <t>cash</t>
        </is>
      </c>
      <c r="E165" s="12" t="inlineStr">
        <is>
          <t>checking</t>
        </is>
      </c>
      <c r="F165" s="27" t="n">
        <v>5000</v>
      </c>
      <c r="G165" s="27" t="n">
        <v>0</v>
      </c>
      <c r="H165" s="27" t="n">
        <v>0</v>
      </c>
      <c r="I165" s="27" t="n">
        <v>0</v>
      </c>
      <c r="J165" s="27" t="n">
        <v>0</v>
      </c>
      <c r="K165" s="27" t="n">
        <v>0</v>
      </c>
      <c r="L165" s="27" t="n">
        <v>0</v>
      </c>
      <c r="M165" s="27" t="n">
        <v>0</v>
      </c>
      <c r="N165" s="27" t="n">
        <v>5000</v>
      </c>
      <c r="O165" s="27" t="n">
        <v>5000</v>
      </c>
      <c r="P165" s="27" t="n">
        <v>0</v>
      </c>
      <c r="Q165" s="33" t="inlineStr"/>
    </row>
    <row r="166" ht="30" customHeight="1">
      <c r="A166" s="26" t="n">
        <v>2042</v>
      </c>
      <c r="B166" s="12" t="inlineStr">
        <is>
          <t>Family Checking</t>
        </is>
      </c>
      <c r="C166" s="12" t="inlineStr">
        <is>
          <t>Matthew</t>
        </is>
      </c>
      <c r="D166" s="41" t="inlineStr">
        <is>
          <t>cash</t>
        </is>
      </c>
      <c r="E166" s="12" t="inlineStr">
        <is>
          <t>checking</t>
        </is>
      </c>
      <c r="F166" s="27" t="n">
        <v>15000</v>
      </c>
      <c r="G166" s="27" t="n">
        <v>0</v>
      </c>
      <c r="H166" s="27" t="n">
        <v>0</v>
      </c>
      <c r="I166" s="27" t="n">
        <v>0</v>
      </c>
      <c r="J166" s="27" t="n">
        <v>0</v>
      </c>
      <c r="K166" s="27" t="n">
        <v>0</v>
      </c>
      <c r="L166" s="27" t="n">
        <v>0</v>
      </c>
      <c r="M166" s="27" t="n">
        <v>0</v>
      </c>
      <c r="N166" s="27" t="n">
        <v>15000</v>
      </c>
      <c r="O166" s="27" t="n">
        <v>15000</v>
      </c>
      <c r="P166" s="27" t="n">
        <v>0</v>
      </c>
      <c r="Q166" s="33" t="inlineStr"/>
    </row>
    <row r="167" ht="30" customHeight="1">
      <c r="A167" s="26" t="n">
        <v>2042</v>
      </c>
      <c r="B167" s="12" t="inlineStr">
        <is>
          <t>Matthew HSA</t>
        </is>
      </c>
      <c r="C167" s="12" t="inlineStr">
        <is>
          <t>Matthew</t>
        </is>
      </c>
      <c r="D167" s="41" t="inlineStr">
        <is>
          <t>hsa</t>
        </is>
      </c>
      <c r="E167" s="12" t="inlineStr">
        <is>
          <t>hsa</t>
        </is>
      </c>
      <c r="F167" s="27" t="n">
        <v>0</v>
      </c>
      <c r="G167" s="27" t="n">
        <v>0</v>
      </c>
      <c r="H167" s="27" t="n">
        <v>0</v>
      </c>
      <c r="I167" s="27" t="n">
        <v>0</v>
      </c>
      <c r="J167" s="27" t="n">
        <v>0</v>
      </c>
      <c r="K167" s="27" t="n">
        <v>0</v>
      </c>
      <c r="L167" s="27" t="n">
        <v>0</v>
      </c>
      <c r="M167" s="27" t="n">
        <v>0</v>
      </c>
      <c r="N167" s="27" t="n">
        <v>0</v>
      </c>
      <c r="O167" s="27" t="n">
        <v>0</v>
      </c>
      <c r="P167" s="27" t="n">
        <v>0</v>
      </c>
      <c r="Q167" s="33" t="inlineStr"/>
    </row>
    <row r="168" ht="30" customHeight="1">
      <c r="A168" s="26" t="n">
        <v>2042</v>
      </c>
      <c r="B168" s="12" t="inlineStr">
        <is>
          <t>Matthew 401k</t>
        </is>
      </c>
      <c r="C168" s="12" t="inlineStr">
        <is>
          <t>Matthew</t>
        </is>
      </c>
      <c r="D168" s="41" t="inlineStr">
        <is>
          <t>pre_tax</t>
        </is>
      </c>
      <c r="E168" s="12" t="inlineStr">
        <is>
          <t>401k</t>
        </is>
      </c>
      <c r="F168" s="27" t="n">
        <v>0</v>
      </c>
      <c r="G168" s="27" t="n">
        <v>0</v>
      </c>
      <c r="H168" s="27" t="n">
        <v>0</v>
      </c>
      <c r="I168" s="27" t="n">
        <v>0</v>
      </c>
      <c r="J168" s="27" t="n">
        <v>0</v>
      </c>
      <c r="K168" s="27" t="n">
        <v>0</v>
      </c>
      <c r="L168" s="27" t="n">
        <v>0</v>
      </c>
      <c r="M168" s="27" t="n">
        <v>0</v>
      </c>
      <c r="N168" s="27" t="n">
        <v>0</v>
      </c>
      <c r="O168" s="27" t="n">
        <v>0</v>
      </c>
      <c r="P168" s="27" t="n">
        <v>0</v>
      </c>
      <c r="Q168" s="33" t="inlineStr"/>
    </row>
    <row r="169" ht="30" customHeight="1">
      <c r="A169" s="26" t="n">
        <v>2042</v>
      </c>
      <c r="B169" s="12" t="inlineStr">
        <is>
          <t>Matthew IRA</t>
        </is>
      </c>
      <c r="C169" s="12" t="inlineStr">
        <is>
          <t>Matthew</t>
        </is>
      </c>
      <c r="D169" s="41" t="inlineStr">
        <is>
          <t>pre_tax</t>
        </is>
      </c>
      <c r="E169" s="12" t="inlineStr">
        <is>
          <t>traditional_ira</t>
        </is>
      </c>
      <c r="F169" s="27" t="n">
        <v>0</v>
      </c>
      <c r="G169" s="27" t="n">
        <v>0</v>
      </c>
      <c r="H169" s="27" t="n">
        <v>0</v>
      </c>
      <c r="I169" s="27" t="n">
        <v>0</v>
      </c>
      <c r="J169" s="27" t="n">
        <v>0</v>
      </c>
      <c r="K169" s="27" t="n">
        <v>0</v>
      </c>
      <c r="L169" s="27" t="n">
        <v>0</v>
      </c>
      <c r="M169" s="27" t="n">
        <v>0</v>
      </c>
      <c r="N169" s="27" t="n">
        <v>0</v>
      </c>
      <c r="O169" s="27" t="n">
        <v>0</v>
      </c>
      <c r="P169" s="27" t="n">
        <v>0</v>
      </c>
      <c r="Q169" s="33" t="inlineStr"/>
    </row>
    <row r="170" ht="30" customHeight="1">
      <c r="A170" s="26" t="n">
        <v>2042</v>
      </c>
      <c r="B170" s="12" t="inlineStr">
        <is>
          <t>Matthew Roth</t>
        </is>
      </c>
      <c r="C170" s="12" t="inlineStr">
        <is>
          <t>Matthew</t>
        </is>
      </c>
      <c r="D170" s="41" t="inlineStr">
        <is>
          <t>roth</t>
        </is>
      </c>
      <c r="E170" s="12" t="inlineStr">
        <is>
          <t>roth_ira</t>
        </is>
      </c>
      <c r="F170" s="27" t="n">
        <v>1456947.841063942</v>
      </c>
      <c r="G170" s="27" t="n">
        <v>0</v>
      </c>
      <c r="H170" s="27" t="n">
        <v>0</v>
      </c>
      <c r="I170" s="27" t="n">
        <v>0</v>
      </c>
      <c r="J170" s="27" t="n">
        <v>0</v>
      </c>
      <c r="K170" s="27" t="n">
        <v>0</v>
      </c>
      <c r="L170" s="27" t="n">
        <v>61395.2732945768</v>
      </c>
      <c r="M170" s="27" t="n">
        <v>83733.15406616191</v>
      </c>
      <c r="N170" s="27" t="n">
        <v>1479285.721835527</v>
      </c>
      <c r="O170" s="27" t="n">
        <v>1479285.721835527</v>
      </c>
      <c r="P170" s="27" t="n">
        <v>0</v>
      </c>
      <c r="Q170" s="12" t="inlineStr">
        <is>
          <t>withdrawal</t>
        </is>
      </c>
    </row>
    <row r="171" ht="30" customHeight="1">
      <c r="A171" s="26" t="n">
        <v>2042</v>
      </c>
      <c r="B171" s="12" t="inlineStr">
        <is>
          <t>Matthew Trust</t>
        </is>
      </c>
      <c r="C171" s="12" t="inlineStr">
        <is>
          <t>Matthew</t>
        </is>
      </c>
      <c r="D171" s="41" t="inlineStr">
        <is>
          <t>taxable</t>
        </is>
      </c>
      <c r="E171" s="12" t="inlineStr">
        <is>
          <t>trust</t>
        </is>
      </c>
      <c r="F171" s="27" t="n">
        <v>0</v>
      </c>
      <c r="G171" s="27" t="n">
        <v>0</v>
      </c>
      <c r="H171" s="27" t="n">
        <v>0</v>
      </c>
      <c r="I171" s="27" t="n">
        <v>0</v>
      </c>
      <c r="J171" s="27" t="n">
        <v>0</v>
      </c>
      <c r="K171" s="27" t="n">
        <v>0</v>
      </c>
      <c r="L171" s="27" t="n">
        <v>0</v>
      </c>
      <c r="M171" s="27" t="n">
        <v>0</v>
      </c>
      <c r="N171" s="27" t="n">
        <v>0</v>
      </c>
      <c r="O171" s="27" t="n">
        <v>0</v>
      </c>
      <c r="P171" s="27" t="n">
        <v>0</v>
      </c>
      <c r="Q171" s="33" t="inlineStr"/>
    </row>
    <row r="172" ht="30" customHeight="1">
      <c r="A172" s="26" t="n">
        <v>2042</v>
      </c>
      <c r="B172" s="12" t="inlineStr">
        <is>
          <t>Patricia IRA</t>
        </is>
      </c>
      <c r="C172" s="12" t="inlineStr">
        <is>
          <t>Patricia</t>
        </is>
      </c>
      <c r="D172" s="41" t="inlineStr">
        <is>
          <t>pre_tax</t>
        </is>
      </c>
      <c r="E172" s="12" t="inlineStr">
        <is>
          <t>traditional_ira</t>
        </is>
      </c>
      <c r="F172" s="27" t="n">
        <v>0</v>
      </c>
      <c r="G172" s="27" t="n">
        <v>0</v>
      </c>
      <c r="H172" s="27" t="n">
        <v>0</v>
      </c>
      <c r="I172" s="27" t="n">
        <v>0</v>
      </c>
      <c r="J172" s="27" t="n">
        <v>0</v>
      </c>
      <c r="K172" s="27" t="n">
        <v>0</v>
      </c>
      <c r="L172" s="27" t="n">
        <v>0</v>
      </c>
      <c r="M172" s="27" t="n">
        <v>0</v>
      </c>
      <c r="N172" s="27" t="n">
        <v>0</v>
      </c>
      <c r="O172" s="27" t="n">
        <v>0</v>
      </c>
      <c r="P172" s="27" t="n">
        <v>0</v>
      </c>
      <c r="Q172" s="33" t="inlineStr"/>
    </row>
    <row r="173" ht="30" customHeight="1">
      <c r="A173" s="26" t="n">
        <v>2042</v>
      </c>
      <c r="B173" s="12" t="inlineStr">
        <is>
          <t>Patricia Roth</t>
        </is>
      </c>
      <c r="C173" s="12" t="inlineStr">
        <is>
          <t>Patricia</t>
        </is>
      </c>
      <c r="D173" s="41" t="inlineStr">
        <is>
          <t>roth</t>
        </is>
      </c>
      <c r="E173" s="12" t="inlineStr">
        <is>
          <t>roth_ira</t>
        </is>
      </c>
      <c r="F173" s="27" t="n">
        <v>1239226.133960481</v>
      </c>
      <c r="G173" s="27" t="n">
        <v>0</v>
      </c>
      <c r="H173" s="27" t="n">
        <v>0</v>
      </c>
      <c r="I173" s="27" t="n">
        <v>0</v>
      </c>
      <c r="J173" s="27" t="n">
        <v>0</v>
      </c>
      <c r="K173" s="27" t="n">
        <v>0</v>
      </c>
      <c r="L173" s="27" t="n">
        <v>52220.55657992941</v>
      </c>
      <c r="M173" s="27" t="n">
        <v>71220.33464283311</v>
      </c>
      <c r="N173" s="27" t="n">
        <v>1258225.912023385</v>
      </c>
      <c r="O173" s="27" t="n">
        <v>1258225.912023385</v>
      </c>
      <c r="P173" s="27" t="n">
        <v>0</v>
      </c>
      <c r="Q173" s="12" t="inlineStr">
        <is>
          <t>withdrawal</t>
        </is>
      </c>
    </row>
    <row r="174" ht="30" customHeight="1">
      <c r="A174" s="26" t="n">
        <v>2042</v>
      </c>
      <c r="B174" s="12" t="inlineStr">
        <is>
          <t>Patricia Trust</t>
        </is>
      </c>
      <c r="C174" s="12" t="inlineStr">
        <is>
          <t>Patricia</t>
        </is>
      </c>
      <c r="D174" s="41" t="inlineStr">
        <is>
          <t>taxable</t>
        </is>
      </c>
      <c r="E174" s="12" t="inlineStr">
        <is>
          <t>trust</t>
        </is>
      </c>
      <c r="F174" s="27" t="n">
        <v>0</v>
      </c>
      <c r="G174" s="27" t="n">
        <v>0</v>
      </c>
      <c r="H174" s="27" t="n">
        <v>0</v>
      </c>
      <c r="I174" s="27" t="n">
        <v>0</v>
      </c>
      <c r="J174" s="27" t="n">
        <v>0</v>
      </c>
      <c r="K174" s="27" t="n">
        <v>0</v>
      </c>
      <c r="L174" s="27" t="n">
        <v>0</v>
      </c>
      <c r="M174" s="27" t="n">
        <v>0</v>
      </c>
      <c r="N174" s="27" t="n">
        <v>0</v>
      </c>
      <c r="O174" s="27" t="n">
        <v>0</v>
      </c>
      <c r="P174" s="27" t="n">
        <v>0</v>
      </c>
      <c r="Q174" s="33" t="inlineStr"/>
    </row>
    <row r="175" ht="45" customHeight="1">
      <c r="A175" s="26" t="n">
        <v>2043</v>
      </c>
      <c r="B175" s="12" t="inlineStr">
        <is>
          <t>Business Checking</t>
        </is>
      </c>
      <c r="C175" s="12" t="inlineStr">
        <is>
          <t>Matthew</t>
        </is>
      </c>
      <c r="D175" s="41" t="inlineStr">
        <is>
          <t>cash</t>
        </is>
      </c>
      <c r="E175" s="12" t="inlineStr">
        <is>
          <t>checking</t>
        </is>
      </c>
      <c r="F175" s="27" t="n">
        <v>5000</v>
      </c>
      <c r="G175" s="27" t="n">
        <v>0</v>
      </c>
      <c r="H175" s="27" t="n">
        <v>0</v>
      </c>
      <c r="I175" s="27" t="n">
        <v>0</v>
      </c>
      <c r="J175" s="27" t="n">
        <v>0</v>
      </c>
      <c r="K175" s="27" t="n">
        <v>0</v>
      </c>
      <c r="L175" s="27" t="n">
        <v>0</v>
      </c>
      <c r="M175" s="27" t="n">
        <v>0</v>
      </c>
      <c r="N175" s="27" t="n">
        <v>5000</v>
      </c>
      <c r="O175" s="27" t="n">
        <v>5000</v>
      </c>
      <c r="P175" s="27" t="n">
        <v>0</v>
      </c>
      <c r="Q175" s="33" t="inlineStr"/>
    </row>
    <row r="176" ht="30" customHeight="1">
      <c r="A176" s="26" t="n">
        <v>2043</v>
      </c>
      <c r="B176" s="12" t="inlineStr">
        <is>
          <t>Family Checking</t>
        </is>
      </c>
      <c r="C176" s="12" t="inlineStr">
        <is>
          <t>Matthew</t>
        </is>
      </c>
      <c r="D176" s="41" t="inlineStr">
        <is>
          <t>cash</t>
        </is>
      </c>
      <c r="E176" s="12" t="inlineStr">
        <is>
          <t>checking</t>
        </is>
      </c>
      <c r="F176" s="27" t="n">
        <v>15000</v>
      </c>
      <c r="G176" s="27" t="n">
        <v>0</v>
      </c>
      <c r="H176" s="27" t="n">
        <v>0</v>
      </c>
      <c r="I176" s="27" t="n">
        <v>0</v>
      </c>
      <c r="J176" s="27" t="n">
        <v>0</v>
      </c>
      <c r="K176" s="27" t="n">
        <v>0</v>
      </c>
      <c r="L176" s="27" t="n">
        <v>0</v>
      </c>
      <c r="M176" s="27" t="n">
        <v>0</v>
      </c>
      <c r="N176" s="27" t="n">
        <v>15000</v>
      </c>
      <c r="O176" s="27" t="n">
        <v>15000</v>
      </c>
      <c r="P176" s="27" t="n">
        <v>0</v>
      </c>
      <c r="Q176" s="33" t="inlineStr"/>
    </row>
    <row r="177" ht="30" customHeight="1">
      <c r="A177" s="26" t="n">
        <v>2043</v>
      </c>
      <c r="B177" s="12" t="inlineStr">
        <is>
          <t>Matthew HSA</t>
        </is>
      </c>
      <c r="C177" s="12" t="inlineStr">
        <is>
          <t>Matthew</t>
        </is>
      </c>
      <c r="D177" s="41" t="inlineStr">
        <is>
          <t>hsa</t>
        </is>
      </c>
      <c r="E177" s="12" t="inlineStr">
        <is>
          <t>hsa</t>
        </is>
      </c>
      <c r="F177" s="27" t="n">
        <v>0</v>
      </c>
      <c r="G177" s="27" t="n">
        <v>0</v>
      </c>
      <c r="H177" s="27" t="n">
        <v>0</v>
      </c>
      <c r="I177" s="27" t="n">
        <v>0</v>
      </c>
      <c r="J177" s="27" t="n">
        <v>0</v>
      </c>
      <c r="K177" s="27" t="n">
        <v>0</v>
      </c>
      <c r="L177" s="27" t="n">
        <v>0</v>
      </c>
      <c r="M177" s="27" t="n">
        <v>0</v>
      </c>
      <c r="N177" s="27" t="n">
        <v>0</v>
      </c>
      <c r="O177" s="27" t="n">
        <v>0</v>
      </c>
      <c r="P177" s="27" t="n">
        <v>0</v>
      </c>
      <c r="Q177" s="33" t="inlineStr"/>
    </row>
    <row r="178" ht="30" customHeight="1">
      <c r="A178" s="26" t="n">
        <v>2043</v>
      </c>
      <c r="B178" s="12" t="inlineStr">
        <is>
          <t>Matthew 401k</t>
        </is>
      </c>
      <c r="C178" s="12" t="inlineStr">
        <is>
          <t>Matthew</t>
        </is>
      </c>
      <c r="D178" s="41" t="inlineStr">
        <is>
          <t>pre_tax</t>
        </is>
      </c>
      <c r="E178" s="12" t="inlineStr">
        <is>
          <t>401k</t>
        </is>
      </c>
      <c r="F178" s="27" t="n">
        <v>0</v>
      </c>
      <c r="G178" s="27" t="n">
        <v>0</v>
      </c>
      <c r="H178" s="27" t="n">
        <v>0</v>
      </c>
      <c r="I178" s="27" t="n">
        <v>0</v>
      </c>
      <c r="J178" s="27" t="n">
        <v>0</v>
      </c>
      <c r="K178" s="27" t="n">
        <v>0</v>
      </c>
      <c r="L178" s="27" t="n">
        <v>0</v>
      </c>
      <c r="M178" s="27" t="n">
        <v>0</v>
      </c>
      <c r="N178" s="27" t="n">
        <v>0</v>
      </c>
      <c r="O178" s="27" t="n">
        <v>0</v>
      </c>
      <c r="P178" s="27" t="n">
        <v>0</v>
      </c>
      <c r="Q178" s="33" t="inlineStr"/>
    </row>
    <row r="179" ht="30" customHeight="1">
      <c r="A179" s="26" t="n">
        <v>2043</v>
      </c>
      <c r="B179" s="12" t="inlineStr">
        <is>
          <t>Matthew IRA</t>
        </is>
      </c>
      <c r="C179" s="12" t="inlineStr">
        <is>
          <t>Matthew</t>
        </is>
      </c>
      <c r="D179" s="41" t="inlineStr">
        <is>
          <t>pre_tax</t>
        </is>
      </c>
      <c r="E179" s="12" t="inlineStr">
        <is>
          <t>traditional_ira</t>
        </is>
      </c>
      <c r="F179" s="27" t="n">
        <v>0</v>
      </c>
      <c r="G179" s="27" t="n">
        <v>0</v>
      </c>
      <c r="H179" s="27" t="n">
        <v>0</v>
      </c>
      <c r="I179" s="27" t="n">
        <v>0</v>
      </c>
      <c r="J179" s="27" t="n">
        <v>0</v>
      </c>
      <c r="K179" s="27" t="n">
        <v>0</v>
      </c>
      <c r="L179" s="27" t="n">
        <v>0</v>
      </c>
      <c r="M179" s="27" t="n">
        <v>0</v>
      </c>
      <c r="N179" s="27" t="n">
        <v>0</v>
      </c>
      <c r="O179" s="27" t="n">
        <v>0</v>
      </c>
      <c r="P179" s="27" t="n">
        <v>0</v>
      </c>
      <c r="Q179" s="33" t="inlineStr"/>
    </row>
    <row r="180" ht="30" customHeight="1">
      <c r="A180" s="26" t="n">
        <v>2043</v>
      </c>
      <c r="B180" s="12" t="inlineStr">
        <is>
          <t>Matthew Roth</t>
        </is>
      </c>
      <c r="C180" s="12" t="inlineStr">
        <is>
          <t>Matthew</t>
        </is>
      </c>
      <c r="D180" s="41" t="inlineStr">
        <is>
          <t>roth</t>
        </is>
      </c>
      <c r="E180" s="12" t="inlineStr">
        <is>
          <t>roth_ira</t>
        </is>
      </c>
      <c r="F180" s="27" t="n">
        <v>1479285.721835527</v>
      </c>
      <c r="G180" s="27" t="n">
        <v>0</v>
      </c>
      <c r="H180" s="27" t="n">
        <v>0</v>
      </c>
      <c r="I180" s="27" t="n">
        <v>0</v>
      </c>
      <c r="J180" s="27" t="n">
        <v>0</v>
      </c>
      <c r="K180" s="27" t="n">
        <v>0</v>
      </c>
      <c r="L180" s="27" t="n">
        <v>63402.48999899186</v>
      </c>
      <c r="M180" s="27" t="n">
        <v>84952.99391019212</v>
      </c>
      <c r="N180" s="27" t="n">
        <v>1500836.225746727</v>
      </c>
      <c r="O180" s="27" t="n">
        <v>1500836.225746727</v>
      </c>
      <c r="P180" s="27" t="n">
        <v>0</v>
      </c>
      <c r="Q180" s="12" t="inlineStr">
        <is>
          <t>withdrawal</t>
        </is>
      </c>
    </row>
    <row r="181" ht="30" customHeight="1">
      <c r="A181" s="26" t="n">
        <v>2043</v>
      </c>
      <c r="B181" s="12" t="inlineStr">
        <is>
          <t>Matthew Trust</t>
        </is>
      </c>
      <c r="C181" s="12" t="inlineStr">
        <is>
          <t>Matthew</t>
        </is>
      </c>
      <c r="D181" s="41" t="inlineStr">
        <is>
          <t>taxable</t>
        </is>
      </c>
      <c r="E181" s="12" t="inlineStr">
        <is>
          <t>trust</t>
        </is>
      </c>
      <c r="F181" s="27" t="n">
        <v>0</v>
      </c>
      <c r="G181" s="27" t="n">
        <v>0</v>
      </c>
      <c r="H181" s="27" t="n">
        <v>0</v>
      </c>
      <c r="I181" s="27" t="n">
        <v>0</v>
      </c>
      <c r="J181" s="27" t="n">
        <v>0</v>
      </c>
      <c r="K181" s="27" t="n">
        <v>0</v>
      </c>
      <c r="L181" s="27" t="n">
        <v>0</v>
      </c>
      <c r="M181" s="27" t="n">
        <v>0</v>
      </c>
      <c r="N181" s="27" t="n">
        <v>0</v>
      </c>
      <c r="O181" s="27" t="n">
        <v>0</v>
      </c>
      <c r="P181" s="27" t="n">
        <v>0</v>
      </c>
      <c r="Q181" s="33" t="inlineStr"/>
    </row>
    <row r="182" ht="30" customHeight="1">
      <c r="A182" s="26" t="n">
        <v>2043</v>
      </c>
      <c r="B182" s="12" t="inlineStr">
        <is>
          <t>Patricia IRA</t>
        </is>
      </c>
      <c r="C182" s="12" t="inlineStr">
        <is>
          <t>Patricia</t>
        </is>
      </c>
      <c r="D182" s="41" t="inlineStr">
        <is>
          <t>pre_tax</t>
        </is>
      </c>
      <c r="E182" s="12" t="inlineStr">
        <is>
          <t>traditional_ira</t>
        </is>
      </c>
      <c r="F182" s="27" t="n">
        <v>0</v>
      </c>
      <c r="G182" s="27" t="n">
        <v>0</v>
      </c>
      <c r="H182" s="27" t="n">
        <v>0</v>
      </c>
      <c r="I182" s="27" t="n">
        <v>0</v>
      </c>
      <c r="J182" s="27" t="n">
        <v>0</v>
      </c>
      <c r="K182" s="27" t="n">
        <v>0</v>
      </c>
      <c r="L182" s="27" t="n">
        <v>0</v>
      </c>
      <c r="M182" s="27" t="n">
        <v>0</v>
      </c>
      <c r="N182" s="27" t="n">
        <v>0</v>
      </c>
      <c r="O182" s="27" t="n">
        <v>0</v>
      </c>
      <c r="P182" s="27" t="n">
        <v>0</v>
      </c>
      <c r="Q182" s="33" t="inlineStr"/>
    </row>
    <row r="183" ht="30" customHeight="1">
      <c r="A183" s="26" t="n">
        <v>2043</v>
      </c>
      <c r="B183" s="12" t="inlineStr">
        <is>
          <t>Patricia Roth</t>
        </is>
      </c>
      <c r="C183" s="12" t="inlineStr">
        <is>
          <t>Patricia</t>
        </is>
      </c>
      <c r="D183" s="41" t="inlineStr">
        <is>
          <t>roth</t>
        </is>
      </c>
      <c r="E183" s="12" t="inlineStr">
        <is>
          <t>roth_ira</t>
        </is>
      </c>
      <c r="F183" s="27" t="n">
        <v>1258225.912023385</v>
      </c>
      <c r="G183" s="27" t="n">
        <v>0</v>
      </c>
      <c r="H183" s="27" t="n">
        <v>0</v>
      </c>
      <c r="I183" s="27" t="n">
        <v>0</v>
      </c>
      <c r="J183" s="27" t="n">
        <v>0</v>
      </c>
      <c r="K183" s="27" t="n">
        <v>0</v>
      </c>
      <c r="L183" s="27" t="n">
        <v>53927.82112744867</v>
      </c>
      <c r="M183" s="27" t="n">
        <v>72257.88545375619</v>
      </c>
      <c r="N183" s="27" t="n">
        <v>1276555.976349693</v>
      </c>
      <c r="O183" s="27" t="n">
        <v>1276555.976349693</v>
      </c>
      <c r="P183" s="27" t="n">
        <v>0</v>
      </c>
      <c r="Q183" s="12" t="inlineStr">
        <is>
          <t>withdrawal</t>
        </is>
      </c>
    </row>
    <row r="184" ht="30" customHeight="1">
      <c r="A184" s="26" t="n">
        <v>2043</v>
      </c>
      <c r="B184" s="12" t="inlineStr">
        <is>
          <t>Patricia Trust</t>
        </is>
      </c>
      <c r="C184" s="12" t="inlineStr">
        <is>
          <t>Patricia</t>
        </is>
      </c>
      <c r="D184" s="41" t="inlineStr">
        <is>
          <t>taxable</t>
        </is>
      </c>
      <c r="E184" s="12" t="inlineStr">
        <is>
          <t>trust</t>
        </is>
      </c>
      <c r="F184" s="27" t="n">
        <v>0</v>
      </c>
      <c r="G184" s="27" t="n">
        <v>0</v>
      </c>
      <c r="H184" s="27" t="n">
        <v>0</v>
      </c>
      <c r="I184" s="27" t="n">
        <v>0</v>
      </c>
      <c r="J184" s="27" t="n">
        <v>0</v>
      </c>
      <c r="K184" s="27" t="n">
        <v>0</v>
      </c>
      <c r="L184" s="27" t="n">
        <v>0</v>
      </c>
      <c r="M184" s="27" t="n">
        <v>0</v>
      </c>
      <c r="N184" s="27" t="n">
        <v>0</v>
      </c>
      <c r="O184" s="27" t="n">
        <v>0</v>
      </c>
      <c r="P184" s="27" t="n">
        <v>0</v>
      </c>
      <c r="Q184" s="33" t="inlineStr"/>
    </row>
    <row r="185" ht="45" customHeight="1">
      <c r="A185" s="26" t="n">
        <v>2044</v>
      </c>
      <c r="B185" s="12" t="inlineStr">
        <is>
          <t>Business Checking</t>
        </is>
      </c>
      <c r="C185" s="12" t="inlineStr">
        <is>
          <t>Matthew</t>
        </is>
      </c>
      <c r="D185" s="41" t="inlineStr">
        <is>
          <t>cash</t>
        </is>
      </c>
      <c r="E185" s="12" t="inlineStr">
        <is>
          <t>checking</t>
        </is>
      </c>
      <c r="F185" s="27" t="n">
        <v>5000</v>
      </c>
      <c r="G185" s="27" t="n">
        <v>0</v>
      </c>
      <c r="H185" s="27" t="n">
        <v>0</v>
      </c>
      <c r="I185" s="27" t="n">
        <v>0</v>
      </c>
      <c r="J185" s="27" t="n">
        <v>0</v>
      </c>
      <c r="K185" s="27" t="n">
        <v>0</v>
      </c>
      <c r="L185" s="27" t="n">
        <v>0</v>
      </c>
      <c r="M185" s="27" t="n">
        <v>0</v>
      </c>
      <c r="N185" s="27" t="n">
        <v>5000</v>
      </c>
      <c r="O185" s="27" t="n">
        <v>5000</v>
      </c>
      <c r="P185" s="27" t="n">
        <v>0</v>
      </c>
      <c r="Q185" s="33" t="inlineStr"/>
    </row>
    <row r="186" ht="30" customHeight="1">
      <c r="A186" s="26" t="n">
        <v>2044</v>
      </c>
      <c r="B186" s="12" t="inlineStr">
        <is>
          <t>Family Checking</t>
        </is>
      </c>
      <c r="C186" s="12" t="inlineStr">
        <is>
          <t>Matthew</t>
        </is>
      </c>
      <c r="D186" s="41" t="inlineStr">
        <is>
          <t>cash</t>
        </is>
      </c>
      <c r="E186" s="12" t="inlineStr">
        <is>
          <t>checking</t>
        </is>
      </c>
      <c r="F186" s="27" t="n">
        <v>15000</v>
      </c>
      <c r="G186" s="27" t="n">
        <v>0</v>
      </c>
      <c r="H186" s="27" t="n">
        <v>0</v>
      </c>
      <c r="I186" s="27" t="n">
        <v>0</v>
      </c>
      <c r="J186" s="27" t="n">
        <v>0</v>
      </c>
      <c r="K186" s="27" t="n">
        <v>0</v>
      </c>
      <c r="L186" s="27" t="n">
        <v>0</v>
      </c>
      <c r="M186" s="27" t="n">
        <v>0</v>
      </c>
      <c r="N186" s="27" t="n">
        <v>15000</v>
      </c>
      <c r="O186" s="27" t="n">
        <v>15000</v>
      </c>
      <c r="P186" s="27" t="n">
        <v>0</v>
      </c>
      <c r="Q186" s="33" t="inlineStr"/>
    </row>
    <row r="187" ht="30" customHeight="1">
      <c r="A187" s="26" t="n">
        <v>2044</v>
      </c>
      <c r="B187" s="12" t="inlineStr">
        <is>
          <t>Matthew HSA</t>
        </is>
      </c>
      <c r="C187" s="12" t="inlineStr">
        <is>
          <t>Matthew</t>
        </is>
      </c>
      <c r="D187" s="41" t="inlineStr">
        <is>
          <t>hsa</t>
        </is>
      </c>
      <c r="E187" s="12" t="inlineStr">
        <is>
          <t>hsa</t>
        </is>
      </c>
      <c r="F187" s="27" t="n">
        <v>0</v>
      </c>
      <c r="G187" s="27" t="n">
        <v>0</v>
      </c>
      <c r="H187" s="27" t="n">
        <v>0</v>
      </c>
      <c r="I187" s="27" t="n">
        <v>0</v>
      </c>
      <c r="J187" s="27" t="n">
        <v>0</v>
      </c>
      <c r="K187" s="27" t="n">
        <v>0</v>
      </c>
      <c r="L187" s="27" t="n">
        <v>0</v>
      </c>
      <c r="M187" s="27" t="n">
        <v>0</v>
      </c>
      <c r="N187" s="27" t="n">
        <v>0</v>
      </c>
      <c r="O187" s="27" t="n">
        <v>0</v>
      </c>
      <c r="P187" s="27" t="n">
        <v>0</v>
      </c>
      <c r="Q187" s="33" t="inlineStr"/>
    </row>
    <row r="188" ht="30" customHeight="1">
      <c r="A188" s="26" t="n">
        <v>2044</v>
      </c>
      <c r="B188" s="12" t="inlineStr">
        <is>
          <t>Matthew 401k</t>
        </is>
      </c>
      <c r="C188" s="12" t="inlineStr">
        <is>
          <t>Matthew</t>
        </is>
      </c>
      <c r="D188" s="41" t="inlineStr">
        <is>
          <t>pre_tax</t>
        </is>
      </c>
      <c r="E188" s="12" t="inlineStr">
        <is>
          <t>401k</t>
        </is>
      </c>
      <c r="F188" s="27" t="n">
        <v>0</v>
      </c>
      <c r="G188" s="27" t="n">
        <v>0</v>
      </c>
      <c r="H188" s="27" t="n">
        <v>0</v>
      </c>
      <c r="I188" s="27" t="n">
        <v>0</v>
      </c>
      <c r="J188" s="27" t="n">
        <v>0</v>
      </c>
      <c r="K188" s="27" t="n">
        <v>0</v>
      </c>
      <c r="L188" s="27" t="n">
        <v>0</v>
      </c>
      <c r="M188" s="27" t="n">
        <v>0</v>
      </c>
      <c r="N188" s="27" t="n">
        <v>0</v>
      </c>
      <c r="O188" s="27" t="n">
        <v>0</v>
      </c>
      <c r="P188" s="27" t="n">
        <v>0</v>
      </c>
      <c r="Q188" s="33" t="inlineStr"/>
    </row>
    <row r="189" ht="30" customHeight="1">
      <c r="A189" s="26" t="n">
        <v>2044</v>
      </c>
      <c r="B189" s="12" t="inlineStr">
        <is>
          <t>Matthew IRA</t>
        </is>
      </c>
      <c r="C189" s="12" t="inlineStr">
        <is>
          <t>Matthew</t>
        </is>
      </c>
      <c r="D189" s="41" t="inlineStr">
        <is>
          <t>pre_tax</t>
        </is>
      </c>
      <c r="E189" s="12" t="inlineStr">
        <is>
          <t>traditional_ira</t>
        </is>
      </c>
      <c r="F189" s="27" t="n">
        <v>0</v>
      </c>
      <c r="G189" s="27" t="n">
        <v>0</v>
      </c>
      <c r="H189" s="27" t="n">
        <v>0</v>
      </c>
      <c r="I189" s="27" t="n">
        <v>0</v>
      </c>
      <c r="J189" s="27" t="n">
        <v>0</v>
      </c>
      <c r="K189" s="27" t="n">
        <v>0</v>
      </c>
      <c r="L189" s="27" t="n">
        <v>0</v>
      </c>
      <c r="M189" s="27" t="n">
        <v>0</v>
      </c>
      <c r="N189" s="27" t="n">
        <v>0</v>
      </c>
      <c r="O189" s="27" t="n">
        <v>0</v>
      </c>
      <c r="P189" s="27" t="n">
        <v>0</v>
      </c>
      <c r="Q189" s="33" t="inlineStr"/>
    </row>
    <row r="190" ht="30" customHeight="1">
      <c r="A190" s="26" t="n">
        <v>2044</v>
      </c>
      <c r="B190" s="12" t="inlineStr">
        <is>
          <t>Matthew Roth</t>
        </is>
      </c>
      <c r="C190" s="12" t="inlineStr">
        <is>
          <t>Matthew</t>
        </is>
      </c>
      <c r="D190" s="41" t="inlineStr">
        <is>
          <t>roth</t>
        </is>
      </c>
      <c r="E190" s="12" t="inlineStr">
        <is>
          <t>roth_ira</t>
        </is>
      </c>
      <c r="F190" s="27" t="n">
        <v>1500836.225746727</v>
      </c>
      <c r="G190" s="27" t="n">
        <v>0</v>
      </c>
      <c r="H190" s="27" t="n">
        <v>0</v>
      </c>
      <c r="I190" s="27" t="n">
        <v>0</v>
      </c>
      <c r="J190" s="27" t="n">
        <v>0</v>
      </c>
      <c r="K190" s="27" t="n">
        <v>0</v>
      </c>
      <c r="L190" s="27" t="n">
        <v>65485.10191899963</v>
      </c>
      <c r="M190" s="27" t="n">
        <v>86121.06742966366</v>
      </c>
      <c r="N190" s="27" t="n">
        <v>1521472.191257391</v>
      </c>
      <c r="O190" s="27" t="n">
        <v>1521472.191257391</v>
      </c>
      <c r="P190" s="27" t="n">
        <v>0</v>
      </c>
      <c r="Q190" s="12" t="inlineStr">
        <is>
          <t>withdrawal</t>
        </is>
      </c>
    </row>
    <row r="191" ht="30" customHeight="1">
      <c r="A191" s="26" t="n">
        <v>2044</v>
      </c>
      <c r="B191" s="12" t="inlineStr">
        <is>
          <t>Matthew Trust</t>
        </is>
      </c>
      <c r="C191" s="12" t="inlineStr">
        <is>
          <t>Matthew</t>
        </is>
      </c>
      <c r="D191" s="41" t="inlineStr">
        <is>
          <t>taxable</t>
        </is>
      </c>
      <c r="E191" s="12" t="inlineStr">
        <is>
          <t>trust</t>
        </is>
      </c>
      <c r="F191" s="27" t="n">
        <v>0</v>
      </c>
      <c r="G191" s="27" t="n">
        <v>0</v>
      </c>
      <c r="H191" s="27" t="n">
        <v>0</v>
      </c>
      <c r="I191" s="27" t="n">
        <v>0</v>
      </c>
      <c r="J191" s="27" t="n">
        <v>0</v>
      </c>
      <c r="K191" s="27" t="n">
        <v>0</v>
      </c>
      <c r="L191" s="27" t="n">
        <v>0</v>
      </c>
      <c r="M191" s="27" t="n">
        <v>0</v>
      </c>
      <c r="N191" s="27" t="n">
        <v>0</v>
      </c>
      <c r="O191" s="27" t="n">
        <v>0</v>
      </c>
      <c r="P191" s="27" t="n">
        <v>0</v>
      </c>
      <c r="Q191" s="33" t="inlineStr"/>
    </row>
    <row r="192" ht="30" customHeight="1">
      <c r="A192" s="26" t="n">
        <v>2044</v>
      </c>
      <c r="B192" s="12" t="inlineStr">
        <is>
          <t>Patricia IRA</t>
        </is>
      </c>
      <c r="C192" s="12" t="inlineStr">
        <is>
          <t>Patricia</t>
        </is>
      </c>
      <c r="D192" s="41" t="inlineStr">
        <is>
          <t>pre_tax</t>
        </is>
      </c>
      <c r="E192" s="12" t="inlineStr">
        <is>
          <t>traditional_ira</t>
        </is>
      </c>
      <c r="F192" s="27" t="n">
        <v>0</v>
      </c>
      <c r="G192" s="27" t="n">
        <v>0</v>
      </c>
      <c r="H192" s="27" t="n">
        <v>0</v>
      </c>
      <c r="I192" s="27" t="n">
        <v>0</v>
      </c>
      <c r="J192" s="27" t="n">
        <v>0</v>
      </c>
      <c r="K192" s="27" t="n">
        <v>0</v>
      </c>
      <c r="L192" s="27" t="n">
        <v>0</v>
      </c>
      <c r="M192" s="27" t="n">
        <v>0</v>
      </c>
      <c r="N192" s="27" t="n">
        <v>0</v>
      </c>
      <c r="O192" s="27" t="n">
        <v>0</v>
      </c>
      <c r="P192" s="27" t="n">
        <v>0</v>
      </c>
      <c r="Q192" s="33" t="inlineStr"/>
    </row>
    <row r="193" ht="30" customHeight="1">
      <c r="A193" s="26" t="n">
        <v>2044</v>
      </c>
      <c r="B193" s="12" t="inlineStr">
        <is>
          <t>Patricia Roth</t>
        </is>
      </c>
      <c r="C193" s="12" t="inlineStr">
        <is>
          <t>Patricia</t>
        </is>
      </c>
      <c r="D193" s="41" t="inlineStr">
        <is>
          <t>roth</t>
        </is>
      </c>
      <c r="E193" s="12" t="inlineStr">
        <is>
          <t>roth_ira</t>
        </is>
      </c>
      <c r="F193" s="27" t="n">
        <v>1276555.976349693</v>
      </c>
      <c r="G193" s="27" t="n">
        <v>0</v>
      </c>
      <c r="H193" s="27" t="n">
        <v>0</v>
      </c>
      <c r="I193" s="27" t="n">
        <v>0</v>
      </c>
      <c r="J193" s="27" t="n">
        <v>0</v>
      </c>
      <c r="K193" s="27" t="n">
        <v>0</v>
      </c>
      <c r="L193" s="27" t="n">
        <v>55699.21406646189</v>
      </c>
      <c r="M193" s="27" t="n">
        <v>73251.40573699384</v>
      </c>
      <c r="N193" s="27" t="n">
        <v>1294108.168020224</v>
      </c>
      <c r="O193" s="27" t="n">
        <v>1294108.168020224</v>
      </c>
      <c r="P193" s="27" t="n">
        <v>0</v>
      </c>
      <c r="Q193" s="12" t="inlineStr">
        <is>
          <t>withdrawal</t>
        </is>
      </c>
    </row>
    <row r="194" ht="30" customHeight="1">
      <c r="A194" s="26" t="n">
        <v>2044</v>
      </c>
      <c r="B194" s="12" t="inlineStr">
        <is>
          <t>Patricia Trust</t>
        </is>
      </c>
      <c r="C194" s="12" t="inlineStr">
        <is>
          <t>Patricia</t>
        </is>
      </c>
      <c r="D194" s="41" t="inlineStr">
        <is>
          <t>taxable</t>
        </is>
      </c>
      <c r="E194" s="12" t="inlineStr">
        <is>
          <t>trust</t>
        </is>
      </c>
      <c r="F194" s="27" t="n">
        <v>0</v>
      </c>
      <c r="G194" s="27" t="n">
        <v>0</v>
      </c>
      <c r="H194" s="27" t="n">
        <v>0</v>
      </c>
      <c r="I194" s="27" t="n">
        <v>0</v>
      </c>
      <c r="J194" s="27" t="n">
        <v>0</v>
      </c>
      <c r="K194" s="27" t="n">
        <v>0</v>
      </c>
      <c r="L194" s="27" t="n">
        <v>0</v>
      </c>
      <c r="M194" s="27" t="n">
        <v>0</v>
      </c>
      <c r="N194" s="27" t="n">
        <v>0</v>
      </c>
      <c r="O194" s="27" t="n">
        <v>0</v>
      </c>
      <c r="P194" s="27" t="n">
        <v>0</v>
      </c>
      <c r="Q194" s="33" t="inlineStr"/>
    </row>
    <row r="195" ht="45" customHeight="1">
      <c r="A195" s="26" t="n">
        <v>2045</v>
      </c>
      <c r="B195" s="12" t="inlineStr">
        <is>
          <t>Business Checking</t>
        </is>
      </c>
      <c r="C195" s="12" t="inlineStr">
        <is>
          <t>Matthew</t>
        </is>
      </c>
      <c r="D195" s="41" t="inlineStr">
        <is>
          <t>cash</t>
        </is>
      </c>
      <c r="E195" s="12" t="inlineStr">
        <is>
          <t>checking</t>
        </is>
      </c>
      <c r="F195" s="27" t="n">
        <v>5000</v>
      </c>
      <c r="G195" s="27" t="n">
        <v>0</v>
      </c>
      <c r="H195" s="27" t="n">
        <v>0</v>
      </c>
      <c r="I195" s="27" t="n">
        <v>0</v>
      </c>
      <c r="J195" s="27" t="n">
        <v>0</v>
      </c>
      <c r="K195" s="27" t="n">
        <v>0</v>
      </c>
      <c r="L195" s="27" t="n">
        <v>0</v>
      </c>
      <c r="M195" s="27" t="n">
        <v>0</v>
      </c>
      <c r="N195" s="27" t="n">
        <v>5000</v>
      </c>
      <c r="O195" s="27" t="n">
        <v>5000</v>
      </c>
      <c r="P195" s="27" t="n">
        <v>0</v>
      </c>
      <c r="Q195" s="33" t="inlineStr"/>
    </row>
    <row r="196" ht="30" customHeight="1">
      <c r="A196" s="26" t="n">
        <v>2045</v>
      </c>
      <c r="B196" s="12" t="inlineStr">
        <is>
          <t>Family Checking</t>
        </is>
      </c>
      <c r="C196" s="12" t="inlineStr">
        <is>
          <t>Matthew</t>
        </is>
      </c>
      <c r="D196" s="41" t="inlineStr">
        <is>
          <t>cash</t>
        </is>
      </c>
      <c r="E196" s="12" t="inlineStr">
        <is>
          <t>checking</t>
        </is>
      </c>
      <c r="F196" s="27" t="n">
        <v>15000</v>
      </c>
      <c r="G196" s="27" t="n">
        <v>0</v>
      </c>
      <c r="H196" s="27" t="n">
        <v>0</v>
      </c>
      <c r="I196" s="27" t="n">
        <v>0</v>
      </c>
      <c r="J196" s="27" t="n">
        <v>0</v>
      </c>
      <c r="K196" s="27" t="n">
        <v>0</v>
      </c>
      <c r="L196" s="27" t="n">
        <v>0</v>
      </c>
      <c r="M196" s="27" t="n">
        <v>0</v>
      </c>
      <c r="N196" s="27" t="n">
        <v>15000</v>
      </c>
      <c r="O196" s="27" t="n">
        <v>15000</v>
      </c>
      <c r="P196" s="27" t="n">
        <v>0</v>
      </c>
      <c r="Q196" s="33" t="inlineStr"/>
    </row>
    <row r="197" ht="30" customHeight="1">
      <c r="A197" s="26" t="n">
        <v>2045</v>
      </c>
      <c r="B197" s="12" t="inlineStr">
        <is>
          <t>Matthew HSA</t>
        </is>
      </c>
      <c r="C197" s="12" t="inlineStr">
        <is>
          <t>Matthew</t>
        </is>
      </c>
      <c r="D197" s="41" t="inlineStr">
        <is>
          <t>hsa</t>
        </is>
      </c>
      <c r="E197" s="12" t="inlineStr">
        <is>
          <t>hsa</t>
        </is>
      </c>
      <c r="F197" s="27" t="n">
        <v>0</v>
      </c>
      <c r="G197" s="27" t="n">
        <v>0</v>
      </c>
      <c r="H197" s="27" t="n">
        <v>0</v>
      </c>
      <c r="I197" s="27" t="n">
        <v>0</v>
      </c>
      <c r="J197" s="27" t="n">
        <v>0</v>
      </c>
      <c r="K197" s="27" t="n">
        <v>0</v>
      </c>
      <c r="L197" s="27" t="n">
        <v>0</v>
      </c>
      <c r="M197" s="27" t="n">
        <v>0</v>
      </c>
      <c r="N197" s="27" t="n">
        <v>0</v>
      </c>
      <c r="O197" s="27" t="n">
        <v>0</v>
      </c>
      <c r="P197" s="27" t="n">
        <v>0</v>
      </c>
      <c r="Q197" s="33" t="inlineStr"/>
    </row>
    <row r="198" ht="30" customHeight="1">
      <c r="A198" s="26" t="n">
        <v>2045</v>
      </c>
      <c r="B198" s="12" t="inlineStr">
        <is>
          <t>Matthew 401k</t>
        </is>
      </c>
      <c r="C198" s="12" t="inlineStr">
        <is>
          <t>Matthew</t>
        </is>
      </c>
      <c r="D198" s="41" t="inlineStr">
        <is>
          <t>pre_tax</t>
        </is>
      </c>
      <c r="E198" s="12" t="inlineStr">
        <is>
          <t>401k</t>
        </is>
      </c>
      <c r="F198" s="27" t="n">
        <v>0</v>
      </c>
      <c r="G198" s="27" t="n">
        <v>0</v>
      </c>
      <c r="H198" s="27" t="n">
        <v>0</v>
      </c>
      <c r="I198" s="27" t="n">
        <v>0</v>
      </c>
      <c r="J198" s="27" t="n">
        <v>0</v>
      </c>
      <c r="K198" s="27" t="n">
        <v>0</v>
      </c>
      <c r="L198" s="27" t="n">
        <v>0</v>
      </c>
      <c r="M198" s="27" t="n">
        <v>0</v>
      </c>
      <c r="N198" s="27" t="n">
        <v>0</v>
      </c>
      <c r="O198" s="27" t="n">
        <v>0</v>
      </c>
      <c r="P198" s="27" t="n">
        <v>0</v>
      </c>
      <c r="Q198" s="33" t="inlineStr"/>
    </row>
    <row r="199" ht="30" customHeight="1">
      <c r="A199" s="26" t="n">
        <v>2045</v>
      </c>
      <c r="B199" s="12" t="inlineStr">
        <is>
          <t>Matthew IRA</t>
        </is>
      </c>
      <c r="C199" s="12" t="inlineStr">
        <is>
          <t>Matthew</t>
        </is>
      </c>
      <c r="D199" s="41" t="inlineStr">
        <is>
          <t>pre_tax</t>
        </is>
      </c>
      <c r="E199" s="12" t="inlineStr">
        <is>
          <t>traditional_ira</t>
        </is>
      </c>
      <c r="F199" s="27" t="n">
        <v>0</v>
      </c>
      <c r="G199" s="27" t="n">
        <v>0</v>
      </c>
      <c r="H199" s="27" t="n">
        <v>0</v>
      </c>
      <c r="I199" s="27" t="n">
        <v>0</v>
      </c>
      <c r="J199" s="27" t="n">
        <v>0</v>
      </c>
      <c r="K199" s="27" t="n">
        <v>0</v>
      </c>
      <c r="L199" s="27" t="n">
        <v>0</v>
      </c>
      <c r="M199" s="27" t="n">
        <v>0</v>
      </c>
      <c r="N199" s="27" t="n">
        <v>0</v>
      </c>
      <c r="O199" s="27" t="n">
        <v>0</v>
      </c>
      <c r="P199" s="27" t="n">
        <v>0</v>
      </c>
      <c r="Q199" s="33" t="inlineStr"/>
    </row>
    <row r="200" ht="30" customHeight="1">
      <c r="A200" s="26" t="n">
        <v>2045</v>
      </c>
      <c r="B200" s="12" t="inlineStr">
        <is>
          <t>Matthew Roth</t>
        </is>
      </c>
      <c r="C200" s="12" t="inlineStr">
        <is>
          <t>Matthew</t>
        </is>
      </c>
      <c r="D200" s="41" t="inlineStr">
        <is>
          <t>roth</t>
        </is>
      </c>
      <c r="E200" s="12" t="inlineStr">
        <is>
          <t>roth_ira</t>
        </is>
      </c>
      <c r="F200" s="27" t="n">
        <v>1521472.191257391</v>
      </c>
      <c r="G200" s="27" t="n">
        <v>0</v>
      </c>
      <c r="H200" s="27" t="n">
        <v>0</v>
      </c>
      <c r="I200" s="27" t="n">
        <v>0</v>
      </c>
      <c r="J200" s="27" t="n">
        <v>0</v>
      </c>
      <c r="K200" s="27" t="n">
        <v>0</v>
      </c>
      <c r="L200" s="27" t="n">
        <v>67651.57817898809</v>
      </c>
      <c r="M200" s="27" t="n">
        <v>87229.23678470419</v>
      </c>
      <c r="N200" s="27" t="n">
        <v>1541049.849863108</v>
      </c>
      <c r="O200" s="27" t="n">
        <v>1541049.849863108</v>
      </c>
      <c r="P200" s="27" t="n">
        <v>0</v>
      </c>
      <c r="Q200" s="12" t="inlineStr">
        <is>
          <t>withdrawal</t>
        </is>
      </c>
    </row>
    <row r="201" ht="30" customHeight="1">
      <c r="A201" s="26" t="n">
        <v>2045</v>
      </c>
      <c r="B201" s="12" t="inlineStr">
        <is>
          <t>Matthew Trust</t>
        </is>
      </c>
      <c r="C201" s="12" t="inlineStr">
        <is>
          <t>Matthew</t>
        </is>
      </c>
      <c r="D201" s="41" t="inlineStr">
        <is>
          <t>taxable</t>
        </is>
      </c>
      <c r="E201" s="12" t="inlineStr">
        <is>
          <t>trust</t>
        </is>
      </c>
      <c r="F201" s="27" t="n">
        <v>0</v>
      </c>
      <c r="G201" s="27" t="n">
        <v>0</v>
      </c>
      <c r="H201" s="27" t="n">
        <v>0</v>
      </c>
      <c r="I201" s="27" t="n">
        <v>0</v>
      </c>
      <c r="J201" s="27" t="n">
        <v>0</v>
      </c>
      <c r="K201" s="27" t="n">
        <v>0</v>
      </c>
      <c r="L201" s="27" t="n">
        <v>0</v>
      </c>
      <c r="M201" s="27" t="n">
        <v>5.626402019072994e-13</v>
      </c>
      <c r="N201" s="27" t="n">
        <v>5.626402019072994e-13</v>
      </c>
      <c r="O201" s="27" t="n">
        <v>1.511455543027415e-11</v>
      </c>
      <c r="P201" s="27" t="n">
        <v>1.455191522836685e-11</v>
      </c>
      <c r="Q201" s="33" t="inlineStr"/>
    </row>
    <row r="202" ht="30" customHeight="1">
      <c r="A202" s="26" t="n">
        <v>2045</v>
      </c>
      <c r="B202" s="12" t="inlineStr">
        <is>
          <t>Patricia IRA</t>
        </is>
      </c>
      <c r="C202" s="12" t="inlineStr">
        <is>
          <t>Patricia</t>
        </is>
      </c>
      <c r="D202" s="41" t="inlineStr">
        <is>
          <t>pre_tax</t>
        </is>
      </c>
      <c r="E202" s="12" t="inlineStr">
        <is>
          <t>traditional_ira</t>
        </is>
      </c>
      <c r="F202" s="27" t="n">
        <v>0</v>
      </c>
      <c r="G202" s="27" t="n">
        <v>0</v>
      </c>
      <c r="H202" s="27" t="n">
        <v>0</v>
      </c>
      <c r="I202" s="27" t="n">
        <v>0</v>
      </c>
      <c r="J202" s="27" t="n">
        <v>0</v>
      </c>
      <c r="K202" s="27" t="n">
        <v>0</v>
      </c>
      <c r="L202" s="27" t="n">
        <v>0</v>
      </c>
      <c r="M202" s="27" t="n">
        <v>0</v>
      </c>
      <c r="N202" s="27" t="n">
        <v>0</v>
      </c>
      <c r="O202" s="27" t="n">
        <v>0</v>
      </c>
      <c r="P202" s="27" t="n">
        <v>0</v>
      </c>
      <c r="Q202" s="33" t="inlineStr"/>
    </row>
    <row r="203" ht="30" customHeight="1">
      <c r="A203" s="26" t="n">
        <v>2045</v>
      </c>
      <c r="B203" s="12" t="inlineStr">
        <is>
          <t>Patricia Roth</t>
        </is>
      </c>
      <c r="C203" s="12" t="inlineStr">
        <is>
          <t>Patricia</t>
        </is>
      </c>
      <c r="D203" s="41" t="inlineStr">
        <is>
          <t>roth</t>
        </is>
      </c>
      <c r="E203" s="12" t="inlineStr">
        <is>
          <t>roth_ira</t>
        </is>
      </c>
      <c r="F203" s="27" t="n">
        <v>1294108.168020224</v>
      </c>
      <c r="G203" s="27" t="n">
        <v>0</v>
      </c>
      <c r="H203" s="27" t="n">
        <v>0</v>
      </c>
      <c r="I203" s="27" t="n">
        <v>0</v>
      </c>
      <c r="J203" s="27" t="n">
        <v>0</v>
      </c>
      <c r="K203" s="27" t="n">
        <v>0</v>
      </c>
      <c r="L203" s="27" t="n">
        <v>57541.93892202165</v>
      </c>
      <c r="M203" s="27" t="n">
        <v>74193.97374589216</v>
      </c>
      <c r="N203" s="27" t="n">
        <v>1310760.202844095</v>
      </c>
      <c r="O203" s="27" t="n">
        <v>1310760.202844095</v>
      </c>
      <c r="P203" s="27" t="n">
        <v>0</v>
      </c>
      <c r="Q203" s="12" t="inlineStr">
        <is>
          <t>withdrawal</t>
        </is>
      </c>
    </row>
    <row r="204" ht="30" customHeight="1">
      <c r="A204" s="26" t="n">
        <v>2045</v>
      </c>
      <c r="B204" s="12" t="inlineStr">
        <is>
          <t>Patricia Trust</t>
        </is>
      </c>
      <c r="C204" s="12" t="inlineStr">
        <is>
          <t>Patricia</t>
        </is>
      </c>
      <c r="D204" s="41" t="inlineStr">
        <is>
          <t>taxable</t>
        </is>
      </c>
      <c r="E204" s="12" t="inlineStr">
        <is>
          <t>trust</t>
        </is>
      </c>
      <c r="F204" s="27" t="n">
        <v>0</v>
      </c>
      <c r="G204" s="27" t="n">
        <v>0</v>
      </c>
      <c r="H204" s="27" t="n">
        <v>0</v>
      </c>
      <c r="I204" s="27" t="n">
        <v>0</v>
      </c>
      <c r="J204" s="27" t="n">
        <v>0</v>
      </c>
      <c r="K204" s="27" t="n">
        <v>0</v>
      </c>
      <c r="L204" s="27" t="n">
        <v>0</v>
      </c>
      <c r="M204" s="27" t="n">
        <v>0</v>
      </c>
      <c r="N204" s="27" t="n">
        <v>0</v>
      </c>
      <c r="O204" s="27" t="n">
        <v>0</v>
      </c>
      <c r="P204" s="27" t="n">
        <v>0</v>
      </c>
      <c r="Q204" s="33" t="inlineStr"/>
    </row>
    <row r="205" ht="45" customHeight="1">
      <c r="A205" s="26" t="n">
        <v>2046</v>
      </c>
      <c r="B205" s="12" t="inlineStr">
        <is>
          <t>Business Checking</t>
        </is>
      </c>
      <c r="C205" s="12" t="inlineStr">
        <is>
          <t>Matthew</t>
        </is>
      </c>
      <c r="D205" s="41" t="inlineStr">
        <is>
          <t>cash</t>
        </is>
      </c>
      <c r="E205" s="12" t="inlineStr">
        <is>
          <t>checking</t>
        </is>
      </c>
      <c r="F205" s="27" t="n">
        <v>5000</v>
      </c>
      <c r="G205" s="27" t="n">
        <v>0</v>
      </c>
      <c r="H205" s="27" t="n">
        <v>0</v>
      </c>
      <c r="I205" s="27" t="n">
        <v>0</v>
      </c>
      <c r="J205" s="27" t="n">
        <v>0</v>
      </c>
      <c r="K205" s="27" t="n">
        <v>0</v>
      </c>
      <c r="L205" s="27" t="n">
        <v>0</v>
      </c>
      <c r="M205" s="27" t="n">
        <v>0</v>
      </c>
      <c r="N205" s="27" t="n">
        <v>5000</v>
      </c>
      <c r="O205" s="27" t="n">
        <v>5000</v>
      </c>
      <c r="P205" s="27" t="n">
        <v>0</v>
      </c>
      <c r="Q205" s="33" t="inlineStr"/>
    </row>
    <row r="206" ht="30" customHeight="1">
      <c r="A206" s="26" t="n">
        <v>2046</v>
      </c>
      <c r="B206" s="12" t="inlineStr">
        <is>
          <t>Family Checking</t>
        </is>
      </c>
      <c r="C206" s="12" t="inlineStr">
        <is>
          <t>Matthew</t>
        </is>
      </c>
      <c r="D206" s="41" t="inlineStr">
        <is>
          <t>cash</t>
        </is>
      </c>
      <c r="E206" s="12" t="inlineStr">
        <is>
          <t>checking</t>
        </is>
      </c>
      <c r="F206" s="27" t="n">
        <v>15000</v>
      </c>
      <c r="G206" s="27" t="n">
        <v>0</v>
      </c>
      <c r="H206" s="27" t="n">
        <v>0</v>
      </c>
      <c r="I206" s="27" t="n">
        <v>0</v>
      </c>
      <c r="J206" s="27" t="n">
        <v>0</v>
      </c>
      <c r="K206" s="27" t="n">
        <v>0</v>
      </c>
      <c r="L206" s="27" t="n">
        <v>0</v>
      </c>
      <c r="M206" s="27" t="n">
        <v>0</v>
      </c>
      <c r="N206" s="27" t="n">
        <v>15000</v>
      </c>
      <c r="O206" s="27" t="n">
        <v>15000</v>
      </c>
      <c r="P206" s="27" t="n">
        <v>0</v>
      </c>
      <c r="Q206" s="33" t="inlineStr"/>
    </row>
    <row r="207" ht="30" customHeight="1">
      <c r="A207" s="26" t="n">
        <v>2046</v>
      </c>
      <c r="B207" s="12" t="inlineStr">
        <is>
          <t>Matthew HSA</t>
        </is>
      </c>
      <c r="C207" s="12" t="inlineStr">
        <is>
          <t>Matthew</t>
        </is>
      </c>
      <c r="D207" s="41" t="inlineStr">
        <is>
          <t>hsa</t>
        </is>
      </c>
      <c r="E207" s="12" t="inlineStr">
        <is>
          <t>hsa</t>
        </is>
      </c>
      <c r="F207" s="27" t="n">
        <v>0</v>
      </c>
      <c r="G207" s="27" t="n">
        <v>0</v>
      </c>
      <c r="H207" s="27" t="n">
        <v>0</v>
      </c>
      <c r="I207" s="27" t="n">
        <v>0</v>
      </c>
      <c r="J207" s="27" t="n">
        <v>0</v>
      </c>
      <c r="K207" s="27" t="n">
        <v>0</v>
      </c>
      <c r="L207" s="27" t="n">
        <v>0</v>
      </c>
      <c r="M207" s="27" t="n">
        <v>0</v>
      </c>
      <c r="N207" s="27" t="n">
        <v>0</v>
      </c>
      <c r="O207" s="27" t="n">
        <v>0</v>
      </c>
      <c r="P207" s="27" t="n">
        <v>0</v>
      </c>
      <c r="Q207" s="33" t="inlineStr"/>
    </row>
    <row r="208" ht="30" customHeight="1">
      <c r="A208" s="26" t="n">
        <v>2046</v>
      </c>
      <c r="B208" s="12" t="inlineStr">
        <is>
          <t>Matthew 401k</t>
        </is>
      </c>
      <c r="C208" s="12" t="inlineStr">
        <is>
          <t>Matthew</t>
        </is>
      </c>
      <c r="D208" s="41" t="inlineStr">
        <is>
          <t>pre_tax</t>
        </is>
      </c>
      <c r="E208" s="12" t="inlineStr">
        <is>
          <t>401k</t>
        </is>
      </c>
      <c r="F208" s="27" t="n">
        <v>0</v>
      </c>
      <c r="G208" s="27" t="n">
        <v>0</v>
      </c>
      <c r="H208" s="27" t="n">
        <v>0</v>
      </c>
      <c r="I208" s="27" t="n">
        <v>0</v>
      </c>
      <c r="J208" s="27" t="n">
        <v>0</v>
      </c>
      <c r="K208" s="27" t="n">
        <v>0</v>
      </c>
      <c r="L208" s="27" t="n">
        <v>0</v>
      </c>
      <c r="M208" s="27" t="n">
        <v>0</v>
      </c>
      <c r="N208" s="27" t="n">
        <v>0</v>
      </c>
      <c r="O208" s="27" t="n">
        <v>0</v>
      </c>
      <c r="P208" s="27" t="n">
        <v>0</v>
      </c>
      <c r="Q208" s="33" t="inlineStr"/>
    </row>
    <row r="209" ht="30" customHeight="1">
      <c r="A209" s="26" t="n">
        <v>2046</v>
      </c>
      <c r="B209" s="12" t="inlineStr">
        <is>
          <t>Matthew IRA</t>
        </is>
      </c>
      <c r="C209" s="12" t="inlineStr">
        <is>
          <t>Matthew</t>
        </is>
      </c>
      <c r="D209" s="41" t="inlineStr">
        <is>
          <t>pre_tax</t>
        </is>
      </c>
      <c r="E209" s="12" t="inlineStr">
        <is>
          <t>traditional_ira</t>
        </is>
      </c>
      <c r="F209" s="27" t="n">
        <v>0</v>
      </c>
      <c r="G209" s="27" t="n">
        <v>0</v>
      </c>
      <c r="H209" s="27" t="n">
        <v>0</v>
      </c>
      <c r="I209" s="27" t="n">
        <v>0</v>
      </c>
      <c r="J209" s="27" t="n">
        <v>0</v>
      </c>
      <c r="K209" s="27" t="n">
        <v>0</v>
      </c>
      <c r="L209" s="27" t="n">
        <v>0</v>
      </c>
      <c r="M209" s="27" t="n">
        <v>0</v>
      </c>
      <c r="N209" s="27" t="n">
        <v>0</v>
      </c>
      <c r="O209" s="27" t="n">
        <v>0</v>
      </c>
      <c r="P209" s="27" t="n">
        <v>0</v>
      </c>
      <c r="Q209" s="33" t="inlineStr"/>
    </row>
    <row r="210" ht="30" customHeight="1">
      <c r="A210" s="26" t="n">
        <v>2046</v>
      </c>
      <c r="B210" s="12" t="inlineStr">
        <is>
          <t>Matthew Roth</t>
        </is>
      </c>
      <c r="C210" s="12" t="inlineStr">
        <is>
          <t>Matthew</t>
        </is>
      </c>
      <c r="D210" s="41" t="inlineStr">
        <is>
          <t>roth</t>
        </is>
      </c>
      <c r="E210" s="12" t="inlineStr">
        <is>
          <t>roth_ira</t>
        </is>
      </c>
      <c r="F210" s="27" t="n">
        <v>1541049.849863108</v>
      </c>
      <c r="G210" s="27" t="n">
        <v>0</v>
      </c>
      <c r="H210" s="27" t="n">
        <v>0</v>
      </c>
      <c r="I210" s="27" t="n">
        <v>0</v>
      </c>
      <c r="J210" s="27" t="n">
        <v>0</v>
      </c>
      <c r="K210" s="27" t="n">
        <v>0</v>
      </c>
      <c r="L210" s="27" t="n">
        <v>69910.60883819453</v>
      </c>
      <c r="M210" s="27" t="n">
        <v>88268.35446149478</v>
      </c>
      <c r="N210" s="27" t="n">
        <v>1559407.595486408</v>
      </c>
      <c r="O210" s="27" t="n">
        <v>1559407.595486408</v>
      </c>
      <c r="P210" s="27" t="n">
        <v>0</v>
      </c>
      <c r="Q210" s="12" t="inlineStr">
        <is>
          <t>withdrawal</t>
        </is>
      </c>
    </row>
    <row r="211" ht="30" customHeight="1">
      <c r="A211" s="26" t="n">
        <v>2046</v>
      </c>
      <c r="B211" s="12" t="inlineStr">
        <is>
          <t>Matthew Trust</t>
        </is>
      </c>
      <c r="C211" s="12" t="inlineStr">
        <is>
          <t>Matthew</t>
        </is>
      </c>
      <c r="D211" s="41" t="inlineStr">
        <is>
          <t>taxable</t>
        </is>
      </c>
      <c r="E211" s="12" t="inlineStr">
        <is>
          <t>trust</t>
        </is>
      </c>
      <c r="F211" s="27" t="n">
        <v>1.511455543027415e-11</v>
      </c>
      <c r="G211" s="27" t="n">
        <v>0</v>
      </c>
      <c r="H211" s="27" t="n">
        <v>0</v>
      </c>
      <c r="I211" s="27" t="n">
        <v>0</v>
      </c>
      <c r="J211" s="27" t="n">
        <v>0</v>
      </c>
      <c r="K211" s="27" t="n">
        <v>0</v>
      </c>
      <c r="L211" s="27" t="n">
        <v>0</v>
      </c>
      <c r="M211" s="27" t="n">
        <v>0</v>
      </c>
      <c r="N211" s="27" t="n">
        <v>1.511455543027415e-11</v>
      </c>
      <c r="O211" s="27" t="n">
        <v>0</v>
      </c>
      <c r="P211" s="27" t="n">
        <v>-1.511455543027415e-11</v>
      </c>
      <c r="Q211" s="33" t="inlineStr"/>
    </row>
    <row r="212" ht="30" customHeight="1">
      <c r="A212" s="26" t="n">
        <v>2046</v>
      </c>
      <c r="B212" s="12" t="inlineStr">
        <is>
          <t>Patricia IRA</t>
        </is>
      </c>
      <c r="C212" s="12" t="inlineStr">
        <is>
          <t>Patricia</t>
        </is>
      </c>
      <c r="D212" s="41" t="inlineStr">
        <is>
          <t>pre_tax</t>
        </is>
      </c>
      <c r="E212" s="12" t="inlineStr">
        <is>
          <t>traditional_ira</t>
        </is>
      </c>
      <c r="F212" s="27" t="n">
        <v>0</v>
      </c>
      <c r="G212" s="27" t="n">
        <v>0</v>
      </c>
      <c r="H212" s="27" t="n">
        <v>0</v>
      </c>
      <c r="I212" s="27" t="n">
        <v>0</v>
      </c>
      <c r="J212" s="27" t="n">
        <v>0</v>
      </c>
      <c r="K212" s="27" t="n">
        <v>0</v>
      </c>
      <c r="L212" s="27" t="n">
        <v>0</v>
      </c>
      <c r="M212" s="27" t="n">
        <v>0</v>
      </c>
      <c r="N212" s="27" t="n">
        <v>0</v>
      </c>
      <c r="O212" s="27" t="n">
        <v>0</v>
      </c>
      <c r="P212" s="27" t="n">
        <v>0</v>
      </c>
      <c r="Q212" s="33" t="inlineStr"/>
    </row>
    <row r="213" ht="30" customHeight="1">
      <c r="A213" s="26" t="n">
        <v>2046</v>
      </c>
      <c r="B213" s="12" t="inlineStr">
        <is>
          <t>Patricia Roth</t>
        </is>
      </c>
      <c r="C213" s="12" t="inlineStr">
        <is>
          <t>Patricia</t>
        </is>
      </c>
      <c r="D213" s="41" t="inlineStr">
        <is>
          <t>roth</t>
        </is>
      </c>
      <c r="E213" s="12" t="inlineStr">
        <is>
          <t>roth_ira</t>
        </is>
      </c>
      <c r="F213" s="27" t="n">
        <v>1310760.202844095</v>
      </c>
      <c r="G213" s="27" t="n">
        <v>0</v>
      </c>
      <c r="H213" s="27" t="n">
        <v>0</v>
      </c>
      <c r="I213" s="27" t="n">
        <v>0</v>
      </c>
      <c r="J213" s="27" t="n">
        <v>0</v>
      </c>
      <c r="K213" s="27" t="n">
        <v>0</v>
      </c>
      <c r="L213" s="27" t="n">
        <v>59463.38713822016</v>
      </c>
      <c r="M213" s="27" t="n">
        <v>75077.80894235247</v>
      </c>
      <c r="N213" s="27" t="n">
        <v>1326374.624648227</v>
      </c>
      <c r="O213" s="27" t="n">
        <v>1326374.624648227</v>
      </c>
      <c r="P213" s="27" t="n">
        <v>0</v>
      </c>
      <c r="Q213" s="12" t="inlineStr">
        <is>
          <t>withdrawal</t>
        </is>
      </c>
    </row>
    <row r="214" ht="30" customHeight="1">
      <c r="A214" s="26" t="n">
        <v>2046</v>
      </c>
      <c r="B214" s="12" t="inlineStr">
        <is>
          <t>Patricia Trust</t>
        </is>
      </c>
      <c r="C214" s="12" t="inlineStr">
        <is>
          <t>Patricia</t>
        </is>
      </c>
      <c r="D214" s="41" t="inlineStr">
        <is>
          <t>taxable</t>
        </is>
      </c>
      <c r="E214" s="12" t="inlineStr">
        <is>
          <t>trust</t>
        </is>
      </c>
      <c r="F214" s="27" t="n">
        <v>0</v>
      </c>
      <c r="G214" s="27" t="n">
        <v>0</v>
      </c>
      <c r="H214" s="27" t="n">
        <v>0</v>
      </c>
      <c r="I214" s="27" t="n">
        <v>0</v>
      </c>
      <c r="J214" s="27" t="n">
        <v>0</v>
      </c>
      <c r="K214" s="27" t="n">
        <v>0</v>
      </c>
      <c r="L214" s="27" t="n">
        <v>0</v>
      </c>
      <c r="M214" s="27" t="n">
        <v>0</v>
      </c>
      <c r="N214" s="27" t="n">
        <v>0</v>
      </c>
      <c r="O214" s="27" t="n">
        <v>0</v>
      </c>
      <c r="P214" s="27" t="n">
        <v>0</v>
      </c>
      <c r="Q214" s="33" t="inlineStr"/>
    </row>
    <row r="215" ht="45" customHeight="1">
      <c r="A215" s="26" t="n">
        <v>2047</v>
      </c>
      <c r="B215" s="12" t="inlineStr">
        <is>
          <t>Business Checking</t>
        </is>
      </c>
      <c r="C215" s="12" t="inlineStr">
        <is>
          <t>Matthew</t>
        </is>
      </c>
      <c r="D215" s="41" t="inlineStr">
        <is>
          <t>cash</t>
        </is>
      </c>
      <c r="E215" s="12" t="inlineStr">
        <is>
          <t>checking</t>
        </is>
      </c>
      <c r="F215" s="27" t="n">
        <v>5000</v>
      </c>
      <c r="G215" s="27" t="n">
        <v>0</v>
      </c>
      <c r="H215" s="27" t="n">
        <v>0</v>
      </c>
      <c r="I215" s="27" t="n">
        <v>0</v>
      </c>
      <c r="J215" s="27" t="n">
        <v>0</v>
      </c>
      <c r="K215" s="27" t="n">
        <v>0</v>
      </c>
      <c r="L215" s="27" t="n">
        <v>0</v>
      </c>
      <c r="M215" s="27" t="n">
        <v>0</v>
      </c>
      <c r="N215" s="27" t="n">
        <v>5000</v>
      </c>
      <c r="O215" s="27" t="n">
        <v>5000</v>
      </c>
      <c r="P215" s="27" t="n">
        <v>0</v>
      </c>
      <c r="Q215" s="33" t="inlineStr"/>
    </row>
    <row r="216" ht="30" customHeight="1">
      <c r="A216" s="26" t="n">
        <v>2047</v>
      </c>
      <c r="B216" s="12" t="inlineStr">
        <is>
          <t>Family Checking</t>
        </is>
      </c>
      <c r="C216" s="12" t="inlineStr">
        <is>
          <t>Matthew</t>
        </is>
      </c>
      <c r="D216" s="41" t="inlineStr">
        <is>
          <t>cash</t>
        </is>
      </c>
      <c r="E216" s="12" t="inlineStr">
        <is>
          <t>checking</t>
        </is>
      </c>
      <c r="F216" s="27" t="n">
        <v>15000</v>
      </c>
      <c r="G216" s="27" t="n">
        <v>0</v>
      </c>
      <c r="H216" s="27" t="n">
        <v>0</v>
      </c>
      <c r="I216" s="27" t="n">
        <v>0</v>
      </c>
      <c r="J216" s="27" t="n">
        <v>0</v>
      </c>
      <c r="K216" s="27" t="n">
        <v>0</v>
      </c>
      <c r="L216" s="27" t="n">
        <v>0</v>
      </c>
      <c r="M216" s="27" t="n">
        <v>0</v>
      </c>
      <c r="N216" s="27" t="n">
        <v>15000</v>
      </c>
      <c r="O216" s="27" t="n">
        <v>15000</v>
      </c>
      <c r="P216" s="27" t="n">
        <v>0</v>
      </c>
      <c r="Q216" s="33" t="inlineStr"/>
    </row>
    <row r="217" ht="30" customHeight="1">
      <c r="A217" s="26" t="n">
        <v>2047</v>
      </c>
      <c r="B217" s="12" t="inlineStr">
        <is>
          <t>Matthew HSA</t>
        </is>
      </c>
      <c r="C217" s="12" t="inlineStr">
        <is>
          <t>Matthew</t>
        </is>
      </c>
      <c r="D217" s="41" t="inlineStr">
        <is>
          <t>hsa</t>
        </is>
      </c>
      <c r="E217" s="12" t="inlineStr">
        <is>
          <t>hsa</t>
        </is>
      </c>
      <c r="F217" s="27" t="n">
        <v>0</v>
      </c>
      <c r="G217" s="27" t="n">
        <v>0</v>
      </c>
      <c r="H217" s="27" t="n">
        <v>0</v>
      </c>
      <c r="I217" s="27" t="n">
        <v>0</v>
      </c>
      <c r="J217" s="27" t="n">
        <v>0</v>
      </c>
      <c r="K217" s="27" t="n">
        <v>0</v>
      </c>
      <c r="L217" s="27" t="n">
        <v>0</v>
      </c>
      <c r="M217" s="27" t="n">
        <v>0</v>
      </c>
      <c r="N217" s="27" t="n">
        <v>0</v>
      </c>
      <c r="O217" s="27" t="n">
        <v>0</v>
      </c>
      <c r="P217" s="27" t="n">
        <v>0</v>
      </c>
      <c r="Q217" s="33" t="inlineStr"/>
    </row>
    <row r="218" ht="30" customHeight="1">
      <c r="A218" s="26" t="n">
        <v>2047</v>
      </c>
      <c r="B218" s="12" t="inlineStr">
        <is>
          <t>Matthew 401k</t>
        </is>
      </c>
      <c r="C218" s="12" t="inlineStr">
        <is>
          <t>Matthew</t>
        </is>
      </c>
      <c r="D218" s="41" t="inlineStr">
        <is>
          <t>pre_tax</t>
        </is>
      </c>
      <c r="E218" s="12" t="inlineStr">
        <is>
          <t>401k</t>
        </is>
      </c>
      <c r="F218" s="27" t="n">
        <v>0</v>
      </c>
      <c r="G218" s="27" t="n">
        <v>0</v>
      </c>
      <c r="H218" s="27" t="n">
        <v>0</v>
      </c>
      <c r="I218" s="27" t="n">
        <v>0</v>
      </c>
      <c r="J218" s="27" t="n">
        <v>0</v>
      </c>
      <c r="K218" s="27" t="n">
        <v>0</v>
      </c>
      <c r="L218" s="27" t="n">
        <v>0</v>
      </c>
      <c r="M218" s="27" t="n">
        <v>0</v>
      </c>
      <c r="N218" s="27" t="n">
        <v>0</v>
      </c>
      <c r="O218" s="27" t="n">
        <v>0</v>
      </c>
      <c r="P218" s="27" t="n">
        <v>0</v>
      </c>
      <c r="Q218" s="33" t="inlineStr"/>
    </row>
    <row r="219" ht="30" customHeight="1">
      <c r="A219" s="26" t="n">
        <v>2047</v>
      </c>
      <c r="B219" s="12" t="inlineStr">
        <is>
          <t>Matthew IRA</t>
        </is>
      </c>
      <c r="C219" s="12" t="inlineStr">
        <is>
          <t>Matthew</t>
        </is>
      </c>
      <c r="D219" s="41" t="inlineStr">
        <is>
          <t>pre_tax</t>
        </is>
      </c>
      <c r="E219" s="12" t="inlineStr">
        <is>
          <t>traditional_ira</t>
        </is>
      </c>
      <c r="F219" s="27" t="n">
        <v>0</v>
      </c>
      <c r="G219" s="27" t="n">
        <v>0</v>
      </c>
      <c r="H219" s="27" t="n">
        <v>0</v>
      </c>
      <c r="I219" s="27" t="n">
        <v>0</v>
      </c>
      <c r="J219" s="27" t="n">
        <v>0</v>
      </c>
      <c r="K219" s="27" t="n">
        <v>0</v>
      </c>
      <c r="L219" s="27" t="n">
        <v>0</v>
      </c>
      <c r="M219" s="27" t="n">
        <v>0</v>
      </c>
      <c r="N219" s="27" t="n">
        <v>0</v>
      </c>
      <c r="O219" s="27" t="n">
        <v>0</v>
      </c>
      <c r="P219" s="27" t="n">
        <v>0</v>
      </c>
      <c r="Q219" s="33" t="inlineStr"/>
    </row>
    <row r="220" ht="30" customHeight="1">
      <c r="A220" s="26" t="n">
        <v>2047</v>
      </c>
      <c r="B220" s="12" t="inlineStr">
        <is>
          <t>Matthew Roth</t>
        </is>
      </c>
      <c r="C220" s="12" t="inlineStr">
        <is>
          <t>Matthew</t>
        </is>
      </c>
      <c r="D220" s="41" t="inlineStr">
        <is>
          <t>roth</t>
        </is>
      </c>
      <c r="E220" s="12" t="inlineStr">
        <is>
          <t>roth_ira</t>
        </is>
      </c>
      <c r="F220" s="27" t="n">
        <v>1559407.595486408</v>
      </c>
      <c r="G220" s="27" t="n">
        <v>0</v>
      </c>
      <c r="H220" s="27" t="n">
        <v>0</v>
      </c>
      <c r="I220" s="27" t="n">
        <v>0</v>
      </c>
      <c r="J220" s="27" t="n">
        <v>0</v>
      </c>
      <c r="K220" s="27" t="n">
        <v>0</v>
      </c>
      <c r="L220" s="27" t="n">
        <v>76495.98352740922</v>
      </c>
      <c r="M220" s="27" t="n">
        <v>88974.69671753992</v>
      </c>
      <c r="N220" s="27" t="n">
        <v>1571886.308676539</v>
      </c>
      <c r="O220" s="27" t="n">
        <v>1571886.308676539</v>
      </c>
      <c r="P220" s="27" t="n">
        <v>0</v>
      </c>
      <c r="Q220" s="12" t="inlineStr">
        <is>
          <t>withdrawal</t>
        </is>
      </c>
    </row>
    <row r="221" ht="30" customHeight="1">
      <c r="A221" s="26" t="n">
        <v>2047</v>
      </c>
      <c r="B221" s="12" t="inlineStr">
        <is>
          <t>Matthew Trust</t>
        </is>
      </c>
      <c r="C221" s="12" t="inlineStr">
        <is>
          <t>Matthew</t>
        </is>
      </c>
      <c r="D221" s="41" t="inlineStr">
        <is>
          <t>taxable</t>
        </is>
      </c>
      <c r="E221" s="12" t="inlineStr">
        <is>
          <t>trust</t>
        </is>
      </c>
      <c r="F221" s="27" t="n">
        <v>0</v>
      </c>
      <c r="G221" s="27" t="n">
        <v>0</v>
      </c>
      <c r="H221" s="27" t="n">
        <v>0</v>
      </c>
      <c r="I221" s="27" t="n">
        <v>0</v>
      </c>
      <c r="J221" s="27" t="n">
        <v>0</v>
      </c>
      <c r="K221" s="27" t="n">
        <v>0</v>
      </c>
      <c r="L221" s="27" t="n">
        <v>0</v>
      </c>
      <c r="M221" s="27" t="n">
        <v>0</v>
      </c>
      <c r="N221" s="27" t="n">
        <v>0</v>
      </c>
      <c r="O221" s="27" t="n">
        <v>0</v>
      </c>
      <c r="P221" s="27" t="n">
        <v>0</v>
      </c>
      <c r="Q221" s="33" t="inlineStr"/>
    </row>
    <row r="222" ht="30" customHeight="1">
      <c r="A222" s="26" t="n">
        <v>2047</v>
      </c>
      <c r="B222" s="12" t="inlineStr">
        <is>
          <t>Patricia IRA</t>
        </is>
      </c>
      <c r="C222" s="12" t="inlineStr">
        <is>
          <t>Patricia</t>
        </is>
      </c>
      <c r="D222" s="41" t="inlineStr">
        <is>
          <t>pre_tax</t>
        </is>
      </c>
      <c r="E222" s="12" t="inlineStr">
        <is>
          <t>traditional_ira</t>
        </is>
      </c>
      <c r="F222" s="27" t="n">
        <v>0</v>
      </c>
      <c r="G222" s="27" t="n">
        <v>0</v>
      </c>
      <c r="H222" s="27" t="n">
        <v>0</v>
      </c>
      <c r="I222" s="27" t="n">
        <v>0</v>
      </c>
      <c r="J222" s="27" t="n">
        <v>0</v>
      </c>
      <c r="K222" s="27" t="n">
        <v>0</v>
      </c>
      <c r="L222" s="27" t="n">
        <v>0</v>
      </c>
      <c r="M222" s="27" t="n">
        <v>0</v>
      </c>
      <c r="N222" s="27" t="n">
        <v>0</v>
      </c>
      <c r="O222" s="27" t="n">
        <v>0</v>
      </c>
      <c r="P222" s="27" t="n">
        <v>0</v>
      </c>
      <c r="Q222" s="33" t="inlineStr"/>
    </row>
    <row r="223" ht="30" customHeight="1">
      <c r="A223" s="26" t="n">
        <v>2047</v>
      </c>
      <c r="B223" s="12" t="inlineStr">
        <is>
          <t>Patricia Roth</t>
        </is>
      </c>
      <c r="C223" s="12" t="inlineStr">
        <is>
          <t>Patricia</t>
        </is>
      </c>
      <c r="D223" s="41" t="inlineStr">
        <is>
          <t>roth</t>
        </is>
      </c>
      <c r="E223" s="12" t="inlineStr">
        <is>
          <t>roth_ira</t>
        </is>
      </c>
      <c r="F223" s="27" t="n">
        <v>1326374.624648227</v>
      </c>
      <c r="G223" s="27" t="n">
        <v>0</v>
      </c>
      <c r="H223" s="27" t="n">
        <v>0</v>
      </c>
      <c r="I223" s="27" t="n">
        <v>0</v>
      </c>
      <c r="J223" s="27" t="n">
        <v>0</v>
      </c>
      <c r="K223" s="27" t="n">
        <v>0</v>
      </c>
      <c r="L223" s="27" t="n">
        <v>65064.66412754414</v>
      </c>
      <c r="M223" s="27" t="n">
        <v>75678.59763124096</v>
      </c>
      <c r="N223" s="27" t="n">
        <v>1336988.558151924</v>
      </c>
      <c r="O223" s="27" t="n">
        <v>1336988.558151924</v>
      </c>
      <c r="P223" s="27" t="n">
        <v>0</v>
      </c>
      <c r="Q223" s="12" t="inlineStr">
        <is>
          <t>withdrawal</t>
        </is>
      </c>
    </row>
    <row r="224" ht="30" customHeight="1">
      <c r="A224" s="26" t="n">
        <v>2047</v>
      </c>
      <c r="B224" s="12" t="inlineStr">
        <is>
          <t>Patricia Trust</t>
        </is>
      </c>
      <c r="C224" s="12" t="inlineStr">
        <is>
          <t>Patricia</t>
        </is>
      </c>
      <c r="D224" s="41" t="inlineStr">
        <is>
          <t>taxable</t>
        </is>
      </c>
      <c r="E224" s="12" t="inlineStr">
        <is>
          <t>trust</t>
        </is>
      </c>
      <c r="F224" s="27" t="n">
        <v>0</v>
      </c>
      <c r="G224" s="27" t="n">
        <v>0</v>
      </c>
      <c r="H224" s="27" t="n">
        <v>0</v>
      </c>
      <c r="I224" s="27" t="n">
        <v>0</v>
      </c>
      <c r="J224" s="27" t="n">
        <v>0</v>
      </c>
      <c r="K224" s="27" t="n">
        <v>0</v>
      </c>
      <c r="L224" s="27" t="n">
        <v>0</v>
      </c>
      <c r="M224" s="27" t="n">
        <v>0</v>
      </c>
      <c r="N224" s="27" t="n">
        <v>0</v>
      </c>
      <c r="O224" s="27" t="n">
        <v>0</v>
      </c>
      <c r="P224" s="27" t="n">
        <v>0</v>
      </c>
      <c r="Q224" s="33" t="inlineStr"/>
    </row>
    <row r="225" ht="45" customHeight="1">
      <c r="A225" s="26" t="n">
        <v>2048</v>
      </c>
      <c r="B225" s="12" t="inlineStr">
        <is>
          <t>Business Checking</t>
        </is>
      </c>
      <c r="C225" s="12" t="inlineStr">
        <is>
          <t>Matthew</t>
        </is>
      </c>
      <c r="D225" s="41" t="inlineStr">
        <is>
          <t>cash</t>
        </is>
      </c>
      <c r="E225" s="12" t="inlineStr">
        <is>
          <t>checking</t>
        </is>
      </c>
      <c r="F225" s="27" t="n">
        <v>5000</v>
      </c>
      <c r="G225" s="27" t="n">
        <v>0</v>
      </c>
      <c r="H225" s="27" t="n">
        <v>0</v>
      </c>
      <c r="I225" s="27" t="n">
        <v>0</v>
      </c>
      <c r="J225" s="27" t="n">
        <v>0</v>
      </c>
      <c r="K225" s="27" t="n">
        <v>0</v>
      </c>
      <c r="L225" s="27" t="n">
        <v>0</v>
      </c>
      <c r="M225" s="27" t="n">
        <v>0</v>
      </c>
      <c r="N225" s="27" t="n">
        <v>5000</v>
      </c>
      <c r="O225" s="27" t="n">
        <v>5000</v>
      </c>
      <c r="P225" s="27" t="n">
        <v>0</v>
      </c>
      <c r="Q225" s="33" t="inlineStr"/>
    </row>
    <row r="226" ht="30" customHeight="1">
      <c r="A226" s="26" t="n">
        <v>2048</v>
      </c>
      <c r="B226" s="12" t="inlineStr">
        <is>
          <t>Family Checking</t>
        </is>
      </c>
      <c r="C226" s="12" t="inlineStr">
        <is>
          <t>Matthew</t>
        </is>
      </c>
      <c r="D226" s="41" t="inlineStr">
        <is>
          <t>cash</t>
        </is>
      </c>
      <c r="E226" s="12" t="inlineStr">
        <is>
          <t>checking</t>
        </is>
      </c>
      <c r="F226" s="27" t="n">
        <v>15000</v>
      </c>
      <c r="G226" s="27" t="n">
        <v>0</v>
      </c>
      <c r="H226" s="27" t="n">
        <v>0</v>
      </c>
      <c r="I226" s="27" t="n">
        <v>0</v>
      </c>
      <c r="J226" s="27" t="n">
        <v>0</v>
      </c>
      <c r="K226" s="27" t="n">
        <v>0</v>
      </c>
      <c r="L226" s="27" t="n">
        <v>0</v>
      </c>
      <c r="M226" s="27" t="n">
        <v>0</v>
      </c>
      <c r="N226" s="27" t="n">
        <v>15000</v>
      </c>
      <c r="O226" s="27" t="n">
        <v>15000</v>
      </c>
      <c r="P226" s="27" t="n">
        <v>0</v>
      </c>
      <c r="Q226" s="33" t="inlineStr"/>
    </row>
    <row r="227" ht="30" customHeight="1">
      <c r="A227" s="26" t="n">
        <v>2048</v>
      </c>
      <c r="B227" s="12" t="inlineStr">
        <is>
          <t>Matthew HSA</t>
        </is>
      </c>
      <c r="C227" s="12" t="inlineStr">
        <is>
          <t>Matthew</t>
        </is>
      </c>
      <c r="D227" s="41" t="inlineStr">
        <is>
          <t>hsa</t>
        </is>
      </c>
      <c r="E227" s="12" t="inlineStr">
        <is>
          <t>hsa</t>
        </is>
      </c>
      <c r="F227" s="27" t="n">
        <v>0</v>
      </c>
      <c r="G227" s="27" t="n">
        <v>0</v>
      </c>
      <c r="H227" s="27" t="n">
        <v>0</v>
      </c>
      <c r="I227" s="27" t="n">
        <v>0</v>
      </c>
      <c r="J227" s="27" t="n">
        <v>0</v>
      </c>
      <c r="K227" s="27" t="n">
        <v>0</v>
      </c>
      <c r="L227" s="27" t="n">
        <v>0</v>
      </c>
      <c r="M227" s="27" t="n">
        <v>0</v>
      </c>
      <c r="N227" s="27" t="n">
        <v>0</v>
      </c>
      <c r="O227" s="27" t="n">
        <v>0</v>
      </c>
      <c r="P227" s="27" t="n">
        <v>0</v>
      </c>
      <c r="Q227" s="33" t="inlineStr"/>
    </row>
    <row r="228" ht="30" customHeight="1">
      <c r="A228" s="26" t="n">
        <v>2048</v>
      </c>
      <c r="B228" s="12" t="inlineStr">
        <is>
          <t>Matthew 401k</t>
        </is>
      </c>
      <c r="C228" s="12" t="inlineStr">
        <is>
          <t>Matthew</t>
        </is>
      </c>
      <c r="D228" s="41" t="inlineStr">
        <is>
          <t>pre_tax</t>
        </is>
      </c>
      <c r="E228" s="12" t="inlineStr">
        <is>
          <t>401k</t>
        </is>
      </c>
      <c r="F228" s="27" t="n">
        <v>0</v>
      </c>
      <c r="G228" s="27" t="n">
        <v>0</v>
      </c>
      <c r="H228" s="27" t="n">
        <v>0</v>
      </c>
      <c r="I228" s="27" t="n">
        <v>0</v>
      </c>
      <c r="J228" s="27" t="n">
        <v>0</v>
      </c>
      <c r="K228" s="27" t="n">
        <v>0</v>
      </c>
      <c r="L228" s="27" t="n">
        <v>0</v>
      </c>
      <c r="M228" s="27" t="n">
        <v>0</v>
      </c>
      <c r="N228" s="27" t="n">
        <v>0</v>
      </c>
      <c r="O228" s="27" t="n">
        <v>0</v>
      </c>
      <c r="P228" s="27" t="n">
        <v>0</v>
      </c>
      <c r="Q228" s="33" t="inlineStr"/>
    </row>
    <row r="229" ht="30" customHeight="1">
      <c r="A229" s="26" t="n">
        <v>2048</v>
      </c>
      <c r="B229" s="12" t="inlineStr">
        <is>
          <t>Matthew IRA</t>
        </is>
      </c>
      <c r="C229" s="12" t="inlineStr">
        <is>
          <t>Matthew</t>
        </is>
      </c>
      <c r="D229" s="41" t="inlineStr">
        <is>
          <t>pre_tax</t>
        </is>
      </c>
      <c r="E229" s="12" t="inlineStr">
        <is>
          <t>traditional_ira</t>
        </is>
      </c>
      <c r="F229" s="27" t="n">
        <v>0</v>
      </c>
      <c r="G229" s="27" t="n">
        <v>0</v>
      </c>
      <c r="H229" s="27" t="n">
        <v>0</v>
      </c>
      <c r="I229" s="27" t="n">
        <v>0</v>
      </c>
      <c r="J229" s="27" t="n">
        <v>0</v>
      </c>
      <c r="K229" s="27" t="n">
        <v>0</v>
      </c>
      <c r="L229" s="27" t="n">
        <v>0</v>
      </c>
      <c r="M229" s="27" t="n">
        <v>0</v>
      </c>
      <c r="N229" s="27" t="n">
        <v>0</v>
      </c>
      <c r="O229" s="27" t="n">
        <v>0</v>
      </c>
      <c r="P229" s="27" t="n">
        <v>0</v>
      </c>
      <c r="Q229" s="33" t="inlineStr"/>
    </row>
    <row r="230" ht="30" customHeight="1">
      <c r="A230" s="26" t="n">
        <v>2048</v>
      </c>
      <c r="B230" s="12" t="inlineStr">
        <is>
          <t>Matthew Roth</t>
        </is>
      </c>
      <c r="C230" s="12" t="inlineStr">
        <is>
          <t>Matthew</t>
        </is>
      </c>
      <c r="D230" s="41" t="inlineStr">
        <is>
          <t>roth</t>
        </is>
      </c>
      <c r="E230" s="12" t="inlineStr">
        <is>
          <t>roth_ira</t>
        </is>
      </c>
      <c r="F230" s="27" t="n">
        <v>1571886.308676539</v>
      </c>
      <c r="G230" s="27" t="n">
        <v>0</v>
      </c>
      <c r="H230" s="27" t="n">
        <v>0</v>
      </c>
      <c r="I230" s="27" t="n">
        <v>0</v>
      </c>
      <c r="J230" s="27" t="n">
        <v>0</v>
      </c>
      <c r="K230" s="27" t="n">
        <v>0</v>
      </c>
      <c r="L230" s="27" t="n">
        <v>89151.84629580614</v>
      </c>
      <c r="M230" s="27" t="n">
        <v>88964.06774284394</v>
      </c>
      <c r="N230" s="27" t="n">
        <v>1571698.530123576</v>
      </c>
      <c r="O230" s="27" t="n">
        <v>1571698.530123576</v>
      </c>
      <c r="P230" s="27" t="n">
        <v>0</v>
      </c>
      <c r="Q230" s="12" t="inlineStr">
        <is>
          <t>withdrawal</t>
        </is>
      </c>
    </row>
    <row r="231" ht="30" customHeight="1">
      <c r="A231" s="26" t="n">
        <v>2048</v>
      </c>
      <c r="B231" s="12" t="inlineStr">
        <is>
          <t>Matthew Trust</t>
        </is>
      </c>
      <c r="C231" s="12" t="inlineStr">
        <is>
          <t>Matthew</t>
        </is>
      </c>
      <c r="D231" s="41" t="inlineStr">
        <is>
          <t>taxable</t>
        </is>
      </c>
      <c r="E231" s="12" t="inlineStr">
        <is>
          <t>trust</t>
        </is>
      </c>
      <c r="F231" s="27" t="n">
        <v>0</v>
      </c>
      <c r="G231" s="27" t="n">
        <v>0</v>
      </c>
      <c r="H231" s="27" t="n">
        <v>0</v>
      </c>
      <c r="I231" s="27" t="n">
        <v>0</v>
      </c>
      <c r="J231" s="27" t="n">
        <v>0</v>
      </c>
      <c r="K231" s="27" t="n">
        <v>0</v>
      </c>
      <c r="L231" s="27" t="n">
        <v>0</v>
      </c>
      <c r="M231" s="27" t="n">
        <v>0</v>
      </c>
      <c r="N231" s="27" t="n">
        <v>0</v>
      </c>
      <c r="O231" s="27" t="n">
        <v>0</v>
      </c>
      <c r="P231" s="27" t="n">
        <v>0</v>
      </c>
      <c r="Q231" s="33" t="inlineStr"/>
    </row>
    <row r="232" ht="30" customHeight="1">
      <c r="A232" s="26" t="n">
        <v>2048</v>
      </c>
      <c r="B232" s="12" t="inlineStr">
        <is>
          <t>Patricia IRA</t>
        </is>
      </c>
      <c r="C232" s="12" t="inlineStr">
        <is>
          <t>Patricia</t>
        </is>
      </c>
      <c r="D232" s="41" t="inlineStr">
        <is>
          <t>pre_tax</t>
        </is>
      </c>
      <c r="E232" s="12" t="inlineStr">
        <is>
          <t>traditional_ira</t>
        </is>
      </c>
      <c r="F232" s="27" t="n">
        <v>0</v>
      </c>
      <c r="G232" s="27" t="n">
        <v>0</v>
      </c>
      <c r="H232" s="27" t="n">
        <v>0</v>
      </c>
      <c r="I232" s="27" t="n">
        <v>0</v>
      </c>
      <c r="J232" s="27" t="n">
        <v>0</v>
      </c>
      <c r="K232" s="27" t="n">
        <v>0</v>
      </c>
      <c r="L232" s="27" t="n">
        <v>0</v>
      </c>
      <c r="M232" s="27" t="n">
        <v>0</v>
      </c>
      <c r="N232" s="27" t="n">
        <v>0</v>
      </c>
      <c r="O232" s="27" t="n">
        <v>0</v>
      </c>
      <c r="P232" s="27" t="n">
        <v>0</v>
      </c>
      <c r="Q232" s="33" t="inlineStr"/>
    </row>
    <row r="233" ht="30" customHeight="1">
      <c r="A233" s="26" t="n">
        <v>2048</v>
      </c>
      <c r="B233" s="12" t="inlineStr">
        <is>
          <t>Patricia Roth</t>
        </is>
      </c>
      <c r="C233" s="12" t="inlineStr">
        <is>
          <t>Patricia</t>
        </is>
      </c>
      <c r="D233" s="41" t="inlineStr">
        <is>
          <t>roth</t>
        </is>
      </c>
      <c r="E233" s="12" t="inlineStr">
        <is>
          <t>roth_ira</t>
        </is>
      </c>
      <c r="F233" s="27" t="n">
        <v>1336988.558151924</v>
      </c>
      <c r="G233" s="27" t="n">
        <v>0</v>
      </c>
      <c r="H233" s="27" t="n">
        <v>0</v>
      </c>
      <c r="I233" s="27" t="n">
        <v>0</v>
      </c>
      <c r="J233" s="27" t="n">
        <v>0</v>
      </c>
      <c r="K233" s="27" t="n">
        <v>0</v>
      </c>
      <c r="L233" s="27" t="n">
        <v>75829.27453320012</v>
      </c>
      <c r="M233" s="27" t="n">
        <v>75669.55701712343</v>
      </c>
      <c r="N233" s="27" t="n">
        <v>1336828.840635847</v>
      </c>
      <c r="O233" s="27" t="n">
        <v>1336828.840635847</v>
      </c>
      <c r="P233" s="27" t="n">
        <v>0</v>
      </c>
      <c r="Q233" s="12" t="inlineStr">
        <is>
          <t>withdrawal</t>
        </is>
      </c>
    </row>
    <row r="234" ht="30" customHeight="1">
      <c r="A234" s="26" t="n">
        <v>2048</v>
      </c>
      <c r="B234" s="12" t="inlineStr">
        <is>
          <t>Patricia Trust</t>
        </is>
      </c>
      <c r="C234" s="12" t="inlineStr">
        <is>
          <t>Patricia</t>
        </is>
      </c>
      <c r="D234" s="41" t="inlineStr">
        <is>
          <t>taxable</t>
        </is>
      </c>
      <c r="E234" s="12" t="inlineStr">
        <is>
          <t>trust</t>
        </is>
      </c>
      <c r="F234" s="27" t="n">
        <v>0</v>
      </c>
      <c r="G234" s="27" t="n">
        <v>0</v>
      </c>
      <c r="H234" s="27" t="n">
        <v>0</v>
      </c>
      <c r="I234" s="27" t="n">
        <v>0</v>
      </c>
      <c r="J234" s="27" t="n">
        <v>0</v>
      </c>
      <c r="K234" s="27" t="n">
        <v>0</v>
      </c>
      <c r="L234" s="27" t="n">
        <v>0</v>
      </c>
      <c r="M234" s="27" t="n">
        <v>0</v>
      </c>
      <c r="N234" s="27" t="n">
        <v>0</v>
      </c>
      <c r="O234" s="27" t="n">
        <v>0</v>
      </c>
      <c r="P234" s="27" t="n">
        <v>0</v>
      </c>
      <c r="Q234" s="33" t="inlineStr"/>
    </row>
    <row r="235" ht="45" customHeight="1">
      <c r="A235" s="26" t="n">
        <v>2049</v>
      </c>
      <c r="B235" s="12" t="inlineStr">
        <is>
          <t>Business Checking</t>
        </is>
      </c>
      <c r="C235" s="12" t="inlineStr">
        <is>
          <t>Matthew</t>
        </is>
      </c>
      <c r="D235" s="41" t="inlineStr">
        <is>
          <t>cash</t>
        </is>
      </c>
      <c r="E235" s="12" t="inlineStr">
        <is>
          <t>checking</t>
        </is>
      </c>
      <c r="F235" s="27" t="n">
        <v>5000</v>
      </c>
      <c r="G235" s="27" t="n">
        <v>0</v>
      </c>
      <c r="H235" s="27" t="n">
        <v>0</v>
      </c>
      <c r="I235" s="27" t="n">
        <v>0</v>
      </c>
      <c r="J235" s="27" t="n">
        <v>0</v>
      </c>
      <c r="K235" s="27" t="n">
        <v>0</v>
      </c>
      <c r="L235" s="27" t="n">
        <v>0</v>
      </c>
      <c r="M235" s="27" t="n">
        <v>0</v>
      </c>
      <c r="N235" s="27" t="n">
        <v>5000</v>
      </c>
      <c r="O235" s="27" t="n">
        <v>5000</v>
      </c>
      <c r="P235" s="27" t="n">
        <v>0</v>
      </c>
      <c r="Q235" s="33" t="inlineStr"/>
    </row>
    <row r="236" ht="30" customHeight="1">
      <c r="A236" s="26" t="n">
        <v>2049</v>
      </c>
      <c r="B236" s="12" t="inlineStr">
        <is>
          <t>Family Checking</t>
        </is>
      </c>
      <c r="C236" s="12" t="inlineStr">
        <is>
          <t>Matthew</t>
        </is>
      </c>
      <c r="D236" s="41" t="inlineStr">
        <is>
          <t>cash</t>
        </is>
      </c>
      <c r="E236" s="12" t="inlineStr">
        <is>
          <t>checking</t>
        </is>
      </c>
      <c r="F236" s="27" t="n">
        <v>15000</v>
      </c>
      <c r="G236" s="27" t="n">
        <v>0</v>
      </c>
      <c r="H236" s="27" t="n">
        <v>0</v>
      </c>
      <c r="I236" s="27" t="n">
        <v>0</v>
      </c>
      <c r="J236" s="27" t="n">
        <v>0</v>
      </c>
      <c r="K236" s="27" t="n">
        <v>0</v>
      </c>
      <c r="L236" s="27" t="n">
        <v>0</v>
      </c>
      <c r="M236" s="27" t="n">
        <v>0</v>
      </c>
      <c r="N236" s="27" t="n">
        <v>15000</v>
      </c>
      <c r="O236" s="27" t="n">
        <v>15000</v>
      </c>
      <c r="P236" s="27" t="n">
        <v>0</v>
      </c>
      <c r="Q236" s="33" t="inlineStr"/>
    </row>
    <row r="237" ht="30" customHeight="1">
      <c r="A237" s="26" t="n">
        <v>2049</v>
      </c>
      <c r="B237" s="12" t="inlineStr">
        <is>
          <t>Matthew HSA</t>
        </is>
      </c>
      <c r="C237" s="12" t="inlineStr">
        <is>
          <t>Matthew</t>
        </is>
      </c>
      <c r="D237" s="41" t="inlineStr">
        <is>
          <t>hsa</t>
        </is>
      </c>
      <c r="E237" s="12" t="inlineStr">
        <is>
          <t>hsa</t>
        </is>
      </c>
      <c r="F237" s="27" t="n">
        <v>0</v>
      </c>
      <c r="G237" s="27" t="n">
        <v>0</v>
      </c>
      <c r="H237" s="27" t="n">
        <v>0</v>
      </c>
      <c r="I237" s="27" t="n">
        <v>0</v>
      </c>
      <c r="J237" s="27" t="n">
        <v>0</v>
      </c>
      <c r="K237" s="27" t="n">
        <v>0</v>
      </c>
      <c r="L237" s="27" t="n">
        <v>0</v>
      </c>
      <c r="M237" s="27" t="n">
        <v>0</v>
      </c>
      <c r="N237" s="27" t="n">
        <v>0</v>
      </c>
      <c r="O237" s="27" t="n">
        <v>0</v>
      </c>
      <c r="P237" s="27" t="n">
        <v>0</v>
      </c>
      <c r="Q237" s="33" t="inlineStr"/>
    </row>
    <row r="238" ht="30" customHeight="1">
      <c r="A238" s="26" t="n">
        <v>2049</v>
      </c>
      <c r="B238" s="12" t="inlineStr">
        <is>
          <t>Matthew 401k</t>
        </is>
      </c>
      <c r="C238" s="12" t="inlineStr">
        <is>
          <t>Matthew</t>
        </is>
      </c>
      <c r="D238" s="41" t="inlineStr">
        <is>
          <t>pre_tax</t>
        </is>
      </c>
      <c r="E238" s="12" t="inlineStr">
        <is>
          <t>401k</t>
        </is>
      </c>
      <c r="F238" s="27" t="n">
        <v>0</v>
      </c>
      <c r="G238" s="27" t="n">
        <v>0</v>
      </c>
      <c r="H238" s="27" t="n">
        <v>0</v>
      </c>
      <c r="I238" s="27" t="n">
        <v>0</v>
      </c>
      <c r="J238" s="27" t="n">
        <v>0</v>
      </c>
      <c r="K238" s="27" t="n">
        <v>0</v>
      </c>
      <c r="L238" s="27" t="n">
        <v>0</v>
      </c>
      <c r="M238" s="27" t="n">
        <v>0</v>
      </c>
      <c r="N238" s="27" t="n">
        <v>0</v>
      </c>
      <c r="O238" s="27" t="n">
        <v>0</v>
      </c>
      <c r="P238" s="27" t="n">
        <v>0</v>
      </c>
      <c r="Q238" s="33" t="inlineStr"/>
    </row>
    <row r="239" ht="30" customHeight="1">
      <c r="A239" s="26" t="n">
        <v>2049</v>
      </c>
      <c r="B239" s="12" t="inlineStr">
        <is>
          <t>Matthew IRA</t>
        </is>
      </c>
      <c r="C239" s="12" t="inlineStr">
        <is>
          <t>Matthew</t>
        </is>
      </c>
      <c r="D239" s="41" t="inlineStr">
        <is>
          <t>pre_tax</t>
        </is>
      </c>
      <c r="E239" s="12" t="inlineStr">
        <is>
          <t>traditional_ira</t>
        </is>
      </c>
      <c r="F239" s="27" t="n">
        <v>0</v>
      </c>
      <c r="G239" s="27" t="n">
        <v>0</v>
      </c>
      <c r="H239" s="27" t="n">
        <v>0</v>
      </c>
      <c r="I239" s="27" t="n">
        <v>0</v>
      </c>
      <c r="J239" s="27" t="n">
        <v>0</v>
      </c>
      <c r="K239" s="27" t="n">
        <v>0</v>
      </c>
      <c r="L239" s="27" t="n">
        <v>0</v>
      </c>
      <c r="M239" s="27" t="n">
        <v>0</v>
      </c>
      <c r="N239" s="27" t="n">
        <v>0</v>
      </c>
      <c r="O239" s="27" t="n">
        <v>0</v>
      </c>
      <c r="P239" s="27" t="n">
        <v>0</v>
      </c>
      <c r="Q239" s="33" t="inlineStr"/>
    </row>
    <row r="240" ht="30" customHeight="1">
      <c r="A240" s="26" t="n">
        <v>2049</v>
      </c>
      <c r="B240" s="12" t="inlineStr">
        <is>
          <t>Matthew Roth</t>
        </is>
      </c>
      <c r="C240" s="12" t="inlineStr">
        <is>
          <t>Matthew</t>
        </is>
      </c>
      <c r="D240" s="41" t="inlineStr">
        <is>
          <t>roth</t>
        </is>
      </c>
      <c r="E240" s="12" t="inlineStr">
        <is>
          <t>roth_ira</t>
        </is>
      </c>
      <c r="F240" s="27" t="n">
        <v>1571698.530123576</v>
      </c>
      <c r="G240" s="27" t="n">
        <v>0</v>
      </c>
      <c r="H240" s="27" t="n">
        <v>0</v>
      </c>
      <c r="I240" s="27" t="n">
        <v>0</v>
      </c>
      <c r="J240" s="27" t="n">
        <v>0</v>
      </c>
      <c r="K240" s="27" t="n">
        <v>0</v>
      </c>
      <c r="L240" s="27" t="n">
        <v>91217.13316369506</v>
      </c>
      <c r="M240" s="27" t="n">
        <v>88828.88381759287</v>
      </c>
      <c r="N240" s="27" t="n">
        <v>1569310.280777474</v>
      </c>
      <c r="O240" s="27" t="n">
        <v>1569310.280777474</v>
      </c>
      <c r="P240" s="27" t="n">
        <v>0</v>
      </c>
      <c r="Q240" s="12" t="inlineStr">
        <is>
          <t>withdrawal</t>
        </is>
      </c>
    </row>
    <row r="241" ht="30" customHeight="1">
      <c r="A241" s="26" t="n">
        <v>2049</v>
      </c>
      <c r="B241" s="12" t="inlineStr">
        <is>
          <t>Matthew Trust</t>
        </is>
      </c>
      <c r="C241" s="12" t="inlineStr">
        <is>
          <t>Matthew</t>
        </is>
      </c>
      <c r="D241" s="41" t="inlineStr">
        <is>
          <t>taxable</t>
        </is>
      </c>
      <c r="E241" s="12" t="inlineStr">
        <is>
          <t>trust</t>
        </is>
      </c>
      <c r="F241" s="27" t="n">
        <v>0</v>
      </c>
      <c r="G241" s="27" t="n">
        <v>0</v>
      </c>
      <c r="H241" s="27" t="n">
        <v>0</v>
      </c>
      <c r="I241" s="27" t="n">
        <v>0</v>
      </c>
      <c r="J241" s="27" t="n">
        <v>0</v>
      </c>
      <c r="K241" s="27" t="n">
        <v>0</v>
      </c>
      <c r="L241" s="27" t="n">
        <v>0</v>
      </c>
      <c r="M241" s="27" t="n">
        <v>0</v>
      </c>
      <c r="N241" s="27" t="n">
        <v>0</v>
      </c>
      <c r="O241" s="27" t="n">
        <v>0</v>
      </c>
      <c r="P241" s="27" t="n">
        <v>0</v>
      </c>
      <c r="Q241" s="33" t="inlineStr"/>
    </row>
    <row r="242" ht="30" customHeight="1">
      <c r="A242" s="26" t="n">
        <v>2049</v>
      </c>
      <c r="B242" s="12" t="inlineStr">
        <is>
          <t>Patricia IRA</t>
        </is>
      </c>
      <c r="C242" s="12" t="inlineStr">
        <is>
          <t>Patricia</t>
        </is>
      </c>
      <c r="D242" s="41" t="inlineStr">
        <is>
          <t>pre_tax</t>
        </is>
      </c>
      <c r="E242" s="12" t="inlineStr">
        <is>
          <t>traditional_ira</t>
        </is>
      </c>
      <c r="F242" s="27" t="n">
        <v>0</v>
      </c>
      <c r="G242" s="27" t="n">
        <v>0</v>
      </c>
      <c r="H242" s="27" t="n">
        <v>0</v>
      </c>
      <c r="I242" s="27" t="n">
        <v>0</v>
      </c>
      <c r="J242" s="27" t="n">
        <v>0</v>
      </c>
      <c r="K242" s="27" t="n">
        <v>0</v>
      </c>
      <c r="L242" s="27" t="n">
        <v>0</v>
      </c>
      <c r="M242" s="27" t="n">
        <v>0</v>
      </c>
      <c r="N242" s="27" t="n">
        <v>0</v>
      </c>
      <c r="O242" s="27" t="n">
        <v>0</v>
      </c>
      <c r="P242" s="27" t="n">
        <v>0</v>
      </c>
      <c r="Q242" s="33" t="inlineStr"/>
    </row>
    <row r="243" ht="30" customHeight="1">
      <c r="A243" s="26" t="n">
        <v>2049</v>
      </c>
      <c r="B243" s="12" t="inlineStr">
        <is>
          <t>Patricia Roth</t>
        </is>
      </c>
      <c r="C243" s="12" t="inlineStr">
        <is>
          <t>Patricia</t>
        </is>
      </c>
      <c r="D243" s="41" t="inlineStr">
        <is>
          <t>roth</t>
        </is>
      </c>
      <c r="E243" s="12" t="inlineStr">
        <is>
          <t>roth_ira</t>
        </is>
      </c>
      <c r="F243" s="27" t="n">
        <v>1336828.840635847</v>
      </c>
      <c r="G243" s="27" t="n">
        <v>0</v>
      </c>
      <c r="H243" s="27" t="n">
        <v>0</v>
      </c>
      <c r="I243" s="27" t="n">
        <v>0</v>
      </c>
      <c r="J243" s="27" t="n">
        <v>0</v>
      </c>
      <c r="K243" s="27" t="n">
        <v>0</v>
      </c>
      <c r="L243" s="27" t="n">
        <v>77585.93142144148</v>
      </c>
      <c r="M243" s="27" t="n">
        <v>75554.57455286433</v>
      </c>
      <c r="N243" s="27" t="n">
        <v>1334797.48376727</v>
      </c>
      <c r="O243" s="27" t="n">
        <v>1334797.48376727</v>
      </c>
      <c r="P243" s="27" t="n">
        <v>0</v>
      </c>
      <c r="Q243" s="12" t="inlineStr">
        <is>
          <t>withdrawal</t>
        </is>
      </c>
    </row>
    <row r="244" ht="30" customHeight="1">
      <c r="A244" s="26" t="n">
        <v>2049</v>
      </c>
      <c r="B244" s="12" t="inlineStr">
        <is>
          <t>Patricia Trust</t>
        </is>
      </c>
      <c r="C244" s="12" t="inlineStr">
        <is>
          <t>Patricia</t>
        </is>
      </c>
      <c r="D244" s="41" t="inlineStr">
        <is>
          <t>taxable</t>
        </is>
      </c>
      <c r="E244" s="12" t="inlineStr">
        <is>
          <t>trust</t>
        </is>
      </c>
      <c r="F244" s="27" t="n">
        <v>0</v>
      </c>
      <c r="G244" s="27" t="n">
        <v>0</v>
      </c>
      <c r="H244" s="27" t="n">
        <v>0</v>
      </c>
      <c r="I244" s="27" t="n">
        <v>0</v>
      </c>
      <c r="J244" s="27" t="n">
        <v>0</v>
      </c>
      <c r="K244" s="27" t="n">
        <v>0</v>
      </c>
      <c r="L244" s="27" t="n">
        <v>0</v>
      </c>
      <c r="M244" s="27" t="n">
        <v>0</v>
      </c>
      <c r="N244" s="27" t="n">
        <v>0</v>
      </c>
      <c r="O244" s="27" t="n">
        <v>0</v>
      </c>
      <c r="P244" s="27" t="n">
        <v>0</v>
      </c>
      <c r="Q244" s="33" t="inlineStr"/>
    </row>
    <row r="245" ht="45" customHeight="1">
      <c r="A245" s="26" t="n">
        <v>2050</v>
      </c>
      <c r="B245" s="12" t="inlineStr">
        <is>
          <t>Business Checking</t>
        </is>
      </c>
      <c r="C245" s="12" t="inlineStr">
        <is>
          <t>Matthew</t>
        </is>
      </c>
      <c r="D245" s="41" t="inlineStr">
        <is>
          <t>cash</t>
        </is>
      </c>
      <c r="E245" s="12" t="inlineStr">
        <is>
          <t>checking</t>
        </is>
      </c>
      <c r="F245" s="27" t="n">
        <v>5000</v>
      </c>
      <c r="G245" s="27" t="n">
        <v>0</v>
      </c>
      <c r="H245" s="27" t="n">
        <v>0</v>
      </c>
      <c r="I245" s="27" t="n">
        <v>0</v>
      </c>
      <c r="J245" s="27" t="n">
        <v>0</v>
      </c>
      <c r="K245" s="27" t="n">
        <v>0</v>
      </c>
      <c r="L245" s="27" t="n">
        <v>0</v>
      </c>
      <c r="M245" s="27" t="n">
        <v>0</v>
      </c>
      <c r="N245" s="27" t="n">
        <v>5000</v>
      </c>
      <c r="O245" s="27" t="n">
        <v>5000</v>
      </c>
      <c r="P245" s="27" t="n">
        <v>0</v>
      </c>
      <c r="Q245" s="33" t="inlineStr"/>
    </row>
    <row r="246" ht="30" customHeight="1">
      <c r="A246" s="26" t="n">
        <v>2050</v>
      </c>
      <c r="B246" s="12" t="inlineStr">
        <is>
          <t>Family Checking</t>
        </is>
      </c>
      <c r="C246" s="12" t="inlineStr">
        <is>
          <t>Matthew</t>
        </is>
      </c>
      <c r="D246" s="41" t="inlineStr">
        <is>
          <t>cash</t>
        </is>
      </c>
      <c r="E246" s="12" t="inlineStr">
        <is>
          <t>checking</t>
        </is>
      </c>
      <c r="F246" s="27" t="n">
        <v>15000</v>
      </c>
      <c r="G246" s="27" t="n">
        <v>0</v>
      </c>
      <c r="H246" s="27" t="n">
        <v>0</v>
      </c>
      <c r="I246" s="27" t="n">
        <v>0</v>
      </c>
      <c r="J246" s="27" t="n">
        <v>0</v>
      </c>
      <c r="K246" s="27" t="n">
        <v>0</v>
      </c>
      <c r="L246" s="27" t="n">
        <v>0</v>
      </c>
      <c r="M246" s="27" t="n">
        <v>0</v>
      </c>
      <c r="N246" s="27" t="n">
        <v>15000</v>
      </c>
      <c r="O246" s="27" t="n">
        <v>15000</v>
      </c>
      <c r="P246" s="27" t="n">
        <v>0</v>
      </c>
      <c r="Q246" s="33" t="inlineStr"/>
    </row>
    <row r="247" ht="30" customHeight="1">
      <c r="A247" s="26" t="n">
        <v>2050</v>
      </c>
      <c r="B247" s="12" t="inlineStr">
        <is>
          <t>Matthew HSA</t>
        </is>
      </c>
      <c r="C247" s="12" t="inlineStr">
        <is>
          <t>Matthew</t>
        </is>
      </c>
      <c r="D247" s="41" t="inlineStr">
        <is>
          <t>hsa</t>
        </is>
      </c>
      <c r="E247" s="12" t="inlineStr">
        <is>
          <t>hsa</t>
        </is>
      </c>
      <c r="F247" s="27" t="n">
        <v>0</v>
      </c>
      <c r="G247" s="27" t="n">
        <v>0</v>
      </c>
      <c r="H247" s="27" t="n">
        <v>0</v>
      </c>
      <c r="I247" s="27" t="n">
        <v>0</v>
      </c>
      <c r="J247" s="27" t="n">
        <v>0</v>
      </c>
      <c r="K247" s="27" t="n">
        <v>0</v>
      </c>
      <c r="L247" s="27" t="n">
        <v>0</v>
      </c>
      <c r="M247" s="27" t="n">
        <v>0</v>
      </c>
      <c r="N247" s="27" t="n">
        <v>0</v>
      </c>
      <c r="O247" s="27" t="n">
        <v>0</v>
      </c>
      <c r="P247" s="27" t="n">
        <v>0</v>
      </c>
      <c r="Q247" s="33" t="inlineStr"/>
    </row>
    <row r="248" ht="30" customHeight="1">
      <c r="A248" s="26" t="n">
        <v>2050</v>
      </c>
      <c r="B248" s="12" t="inlineStr">
        <is>
          <t>Matthew 401k</t>
        </is>
      </c>
      <c r="C248" s="12" t="inlineStr">
        <is>
          <t>Matthew</t>
        </is>
      </c>
      <c r="D248" s="41" t="inlineStr">
        <is>
          <t>pre_tax</t>
        </is>
      </c>
      <c r="E248" s="12" t="inlineStr">
        <is>
          <t>401k</t>
        </is>
      </c>
      <c r="F248" s="27" t="n">
        <v>0</v>
      </c>
      <c r="G248" s="27" t="n">
        <v>0</v>
      </c>
      <c r="H248" s="27" t="n">
        <v>0</v>
      </c>
      <c r="I248" s="27" t="n">
        <v>0</v>
      </c>
      <c r="J248" s="27" t="n">
        <v>0</v>
      </c>
      <c r="K248" s="27" t="n">
        <v>0</v>
      </c>
      <c r="L248" s="27" t="n">
        <v>0</v>
      </c>
      <c r="M248" s="27" t="n">
        <v>0</v>
      </c>
      <c r="N248" s="27" t="n">
        <v>0</v>
      </c>
      <c r="O248" s="27" t="n">
        <v>0</v>
      </c>
      <c r="P248" s="27" t="n">
        <v>0</v>
      </c>
      <c r="Q248" s="33" t="inlineStr"/>
    </row>
    <row r="249" ht="30" customHeight="1">
      <c r="A249" s="26" t="n">
        <v>2050</v>
      </c>
      <c r="B249" s="12" t="inlineStr">
        <is>
          <t>Matthew IRA</t>
        </is>
      </c>
      <c r="C249" s="12" t="inlineStr">
        <is>
          <t>Matthew</t>
        </is>
      </c>
      <c r="D249" s="41" t="inlineStr">
        <is>
          <t>pre_tax</t>
        </is>
      </c>
      <c r="E249" s="12" t="inlineStr">
        <is>
          <t>traditional_ira</t>
        </is>
      </c>
      <c r="F249" s="27" t="n">
        <v>0</v>
      </c>
      <c r="G249" s="27" t="n">
        <v>0</v>
      </c>
      <c r="H249" s="27" t="n">
        <v>0</v>
      </c>
      <c r="I249" s="27" t="n">
        <v>0</v>
      </c>
      <c r="J249" s="27" t="n">
        <v>0</v>
      </c>
      <c r="K249" s="27" t="n">
        <v>0</v>
      </c>
      <c r="L249" s="27" t="n">
        <v>0</v>
      </c>
      <c r="M249" s="27" t="n">
        <v>0</v>
      </c>
      <c r="N249" s="27" t="n">
        <v>0</v>
      </c>
      <c r="O249" s="27" t="n">
        <v>0</v>
      </c>
      <c r="P249" s="27" t="n">
        <v>0</v>
      </c>
      <c r="Q249" s="33" t="inlineStr"/>
    </row>
    <row r="250" ht="30" customHeight="1">
      <c r="A250" s="26" t="n">
        <v>2050</v>
      </c>
      <c r="B250" s="12" t="inlineStr">
        <is>
          <t>Matthew Roth</t>
        </is>
      </c>
      <c r="C250" s="12" t="inlineStr">
        <is>
          <t>Matthew</t>
        </is>
      </c>
      <c r="D250" s="41" t="inlineStr">
        <is>
          <t>roth</t>
        </is>
      </c>
      <c r="E250" s="12" t="inlineStr">
        <is>
          <t>roth_ira</t>
        </is>
      </c>
      <c r="F250" s="27" t="n">
        <v>1569310.280777474</v>
      </c>
      <c r="G250" s="27" t="n">
        <v>0</v>
      </c>
      <c r="H250" s="27" t="n">
        <v>0</v>
      </c>
      <c r="I250" s="27" t="n">
        <v>0</v>
      </c>
      <c r="J250" s="27" t="n">
        <v>0</v>
      </c>
      <c r="K250" s="27" t="n">
        <v>0</v>
      </c>
      <c r="L250" s="27" t="n">
        <v>93429.52941080905</v>
      </c>
      <c r="M250" s="27" t="n">
        <v>88552.8450819999</v>
      </c>
      <c r="N250" s="27" t="n">
        <v>1564433.596448665</v>
      </c>
      <c r="O250" s="27" t="n">
        <v>1564433.596448665</v>
      </c>
      <c r="P250" s="27" t="n">
        <v>0</v>
      </c>
      <c r="Q250" s="12" t="inlineStr">
        <is>
          <t>withdrawal</t>
        </is>
      </c>
    </row>
    <row r="251" ht="30" customHeight="1">
      <c r="A251" s="26" t="n">
        <v>2050</v>
      </c>
      <c r="B251" s="12" t="inlineStr">
        <is>
          <t>Matthew Trust</t>
        </is>
      </c>
      <c r="C251" s="12" t="inlineStr">
        <is>
          <t>Matthew</t>
        </is>
      </c>
      <c r="D251" s="41" t="inlineStr">
        <is>
          <t>taxable</t>
        </is>
      </c>
      <c r="E251" s="12" t="inlineStr">
        <is>
          <t>trust</t>
        </is>
      </c>
      <c r="F251" s="27" t="n">
        <v>0</v>
      </c>
      <c r="G251" s="27" t="n">
        <v>0</v>
      </c>
      <c r="H251" s="27" t="n">
        <v>0</v>
      </c>
      <c r="I251" s="27" t="n">
        <v>0</v>
      </c>
      <c r="J251" s="27" t="n">
        <v>0</v>
      </c>
      <c r="K251" s="27" t="n">
        <v>0</v>
      </c>
      <c r="L251" s="27" t="n">
        <v>0</v>
      </c>
      <c r="M251" s="27" t="n">
        <v>0</v>
      </c>
      <c r="N251" s="27" t="n">
        <v>0</v>
      </c>
      <c r="O251" s="27" t="n">
        <v>0</v>
      </c>
      <c r="P251" s="27" t="n">
        <v>0</v>
      </c>
      <c r="Q251" s="33" t="inlineStr"/>
    </row>
    <row r="252" ht="30" customHeight="1">
      <c r="A252" s="26" t="n">
        <v>2050</v>
      </c>
      <c r="B252" s="12" t="inlineStr">
        <is>
          <t>Patricia IRA</t>
        </is>
      </c>
      <c r="C252" s="12" t="inlineStr">
        <is>
          <t>Patricia</t>
        </is>
      </c>
      <c r="D252" s="41" t="inlineStr">
        <is>
          <t>pre_tax</t>
        </is>
      </c>
      <c r="E252" s="12" t="inlineStr">
        <is>
          <t>traditional_ira</t>
        </is>
      </c>
      <c r="F252" s="27" t="n">
        <v>0</v>
      </c>
      <c r="G252" s="27" t="n">
        <v>0</v>
      </c>
      <c r="H252" s="27" t="n">
        <v>0</v>
      </c>
      <c r="I252" s="27" t="n">
        <v>0</v>
      </c>
      <c r="J252" s="27" t="n">
        <v>0</v>
      </c>
      <c r="K252" s="27" t="n">
        <v>0</v>
      </c>
      <c r="L252" s="27" t="n">
        <v>0</v>
      </c>
      <c r="M252" s="27" t="n">
        <v>0</v>
      </c>
      <c r="N252" s="27" t="n">
        <v>0</v>
      </c>
      <c r="O252" s="27" t="n">
        <v>0</v>
      </c>
      <c r="P252" s="27" t="n">
        <v>0</v>
      </c>
      <c r="Q252" s="33" t="inlineStr"/>
    </row>
    <row r="253" ht="30" customHeight="1">
      <c r="A253" s="26" t="n">
        <v>2050</v>
      </c>
      <c r="B253" s="12" t="inlineStr">
        <is>
          <t>Patricia Roth</t>
        </is>
      </c>
      <c r="C253" s="12" t="inlineStr">
        <is>
          <t>Patricia</t>
        </is>
      </c>
      <c r="D253" s="41" t="inlineStr">
        <is>
          <t>roth</t>
        </is>
      </c>
      <c r="E253" s="12" t="inlineStr">
        <is>
          <t>roth_ira</t>
        </is>
      </c>
      <c r="F253" s="27" t="n">
        <v>1334797.48376727</v>
      </c>
      <c r="G253" s="27" t="n">
        <v>0</v>
      </c>
      <c r="H253" s="27" t="n">
        <v>0</v>
      </c>
      <c r="I253" s="27" t="n">
        <v>0</v>
      </c>
      <c r="J253" s="27" t="n">
        <v>0</v>
      </c>
      <c r="K253" s="27" t="n">
        <v>0</v>
      </c>
      <c r="L253" s="27" t="n">
        <v>79467.71412554817</v>
      </c>
      <c r="M253" s="27" t="n">
        <v>75319.78617850329</v>
      </c>
      <c r="N253" s="27" t="n">
        <v>1330649.555820225</v>
      </c>
      <c r="O253" s="27" t="n">
        <v>1330649.555820225</v>
      </c>
      <c r="P253" s="27" t="n">
        <v>0</v>
      </c>
      <c r="Q253" s="12" t="inlineStr">
        <is>
          <t>withdrawal</t>
        </is>
      </c>
    </row>
    <row r="254" ht="30" customHeight="1">
      <c r="A254" s="26" t="n">
        <v>2050</v>
      </c>
      <c r="B254" s="12" t="inlineStr">
        <is>
          <t>Patricia Trust</t>
        </is>
      </c>
      <c r="C254" s="12" t="inlineStr">
        <is>
          <t>Patricia</t>
        </is>
      </c>
      <c r="D254" s="41" t="inlineStr">
        <is>
          <t>taxable</t>
        </is>
      </c>
      <c r="E254" s="12" t="inlineStr">
        <is>
          <t>trust</t>
        </is>
      </c>
      <c r="F254" s="27" t="n">
        <v>0</v>
      </c>
      <c r="G254" s="27" t="n">
        <v>0</v>
      </c>
      <c r="H254" s="27" t="n">
        <v>0</v>
      </c>
      <c r="I254" s="27" t="n">
        <v>0</v>
      </c>
      <c r="J254" s="27" t="n">
        <v>0</v>
      </c>
      <c r="K254" s="27" t="n">
        <v>0</v>
      </c>
      <c r="L254" s="27" t="n">
        <v>0</v>
      </c>
      <c r="M254" s="27" t="n">
        <v>0</v>
      </c>
      <c r="N254" s="27" t="n">
        <v>0</v>
      </c>
      <c r="O254" s="27" t="n">
        <v>0</v>
      </c>
      <c r="P254" s="27" t="n">
        <v>0</v>
      </c>
      <c r="Q254" s="33" t="inlineStr"/>
    </row>
    <row r="255" ht="45" customHeight="1">
      <c r="A255" s="26" t="n">
        <v>2051</v>
      </c>
      <c r="B255" s="12" t="inlineStr">
        <is>
          <t>Business Checking</t>
        </is>
      </c>
      <c r="C255" s="12" t="inlineStr">
        <is>
          <t>Matthew</t>
        </is>
      </c>
      <c r="D255" s="41" t="inlineStr">
        <is>
          <t>cash</t>
        </is>
      </c>
      <c r="E255" s="12" t="inlineStr">
        <is>
          <t>checking</t>
        </is>
      </c>
      <c r="F255" s="27" t="n">
        <v>5000</v>
      </c>
      <c r="G255" s="27" t="n">
        <v>0</v>
      </c>
      <c r="H255" s="27" t="n">
        <v>0</v>
      </c>
      <c r="I255" s="27" t="n">
        <v>0</v>
      </c>
      <c r="J255" s="27" t="n">
        <v>0</v>
      </c>
      <c r="K255" s="27" t="n">
        <v>0</v>
      </c>
      <c r="L255" s="27" t="n">
        <v>0</v>
      </c>
      <c r="M255" s="27" t="n">
        <v>0</v>
      </c>
      <c r="N255" s="27" t="n">
        <v>5000</v>
      </c>
      <c r="O255" s="27" t="n">
        <v>5000</v>
      </c>
      <c r="P255" s="27" t="n">
        <v>0</v>
      </c>
      <c r="Q255" s="33" t="inlineStr"/>
    </row>
    <row r="256" ht="30" customHeight="1">
      <c r="A256" s="26" t="n">
        <v>2051</v>
      </c>
      <c r="B256" s="12" t="inlineStr">
        <is>
          <t>Family Checking</t>
        </is>
      </c>
      <c r="C256" s="12" t="inlineStr">
        <is>
          <t>Matthew</t>
        </is>
      </c>
      <c r="D256" s="41" t="inlineStr">
        <is>
          <t>cash</t>
        </is>
      </c>
      <c r="E256" s="12" t="inlineStr">
        <is>
          <t>checking</t>
        </is>
      </c>
      <c r="F256" s="27" t="n">
        <v>15000</v>
      </c>
      <c r="G256" s="27" t="n">
        <v>0</v>
      </c>
      <c r="H256" s="27" t="n">
        <v>0</v>
      </c>
      <c r="I256" s="27" t="n">
        <v>0</v>
      </c>
      <c r="J256" s="27" t="n">
        <v>0</v>
      </c>
      <c r="K256" s="27" t="n">
        <v>0</v>
      </c>
      <c r="L256" s="27" t="n">
        <v>0</v>
      </c>
      <c r="M256" s="27" t="n">
        <v>0</v>
      </c>
      <c r="N256" s="27" t="n">
        <v>15000</v>
      </c>
      <c r="O256" s="27" t="n">
        <v>15000</v>
      </c>
      <c r="P256" s="27" t="n">
        <v>0</v>
      </c>
      <c r="Q256" s="33" t="inlineStr"/>
    </row>
    <row r="257" ht="30" customHeight="1">
      <c r="A257" s="26" t="n">
        <v>2051</v>
      </c>
      <c r="B257" s="12" t="inlineStr">
        <is>
          <t>Matthew HSA</t>
        </is>
      </c>
      <c r="C257" s="12" t="inlineStr">
        <is>
          <t>Matthew</t>
        </is>
      </c>
      <c r="D257" s="41" t="inlineStr">
        <is>
          <t>hsa</t>
        </is>
      </c>
      <c r="E257" s="12" t="inlineStr">
        <is>
          <t>hsa</t>
        </is>
      </c>
      <c r="F257" s="27" t="n">
        <v>0</v>
      </c>
      <c r="G257" s="27" t="n">
        <v>0</v>
      </c>
      <c r="H257" s="27" t="n">
        <v>0</v>
      </c>
      <c r="I257" s="27" t="n">
        <v>0</v>
      </c>
      <c r="J257" s="27" t="n">
        <v>0</v>
      </c>
      <c r="K257" s="27" t="n">
        <v>0</v>
      </c>
      <c r="L257" s="27" t="n">
        <v>0</v>
      </c>
      <c r="M257" s="27" t="n">
        <v>0</v>
      </c>
      <c r="N257" s="27" t="n">
        <v>0</v>
      </c>
      <c r="O257" s="27" t="n">
        <v>0</v>
      </c>
      <c r="P257" s="27" t="n">
        <v>0</v>
      </c>
      <c r="Q257" s="33" t="inlineStr"/>
    </row>
    <row r="258" ht="30" customHeight="1">
      <c r="A258" s="26" t="n">
        <v>2051</v>
      </c>
      <c r="B258" s="12" t="inlineStr">
        <is>
          <t>Matthew 401k</t>
        </is>
      </c>
      <c r="C258" s="12" t="inlineStr">
        <is>
          <t>Matthew</t>
        </is>
      </c>
      <c r="D258" s="41" t="inlineStr">
        <is>
          <t>pre_tax</t>
        </is>
      </c>
      <c r="E258" s="12" t="inlineStr">
        <is>
          <t>401k</t>
        </is>
      </c>
      <c r="F258" s="27" t="n">
        <v>0</v>
      </c>
      <c r="G258" s="27" t="n">
        <v>0</v>
      </c>
      <c r="H258" s="27" t="n">
        <v>0</v>
      </c>
      <c r="I258" s="27" t="n">
        <v>0</v>
      </c>
      <c r="J258" s="27" t="n">
        <v>0</v>
      </c>
      <c r="K258" s="27" t="n">
        <v>0</v>
      </c>
      <c r="L258" s="27" t="n">
        <v>0</v>
      </c>
      <c r="M258" s="27" t="n">
        <v>0</v>
      </c>
      <c r="N258" s="27" t="n">
        <v>0</v>
      </c>
      <c r="O258" s="27" t="n">
        <v>0</v>
      </c>
      <c r="P258" s="27" t="n">
        <v>0</v>
      </c>
      <c r="Q258" s="33" t="inlineStr"/>
    </row>
    <row r="259" ht="30" customHeight="1">
      <c r="A259" s="26" t="n">
        <v>2051</v>
      </c>
      <c r="B259" s="12" t="inlineStr">
        <is>
          <t>Matthew IRA</t>
        </is>
      </c>
      <c r="C259" s="12" t="inlineStr">
        <is>
          <t>Matthew</t>
        </is>
      </c>
      <c r="D259" s="41" t="inlineStr">
        <is>
          <t>pre_tax</t>
        </is>
      </c>
      <c r="E259" s="12" t="inlineStr">
        <is>
          <t>traditional_ira</t>
        </is>
      </c>
      <c r="F259" s="27" t="n">
        <v>0</v>
      </c>
      <c r="G259" s="27" t="n">
        <v>0</v>
      </c>
      <c r="H259" s="27" t="n">
        <v>0</v>
      </c>
      <c r="I259" s="27" t="n">
        <v>0</v>
      </c>
      <c r="J259" s="27" t="n">
        <v>0</v>
      </c>
      <c r="K259" s="27" t="n">
        <v>0</v>
      </c>
      <c r="L259" s="27" t="n">
        <v>0</v>
      </c>
      <c r="M259" s="27" t="n">
        <v>0</v>
      </c>
      <c r="N259" s="27" t="n">
        <v>0</v>
      </c>
      <c r="O259" s="27" t="n">
        <v>0</v>
      </c>
      <c r="P259" s="27" t="n">
        <v>0</v>
      </c>
      <c r="Q259" s="33" t="inlineStr"/>
    </row>
    <row r="260" ht="30" customHeight="1">
      <c r="A260" s="26" t="n">
        <v>2051</v>
      </c>
      <c r="B260" s="12" t="inlineStr">
        <is>
          <t>Matthew Roth</t>
        </is>
      </c>
      <c r="C260" s="12" t="inlineStr">
        <is>
          <t>Matthew</t>
        </is>
      </c>
      <c r="D260" s="41" t="inlineStr">
        <is>
          <t>roth</t>
        </is>
      </c>
      <c r="E260" s="12" t="inlineStr">
        <is>
          <t>roth_ira</t>
        </is>
      </c>
      <c r="F260" s="27" t="n">
        <v>1564433.596448665</v>
      </c>
      <c r="G260" s="27" t="n">
        <v>0</v>
      </c>
      <c r="H260" s="27" t="n">
        <v>0</v>
      </c>
      <c r="I260" s="27" t="n">
        <v>0</v>
      </c>
      <c r="J260" s="27" t="n">
        <v>0</v>
      </c>
      <c r="K260" s="27" t="n">
        <v>0</v>
      </c>
      <c r="L260" s="27" t="n">
        <v>95798.86400176439</v>
      </c>
      <c r="M260" s="27" t="n">
        <v>88118.08394681403</v>
      </c>
      <c r="N260" s="27" t="n">
        <v>1556752.816393715</v>
      </c>
      <c r="O260" s="27" t="n">
        <v>1556752.816393715</v>
      </c>
      <c r="P260" s="27" t="n">
        <v>0</v>
      </c>
      <c r="Q260" s="12" t="inlineStr">
        <is>
          <t>withdrawal</t>
        </is>
      </c>
    </row>
    <row r="261" ht="30" customHeight="1">
      <c r="A261" s="26" t="n">
        <v>2051</v>
      </c>
      <c r="B261" s="12" t="inlineStr">
        <is>
          <t>Matthew Trust</t>
        </is>
      </c>
      <c r="C261" s="12" t="inlineStr">
        <is>
          <t>Matthew</t>
        </is>
      </c>
      <c r="D261" s="41" t="inlineStr">
        <is>
          <t>taxable</t>
        </is>
      </c>
      <c r="E261" s="12" t="inlineStr">
        <is>
          <t>trust</t>
        </is>
      </c>
      <c r="F261" s="27" t="n">
        <v>0</v>
      </c>
      <c r="G261" s="27" t="n">
        <v>0</v>
      </c>
      <c r="H261" s="27" t="n">
        <v>0</v>
      </c>
      <c r="I261" s="27" t="n">
        <v>0</v>
      </c>
      <c r="J261" s="27" t="n">
        <v>0</v>
      </c>
      <c r="K261" s="27" t="n">
        <v>0</v>
      </c>
      <c r="L261" s="27" t="n">
        <v>0</v>
      </c>
      <c r="M261" s="27" t="n">
        <v>0</v>
      </c>
      <c r="N261" s="27" t="n">
        <v>0</v>
      </c>
      <c r="O261" s="27" t="n">
        <v>0</v>
      </c>
      <c r="P261" s="27" t="n">
        <v>0</v>
      </c>
      <c r="Q261" s="33" t="inlineStr"/>
    </row>
    <row r="262" ht="30" customHeight="1">
      <c r="A262" s="26" t="n">
        <v>2051</v>
      </c>
      <c r="B262" s="12" t="inlineStr">
        <is>
          <t>Patricia IRA</t>
        </is>
      </c>
      <c r="C262" s="12" t="inlineStr">
        <is>
          <t>Patricia</t>
        </is>
      </c>
      <c r="D262" s="41" t="inlineStr">
        <is>
          <t>pre_tax</t>
        </is>
      </c>
      <c r="E262" s="12" t="inlineStr">
        <is>
          <t>traditional_ira</t>
        </is>
      </c>
      <c r="F262" s="27" t="n">
        <v>0</v>
      </c>
      <c r="G262" s="27" t="n">
        <v>0</v>
      </c>
      <c r="H262" s="27" t="n">
        <v>0</v>
      </c>
      <c r="I262" s="27" t="n">
        <v>0</v>
      </c>
      <c r="J262" s="27" t="n">
        <v>0</v>
      </c>
      <c r="K262" s="27" t="n">
        <v>0</v>
      </c>
      <c r="L262" s="27" t="n">
        <v>0</v>
      </c>
      <c r="M262" s="27" t="n">
        <v>0</v>
      </c>
      <c r="N262" s="27" t="n">
        <v>0</v>
      </c>
      <c r="O262" s="27" t="n">
        <v>0</v>
      </c>
      <c r="P262" s="27" t="n">
        <v>0</v>
      </c>
      <c r="Q262" s="33" t="inlineStr"/>
    </row>
    <row r="263" ht="30" customHeight="1">
      <c r="A263" s="26" t="n">
        <v>2051</v>
      </c>
      <c r="B263" s="12" t="inlineStr">
        <is>
          <t>Patricia Roth</t>
        </is>
      </c>
      <c r="C263" s="12" t="inlineStr">
        <is>
          <t>Patricia</t>
        </is>
      </c>
      <c r="D263" s="41" t="inlineStr">
        <is>
          <t>roth</t>
        </is>
      </c>
      <c r="E263" s="12" t="inlineStr">
        <is>
          <t>roth_ira</t>
        </is>
      </c>
      <c r="F263" s="27" t="n">
        <v>1330649.555820225</v>
      </c>
      <c r="G263" s="27" t="n">
        <v>0</v>
      </c>
      <c r="H263" s="27" t="n">
        <v>0</v>
      </c>
      <c r="I263" s="27" t="n">
        <v>0</v>
      </c>
      <c r="J263" s="27" t="n">
        <v>0</v>
      </c>
      <c r="K263" s="27" t="n">
        <v>0</v>
      </c>
      <c r="L263" s="27" t="n">
        <v>81482.98280055048</v>
      </c>
      <c r="M263" s="27" t="n">
        <v>74949.99438118046</v>
      </c>
      <c r="N263" s="27" t="n">
        <v>1324116.567400855</v>
      </c>
      <c r="O263" s="27" t="n">
        <v>1324116.567400855</v>
      </c>
      <c r="P263" s="27" t="n">
        <v>0</v>
      </c>
      <c r="Q263" s="12" t="inlineStr">
        <is>
          <t>withdrawal</t>
        </is>
      </c>
    </row>
    <row r="264" ht="30" customHeight="1">
      <c r="A264" s="26" t="n">
        <v>2051</v>
      </c>
      <c r="B264" s="12" t="inlineStr">
        <is>
          <t>Patricia Trust</t>
        </is>
      </c>
      <c r="C264" s="12" t="inlineStr">
        <is>
          <t>Patricia</t>
        </is>
      </c>
      <c r="D264" s="41" t="inlineStr">
        <is>
          <t>taxable</t>
        </is>
      </c>
      <c r="E264" s="12" t="inlineStr">
        <is>
          <t>trust</t>
        </is>
      </c>
      <c r="F264" s="27" t="n">
        <v>0</v>
      </c>
      <c r="G264" s="27" t="n">
        <v>0</v>
      </c>
      <c r="H264" s="27" t="n">
        <v>0</v>
      </c>
      <c r="I264" s="27" t="n">
        <v>0</v>
      </c>
      <c r="J264" s="27" t="n">
        <v>0</v>
      </c>
      <c r="K264" s="27" t="n">
        <v>0</v>
      </c>
      <c r="L264" s="27" t="n">
        <v>0</v>
      </c>
      <c r="M264" s="27" t="n">
        <v>0</v>
      </c>
      <c r="N264" s="27" t="n">
        <v>0</v>
      </c>
      <c r="O264" s="27" t="n">
        <v>0</v>
      </c>
      <c r="P264" s="27" t="n">
        <v>0</v>
      </c>
      <c r="Q264" s="33" t="inlineStr"/>
    </row>
    <row r="265" ht="45" customHeight="1">
      <c r="A265" s="26" t="n">
        <v>2052</v>
      </c>
      <c r="B265" s="12" t="inlineStr">
        <is>
          <t>Business Checking</t>
        </is>
      </c>
      <c r="C265" s="12" t="inlineStr">
        <is>
          <t>Matthew</t>
        </is>
      </c>
      <c r="D265" s="41" t="inlineStr">
        <is>
          <t>cash</t>
        </is>
      </c>
      <c r="E265" s="12" t="inlineStr">
        <is>
          <t>checking</t>
        </is>
      </c>
      <c r="F265" s="27" t="n">
        <v>5000</v>
      </c>
      <c r="G265" s="27" t="n">
        <v>0</v>
      </c>
      <c r="H265" s="27" t="n">
        <v>0</v>
      </c>
      <c r="I265" s="27" t="n">
        <v>0</v>
      </c>
      <c r="J265" s="27" t="n">
        <v>0</v>
      </c>
      <c r="K265" s="27" t="n">
        <v>0</v>
      </c>
      <c r="L265" s="27" t="n">
        <v>0</v>
      </c>
      <c r="M265" s="27" t="n">
        <v>0</v>
      </c>
      <c r="N265" s="27" t="n">
        <v>5000</v>
      </c>
      <c r="O265" s="27" t="n">
        <v>5000</v>
      </c>
      <c r="P265" s="27" t="n">
        <v>0</v>
      </c>
      <c r="Q265" s="33" t="inlineStr"/>
    </row>
    <row r="266" ht="30" customHeight="1">
      <c r="A266" s="26" t="n">
        <v>2052</v>
      </c>
      <c r="B266" s="12" t="inlineStr">
        <is>
          <t>Family Checking</t>
        </is>
      </c>
      <c r="C266" s="12" t="inlineStr">
        <is>
          <t>Matthew</t>
        </is>
      </c>
      <c r="D266" s="41" t="inlineStr">
        <is>
          <t>cash</t>
        </is>
      </c>
      <c r="E266" s="12" t="inlineStr">
        <is>
          <t>checking</t>
        </is>
      </c>
      <c r="F266" s="27" t="n">
        <v>15000</v>
      </c>
      <c r="G266" s="27" t="n">
        <v>0</v>
      </c>
      <c r="H266" s="27" t="n">
        <v>0</v>
      </c>
      <c r="I266" s="27" t="n">
        <v>0</v>
      </c>
      <c r="J266" s="27" t="n">
        <v>0</v>
      </c>
      <c r="K266" s="27" t="n">
        <v>0</v>
      </c>
      <c r="L266" s="27" t="n">
        <v>0</v>
      </c>
      <c r="M266" s="27" t="n">
        <v>0</v>
      </c>
      <c r="N266" s="27" t="n">
        <v>15000</v>
      </c>
      <c r="O266" s="27" t="n">
        <v>15000</v>
      </c>
      <c r="P266" s="27" t="n">
        <v>0</v>
      </c>
      <c r="Q266" s="33" t="inlineStr"/>
    </row>
    <row r="267" ht="30" customHeight="1">
      <c r="A267" s="26" t="n">
        <v>2052</v>
      </c>
      <c r="B267" s="12" t="inlineStr">
        <is>
          <t>Matthew HSA</t>
        </is>
      </c>
      <c r="C267" s="12" t="inlineStr">
        <is>
          <t>Matthew</t>
        </is>
      </c>
      <c r="D267" s="41" t="inlineStr">
        <is>
          <t>hsa</t>
        </is>
      </c>
      <c r="E267" s="12" t="inlineStr">
        <is>
          <t>hsa</t>
        </is>
      </c>
      <c r="F267" s="27" t="n">
        <v>0</v>
      </c>
      <c r="G267" s="27" t="n">
        <v>0</v>
      </c>
      <c r="H267" s="27" t="n">
        <v>0</v>
      </c>
      <c r="I267" s="27" t="n">
        <v>0</v>
      </c>
      <c r="J267" s="27" t="n">
        <v>0</v>
      </c>
      <c r="K267" s="27" t="n">
        <v>0</v>
      </c>
      <c r="L267" s="27" t="n">
        <v>0</v>
      </c>
      <c r="M267" s="27" t="n">
        <v>0</v>
      </c>
      <c r="N267" s="27" t="n">
        <v>0</v>
      </c>
      <c r="O267" s="27" t="n">
        <v>0</v>
      </c>
      <c r="P267" s="27" t="n">
        <v>0</v>
      </c>
      <c r="Q267" s="33" t="inlineStr"/>
    </row>
    <row r="268" ht="30" customHeight="1">
      <c r="A268" s="26" t="n">
        <v>2052</v>
      </c>
      <c r="B268" s="12" t="inlineStr">
        <is>
          <t>Matthew 401k</t>
        </is>
      </c>
      <c r="C268" s="12" t="inlineStr">
        <is>
          <t>Matthew</t>
        </is>
      </c>
      <c r="D268" s="41" t="inlineStr">
        <is>
          <t>pre_tax</t>
        </is>
      </c>
      <c r="E268" s="12" t="inlineStr">
        <is>
          <t>401k</t>
        </is>
      </c>
      <c r="F268" s="27" t="n">
        <v>0</v>
      </c>
      <c r="G268" s="27" t="n">
        <v>0</v>
      </c>
      <c r="H268" s="27" t="n">
        <v>0</v>
      </c>
      <c r="I268" s="27" t="n">
        <v>0</v>
      </c>
      <c r="J268" s="27" t="n">
        <v>0</v>
      </c>
      <c r="K268" s="27" t="n">
        <v>0</v>
      </c>
      <c r="L268" s="27" t="n">
        <v>0</v>
      </c>
      <c r="M268" s="27" t="n">
        <v>0</v>
      </c>
      <c r="N268" s="27" t="n">
        <v>0</v>
      </c>
      <c r="O268" s="27" t="n">
        <v>0</v>
      </c>
      <c r="P268" s="27" t="n">
        <v>0</v>
      </c>
      <c r="Q268" s="33" t="inlineStr"/>
    </row>
    <row r="269" ht="30" customHeight="1">
      <c r="A269" s="26" t="n">
        <v>2052</v>
      </c>
      <c r="B269" s="12" t="inlineStr">
        <is>
          <t>Matthew IRA</t>
        </is>
      </c>
      <c r="C269" s="12" t="inlineStr">
        <is>
          <t>Matthew</t>
        </is>
      </c>
      <c r="D269" s="41" t="inlineStr">
        <is>
          <t>pre_tax</t>
        </is>
      </c>
      <c r="E269" s="12" t="inlineStr">
        <is>
          <t>traditional_ira</t>
        </is>
      </c>
      <c r="F269" s="27" t="n">
        <v>0</v>
      </c>
      <c r="G269" s="27" t="n">
        <v>0</v>
      </c>
      <c r="H269" s="27" t="n">
        <v>0</v>
      </c>
      <c r="I269" s="27" t="n">
        <v>0</v>
      </c>
      <c r="J269" s="27" t="n">
        <v>0</v>
      </c>
      <c r="K269" s="27" t="n">
        <v>0</v>
      </c>
      <c r="L269" s="27" t="n">
        <v>0</v>
      </c>
      <c r="M269" s="27" t="n">
        <v>0</v>
      </c>
      <c r="N269" s="27" t="n">
        <v>0</v>
      </c>
      <c r="O269" s="27" t="n">
        <v>0</v>
      </c>
      <c r="P269" s="27" t="n">
        <v>0</v>
      </c>
      <c r="Q269" s="33" t="inlineStr"/>
    </row>
    <row r="270" ht="30" customHeight="1">
      <c r="A270" s="26" t="n">
        <v>2052</v>
      </c>
      <c r="B270" s="12" t="inlineStr">
        <is>
          <t>Matthew Roth</t>
        </is>
      </c>
      <c r="C270" s="12" t="inlineStr">
        <is>
          <t>Matthew</t>
        </is>
      </c>
      <c r="D270" s="41" t="inlineStr">
        <is>
          <t>roth</t>
        </is>
      </c>
      <c r="E270" s="12" t="inlineStr">
        <is>
          <t>roth_ira</t>
        </is>
      </c>
      <c r="F270" s="27" t="n">
        <v>1556752.816393715</v>
      </c>
      <c r="G270" s="27" t="n">
        <v>0</v>
      </c>
      <c r="H270" s="27" t="n">
        <v>0</v>
      </c>
      <c r="I270" s="27" t="n">
        <v>0</v>
      </c>
      <c r="J270" s="27" t="n">
        <v>0</v>
      </c>
      <c r="K270" s="27" t="n">
        <v>0</v>
      </c>
      <c r="L270" s="27" t="n">
        <v>98321.51702080436</v>
      </c>
      <c r="M270" s="27" t="n">
        <v>87505.87796237461</v>
      </c>
      <c r="N270" s="27" t="n">
        <v>1545937.177335285</v>
      </c>
      <c r="O270" s="27" t="n">
        <v>1545937.177335285</v>
      </c>
      <c r="P270" s="27" t="n">
        <v>0</v>
      </c>
      <c r="Q270" s="12" t="inlineStr">
        <is>
          <t>withdrawal</t>
        </is>
      </c>
    </row>
    <row r="271" ht="30" customHeight="1">
      <c r="A271" s="26" t="n">
        <v>2052</v>
      </c>
      <c r="B271" s="12" t="inlineStr">
        <is>
          <t>Matthew Trust</t>
        </is>
      </c>
      <c r="C271" s="12" t="inlineStr">
        <is>
          <t>Matthew</t>
        </is>
      </c>
      <c r="D271" s="41" t="inlineStr">
        <is>
          <t>taxable</t>
        </is>
      </c>
      <c r="E271" s="12" t="inlineStr">
        <is>
          <t>trust</t>
        </is>
      </c>
      <c r="F271" s="27" t="n">
        <v>0</v>
      </c>
      <c r="G271" s="27" t="n">
        <v>0</v>
      </c>
      <c r="H271" s="27" t="n">
        <v>0</v>
      </c>
      <c r="I271" s="27" t="n">
        <v>0</v>
      </c>
      <c r="J271" s="27" t="n">
        <v>0</v>
      </c>
      <c r="K271" s="27" t="n">
        <v>0</v>
      </c>
      <c r="L271" s="27" t="n">
        <v>0</v>
      </c>
      <c r="M271" s="27" t="n">
        <v>0</v>
      </c>
      <c r="N271" s="27" t="n">
        <v>0</v>
      </c>
      <c r="O271" s="27" t="n">
        <v>0</v>
      </c>
      <c r="P271" s="27" t="n">
        <v>0</v>
      </c>
      <c r="Q271" s="33" t="inlineStr"/>
    </row>
    <row r="272" ht="30" customHeight="1">
      <c r="A272" s="26" t="n">
        <v>2052</v>
      </c>
      <c r="B272" s="12" t="inlineStr">
        <is>
          <t>Patricia IRA</t>
        </is>
      </c>
      <c r="C272" s="12" t="inlineStr">
        <is>
          <t>Patricia</t>
        </is>
      </c>
      <c r="D272" s="41" t="inlineStr">
        <is>
          <t>pre_tax</t>
        </is>
      </c>
      <c r="E272" s="12" t="inlineStr">
        <is>
          <t>traditional_ira</t>
        </is>
      </c>
      <c r="F272" s="27" t="n">
        <v>0</v>
      </c>
      <c r="G272" s="27" t="n">
        <v>0</v>
      </c>
      <c r="H272" s="27" t="n">
        <v>0</v>
      </c>
      <c r="I272" s="27" t="n">
        <v>0</v>
      </c>
      <c r="J272" s="27" t="n">
        <v>0</v>
      </c>
      <c r="K272" s="27" t="n">
        <v>0</v>
      </c>
      <c r="L272" s="27" t="n">
        <v>0</v>
      </c>
      <c r="M272" s="27" t="n">
        <v>0</v>
      </c>
      <c r="N272" s="27" t="n">
        <v>0</v>
      </c>
      <c r="O272" s="27" t="n">
        <v>0</v>
      </c>
      <c r="P272" s="27" t="n">
        <v>0</v>
      </c>
      <c r="Q272" s="33" t="inlineStr"/>
    </row>
    <row r="273" ht="30" customHeight="1">
      <c r="A273" s="26" t="n">
        <v>2052</v>
      </c>
      <c r="B273" s="12" t="inlineStr">
        <is>
          <t>Patricia Roth</t>
        </is>
      </c>
      <c r="C273" s="12" t="inlineStr">
        <is>
          <t>Patricia</t>
        </is>
      </c>
      <c r="D273" s="41" t="inlineStr">
        <is>
          <t>roth</t>
        </is>
      </c>
      <c r="E273" s="12" t="inlineStr">
        <is>
          <t>roth_ira</t>
        </is>
      </c>
      <c r="F273" s="27" t="n">
        <v>1324116.567400855</v>
      </c>
      <c r="G273" s="27" t="n">
        <v>0</v>
      </c>
      <c r="H273" s="27" t="n">
        <v>0</v>
      </c>
      <c r="I273" s="27" t="n">
        <v>0</v>
      </c>
      <c r="J273" s="27" t="n">
        <v>0</v>
      </c>
      <c r="K273" s="27" t="n">
        <v>0</v>
      </c>
      <c r="L273" s="27" t="n">
        <v>83628.65847952726</v>
      </c>
      <c r="M273" s="27" t="n">
        <v>74429.27453527965</v>
      </c>
      <c r="N273" s="27" t="n">
        <v>1314917.183456607</v>
      </c>
      <c r="O273" s="27" t="n">
        <v>1314917.183456607</v>
      </c>
      <c r="P273" s="27" t="n">
        <v>0</v>
      </c>
      <c r="Q273" s="12" t="inlineStr">
        <is>
          <t>withdrawal</t>
        </is>
      </c>
    </row>
    <row r="274" ht="30" customHeight="1">
      <c r="A274" s="26" t="n">
        <v>2052</v>
      </c>
      <c r="B274" s="12" t="inlineStr">
        <is>
          <t>Patricia Trust</t>
        </is>
      </c>
      <c r="C274" s="12" t="inlineStr">
        <is>
          <t>Patricia</t>
        </is>
      </c>
      <c r="D274" s="41" t="inlineStr">
        <is>
          <t>taxable</t>
        </is>
      </c>
      <c r="E274" s="12" t="inlineStr">
        <is>
          <t>trust</t>
        </is>
      </c>
      <c r="F274" s="27" t="n">
        <v>0</v>
      </c>
      <c r="G274" s="27" t="n">
        <v>0</v>
      </c>
      <c r="H274" s="27" t="n">
        <v>0</v>
      </c>
      <c r="I274" s="27" t="n">
        <v>0</v>
      </c>
      <c r="J274" s="27" t="n">
        <v>0</v>
      </c>
      <c r="K274" s="27" t="n">
        <v>0</v>
      </c>
      <c r="L274" s="27" t="n">
        <v>0</v>
      </c>
      <c r="M274" s="27" t="n">
        <v>0</v>
      </c>
      <c r="N274" s="27" t="n">
        <v>0</v>
      </c>
      <c r="O274" s="27" t="n">
        <v>0</v>
      </c>
      <c r="P274" s="27" t="n">
        <v>0</v>
      </c>
      <c r="Q274" s="33" t="inlineStr"/>
    </row>
    <row r="275" ht="45" customHeight="1">
      <c r="A275" s="26" t="n">
        <v>2053</v>
      </c>
      <c r="B275" s="12" t="inlineStr">
        <is>
          <t>Business Checking</t>
        </is>
      </c>
      <c r="C275" s="12" t="inlineStr">
        <is>
          <t>Matthew</t>
        </is>
      </c>
      <c r="D275" s="41" t="inlineStr">
        <is>
          <t>cash</t>
        </is>
      </c>
      <c r="E275" s="12" t="inlineStr">
        <is>
          <t>checking</t>
        </is>
      </c>
      <c r="F275" s="27" t="n">
        <v>5000</v>
      </c>
      <c r="G275" s="27" t="n">
        <v>0</v>
      </c>
      <c r="H275" s="27" t="n">
        <v>0</v>
      </c>
      <c r="I275" s="27" t="n">
        <v>0</v>
      </c>
      <c r="J275" s="27" t="n">
        <v>0</v>
      </c>
      <c r="K275" s="27" t="n">
        <v>0</v>
      </c>
      <c r="L275" s="27" t="n">
        <v>0</v>
      </c>
      <c r="M275" s="27" t="n">
        <v>0</v>
      </c>
      <c r="N275" s="27" t="n">
        <v>5000</v>
      </c>
      <c r="O275" s="27" t="n">
        <v>5000</v>
      </c>
      <c r="P275" s="27" t="n">
        <v>0</v>
      </c>
      <c r="Q275" s="33" t="inlineStr"/>
    </row>
    <row r="276" ht="30" customHeight="1">
      <c r="A276" s="26" t="n">
        <v>2053</v>
      </c>
      <c r="B276" s="12" t="inlineStr">
        <is>
          <t>Family Checking</t>
        </is>
      </c>
      <c r="C276" s="12" t="inlineStr">
        <is>
          <t>Matthew</t>
        </is>
      </c>
      <c r="D276" s="41" t="inlineStr">
        <is>
          <t>cash</t>
        </is>
      </c>
      <c r="E276" s="12" t="inlineStr">
        <is>
          <t>checking</t>
        </is>
      </c>
      <c r="F276" s="27" t="n">
        <v>15000</v>
      </c>
      <c r="G276" s="27" t="n">
        <v>0</v>
      </c>
      <c r="H276" s="27" t="n">
        <v>0</v>
      </c>
      <c r="I276" s="27" t="n">
        <v>0</v>
      </c>
      <c r="J276" s="27" t="n">
        <v>0</v>
      </c>
      <c r="K276" s="27" t="n">
        <v>0</v>
      </c>
      <c r="L276" s="27" t="n">
        <v>0</v>
      </c>
      <c r="M276" s="27" t="n">
        <v>0</v>
      </c>
      <c r="N276" s="27" t="n">
        <v>15000</v>
      </c>
      <c r="O276" s="27" t="n">
        <v>15000</v>
      </c>
      <c r="P276" s="27" t="n">
        <v>0</v>
      </c>
      <c r="Q276" s="33" t="inlineStr"/>
    </row>
    <row r="277" ht="30" customHeight="1">
      <c r="A277" s="26" t="n">
        <v>2053</v>
      </c>
      <c r="B277" s="12" t="inlineStr">
        <is>
          <t>Matthew HSA</t>
        </is>
      </c>
      <c r="C277" s="12" t="inlineStr">
        <is>
          <t>Matthew</t>
        </is>
      </c>
      <c r="D277" s="41" t="inlineStr">
        <is>
          <t>hsa</t>
        </is>
      </c>
      <c r="E277" s="12" t="inlineStr">
        <is>
          <t>hsa</t>
        </is>
      </c>
      <c r="F277" s="27" t="n">
        <v>0</v>
      </c>
      <c r="G277" s="27" t="n">
        <v>0</v>
      </c>
      <c r="H277" s="27" t="n">
        <v>0</v>
      </c>
      <c r="I277" s="27" t="n">
        <v>0</v>
      </c>
      <c r="J277" s="27" t="n">
        <v>0</v>
      </c>
      <c r="K277" s="27" t="n">
        <v>0</v>
      </c>
      <c r="L277" s="27" t="n">
        <v>0</v>
      </c>
      <c r="M277" s="27" t="n">
        <v>0</v>
      </c>
      <c r="N277" s="27" t="n">
        <v>0</v>
      </c>
      <c r="O277" s="27" t="n">
        <v>0</v>
      </c>
      <c r="P277" s="27" t="n">
        <v>0</v>
      </c>
      <c r="Q277" s="33" t="inlineStr"/>
    </row>
    <row r="278" ht="30" customHeight="1">
      <c r="A278" s="26" t="n">
        <v>2053</v>
      </c>
      <c r="B278" s="12" t="inlineStr">
        <is>
          <t>Matthew 401k</t>
        </is>
      </c>
      <c r="C278" s="12" t="inlineStr">
        <is>
          <t>Matthew</t>
        </is>
      </c>
      <c r="D278" s="41" t="inlineStr">
        <is>
          <t>pre_tax</t>
        </is>
      </c>
      <c r="E278" s="12" t="inlineStr">
        <is>
          <t>401k</t>
        </is>
      </c>
      <c r="F278" s="27" t="n">
        <v>0</v>
      </c>
      <c r="G278" s="27" t="n">
        <v>0</v>
      </c>
      <c r="H278" s="27" t="n">
        <v>0</v>
      </c>
      <c r="I278" s="27" t="n">
        <v>0</v>
      </c>
      <c r="J278" s="27" t="n">
        <v>0</v>
      </c>
      <c r="K278" s="27" t="n">
        <v>0</v>
      </c>
      <c r="L278" s="27" t="n">
        <v>0</v>
      </c>
      <c r="M278" s="27" t="n">
        <v>0</v>
      </c>
      <c r="N278" s="27" t="n">
        <v>0</v>
      </c>
      <c r="O278" s="27" t="n">
        <v>0</v>
      </c>
      <c r="P278" s="27" t="n">
        <v>0</v>
      </c>
      <c r="Q278" s="33" t="inlineStr"/>
    </row>
    <row r="279" ht="30" customHeight="1">
      <c r="A279" s="26" t="n">
        <v>2053</v>
      </c>
      <c r="B279" s="12" t="inlineStr">
        <is>
          <t>Matthew IRA</t>
        </is>
      </c>
      <c r="C279" s="12" t="inlineStr">
        <is>
          <t>Matthew</t>
        </is>
      </c>
      <c r="D279" s="41" t="inlineStr">
        <is>
          <t>pre_tax</t>
        </is>
      </c>
      <c r="E279" s="12" t="inlineStr">
        <is>
          <t>traditional_ira</t>
        </is>
      </c>
      <c r="F279" s="27" t="n">
        <v>0</v>
      </c>
      <c r="G279" s="27" t="n">
        <v>0</v>
      </c>
      <c r="H279" s="27" t="n">
        <v>0</v>
      </c>
      <c r="I279" s="27" t="n">
        <v>0</v>
      </c>
      <c r="J279" s="27" t="n">
        <v>0</v>
      </c>
      <c r="K279" s="27" t="n">
        <v>0</v>
      </c>
      <c r="L279" s="27" t="n">
        <v>0</v>
      </c>
      <c r="M279" s="27" t="n">
        <v>0</v>
      </c>
      <c r="N279" s="27" t="n">
        <v>0</v>
      </c>
      <c r="O279" s="27" t="n">
        <v>0</v>
      </c>
      <c r="P279" s="27" t="n">
        <v>0</v>
      </c>
      <c r="Q279" s="33" t="inlineStr"/>
    </row>
    <row r="280" ht="30" customHeight="1">
      <c r="A280" s="26" t="n">
        <v>2053</v>
      </c>
      <c r="B280" s="12" t="inlineStr">
        <is>
          <t>Matthew Roth</t>
        </is>
      </c>
      <c r="C280" s="12" t="inlineStr">
        <is>
          <t>Matthew</t>
        </is>
      </c>
      <c r="D280" s="41" t="inlineStr">
        <is>
          <t>roth</t>
        </is>
      </c>
      <c r="E280" s="12" t="inlineStr">
        <is>
          <t>roth_ira</t>
        </is>
      </c>
      <c r="F280" s="27" t="n">
        <v>1545937.177335285</v>
      </c>
      <c r="G280" s="27" t="n">
        <v>0</v>
      </c>
      <c r="H280" s="27" t="n">
        <v>0</v>
      </c>
      <c r="I280" s="27" t="n">
        <v>0</v>
      </c>
      <c r="J280" s="27" t="n">
        <v>0</v>
      </c>
      <c r="K280" s="27" t="n">
        <v>0</v>
      </c>
      <c r="L280" s="27" t="n">
        <v>100968.6606799775</v>
      </c>
      <c r="M280" s="27" t="n">
        <v>86698.11099931845</v>
      </c>
      <c r="N280" s="27" t="n">
        <v>1531666.627654626</v>
      </c>
      <c r="O280" s="27" t="n">
        <v>1531666.627654626</v>
      </c>
      <c r="P280" s="27" t="n">
        <v>0</v>
      </c>
      <c r="Q280" s="12" t="inlineStr">
        <is>
          <t>withdrawal</t>
        </is>
      </c>
    </row>
    <row r="281" ht="30" customHeight="1">
      <c r="A281" s="26" t="n">
        <v>2053</v>
      </c>
      <c r="B281" s="12" t="inlineStr">
        <is>
          <t>Matthew Trust</t>
        </is>
      </c>
      <c r="C281" s="12" t="inlineStr">
        <is>
          <t>Matthew</t>
        </is>
      </c>
      <c r="D281" s="41" t="inlineStr">
        <is>
          <t>taxable</t>
        </is>
      </c>
      <c r="E281" s="12" t="inlineStr">
        <is>
          <t>trust</t>
        </is>
      </c>
      <c r="F281" s="27" t="n">
        <v>0</v>
      </c>
      <c r="G281" s="27" t="n">
        <v>0</v>
      </c>
      <c r="H281" s="27" t="n">
        <v>0</v>
      </c>
      <c r="I281" s="27" t="n">
        <v>0</v>
      </c>
      <c r="J281" s="27" t="n">
        <v>0</v>
      </c>
      <c r="K281" s="27" t="n">
        <v>0</v>
      </c>
      <c r="L281" s="27" t="n">
        <v>0</v>
      </c>
      <c r="M281" s="27" t="n">
        <v>0</v>
      </c>
      <c r="N281" s="27" t="n">
        <v>0</v>
      </c>
      <c r="O281" s="27" t="n">
        <v>0</v>
      </c>
      <c r="P281" s="27" t="n">
        <v>0</v>
      </c>
      <c r="Q281" s="33" t="inlineStr"/>
    </row>
    <row r="282" ht="30" customHeight="1">
      <c r="A282" s="26" t="n">
        <v>2053</v>
      </c>
      <c r="B282" s="12" t="inlineStr">
        <is>
          <t>Patricia IRA</t>
        </is>
      </c>
      <c r="C282" s="12" t="inlineStr">
        <is>
          <t>Patricia</t>
        </is>
      </c>
      <c r="D282" s="41" t="inlineStr">
        <is>
          <t>pre_tax</t>
        </is>
      </c>
      <c r="E282" s="12" t="inlineStr">
        <is>
          <t>traditional_ira</t>
        </is>
      </c>
      <c r="F282" s="27" t="n">
        <v>0</v>
      </c>
      <c r="G282" s="27" t="n">
        <v>0</v>
      </c>
      <c r="H282" s="27" t="n">
        <v>0</v>
      </c>
      <c r="I282" s="27" t="n">
        <v>0</v>
      </c>
      <c r="J282" s="27" t="n">
        <v>0</v>
      </c>
      <c r="K282" s="27" t="n">
        <v>0</v>
      </c>
      <c r="L282" s="27" t="n">
        <v>0</v>
      </c>
      <c r="M282" s="27" t="n">
        <v>0</v>
      </c>
      <c r="N282" s="27" t="n">
        <v>0</v>
      </c>
      <c r="O282" s="27" t="n">
        <v>0</v>
      </c>
      <c r="P282" s="27" t="n">
        <v>0</v>
      </c>
      <c r="Q282" s="33" t="inlineStr"/>
    </row>
    <row r="283" ht="30" customHeight="1">
      <c r="A283" s="26" t="n">
        <v>2053</v>
      </c>
      <c r="B283" s="12" t="inlineStr">
        <is>
          <t>Patricia Roth</t>
        </is>
      </c>
      <c r="C283" s="12" t="inlineStr">
        <is>
          <t>Patricia</t>
        </is>
      </c>
      <c r="D283" s="41" t="inlineStr">
        <is>
          <t>roth</t>
        </is>
      </c>
      <c r="E283" s="12" t="inlineStr">
        <is>
          <t>roth_ira</t>
        </is>
      </c>
      <c r="F283" s="27" t="n">
        <v>1314917.183456607</v>
      </c>
      <c r="G283" s="27" t="n">
        <v>0</v>
      </c>
      <c r="H283" s="27" t="n">
        <v>0</v>
      </c>
      <c r="I283" s="27" t="n">
        <v>0</v>
      </c>
      <c r="J283" s="27" t="n">
        <v>0</v>
      </c>
      <c r="K283" s="27" t="n">
        <v>0</v>
      </c>
      <c r="L283" s="27" t="n">
        <v>85880.22130857102</v>
      </c>
      <c r="M283" s="27" t="n">
        <v>73742.21772888217</v>
      </c>
      <c r="N283" s="27" t="n">
        <v>1302779.179876918</v>
      </c>
      <c r="O283" s="27" t="n">
        <v>1302779.179876918</v>
      </c>
      <c r="P283" s="27" t="n">
        <v>0</v>
      </c>
      <c r="Q283" s="12" t="inlineStr">
        <is>
          <t>withdrawal</t>
        </is>
      </c>
    </row>
    <row r="284" ht="30" customHeight="1">
      <c r="A284" s="26" t="n">
        <v>2053</v>
      </c>
      <c r="B284" s="12" t="inlineStr">
        <is>
          <t>Patricia Trust</t>
        </is>
      </c>
      <c r="C284" s="12" t="inlineStr">
        <is>
          <t>Patricia</t>
        </is>
      </c>
      <c r="D284" s="41" t="inlineStr">
        <is>
          <t>taxable</t>
        </is>
      </c>
      <c r="E284" s="12" t="inlineStr">
        <is>
          <t>trust</t>
        </is>
      </c>
      <c r="F284" s="27" t="n">
        <v>0</v>
      </c>
      <c r="G284" s="27" t="n">
        <v>0</v>
      </c>
      <c r="H284" s="27" t="n">
        <v>0</v>
      </c>
      <c r="I284" s="27" t="n">
        <v>0</v>
      </c>
      <c r="J284" s="27" t="n">
        <v>0</v>
      </c>
      <c r="K284" s="27" t="n">
        <v>0</v>
      </c>
      <c r="L284" s="27" t="n">
        <v>0</v>
      </c>
      <c r="M284" s="27" t="n">
        <v>0</v>
      </c>
      <c r="N284" s="27" t="n">
        <v>0</v>
      </c>
      <c r="O284" s="27" t="n">
        <v>0</v>
      </c>
      <c r="P284" s="27" t="n">
        <v>0</v>
      </c>
      <c r="Q284" s="33" t="inlineStr"/>
    </row>
    <row r="285" ht="45" customHeight="1">
      <c r="A285" s="26" t="n">
        <v>2054</v>
      </c>
      <c r="B285" s="12" t="inlineStr">
        <is>
          <t>Business Checking</t>
        </is>
      </c>
      <c r="C285" s="12" t="inlineStr">
        <is>
          <t>Matthew</t>
        </is>
      </c>
      <c r="D285" s="41" t="inlineStr">
        <is>
          <t>cash</t>
        </is>
      </c>
      <c r="E285" s="12" t="inlineStr">
        <is>
          <t>checking</t>
        </is>
      </c>
      <c r="F285" s="27" t="n">
        <v>5000</v>
      </c>
      <c r="G285" s="27" t="n">
        <v>0</v>
      </c>
      <c r="H285" s="27" t="n">
        <v>0</v>
      </c>
      <c r="I285" s="27" t="n">
        <v>5000</v>
      </c>
      <c r="J285" s="27" t="n">
        <v>0</v>
      </c>
      <c r="K285" s="27" t="n">
        <v>0</v>
      </c>
      <c r="L285" s="27" t="n">
        <v>0</v>
      </c>
      <c r="M285" s="27" t="n">
        <v>0</v>
      </c>
      <c r="N285" s="27" t="n">
        <v>0</v>
      </c>
      <c r="O285" s="27" t="n">
        <v>0</v>
      </c>
      <c r="P285" s="27" t="n">
        <v>0</v>
      </c>
      <c r="Q285" s="12" t="inlineStr">
        <is>
          <t>transfer/rollover</t>
        </is>
      </c>
    </row>
    <row r="286" ht="45" customHeight="1">
      <c r="A286" s="26" t="n">
        <v>2054</v>
      </c>
      <c r="B286" s="12" t="inlineStr">
        <is>
          <t>Family Checking</t>
        </is>
      </c>
      <c r="C286" s="12" t="inlineStr">
        <is>
          <t>Matthew</t>
        </is>
      </c>
      <c r="D286" s="41" t="inlineStr">
        <is>
          <t>cash</t>
        </is>
      </c>
      <c r="E286" s="12" t="inlineStr">
        <is>
          <t>checking</t>
        </is>
      </c>
      <c r="F286" s="27" t="n">
        <v>15000</v>
      </c>
      <c r="G286" s="27" t="n">
        <v>0</v>
      </c>
      <c r="H286" s="27" t="n">
        <v>0</v>
      </c>
      <c r="I286" s="27" t="n">
        <v>15000</v>
      </c>
      <c r="J286" s="27" t="n">
        <v>0</v>
      </c>
      <c r="K286" s="27" t="n">
        <v>0</v>
      </c>
      <c r="L286" s="27" t="n">
        <v>0</v>
      </c>
      <c r="M286" s="27" t="n">
        <v>0</v>
      </c>
      <c r="N286" s="27" t="n">
        <v>0</v>
      </c>
      <c r="O286" s="27" t="n">
        <v>0</v>
      </c>
      <c r="P286" s="27" t="n">
        <v>0</v>
      </c>
      <c r="Q286" s="12" t="inlineStr">
        <is>
          <t>transfer/rollover</t>
        </is>
      </c>
    </row>
    <row r="287" ht="30" customHeight="1">
      <c r="A287" s="26" t="n">
        <v>2054</v>
      </c>
      <c r="B287" s="12" t="inlineStr">
        <is>
          <t>Matthew HSA</t>
        </is>
      </c>
      <c r="C287" s="12" t="inlineStr">
        <is>
          <t>Matthew</t>
        </is>
      </c>
      <c r="D287" s="41" t="inlineStr">
        <is>
          <t>hsa</t>
        </is>
      </c>
      <c r="E287" s="12" t="inlineStr">
        <is>
          <t>hsa</t>
        </is>
      </c>
      <c r="F287" s="27" t="n">
        <v>0</v>
      </c>
      <c r="G287" s="27" t="n">
        <v>0</v>
      </c>
      <c r="H287" s="27" t="n">
        <v>0</v>
      </c>
      <c r="I287" s="27" t="n">
        <v>0</v>
      </c>
      <c r="J287" s="27" t="n">
        <v>0</v>
      </c>
      <c r="K287" s="27" t="n">
        <v>0</v>
      </c>
      <c r="L287" s="27" t="n">
        <v>0</v>
      </c>
      <c r="M287" s="27" t="n">
        <v>0</v>
      </c>
      <c r="N287" s="27" t="n">
        <v>0</v>
      </c>
      <c r="O287" s="27" t="n">
        <v>0</v>
      </c>
      <c r="P287" s="27" t="n">
        <v>0</v>
      </c>
      <c r="Q287" s="33" t="inlineStr"/>
    </row>
    <row r="288" ht="30" customHeight="1">
      <c r="A288" s="26" t="n">
        <v>2054</v>
      </c>
      <c r="B288" s="12" t="inlineStr">
        <is>
          <t>Matthew 401k</t>
        </is>
      </c>
      <c r="C288" s="12" t="inlineStr">
        <is>
          <t>Matthew</t>
        </is>
      </c>
      <c r="D288" s="41" t="inlineStr">
        <is>
          <t>pre_tax</t>
        </is>
      </c>
      <c r="E288" s="12" t="inlineStr">
        <is>
          <t>401k</t>
        </is>
      </c>
      <c r="F288" s="27" t="n">
        <v>0</v>
      </c>
      <c r="G288" s="27" t="n">
        <v>0</v>
      </c>
      <c r="H288" s="27" t="n">
        <v>0</v>
      </c>
      <c r="I288" s="27" t="n">
        <v>0</v>
      </c>
      <c r="J288" s="27" t="n">
        <v>0</v>
      </c>
      <c r="K288" s="27" t="n">
        <v>0</v>
      </c>
      <c r="L288" s="27" t="n">
        <v>0</v>
      </c>
      <c r="M288" s="27" t="n">
        <v>0</v>
      </c>
      <c r="N288" s="27" t="n">
        <v>0</v>
      </c>
      <c r="O288" s="27" t="n">
        <v>0</v>
      </c>
      <c r="P288" s="27" t="n">
        <v>0</v>
      </c>
      <c r="Q288" s="33" t="inlineStr"/>
    </row>
    <row r="289" ht="30" customHeight="1">
      <c r="A289" s="26" t="n">
        <v>2054</v>
      </c>
      <c r="B289" s="12" t="inlineStr">
        <is>
          <t>Matthew IRA</t>
        </is>
      </c>
      <c r="C289" s="12" t="inlineStr">
        <is>
          <t>Matthew</t>
        </is>
      </c>
      <c r="D289" s="41" t="inlineStr">
        <is>
          <t>pre_tax</t>
        </is>
      </c>
      <c r="E289" s="12" t="inlineStr">
        <is>
          <t>traditional_ira</t>
        </is>
      </c>
      <c r="F289" s="27" t="n">
        <v>0</v>
      </c>
      <c r="G289" s="27" t="n">
        <v>0</v>
      </c>
      <c r="H289" s="27" t="n">
        <v>0</v>
      </c>
      <c r="I289" s="27" t="n">
        <v>0</v>
      </c>
      <c r="J289" s="27" t="n">
        <v>0</v>
      </c>
      <c r="K289" s="27" t="n">
        <v>0</v>
      </c>
      <c r="L289" s="27" t="n">
        <v>0</v>
      </c>
      <c r="M289" s="27" t="n">
        <v>0</v>
      </c>
      <c r="N289" s="27" t="n">
        <v>0</v>
      </c>
      <c r="O289" s="27" t="n">
        <v>0</v>
      </c>
      <c r="P289" s="27" t="n">
        <v>0</v>
      </c>
      <c r="Q289" s="33" t="inlineStr"/>
    </row>
    <row r="290" ht="45" customHeight="1">
      <c r="A290" s="26" t="n">
        <v>2054</v>
      </c>
      <c r="B290" s="12" t="inlineStr">
        <is>
          <t>Matthew Roth</t>
        </is>
      </c>
      <c r="C290" s="12" t="inlineStr">
        <is>
          <t>Matthew</t>
        </is>
      </c>
      <c r="D290" s="41" t="inlineStr">
        <is>
          <t>roth</t>
        </is>
      </c>
      <c r="E290" s="12" t="inlineStr">
        <is>
          <t>roth_ira</t>
        </is>
      </c>
      <c r="F290" s="27" t="n">
        <v>1531666.627654626</v>
      </c>
      <c r="G290" s="27" t="n">
        <v>0</v>
      </c>
      <c r="H290" s="27" t="n">
        <v>0</v>
      </c>
      <c r="I290" s="27" t="n">
        <v>1531666.627654626</v>
      </c>
      <c r="J290" s="27" t="n">
        <v>0</v>
      </c>
      <c r="K290" s="27" t="n">
        <v>0</v>
      </c>
      <c r="L290" s="27" t="n">
        <v>0</v>
      </c>
      <c r="M290" s="27" t="n">
        <v>0</v>
      </c>
      <c r="N290" s="27" t="n">
        <v>0</v>
      </c>
      <c r="O290" s="27" t="n">
        <v>0</v>
      </c>
      <c r="P290" s="27" t="n">
        <v>0</v>
      </c>
      <c r="Q290" s="12" t="inlineStr">
        <is>
          <t>transfer/rollover</t>
        </is>
      </c>
    </row>
    <row r="291" ht="30" customHeight="1">
      <c r="A291" s="26" t="n">
        <v>2054</v>
      </c>
      <c r="B291" s="12" t="inlineStr">
        <is>
          <t>Matthew Trust</t>
        </is>
      </c>
      <c r="C291" s="12" t="inlineStr">
        <is>
          <t>Matthew</t>
        </is>
      </c>
      <c r="D291" s="41" t="inlineStr">
        <is>
          <t>taxable</t>
        </is>
      </c>
      <c r="E291" s="12" t="inlineStr">
        <is>
          <t>trust</t>
        </is>
      </c>
      <c r="F291" s="27" t="n">
        <v>0</v>
      </c>
      <c r="G291" s="27" t="n">
        <v>0</v>
      </c>
      <c r="H291" s="27" t="n">
        <v>0</v>
      </c>
      <c r="I291" s="27" t="n">
        <v>0</v>
      </c>
      <c r="J291" s="27" t="n">
        <v>0</v>
      </c>
      <c r="K291" s="27" t="n">
        <v>0</v>
      </c>
      <c r="L291" s="27" t="n">
        <v>0</v>
      </c>
      <c r="M291" s="27" t="n">
        <v>0</v>
      </c>
      <c r="N291" s="27" t="n">
        <v>0</v>
      </c>
      <c r="O291" s="27" t="n">
        <v>0</v>
      </c>
      <c r="P291" s="27" t="n">
        <v>0</v>
      </c>
      <c r="Q291" s="33" t="inlineStr"/>
    </row>
    <row r="292" ht="30" customHeight="1">
      <c r="A292" s="26" t="n">
        <v>2054</v>
      </c>
      <c r="B292" s="12" t="inlineStr">
        <is>
          <t>Patricia IRA</t>
        </is>
      </c>
      <c r="C292" s="12" t="inlineStr">
        <is>
          <t>Patricia</t>
        </is>
      </c>
      <c r="D292" s="41" t="inlineStr">
        <is>
          <t>pre_tax</t>
        </is>
      </c>
      <c r="E292" s="12" t="inlineStr">
        <is>
          <t>traditional_ira</t>
        </is>
      </c>
      <c r="F292" s="27" t="n">
        <v>0</v>
      </c>
      <c r="G292" s="27" t="n">
        <v>0</v>
      </c>
      <c r="H292" s="27" t="n">
        <v>0</v>
      </c>
      <c r="I292" s="27" t="n">
        <v>0</v>
      </c>
      <c r="J292" s="27" t="n">
        <v>0</v>
      </c>
      <c r="K292" s="27" t="n">
        <v>0</v>
      </c>
      <c r="L292" s="27" t="n">
        <v>0</v>
      </c>
      <c r="M292" s="27" t="n">
        <v>0</v>
      </c>
      <c r="N292" s="27" t="n">
        <v>0</v>
      </c>
      <c r="O292" s="27" t="n">
        <v>0</v>
      </c>
      <c r="P292" s="27" t="n">
        <v>0</v>
      </c>
      <c r="Q292" s="33" t="inlineStr"/>
    </row>
    <row r="293" ht="60" customHeight="1">
      <c r="A293" s="26" t="n">
        <v>2054</v>
      </c>
      <c r="B293" s="12" t="inlineStr">
        <is>
          <t>Patricia Roth</t>
        </is>
      </c>
      <c r="C293" s="12" t="inlineStr">
        <is>
          <t>Patricia</t>
        </is>
      </c>
      <c r="D293" s="41" t="inlineStr">
        <is>
          <t>roth</t>
        </is>
      </c>
      <c r="E293" s="12" t="inlineStr">
        <is>
          <t>roth_ira</t>
        </is>
      </c>
      <c r="F293" s="27" t="n">
        <v>1302779.179876918</v>
      </c>
      <c r="G293" s="27" t="n">
        <v>0</v>
      </c>
      <c r="H293" s="27" t="n">
        <v>1531666.627654626</v>
      </c>
      <c r="I293" s="27" t="n">
        <v>0</v>
      </c>
      <c r="J293" s="27" t="n">
        <v>0</v>
      </c>
      <c r="K293" s="27" t="n">
        <v>0</v>
      </c>
      <c r="L293" s="27" t="n">
        <v>191986.3273586062</v>
      </c>
      <c r="M293" s="27" t="n">
        <v>158547.5688103763</v>
      </c>
      <c r="N293" s="27" t="n">
        <v>2801007.048983314</v>
      </c>
      <c r="O293" s="27" t="n">
        <v>2801007.048983314</v>
      </c>
      <c r="P293" s="27" t="n">
        <v>0</v>
      </c>
      <c r="Q293" s="12" t="inlineStr">
        <is>
          <t>transfer/rollover; withdrawal</t>
        </is>
      </c>
    </row>
    <row r="294" ht="45" customHeight="1">
      <c r="A294" s="26" t="n">
        <v>2054</v>
      </c>
      <c r="B294" s="12" t="inlineStr">
        <is>
          <t>Patricia Trust</t>
        </is>
      </c>
      <c r="C294" s="12" t="inlineStr">
        <is>
          <t>Patricia</t>
        </is>
      </c>
      <c r="D294" s="41" t="inlineStr">
        <is>
          <t>taxable</t>
        </is>
      </c>
      <c r="E294" s="12" t="inlineStr">
        <is>
          <t>trust</t>
        </is>
      </c>
      <c r="F294" s="27" t="n">
        <v>0</v>
      </c>
      <c r="G294" s="27" t="n">
        <v>0</v>
      </c>
      <c r="H294" s="27" t="n">
        <v>20000</v>
      </c>
      <c r="I294" s="27" t="n">
        <v>20000</v>
      </c>
      <c r="J294" s="27" t="n">
        <v>0</v>
      </c>
      <c r="K294" s="27" t="n">
        <v>0</v>
      </c>
      <c r="L294" s="27" t="n">
        <v>0</v>
      </c>
      <c r="M294" s="27" t="n">
        <v>0</v>
      </c>
      <c r="N294" s="27" t="n">
        <v>0</v>
      </c>
      <c r="O294" s="27" t="n">
        <v>0</v>
      </c>
      <c r="P294" s="27" t="n">
        <v>0</v>
      </c>
      <c r="Q294" s="12" t="inlineStr">
        <is>
          <t>transfer/rollover</t>
        </is>
      </c>
    </row>
    <row r="295" ht="45" customHeight="1">
      <c r="A295" s="26" t="n">
        <v>2055</v>
      </c>
      <c r="B295" s="12" t="inlineStr">
        <is>
          <t>Business Checking</t>
        </is>
      </c>
      <c r="C295" s="12" t="inlineStr">
        <is>
          <t>Matthew</t>
        </is>
      </c>
      <c r="D295" s="41" t="inlineStr">
        <is>
          <t>cash</t>
        </is>
      </c>
      <c r="E295" s="12" t="inlineStr">
        <is>
          <t>checking</t>
        </is>
      </c>
      <c r="F295" s="27" t="n">
        <v>0</v>
      </c>
      <c r="G295" s="27" t="n">
        <v>0</v>
      </c>
      <c r="H295" s="27" t="n">
        <v>0</v>
      </c>
      <c r="I295" s="27" t="n">
        <v>0</v>
      </c>
      <c r="J295" s="27" t="n">
        <v>0</v>
      </c>
      <c r="K295" s="27" t="n">
        <v>0</v>
      </c>
      <c r="L295" s="27" t="n">
        <v>0</v>
      </c>
      <c r="M295" s="27" t="n">
        <v>0</v>
      </c>
      <c r="N295" s="27" t="n">
        <v>0</v>
      </c>
      <c r="O295" s="27" t="n">
        <v>0</v>
      </c>
      <c r="P295" s="27" t="n">
        <v>0</v>
      </c>
      <c r="Q295" s="33" t="inlineStr"/>
    </row>
    <row r="296" ht="30" customHeight="1">
      <c r="A296" s="26" t="n">
        <v>2055</v>
      </c>
      <c r="B296" s="12" t="inlineStr">
        <is>
          <t>Family Checking</t>
        </is>
      </c>
      <c r="C296" s="12" t="inlineStr">
        <is>
          <t>Matthew</t>
        </is>
      </c>
      <c r="D296" s="41" t="inlineStr">
        <is>
          <t>cash</t>
        </is>
      </c>
      <c r="E296" s="12" t="inlineStr">
        <is>
          <t>checking</t>
        </is>
      </c>
      <c r="F296" s="27" t="n">
        <v>0</v>
      </c>
      <c r="G296" s="27" t="n">
        <v>0</v>
      </c>
      <c r="H296" s="27" t="n">
        <v>0</v>
      </c>
      <c r="I296" s="27" t="n">
        <v>0</v>
      </c>
      <c r="J296" s="27" t="n">
        <v>0</v>
      </c>
      <c r="K296" s="27" t="n">
        <v>0</v>
      </c>
      <c r="L296" s="27" t="n">
        <v>0</v>
      </c>
      <c r="M296" s="27" t="n">
        <v>0</v>
      </c>
      <c r="N296" s="27" t="n">
        <v>0</v>
      </c>
      <c r="O296" s="27" t="n">
        <v>0</v>
      </c>
      <c r="P296" s="27" t="n">
        <v>0</v>
      </c>
      <c r="Q296" s="33" t="inlineStr"/>
    </row>
    <row r="297" ht="30" customHeight="1">
      <c r="A297" s="26" t="n">
        <v>2055</v>
      </c>
      <c r="B297" s="12" t="inlineStr">
        <is>
          <t>Matthew HSA</t>
        </is>
      </c>
      <c r="C297" s="12" t="inlineStr">
        <is>
          <t>Matthew</t>
        </is>
      </c>
      <c r="D297" s="41" t="inlineStr">
        <is>
          <t>hsa</t>
        </is>
      </c>
      <c r="E297" s="12" t="inlineStr">
        <is>
          <t>hsa</t>
        </is>
      </c>
      <c r="F297" s="27" t="n">
        <v>0</v>
      </c>
      <c r="G297" s="27" t="n">
        <v>0</v>
      </c>
      <c r="H297" s="27" t="n">
        <v>0</v>
      </c>
      <c r="I297" s="27" t="n">
        <v>0</v>
      </c>
      <c r="J297" s="27" t="n">
        <v>0</v>
      </c>
      <c r="K297" s="27" t="n">
        <v>0</v>
      </c>
      <c r="L297" s="27" t="n">
        <v>0</v>
      </c>
      <c r="M297" s="27" t="n">
        <v>0</v>
      </c>
      <c r="N297" s="27" t="n">
        <v>0</v>
      </c>
      <c r="O297" s="27" t="n">
        <v>0</v>
      </c>
      <c r="P297" s="27" t="n">
        <v>0</v>
      </c>
      <c r="Q297" s="33" t="inlineStr"/>
    </row>
    <row r="298" ht="30" customHeight="1">
      <c r="A298" s="26" t="n">
        <v>2055</v>
      </c>
      <c r="B298" s="12" t="inlineStr">
        <is>
          <t>Matthew 401k</t>
        </is>
      </c>
      <c r="C298" s="12" t="inlineStr">
        <is>
          <t>Matthew</t>
        </is>
      </c>
      <c r="D298" s="41" t="inlineStr">
        <is>
          <t>pre_tax</t>
        </is>
      </c>
      <c r="E298" s="12" t="inlineStr">
        <is>
          <t>401k</t>
        </is>
      </c>
      <c r="F298" s="27" t="n">
        <v>0</v>
      </c>
      <c r="G298" s="27" t="n">
        <v>0</v>
      </c>
      <c r="H298" s="27" t="n">
        <v>0</v>
      </c>
      <c r="I298" s="27" t="n">
        <v>0</v>
      </c>
      <c r="J298" s="27" t="n">
        <v>0</v>
      </c>
      <c r="K298" s="27" t="n">
        <v>0</v>
      </c>
      <c r="L298" s="27" t="n">
        <v>0</v>
      </c>
      <c r="M298" s="27" t="n">
        <v>0</v>
      </c>
      <c r="N298" s="27" t="n">
        <v>0</v>
      </c>
      <c r="O298" s="27" t="n">
        <v>0</v>
      </c>
      <c r="P298" s="27" t="n">
        <v>0</v>
      </c>
      <c r="Q298" s="33" t="inlineStr"/>
    </row>
    <row r="299" ht="30" customHeight="1">
      <c r="A299" s="26" t="n">
        <v>2055</v>
      </c>
      <c r="B299" s="12" t="inlineStr">
        <is>
          <t>Matthew IRA</t>
        </is>
      </c>
      <c r="C299" s="12" t="inlineStr">
        <is>
          <t>Matthew</t>
        </is>
      </c>
      <c r="D299" s="41" t="inlineStr">
        <is>
          <t>pre_tax</t>
        </is>
      </c>
      <c r="E299" s="12" t="inlineStr">
        <is>
          <t>traditional_ira</t>
        </is>
      </c>
      <c r="F299" s="27" t="n">
        <v>0</v>
      </c>
      <c r="G299" s="27" t="n">
        <v>0</v>
      </c>
      <c r="H299" s="27" t="n">
        <v>0</v>
      </c>
      <c r="I299" s="27" t="n">
        <v>0</v>
      </c>
      <c r="J299" s="27" t="n">
        <v>0</v>
      </c>
      <c r="K299" s="27" t="n">
        <v>0</v>
      </c>
      <c r="L299" s="27" t="n">
        <v>0</v>
      </c>
      <c r="M299" s="27" t="n">
        <v>0</v>
      </c>
      <c r="N299" s="27" t="n">
        <v>0</v>
      </c>
      <c r="O299" s="27" t="n">
        <v>0</v>
      </c>
      <c r="P299" s="27" t="n">
        <v>0</v>
      </c>
      <c r="Q299" s="33" t="inlineStr"/>
    </row>
    <row r="300" ht="30" customHeight="1">
      <c r="A300" s="26" t="n">
        <v>2055</v>
      </c>
      <c r="B300" s="12" t="inlineStr">
        <is>
          <t>Matthew Roth</t>
        </is>
      </c>
      <c r="C300" s="12" t="inlineStr">
        <is>
          <t>Matthew</t>
        </is>
      </c>
      <c r="D300" s="41" t="inlineStr">
        <is>
          <t>roth</t>
        </is>
      </c>
      <c r="E300" s="12" t="inlineStr">
        <is>
          <t>roth_ira</t>
        </is>
      </c>
      <c r="F300" s="27" t="n">
        <v>0</v>
      </c>
      <c r="G300" s="27" t="n">
        <v>0</v>
      </c>
      <c r="H300" s="27" t="n">
        <v>0</v>
      </c>
      <c r="I300" s="27" t="n">
        <v>0</v>
      </c>
      <c r="J300" s="27" t="n">
        <v>0</v>
      </c>
      <c r="K300" s="27" t="n">
        <v>0</v>
      </c>
      <c r="L300" s="27" t="n">
        <v>0</v>
      </c>
      <c r="M300" s="27" t="n">
        <v>0</v>
      </c>
      <c r="N300" s="27" t="n">
        <v>0</v>
      </c>
      <c r="O300" s="27" t="n">
        <v>0</v>
      </c>
      <c r="P300" s="27" t="n">
        <v>0</v>
      </c>
      <c r="Q300" s="33" t="inlineStr"/>
    </row>
    <row r="301" ht="30" customHeight="1">
      <c r="A301" s="26" t="n">
        <v>2055</v>
      </c>
      <c r="B301" s="12" t="inlineStr">
        <is>
          <t>Matthew Trust</t>
        </is>
      </c>
      <c r="C301" s="12" t="inlineStr">
        <is>
          <t>Matthew</t>
        </is>
      </c>
      <c r="D301" s="41" t="inlineStr">
        <is>
          <t>taxable</t>
        </is>
      </c>
      <c r="E301" s="12" t="inlineStr">
        <is>
          <t>trust</t>
        </is>
      </c>
      <c r="F301" s="27" t="n">
        <v>0</v>
      </c>
      <c r="G301" s="27" t="n">
        <v>0</v>
      </c>
      <c r="H301" s="27" t="n">
        <v>0</v>
      </c>
      <c r="I301" s="27" t="n">
        <v>0</v>
      </c>
      <c r="J301" s="27" t="n">
        <v>0</v>
      </c>
      <c r="K301" s="27" t="n">
        <v>0</v>
      </c>
      <c r="L301" s="27" t="n">
        <v>0</v>
      </c>
      <c r="M301" s="27" t="n">
        <v>0</v>
      </c>
      <c r="N301" s="27" t="n">
        <v>0</v>
      </c>
      <c r="O301" s="27" t="n">
        <v>0</v>
      </c>
      <c r="P301" s="27" t="n">
        <v>0</v>
      </c>
      <c r="Q301" s="33" t="inlineStr"/>
    </row>
    <row r="302" ht="30" customHeight="1">
      <c r="A302" s="26" t="n">
        <v>2055</v>
      </c>
      <c r="B302" s="12" t="inlineStr">
        <is>
          <t>Patricia IRA</t>
        </is>
      </c>
      <c r="C302" s="12" t="inlineStr">
        <is>
          <t>Patricia</t>
        </is>
      </c>
      <c r="D302" s="41" t="inlineStr">
        <is>
          <t>pre_tax</t>
        </is>
      </c>
      <c r="E302" s="12" t="inlineStr">
        <is>
          <t>traditional_ira</t>
        </is>
      </c>
      <c r="F302" s="27" t="n">
        <v>0</v>
      </c>
      <c r="G302" s="27" t="n">
        <v>0</v>
      </c>
      <c r="H302" s="27" t="n">
        <v>0</v>
      </c>
      <c r="I302" s="27" t="n">
        <v>0</v>
      </c>
      <c r="J302" s="27" t="n">
        <v>0</v>
      </c>
      <c r="K302" s="27" t="n">
        <v>0</v>
      </c>
      <c r="L302" s="27" t="n">
        <v>0</v>
      </c>
      <c r="M302" s="27" t="n">
        <v>0</v>
      </c>
      <c r="N302" s="27" t="n">
        <v>0</v>
      </c>
      <c r="O302" s="27" t="n">
        <v>0</v>
      </c>
      <c r="P302" s="27" t="n">
        <v>0</v>
      </c>
      <c r="Q302" s="33" t="inlineStr"/>
    </row>
    <row r="303" ht="30" customHeight="1">
      <c r="A303" s="26" t="n">
        <v>2055</v>
      </c>
      <c r="B303" s="12" t="inlineStr">
        <is>
          <t>Patricia Roth</t>
        </is>
      </c>
      <c r="C303" s="12" t="inlineStr">
        <is>
          <t>Patricia</t>
        </is>
      </c>
      <c r="D303" s="41" t="inlineStr">
        <is>
          <t>roth</t>
        </is>
      </c>
      <c r="E303" s="12" t="inlineStr">
        <is>
          <t>roth_ira</t>
        </is>
      </c>
      <c r="F303" s="27" t="n">
        <v>2801007.048983314</v>
      </c>
      <c r="G303" s="27" t="n">
        <v>0</v>
      </c>
      <c r="H303" s="27" t="n">
        <v>0</v>
      </c>
      <c r="I303" s="27" t="n">
        <v>0</v>
      </c>
      <c r="J303" s="27" t="n">
        <v>0</v>
      </c>
      <c r="K303" s="27" t="n">
        <v>0</v>
      </c>
      <c r="L303" s="27" t="n">
        <v>196499.0963505532</v>
      </c>
      <c r="M303" s="27" t="n">
        <v>156270.4771579656</v>
      </c>
      <c r="N303" s="27" t="n">
        <v>2760778.429790726</v>
      </c>
      <c r="O303" s="27" t="n">
        <v>2760778.429790726</v>
      </c>
      <c r="P303" s="27" t="n">
        <v>0</v>
      </c>
      <c r="Q303" s="12" t="inlineStr">
        <is>
          <t>withdrawal</t>
        </is>
      </c>
    </row>
    <row r="304" ht="30" customHeight="1">
      <c r="A304" s="26" t="n">
        <v>2055</v>
      </c>
      <c r="B304" s="12" t="inlineStr">
        <is>
          <t>Patricia Trust</t>
        </is>
      </c>
      <c r="C304" s="12" t="inlineStr">
        <is>
          <t>Patricia</t>
        </is>
      </c>
      <c r="D304" s="41" t="inlineStr">
        <is>
          <t>taxable</t>
        </is>
      </c>
      <c r="E304" s="12" t="inlineStr">
        <is>
          <t>trust</t>
        </is>
      </c>
      <c r="F304" s="27" t="n">
        <v>0</v>
      </c>
      <c r="G304" s="27" t="n">
        <v>0</v>
      </c>
      <c r="H304" s="27" t="n">
        <v>0</v>
      </c>
      <c r="I304" s="27" t="n">
        <v>0</v>
      </c>
      <c r="J304" s="27" t="n">
        <v>0</v>
      </c>
      <c r="K304" s="27" t="n">
        <v>0</v>
      </c>
      <c r="L304" s="27" t="n">
        <v>0</v>
      </c>
      <c r="M304" s="27" t="n">
        <v>0</v>
      </c>
      <c r="N304" s="27" t="n">
        <v>0</v>
      </c>
      <c r="O304" s="27" t="n">
        <v>0</v>
      </c>
      <c r="P304" s="27" t="n">
        <v>0</v>
      </c>
      <c r="Q304" s="33" t="inlineStr"/>
    </row>
    <row r="305" ht="45" customHeight="1">
      <c r="A305" s="26" t="n">
        <v>2056</v>
      </c>
      <c r="B305" s="12" t="inlineStr">
        <is>
          <t>Business Checking</t>
        </is>
      </c>
      <c r="C305" s="12" t="inlineStr">
        <is>
          <t>Matthew</t>
        </is>
      </c>
      <c r="D305" s="41" t="inlineStr">
        <is>
          <t>cash</t>
        </is>
      </c>
      <c r="E305" s="12" t="inlineStr">
        <is>
          <t>checking</t>
        </is>
      </c>
      <c r="F305" s="27" t="n">
        <v>0</v>
      </c>
      <c r="G305" s="27" t="n">
        <v>0</v>
      </c>
      <c r="H305" s="27" t="n">
        <v>0</v>
      </c>
      <c r="I305" s="27" t="n">
        <v>0</v>
      </c>
      <c r="J305" s="27" t="n">
        <v>0</v>
      </c>
      <c r="K305" s="27" t="n">
        <v>0</v>
      </c>
      <c r="L305" s="27" t="n">
        <v>0</v>
      </c>
      <c r="M305" s="27" t="n">
        <v>0</v>
      </c>
      <c r="N305" s="27" t="n">
        <v>0</v>
      </c>
      <c r="O305" s="27" t="n">
        <v>0</v>
      </c>
      <c r="P305" s="27" t="n">
        <v>0</v>
      </c>
      <c r="Q305" s="33" t="inlineStr"/>
    </row>
    <row r="306" ht="30" customHeight="1">
      <c r="A306" s="26" t="n">
        <v>2056</v>
      </c>
      <c r="B306" s="12" t="inlineStr">
        <is>
          <t>Family Checking</t>
        </is>
      </c>
      <c r="C306" s="12" t="inlineStr">
        <is>
          <t>Matthew</t>
        </is>
      </c>
      <c r="D306" s="41" t="inlineStr">
        <is>
          <t>cash</t>
        </is>
      </c>
      <c r="E306" s="12" t="inlineStr">
        <is>
          <t>checking</t>
        </is>
      </c>
      <c r="F306" s="27" t="n">
        <v>0</v>
      </c>
      <c r="G306" s="27" t="n">
        <v>0</v>
      </c>
      <c r="H306" s="27" t="n">
        <v>0</v>
      </c>
      <c r="I306" s="27" t="n">
        <v>0</v>
      </c>
      <c r="J306" s="27" t="n">
        <v>0</v>
      </c>
      <c r="K306" s="27" t="n">
        <v>0</v>
      </c>
      <c r="L306" s="27" t="n">
        <v>0</v>
      </c>
      <c r="M306" s="27" t="n">
        <v>0</v>
      </c>
      <c r="N306" s="27" t="n">
        <v>0</v>
      </c>
      <c r="O306" s="27" t="n">
        <v>0</v>
      </c>
      <c r="P306" s="27" t="n">
        <v>0</v>
      </c>
      <c r="Q306" s="33" t="inlineStr"/>
    </row>
    <row r="307" ht="30" customHeight="1">
      <c r="A307" s="26" t="n">
        <v>2056</v>
      </c>
      <c r="B307" s="12" t="inlineStr">
        <is>
          <t>Matthew HSA</t>
        </is>
      </c>
      <c r="C307" s="12" t="inlineStr">
        <is>
          <t>Matthew</t>
        </is>
      </c>
      <c r="D307" s="41" t="inlineStr">
        <is>
          <t>hsa</t>
        </is>
      </c>
      <c r="E307" s="12" t="inlineStr">
        <is>
          <t>hsa</t>
        </is>
      </c>
      <c r="F307" s="27" t="n">
        <v>0</v>
      </c>
      <c r="G307" s="27" t="n">
        <v>0</v>
      </c>
      <c r="H307" s="27" t="n">
        <v>0</v>
      </c>
      <c r="I307" s="27" t="n">
        <v>0</v>
      </c>
      <c r="J307" s="27" t="n">
        <v>0</v>
      </c>
      <c r="K307" s="27" t="n">
        <v>0</v>
      </c>
      <c r="L307" s="27" t="n">
        <v>0</v>
      </c>
      <c r="M307" s="27" t="n">
        <v>0</v>
      </c>
      <c r="N307" s="27" t="n">
        <v>0</v>
      </c>
      <c r="O307" s="27" t="n">
        <v>0</v>
      </c>
      <c r="P307" s="27" t="n">
        <v>0</v>
      </c>
      <c r="Q307" s="33" t="inlineStr"/>
    </row>
    <row r="308" ht="30" customHeight="1">
      <c r="A308" s="26" t="n">
        <v>2056</v>
      </c>
      <c r="B308" s="12" t="inlineStr">
        <is>
          <t>Matthew 401k</t>
        </is>
      </c>
      <c r="C308" s="12" t="inlineStr">
        <is>
          <t>Matthew</t>
        </is>
      </c>
      <c r="D308" s="41" t="inlineStr">
        <is>
          <t>pre_tax</t>
        </is>
      </c>
      <c r="E308" s="12" t="inlineStr">
        <is>
          <t>401k</t>
        </is>
      </c>
      <c r="F308" s="27" t="n">
        <v>0</v>
      </c>
      <c r="G308" s="27" t="n">
        <v>0</v>
      </c>
      <c r="H308" s="27" t="n">
        <v>0</v>
      </c>
      <c r="I308" s="27" t="n">
        <v>0</v>
      </c>
      <c r="J308" s="27" t="n">
        <v>0</v>
      </c>
      <c r="K308" s="27" t="n">
        <v>0</v>
      </c>
      <c r="L308" s="27" t="n">
        <v>0</v>
      </c>
      <c r="M308" s="27" t="n">
        <v>0</v>
      </c>
      <c r="N308" s="27" t="n">
        <v>0</v>
      </c>
      <c r="O308" s="27" t="n">
        <v>0</v>
      </c>
      <c r="P308" s="27" t="n">
        <v>0</v>
      </c>
      <c r="Q308" s="33" t="inlineStr"/>
    </row>
    <row r="309" ht="30" customHeight="1">
      <c r="A309" s="26" t="n">
        <v>2056</v>
      </c>
      <c r="B309" s="12" t="inlineStr">
        <is>
          <t>Matthew IRA</t>
        </is>
      </c>
      <c r="C309" s="12" t="inlineStr">
        <is>
          <t>Matthew</t>
        </is>
      </c>
      <c r="D309" s="41" t="inlineStr">
        <is>
          <t>pre_tax</t>
        </is>
      </c>
      <c r="E309" s="12" t="inlineStr">
        <is>
          <t>traditional_ira</t>
        </is>
      </c>
      <c r="F309" s="27" t="n">
        <v>0</v>
      </c>
      <c r="G309" s="27" t="n">
        <v>0</v>
      </c>
      <c r="H309" s="27" t="n">
        <v>0</v>
      </c>
      <c r="I309" s="27" t="n">
        <v>0</v>
      </c>
      <c r="J309" s="27" t="n">
        <v>0</v>
      </c>
      <c r="K309" s="27" t="n">
        <v>0</v>
      </c>
      <c r="L309" s="27" t="n">
        <v>0</v>
      </c>
      <c r="M309" s="27" t="n">
        <v>0</v>
      </c>
      <c r="N309" s="27" t="n">
        <v>0</v>
      </c>
      <c r="O309" s="27" t="n">
        <v>0</v>
      </c>
      <c r="P309" s="27" t="n">
        <v>0</v>
      </c>
      <c r="Q309" s="33" t="inlineStr"/>
    </row>
    <row r="310" ht="30" customHeight="1">
      <c r="A310" s="26" t="n">
        <v>2056</v>
      </c>
      <c r="B310" s="12" t="inlineStr">
        <is>
          <t>Matthew Roth</t>
        </is>
      </c>
      <c r="C310" s="12" t="inlineStr">
        <is>
          <t>Matthew</t>
        </is>
      </c>
      <c r="D310" s="41" t="inlineStr">
        <is>
          <t>roth</t>
        </is>
      </c>
      <c r="E310" s="12" t="inlineStr">
        <is>
          <t>roth_ira</t>
        </is>
      </c>
      <c r="F310" s="27" t="n">
        <v>0</v>
      </c>
      <c r="G310" s="27" t="n">
        <v>0</v>
      </c>
      <c r="H310" s="27" t="n">
        <v>0</v>
      </c>
      <c r="I310" s="27" t="n">
        <v>0</v>
      </c>
      <c r="J310" s="27" t="n">
        <v>0</v>
      </c>
      <c r="K310" s="27" t="n">
        <v>0</v>
      </c>
      <c r="L310" s="27" t="n">
        <v>0</v>
      </c>
      <c r="M310" s="27" t="n">
        <v>0</v>
      </c>
      <c r="N310" s="27" t="n">
        <v>0</v>
      </c>
      <c r="O310" s="27" t="n">
        <v>0</v>
      </c>
      <c r="P310" s="27" t="n">
        <v>0</v>
      </c>
      <c r="Q310" s="33" t="inlineStr"/>
    </row>
    <row r="311" ht="30" customHeight="1">
      <c r="A311" s="26" t="n">
        <v>2056</v>
      </c>
      <c r="B311" s="12" t="inlineStr">
        <is>
          <t>Matthew Trust</t>
        </is>
      </c>
      <c r="C311" s="12" t="inlineStr">
        <is>
          <t>Matthew</t>
        </is>
      </c>
      <c r="D311" s="41" t="inlineStr">
        <is>
          <t>taxable</t>
        </is>
      </c>
      <c r="E311" s="12" t="inlineStr">
        <is>
          <t>trust</t>
        </is>
      </c>
      <c r="F311" s="27" t="n">
        <v>0</v>
      </c>
      <c r="G311" s="27" t="n">
        <v>0</v>
      </c>
      <c r="H311" s="27" t="n">
        <v>0</v>
      </c>
      <c r="I311" s="27" t="n">
        <v>0</v>
      </c>
      <c r="J311" s="27" t="n">
        <v>0</v>
      </c>
      <c r="K311" s="27" t="n">
        <v>0</v>
      </c>
      <c r="L311" s="27" t="n">
        <v>0</v>
      </c>
      <c r="M311" s="27" t="n">
        <v>0</v>
      </c>
      <c r="N311" s="27" t="n">
        <v>0</v>
      </c>
      <c r="O311" s="27" t="n">
        <v>0</v>
      </c>
      <c r="P311" s="27" t="n">
        <v>0</v>
      </c>
      <c r="Q311" s="33" t="inlineStr"/>
    </row>
    <row r="312" ht="30" customHeight="1">
      <c r="A312" s="26" t="n">
        <v>2056</v>
      </c>
      <c r="B312" s="12" t="inlineStr">
        <is>
          <t>Patricia IRA</t>
        </is>
      </c>
      <c r="C312" s="12" t="inlineStr">
        <is>
          <t>Patricia</t>
        </is>
      </c>
      <c r="D312" s="41" t="inlineStr">
        <is>
          <t>pre_tax</t>
        </is>
      </c>
      <c r="E312" s="12" t="inlineStr">
        <is>
          <t>traditional_ira</t>
        </is>
      </c>
      <c r="F312" s="27" t="n">
        <v>0</v>
      </c>
      <c r="G312" s="27" t="n">
        <v>0</v>
      </c>
      <c r="H312" s="27" t="n">
        <v>0</v>
      </c>
      <c r="I312" s="27" t="n">
        <v>0</v>
      </c>
      <c r="J312" s="27" t="n">
        <v>0</v>
      </c>
      <c r="K312" s="27" t="n">
        <v>0</v>
      </c>
      <c r="L312" s="27" t="n">
        <v>0</v>
      </c>
      <c r="M312" s="27" t="n">
        <v>0</v>
      </c>
      <c r="N312" s="27" t="n">
        <v>0</v>
      </c>
      <c r="O312" s="27" t="n">
        <v>0</v>
      </c>
      <c r="P312" s="27" t="n">
        <v>0</v>
      </c>
      <c r="Q312" s="33" t="inlineStr"/>
    </row>
    <row r="313" ht="30" customHeight="1">
      <c r="A313" s="26" t="n">
        <v>2056</v>
      </c>
      <c r="B313" s="12" t="inlineStr">
        <is>
          <t>Patricia Roth</t>
        </is>
      </c>
      <c r="C313" s="12" t="inlineStr">
        <is>
          <t>Patricia</t>
        </is>
      </c>
      <c r="D313" s="41" t="inlineStr">
        <is>
          <t>roth</t>
        </is>
      </c>
      <c r="E313" s="12" t="inlineStr">
        <is>
          <t>roth_ira</t>
        </is>
      </c>
      <c r="F313" s="27" t="n">
        <v>2760778.429790726</v>
      </c>
      <c r="G313" s="27" t="n">
        <v>0</v>
      </c>
      <c r="H313" s="27" t="n">
        <v>0</v>
      </c>
      <c r="I313" s="27" t="n">
        <v>0</v>
      </c>
      <c r="J313" s="27" t="n">
        <v>0</v>
      </c>
      <c r="K313" s="27" t="n">
        <v>0</v>
      </c>
      <c r="L313" s="27" t="n">
        <v>200802.9941202025</v>
      </c>
      <c r="M313" s="27" t="n">
        <v>153598.5261402314</v>
      </c>
      <c r="N313" s="27" t="n">
        <v>2713573.961810756</v>
      </c>
      <c r="O313" s="27" t="n">
        <v>2713573.961810756</v>
      </c>
      <c r="P313" s="27" t="n">
        <v>0</v>
      </c>
      <c r="Q313" s="12" t="inlineStr">
        <is>
          <t>withdrawal</t>
        </is>
      </c>
    </row>
    <row r="314" ht="30" customHeight="1">
      <c r="A314" s="26" t="n">
        <v>2056</v>
      </c>
      <c r="B314" s="12" t="inlineStr">
        <is>
          <t>Patricia Trust</t>
        </is>
      </c>
      <c r="C314" s="12" t="inlineStr">
        <is>
          <t>Patricia</t>
        </is>
      </c>
      <c r="D314" s="41" t="inlineStr">
        <is>
          <t>taxable</t>
        </is>
      </c>
      <c r="E314" s="12" t="inlineStr">
        <is>
          <t>trust</t>
        </is>
      </c>
      <c r="F314" s="27" t="n">
        <v>0</v>
      </c>
      <c r="G314" s="27" t="n">
        <v>0</v>
      </c>
      <c r="H314" s="27" t="n">
        <v>0</v>
      </c>
      <c r="I314" s="27" t="n">
        <v>0</v>
      </c>
      <c r="J314" s="27" t="n">
        <v>0</v>
      </c>
      <c r="K314" s="27" t="n">
        <v>0</v>
      </c>
      <c r="L314" s="27" t="n">
        <v>0</v>
      </c>
      <c r="M314" s="27" t="n">
        <v>0</v>
      </c>
      <c r="N314" s="27" t="n">
        <v>0</v>
      </c>
      <c r="O314" s="27" t="n">
        <v>0</v>
      </c>
      <c r="P314" s="27" t="n">
        <v>0</v>
      </c>
      <c r="Q314" s="33" t="inlineStr"/>
    </row>
  </sheetData>
  <autoFilter ref="A4:Q314"/>
  <mergeCells count="2">
    <mergeCell ref="A1:P1"/>
    <mergeCell ref="A2:P2"/>
  </mergeCells>
  <pageMargins left="0.75" right="0.75" top="1" bottom="1" header="0.5" footer="0.5"/>
</worksheet>
</file>

<file path=xl/worksheets/sheet27.xml><?xml version="1.0" encoding="utf-8"?>
<worksheet xmlns="http://schemas.openxmlformats.org/spreadsheetml/2006/main">
  <sheetPr>
    <tabColor rgb="00B45F06"/>
    <outlinePr summaryBelow="1" summaryRight="1"/>
    <pageSetUpPr/>
  </sheetPr>
  <dimension ref="A1:H55"/>
  <sheetViews>
    <sheetView showGridLines="0" workbookViewId="0">
      <selection activeCell="A1" sqref="A1"/>
    </sheetView>
  </sheetViews>
  <sheetFormatPr baseColWidth="8" defaultRowHeight="15"/>
  <cols>
    <col width="18.4" customWidth="1" min="1" max="1"/>
    <col width="18.4" customWidth="1" min="2" max="2"/>
    <col width="18.4" customWidth="1" min="3" max="3"/>
    <col width="11.1" customWidth="1" min="4" max="4"/>
    <col width="11.1" customWidth="1" min="5" max="5"/>
    <col width="18.4" customWidth="1" min="6" max="6"/>
    <col width="11.1" customWidth="1" min="7" max="7"/>
    <col width="11.1" customWidth="1" min="8" max="8"/>
  </cols>
  <sheetData>
    <row r="1" ht="18" customHeight="1">
      <c r="A1" s="9" t="inlineStr">
        <is>
          <t>QUALITY CONTROL SUMMARY</t>
        </is>
      </c>
    </row>
    <row r="2"/>
    <row r="3" ht="15" customHeight="1">
      <c r="A3" s="13" t="inlineStr">
        <is>
          <t>Sheet</t>
        </is>
      </c>
      <c r="B3" s="13" t="inlineStr">
        <is>
          <t>Check</t>
        </is>
      </c>
      <c r="C3" s="4" t="n"/>
      <c r="D3" s="13" t="inlineStr">
        <is>
          <t>Status</t>
        </is>
      </c>
      <c r="E3" s="13" t="inlineStr">
        <is>
          <t>Detail</t>
        </is>
      </c>
    </row>
    <row r="4" ht="30" customHeight="1">
      <c r="A4" s="97" t="inlineStr">
        <is>
          <t>16. Scenario Analysis</t>
        </is>
      </c>
      <c r="B4" s="12" t="inlineStr">
        <is>
          <t>All configured scenarios have result rows</t>
        </is>
      </c>
      <c r="C4" s="4" t="n"/>
      <c r="D4" s="128" t="inlineStr">
        <is>
          <t>PASS</t>
        </is>
      </c>
      <c r="E4" s="33" t="inlineStr"/>
    </row>
    <row r="5" ht="30" customHeight="1">
      <c r="A5" s="97" t="inlineStr">
        <is>
          <t>1A. Executive Summary</t>
        </is>
      </c>
      <c r="B5" s="12" t="inlineStr">
        <is>
          <t>Headline numbers present</t>
        </is>
      </c>
      <c r="C5" s="4" t="n"/>
      <c r="D5" s="128" t="inlineStr">
        <is>
          <t>PASS</t>
        </is>
      </c>
      <c r="E5" s="12" t="inlineStr">
        <is>
          <t>NW: $6,103,848</t>
        </is>
      </c>
    </row>
    <row r="6" ht="30" customHeight="1">
      <c r="A6" s="97" t="inlineStr">
        <is>
          <t>4B. Assumptions</t>
        </is>
      </c>
      <c r="B6" s="12" t="inlineStr">
        <is>
          <t>All major parameters in editable cells</t>
        </is>
      </c>
      <c r="C6" s="4" t="n"/>
      <c r="D6" s="128" t="inlineStr">
        <is>
          <t>PASS</t>
        </is>
      </c>
      <c r="E6" s="33" t="inlineStr"/>
    </row>
    <row r="7" ht="60" customHeight="1">
      <c r="A7" s="97" t="inlineStr">
        <is>
          <t>1D. Balance Sheet</t>
        </is>
      </c>
      <c r="B7" s="12" t="inlineStr">
        <is>
          <t>Total assets - liabilities = net worth and reconciles to projection Y0</t>
        </is>
      </c>
      <c r="C7" s="4" t="n"/>
      <c r="D7" s="128" t="inlineStr">
        <is>
          <t>PASS</t>
        </is>
      </c>
      <c r="E7" s="12" t="inlineStr">
        <is>
          <t>NW=5,681,277 vs projection Y0=5,681,277</t>
        </is>
      </c>
    </row>
    <row r="8" ht="45" customHeight="1">
      <c r="A8" s="97" t="inlineStr">
        <is>
          <t>1D. Balance Sheet</t>
        </is>
      </c>
      <c r="B8" s="12" t="inlineStr">
        <is>
          <t>Positions sourced from holdings data</t>
        </is>
      </c>
      <c r="C8" s="4" t="n"/>
      <c r="D8" s="128" t="inlineStr">
        <is>
          <t>PASS</t>
        </is>
      </c>
      <c r="E8" s="12" t="inlineStr">
        <is>
          <t>30 holdings across 10 accounts</t>
        </is>
      </c>
    </row>
    <row r="9" ht="60" customHeight="1">
      <c r="A9" s="97" t="inlineStr">
        <is>
          <t>1D. Balance Sheet</t>
        </is>
      </c>
      <c r="B9" s="12" t="inlineStr">
        <is>
          <t>Tax-lot data coverage</t>
        </is>
      </c>
      <c r="C9" s="4" t="n"/>
      <c r="D9" s="128" t="inlineStr">
        <is>
          <t>PASS</t>
        </is>
      </c>
      <c r="E9" s="12" t="inlineStr">
        <is>
          <t>100% — specific-lot sell guidance active</t>
        </is>
      </c>
    </row>
    <row r="10" ht="45" customHeight="1">
      <c r="A10" s="97" t="inlineStr">
        <is>
          <t>1D. Balance Sheet</t>
        </is>
      </c>
      <c r="B10" s="12" t="inlineStr">
        <is>
          <t>Holdings detail: all positions with live prices</t>
        </is>
      </c>
      <c r="C10" s="4" t="n"/>
      <c r="D10" s="128" t="inlineStr">
        <is>
          <t>PASS</t>
        </is>
      </c>
      <c r="E10" s="12" t="inlineStr">
        <is>
          <t>Grand total invested: $2,783,948</t>
        </is>
      </c>
    </row>
    <row r="11" ht="15" customHeight="1">
      <c r="A11" s="97" t="inlineStr">
        <is>
          <t>1B. Net Worth</t>
        </is>
      </c>
      <c r="B11" s="12" t="inlineStr">
        <is>
          <t>Row count = 31 (2026-2056)</t>
        </is>
      </c>
      <c r="C11" s="4" t="n"/>
      <c r="D11" s="128" t="inlineStr">
        <is>
          <t>PASS</t>
        </is>
      </c>
      <c r="E11" s="33" t="inlineStr"/>
    </row>
    <row r="12" ht="15" customHeight="1">
      <c r="A12" s="97" t="inlineStr">
        <is>
          <t>1B. Net Worth</t>
        </is>
      </c>
      <c r="B12" s="12" t="inlineStr">
        <is>
          <t>All balances ≥ 0</t>
        </is>
      </c>
      <c r="C12" s="4" t="n"/>
      <c r="D12" s="128" t="inlineStr">
        <is>
          <t>PASS</t>
        </is>
      </c>
      <c r="E12" s="33" t="inlineStr"/>
    </row>
    <row r="13" ht="30" customHeight="1">
      <c r="A13" s="97" t="inlineStr">
        <is>
          <t>1C. Cash Flow</t>
        </is>
      </c>
      <c r="B13" s="12" t="inlineStr">
        <is>
          <t>31 rows, account-level WDs, collapsible groups</t>
        </is>
      </c>
      <c r="C13" s="4" t="n"/>
      <c r="D13" s="128" t="inlineStr">
        <is>
          <t>PASS</t>
        </is>
      </c>
      <c r="E13" s="33" t="inlineStr"/>
    </row>
    <row r="14" ht="30" customHeight="1">
      <c r="A14" s="97" t="inlineStr">
        <is>
          <t>1F. Lifetime Taxes</t>
        </is>
      </c>
      <c r="B14" s="12" t="inlineStr">
        <is>
          <t>Lifetime totals present</t>
        </is>
      </c>
      <c r="C14" s="4" t="n"/>
      <c r="D14" s="128" t="inlineStr">
        <is>
          <t>PASS</t>
        </is>
      </c>
      <c r="E14" s="12" t="inlineStr">
        <is>
          <t>Total: $904,152</t>
        </is>
      </c>
    </row>
    <row r="15" ht="90" customHeight="1">
      <c r="A15" s="97" t="inlineStr">
        <is>
          <t>1E. Charts</t>
        </is>
      </c>
      <c r="B15" s="12" t="inlineStr">
        <is>
          <t>6 charts: NW, CF Income, CF Expense, MC Bands, Alloc Before, Alloc After</t>
        </is>
      </c>
      <c r="C15" s="4" t="n"/>
      <c r="D15" s="128" t="inlineStr">
        <is>
          <t>PASS</t>
        </is>
      </c>
      <c r="E15" s="12" t="inlineStr">
        <is>
          <t>NW, Income (15 ser, ymax=$600,000), Expense (8 ser, ymax=$600,000), MC bands, 2 pie charts</t>
        </is>
      </c>
    </row>
    <row r="16" ht="30" customHeight="1">
      <c r="A16" s="97" t="inlineStr">
        <is>
          <t>9. Retirement Strategy</t>
        </is>
      </c>
      <c r="B16" s="12" t="inlineStr">
        <is>
          <t>Withdrawal cascade and key risks documented</t>
        </is>
      </c>
      <c r="C16" s="4" t="n"/>
      <c r="D16" s="128" t="inlineStr">
        <is>
          <t>PASS</t>
        </is>
      </c>
      <c r="E16" s="33" t="inlineStr"/>
    </row>
    <row r="17" ht="30" customHeight="1">
      <c r="A17" s="97" t="inlineStr">
        <is>
          <t>2D. Social Security</t>
        </is>
      </c>
      <c r="B17" s="12" t="inlineStr">
        <is>
          <t>Claim ages 62-70 swept by spouse against full projection</t>
        </is>
      </c>
      <c r="C17" s="4" t="n"/>
      <c r="D17" s="128" t="inlineStr">
        <is>
          <t>PASS</t>
        </is>
      </c>
      <c r="E17" s="33" t="inlineStr"/>
    </row>
    <row r="18" ht="90" customHeight="1">
      <c r="A18" s="97" t="inlineStr">
        <is>
          <t>2A. Roth Conversion</t>
        </is>
      </c>
      <c r="B18" s="12" t="inlineStr">
        <is>
          <t>Canonical result contract, candidate scores, rejection reasons, and binding constraints rendered</t>
        </is>
      </c>
      <c r="C18" s="4" t="n"/>
      <c r="D18" s="128" t="inlineStr">
        <is>
          <t>PASS</t>
        </is>
      </c>
      <c r="E18" s="12" t="inlineStr">
        <is>
          <t>Total: $1,304,134  Forced: $125,000  Voluntary: $1,179,134</t>
        </is>
      </c>
    </row>
    <row r="19" ht="30" customHeight="1">
      <c r="A19" s="97" t="inlineStr">
        <is>
          <t>2F. Charitable Giving</t>
        </is>
      </c>
      <c r="B19" s="12" t="inlineStr">
        <is>
          <t>Three vehicles documented; SALT phases shown</t>
        </is>
      </c>
      <c r="C19" s="4" t="n"/>
      <c r="D19" s="128" t="inlineStr">
        <is>
          <t>PASS</t>
        </is>
      </c>
      <c r="E19" s="33" t="inlineStr"/>
    </row>
    <row r="20" ht="30" customHeight="1">
      <c r="A20" s="97" t="inlineStr">
        <is>
          <t>2C. State Residency</t>
        </is>
      </c>
      <c r="B20" s="12" t="inlineStr">
        <is>
          <t>11 states compared with retirement-income treatment</t>
        </is>
      </c>
      <c r="C20" s="4" t="n"/>
      <c r="D20" s="128" t="inlineStr">
        <is>
          <t>PASS</t>
        </is>
      </c>
      <c r="E20" s="12" t="inlineStr">
        <is>
          <t>retirement=39% of AGI</t>
        </is>
      </c>
    </row>
    <row r="21" ht="60" customHeight="1">
      <c r="A21" s="97" t="inlineStr">
        <is>
          <t>2G. Estate &amp; Legacy Planning</t>
        </is>
      </c>
      <c r="B21" s="12" t="inlineStr">
        <is>
          <t>Federal/IL tax, QTIP, Credit Shelter documented</t>
        </is>
      </c>
      <c r="C21" s="4" t="n"/>
      <c r="D21" s="128" t="inlineStr">
        <is>
          <t>PASS</t>
        </is>
      </c>
      <c r="E21" s="12" t="inlineStr">
        <is>
          <t>IL est. tax: $473,627, CS saves ~$320,000</t>
        </is>
      </c>
    </row>
    <row r="22" ht="30" customHeight="1">
      <c r="A22" s="97" t="inlineStr">
        <is>
          <t>2H. Planning Levers</t>
        </is>
      </c>
      <c r="B22" s="12" t="inlineStr">
        <is>
          <t>Interactive lever sensitivity dashboard created</t>
        </is>
      </c>
      <c r="C22" s="4" t="n"/>
      <c r="D22" s="128" t="inlineStr">
        <is>
          <t>PASS</t>
        </is>
      </c>
      <c r="E22" s="12" t="inlineStr">
        <is>
          <t>10 levers</t>
        </is>
      </c>
    </row>
    <row r="23" ht="75" customHeight="1">
      <c r="A23" s="97" t="inlineStr">
        <is>
          <t>3A. Monte Carlo</t>
        </is>
      </c>
      <c r="B23" s="12" t="inlineStr">
        <is>
          <t>7-section MC report: 1000 sims, 5 quintiles, 25-cell sensitivity</t>
        </is>
      </c>
      <c r="C23" s="4" t="n"/>
      <c r="D23" s="128" t="inlineStr">
        <is>
          <t>PASS</t>
        </is>
      </c>
      <c r="E23" s="12" t="inlineStr">
        <is>
          <t>Funding success=67.0%, P50 liquid end=$2,076,163</t>
        </is>
      </c>
    </row>
    <row r="24" ht="30" customHeight="1">
      <c r="A24" s="97" t="inlineStr">
        <is>
          <t>17. LTC Stress Test</t>
        </is>
      </c>
      <c r="B24" s="12" t="inlineStr">
        <is>
          <t>Four scenarios modeled with plan-survives flag</t>
        </is>
      </c>
      <c r="C24" s="4" t="n"/>
      <c r="D24" s="128" t="inlineStr">
        <is>
          <t>PASS</t>
        </is>
      </c>
      <c r="E24" s="33" t="inlineStr"/>
    </row>
    <row r="25" ht="90" customHeight="1">
      <c r="A25" s="97" t="inlineStr">
        <is>
          <t>3B. Survivor</t>
        </is>
      </c>
      <c r="B25" s="12" t="inlineStr">
        <is>
          <t>5 early-death scenarios with full projection re-runs</t>
        </is>
      </c>
      <c r="C25" s="4" t="n"/>
      <c r="D25" s="128" t="inlineStr">
        <is>
          <t>PASS</t>
        </is>
      </c>
      <c r="E25" s="12" t="inlineStr">
        <is>
          <t>worst case: Both die at 75 (shortened plan) at $-1,123,639</t>
        </is>
      </c>
    </row>
    <row r="26" ht="30" customHeight="1">
      <c r="A26" s="97" t="inlineStr">
        <is>
          <t>3C. LTC + Life Insurance</t>
        </is>
      </c>
      <c r="B26" s="12" t="inlineStr">
        <is>
          <t>Annuity DB table; gap analysis; options documented</t>
        </is>
      </c>
      <c r="C26" s="4" t="n"/>
      <c r="D26" s="128" t="inlineStr">
        <is>
          <t>PASS</t>
        </is>
      </c>
      <c r="E26" s="33" t="inlineStr"/>
    </row>
    <row r="27" ht="60" customHeight="1">
      <c r="A27" s="97" t="inlineStr">
        <is>
          <t>4E. RMD Audit</t>
        </is>
      </c>
      <c r="B27" s="12" t="inlineStr">
        <is>
          <t>Matches CF; RMD vs elective flagged; death years correct</t>
        </is>
      </c>
      <c r="C27" s="4" t="n"/>
      <c r="D27" s="128" t="inlineStr">
        <is>
          <t>PASS</t>
        </is>
      </c>
      <c r="E27" s="12" t="inlineStr">
        <is>
          <t>RMD start age 75; H dies 2054; W dies 2056</t>
        </is>
      </c>
    </row>
    <row r="28" ht="15" customHeight="1">
      <c r="A28" s="97" t="inlineStr">
        <is>
          <t>4G. Glossary</t>
        </is>
      </c>
      <c r="B28" s="12" t="inlineStr">
        <is>
          <t>All key terms defined</t>
        </is>
      </c>
      <c r="C28" s="4" t="n"/>
      <c r="D28" s="128" t="inlineStr">
        <is>
          <t>PASS</t>
        </is>
      </c>
      <c r="E28" s="12" t="inlineStr">
        <is>
          <t>22 terms</t>
        </is>
      </c>
    </row>
    <row r="29" ht="30" customHeight="1">
      <c r="A29" s="97" t="inlineStr">
        <is>
          <t>4F. Methodology</t>
        </is>
      </c>
      <c r="B29" s="12" t="inlineStr">
        <is>
          <t>Re-run steps and methodology documented</t>
        </is>
      </c>
      <c r="C29" s="4" t="n"/>
      <c r="D29" s="128" t="inlineStr">
        <is>
          <t>PASS</t>
        </is>
      </c>
      <c r="E29" s="33" t="inlineStr"/>
    </row>
    <row r="30" ht="30" customHeight="1">
      <c r="A30" s="97" t="inlineStr">
        <is>
          <t>24. Asset Location</t>
        </is>
      </c>
      <c r="B30" s="12" t="inlineStr">
        <is>
          <t>Tax-location savings quantified</t>
        </is>
      </c>
      <c r="C30" s="4" t="n"/>
      <c r="D30" s="128" t="inlineStr">
        <is>
          <t>PASS</t>
        </is>
      </c>
      <c r="E30" s="12" t="inlineStr">
        <is>
          <t>$40,732 lifetime</t>
        </is>
      </c>
    </row>
    <row r="31" ht="60" customHeight="1">
      <c r="A31" s="97" t="inlineStr">
        <is>
          <t>4C. Account Reconciliation</t>
        </is>
      </c>
      <c r="B31" s="12" t="inlineStr">
        <is>
          <t>Every account roll-forward foots</t>
        </is>
      </c>
      <c r="C31" s="4" t="n"/>
      <c r="D31" s="128" t="inlineStr">
        <is>
          <t>PASS</t>
        </is>
      </c>
      <c r="E31" s="12" t="inlineStr">
        <is>
          <t>max residual $0.00 across 310 account-years</t>
        </is>
      </c>
    </row>
    <row r="32" ht="60" customHeight="1">
      <c r="A32" s="97" t="inlineStr">
        <is>
          <t>Core Spending</t>
        </is>
      </c>
      <c r="B32" s="12" t="inlineStr">
        <is>
          <t>YTD core spending breakdown, 8 groups</t>
        </is>
      </c>
      <c r="C32" s="4" t="n"/>
      <c r="D32" s="128" t="inlineStr">
        <is>
          <t>PASS</t>
        </is>
      </c>
      <c r="E32" s="12" t="inlineStr">
        <is>
          <t>$78,559 actual  |  $155,836 annualized</t>
        </is>
      </c>
    </row>
    <row r="33" ht="75" customHeight="1">
      <c r="A33" s="97" t="inlineStr">
        <is>
          <t>Spending Summary</t>
        </is>
      </c>
      <c r="B33" s="12" t="inlineStr">
        <is>
          <t>Taxonomy-aware spending summary, 7 tracking types</t>
        </is>
      </c>
      <c r="C33" s="4" t="n"/>
      <c r="D33" s="128" t="inlineStr">
        <is>
          <t>PASS</t>
        </is>
      </c>
      <c r="E33" s="12" t="inlineStr">
        <is>
          <t>$178,134 actual  |  $353,363 annualized  |  0 unmapped</t>
        </is>
      </c>
    </row>
    <row r="34" ht="30" customHeight="1">
      <c r="A34" s="97" t="inlineStr">
        <is>
          <t>4D. Quality Control</t>
        </is>
      </c>
      <c r="B34" s="12" t="inlineStr">
        <is>
          <t>QC sheet itself has checks</t>
        </is>
      </c>
      <c r="C34" s="4" t="n"/>
      <c r="D34" s="128" t="inlineStr">
        <is>
          <t>PASS</t>
        </is>
      </c>
      <c r="E34" s="12" t="inlineStr">
        <is>
          <t>30 checks</t>
        </is>
      </c>
    </row>
    <row r="35" ht="30" customHeight="1">
      <c r="A35" s="97" t="inlineStr">
        <is>
          <t>Validation</t>
        </is>
      </c>
      <c r="B35" s="12" t="inlineStr">
        <is>
          <t>All invariants passed</t>
        </is>
      </c>
      <c r="C35" s="4" t="n"/>
      <c r="D35" s="128" t="inlineStr">
        <is>
          <t>PASS</t>
        </is>
      </c>
      <c r="E35" s="12" t="inlineStr">
        <is>
          <t>31 rows checked</t>
        </is>
      </c>
    </row>
    <row r="36"/>
    <row r="37" ht="15" customHeight="1">
      <c r="A37" s="35" t="inlineStr">
        <is>
          <t>TOTAL: 32/32 PASS · 0 FAIL</t>
        </is>
      </c>
      <c r="B37" s="3" t="n"/>
      <c r="C37" s="3" t="n"/>
      <c r="D37" s="3" t="n"/>
      <c r="E37" s="4" t="n"/>
    </row>
    <row r="38"/>
    <row r="39" ht="15" customHeight="1">
      <c r="A39" s="13" t="inlineStr">
        <is>
          <t>MODELING ADJUSTMENTS &amp; NORMALIZATIONS</t>
        </is>
      </c>
      <c r="B39" s="3" t="n"/>
      <c r="C39" s="3" t="n"/>
      <c r="D39" s="3" t="n"/>
      <c r="E39" s="4" t="n"/>
    </row>
    <row r="40" ht="45" customHeight="1">
      <c r="A40" s="11" t="inlineStr">
        <is>
          <t>Annuity Net Worth Valuation</t>
        </is>
      </c>
      <c r="B40" s="12" t="inlineStr">
        <is>
          <t>Each annuity is valued at the PV of future cash income (guaranteed payment + cash dividend) through the relevant death. Base accumulation is NOT an estate asset.</t>
        </is>
      </c>
      <c r="C40" s="3" t="n"/>
      <c r="D40" s="3" t="n"/>
      <c r="E40" s="4" t="n"/>
    </row>
    <row r="41" ht="45" customHeight="1">
      <c r="A41" s="11" t="inlineStr">
        <is>
          <t>Annuity Dividend Model</t>
        </is>
      </c>
      <c r="B41" s="12" t="inlineStr">
        <is>
          <t>Base compounds at div_rate pre-distribution; at div_rate × additional_income_pct post-distribution. Guaranteed payment grows at add_pct × div_rate.</t>
        </is>
      </c>
      <c r="C41" s="3" t="n"/>
      <c r="D41" s="3" t="n"/>
      <c r="E41" s="4" t="n"/>
    </row>
    <row r="42" ht="30" customHeight="1">
      <c r="A42" s="11" t="inlineStr">
        <is>
          <t>CASH Placeholder Positions</t>
        </is>
      </c>
      <c r="B42" s="12" t="inlineStr">
        <is>
          <t>Every account includes a CASH position at $1/share. Drain logic: Account_Balance &lt; max(500, Calculated_RMD).</t>
        </is>
      </c>
      <c r="C42" s="3" t="n"/>
      <c r="D42" s="3" t="n"/>
      <c r="E42" s="4" t="n"/>
    </row>
    <row r="43" ht="30" customHeight="1">
      <c r="A43" s="11" t="inlineStr">
        <is>
          <t>Mortgage Normalization</t>
        </is>
      </c>
      <c r="B43" s="12" t="inlineStr">
        <is>
          <t>Mortgage balance computed from configured starting balance; $0 after last_payment_year.</t>
        </is>
      </c>
      <c r="C43" s="3" t="n"/>
      <c r="D43" s="3" t="n"/>
      <c r="E43" s="4" t="n"/>
    </row>
    <row r="44" ht="30" customHeight="1">
      <c r="A44" s="11" t="inlineStr">
        <is>
          <t>RMD Timing</t>
        </is>
      </c>
      <c r="B44" s="12" t="inlineStr">
        <is>
          <t>RMDs computed at year-start balance; satisfied before year-end; SECURE 2.0 age-75 for those born 1960+.</t>
        </is>
      </c>
      <c r="C44" s="3" t="n"/>
      <c r="D44" s="3" t="n"/>
      <c r="E44" s="4" t="n"/>
    </row>
    <row r="45" ht="30" customHeight="1">
      <c r="A45" s="11" t="inlineStr">
        <is>
          <t>Roth Conversion Forced Actions</t>
        </is>
      </c>
      <c r="B45" s="12" t="inlineStr">
        <is>
          <t>Forced Roth conversion amounts are read from configured Forced Actions.</t>
        </is>
      </c>
      <c r="C45" s="3" t="n"/>
      <c r="D45" s="3" t="n"/>
      <c r="E45" s="4" t="n"/>
    </row>
    <row r="46" ht="45" customHeight="1">
      <c r="A46" s="11" t="inlineStr">
        <is>
          <t>NIIT / State Estate Tax</t>
        </is>
      </c>
      <c r="B46" s="12" t="inlineStr">
        <is>
          <t>Modeled per Plan Settings toggles (both TRUE). IL estate tax: ~$4M exemption, graduated 0.8%–16% rates, no portability.</t>
        </is>
      </c>
      <c r="C46" s="3" t="n"/>
      <c r="D46" s="3" t="n"/>
      <c r="E46" s="4" t="n"/>
    </row>
    <row r="47" ht="30" customHeight="1">
      <c r="A47" s="11" t="inlineStr">
        <is>
          <t>Live Pricing</t>
        </is>
      </c>
      <c r="B47" s="12" t="inlineStr">
        <is>
          <t>ETF prices fetched at build time via FMP / Alpha Vantage / Stooq. CASH = $1.00/share.</t>
        </is>
      </c>
      <c r="C47" s="3" t="n"/>
      <c r="D47" s="3" t="n"/>
      <c r="E47" s="4" t="n"/>
    </row>
    <row r="48" ht="30" customHeight="1">
      <c r="A48" s="11" t="inlineStr">
        <is>
          <t>SS Survivor Benefit</t>
        </is>
      </c>
      <c r="B48" s="12" t="inlineStr">
        <is>
          <t>100% of higher benefit (at deceased's claim age per configured policy rows).</t>
        </is>
      </c>
      <c r="C48" s="3" t="n"/>
      <c r="D48" s="3" t="n"/>
      <c r="E48" s="4" t="n"/>
    </row>
    <row r="49" ht="45" customHeight="1">
      <c r="A49" s="11" t="inlineStr">
        <is>
          <t>Spousal Rollover</t>
        </is>
      </c>
      <c r="B49" s="12" t="inlineStr">
        <is>
          <t>Decedent balances roll to survivor in year of death; RMDs recalculated under survivor's age starting the following year.</t>
        </is>
      </c>
      <c r="C49" s="3" t="n"/>
      <c r="D49" s="3" t="n"/>
      <c r="E49" s="4" t="n"/>
    </row>
    <row r="50"/>
    <row r="51"/>
    <row r="52" ht="15" customHeight="1">
      <c r="A52" s="180" t="inlineStr">
        <is>
          <t>WORKBOOK WARNINGS — Consistency, Staleness, and Advisor Review</t>
        </is>
      </c>
    </row>
    <row r="53"/>
    <row r="54" ht="15" customHeight="1">
      <c r="A54" s="5" t="inlineStr">
        <is>
          <t>Severity</t>
        </is>
      </c>
      <c r="B54" s="5" t="inlineStr">
        <is>
          <t>Code</t>
        </is>
      </c>
      <c r="C54" s="5" t="inlineStr">
        <is>
          <t>Message</t>
        </is>
      </c>
      <c r="D54" s="3" t="n"/>
      <c r="E54" s="4" t="n"/>
      <c r="F54" s="5" t="inlineStr">
        <is>
          <t>Recommended Action</t>
        </is>
      </c>
      <c r="G54" s="3" t="n"/>
      <c r="H54" s="4" t="n"/>
    </row>
    <row r="55" ht="45" customHeight="1">
      <c r="A55" s="92" t="inlineStr">
        <is>
          <t>OK</t>
        </is>
      </c>
      <c r="B55" s="12" t="inlineStr">
        <is>
          <t>NO_CONSISTENCY_WARNINGS</t>
        </is>
      </c>
      <c r="C55" s="12" t="inlineStr">
        <is>
          <t>No workbook consistency warnings were detected from the canonical result contract.</t>
        </is>
      </c>
      <c r="D55" s="3" t="n"/>
      <c r="E55" s="4" t="n"/>
      <c r="F55" s="12" t="inlineStr">
        <is>
          <t>Review tax freshness, pricing, and assumption signoff separately.</t>
        </is>
      </c>
      <c r="G55" s="3" t="n"/>
      <c r="H55" s="4" t="n"/>
    </row>
  </sheetData>
  <mergeCells count="51">
    <mergeCell ref="C54:E54"/>
    <mergeCell ref="A39:E39"/>
    <mergeCell ref="B40:E40"/>
    <mergeCell ref="B16:C16"/>
    <mergeCell ref="B49:E49"/>
    <mergeCell ref="B7:C7"/>
    <mergeCell ref="B25:C25"/>
    <mergeCell ref="C55:E55"/>
    <mergeCell ref="B3:C3"/>
    <mergeCell ref="B22:C22"/>
    <mergeCell ref="A1:E1"/>
    <mergeCell ref="B31:C31"/>
    <mergeCell ref="B18:C18"/>
    <mergeCell ref="B27:C27"/>
    <mergeCell ref="B12:C12"/>
    <mergeCell ref="B45:E45"/>
    <mergeCell ref="B21:C21"/>
    <mergeCell ref="B41:E41"/>
    <mergeCell ref="B11:C11"/>
    <mergeCell ref="B23:C23"/>
    <mergeCell ref="B14:C14"/>
    <mergeCell ref="A37:E37"/>
    <mergeCell ref="B47:E47"/>
    <mergeCell ref="B17:C17"/>
    <mergeCell ref="B8:C8"/>
    <mergeCell ref="B46:E46"/>
    <mergeCell ref="B13:C13"/>
    <mergeCell ref="B29:C29"/>
    <mergeCell ref="B43:E43"/>
    <mergeCell ref="B19:C19"/>
    <mergeCell ref="B34:C34"/>
    <mergeCell ref="B10:C10"/>
    <mergeCell ref="B28:C28"/>
    <mergeCell ref="B48:E48"/>
    <mergeCell ref="F55:H55"/>
    <mergeCell ref="B9:C9"/>
    <mergeCell ref="B42:E42"/>
    <mergeCell ref="B6:C6"/>
    <mergeCell ref="B24:C24"/>
    <mergeCell ref="B30:C30"/>
    <mergeCell ref="F54:H54"/>
    <mergeCell ref="B15:C15"/>
    <mergeCell ref="B33:C33"/>
    <mergeCell ref="B5:C5"/>
    <mergeCell ref="B20:C20"/>
    <mergeCell ref="B44:E44"/>
    <mergeCell ref="A52:H52"/>
    <mergeCell ref="B32:C32"/>
    <mergeCell ref="B26:C26"/>
    <mergeCell ref="B35:C35"/>
    <mergeCell ref="B4:C4"/>
  </mergeCells>
  <pageMargins left="0.75" right="0.75" top="1" bottom="1" header="0.5" footer="0.5"/>
</worksheet>
</file>

<file path=xl/worksheets/sheet28.xml><?xml version="1.0" encoding="utf-8"?>
<worksheet xmlns="http://schemas.openxmlformats.org/spreadsheetml/2006/main">
  <sheetPr>
    <tabColor rgb="00B45F06"/>
    <outlinePr summaryBelow="1" summaryRight="1"/>
    <pageSetUpPr/>
  </sheetPr>
  <dimension ref="A1:AA38"/>
  <sheetViews>
    <sheetView showGridLines="0" workbookViewId="0">
      <pane ySplit="2" topLeftCell="A3" activePane="bottomLeft" state="frozen"/>
      <selection pane="bottomLeft" activeCell="A1" sqref="A1"/>
    </sheetView>
  </sheetViews>
  <sheetFormatPr baseColWidth="8" defaultRowHeight="15"/>
  <cols>
    <col width="9.4" customWidth="1" min="1" max="1"/>
    <col width="10" customWidth="1" min="2" max="2"/>
    <col width="4.4" customWidth="1" min="3" max="3"/>
    <col width="10" customWidth="1" min="4" max="4"/>
    <col width="10" customWidth="1" min="5" max="5"/>
    <col width="10" customWidth="1" min="6" max="6"/>
    <col width="9.4" customWidth="1" min="7" max="7"/>
    <col width="9.4" customWidth="1" min="8" max="8"/>
    <col width="9.4" customWidth="1" min="9" max="9"/>
    <col width="10" customWidth="1" min="10" max="10"/>
    <col width="9.4" customWidth="1" min="11" max="11"/>
    <col width="9.4" customWidth="1" min="12" max="12"/>
    <col width="9.4" customWidth="1" min="13" max="13"/>
    <col width="9.4" customWidth="1" min="14" max="14"/>
    <col width="9.4" customWidth="1" min="15" max="15"/>
    <col width="9.4" customWidth="1" min="16" max="16"/>
    <col width="10" customWidth="1" min="17" max="17"/>
    <col width="9.4" customWidth="1" min="18" max="18"/>
    <col width="9.4" customWidth="1" min="19" max="19"/>
    <col width="9.4" customWidth="1" min="20" max="20"/>
    <col width="9.4" customWidth="1" min="21" max="21"/>
    <col width="9.4" customWidth="1" min="22" max="22"/>
    <col width="9.4" customWidth="1" min="23" max="23"/>
    <col width="9.4" customWidth="1" min="24" max="24"/>
    <col width="10" customWidth="1" min="25" max="25"/>
    <col width="14" customWidth="1" min="26" max="26"/>
    <col width="25" customWidth="1" min="27" max="27"/>
  </cols>
  <sheetData>
    <row r="1" ht="18" customHeight="1">
      <c r="A1" s="9" t="inlineStr">
        <is>
          <t>RMD AUDIT — Required Minimum Distributions &amp; IRA Withdrawal Attribution</t>
        </is>
      </c>
    </row>
    <row r="2" ht="54" customHeight="1">
      <c r="A2" s="39" t="inlineStr">
        <is>
          <t>Year</t>
        </is>
      </c>
      <c r="B2" s="39" t="inlineStr">
        <is>
          <t>Matthew Age</t>
        </is>
      </c>
      <c r="C2" s="39" t="inlineStr">
        <is>
          <t>Patricia Age</t>
        </is>
      </c>
      <c r="D2" s="39" t="inlineStr">
        <is>
          <t>Filing</t>
        </is>
      </c>
      <c r="E2" s="39" t="inlineStr">
        <is>
          <t>Matthew Alive</t>
        </is>
      </c>
      <c r="F2" s="39" t="inlineStr">
        <is>
          <t>Patricia Alive</t>
        </is>
      </c>
      <c r="G2" s="181" t="inlineStr">
        <is>
          <t>Matthew IRA Bal (BOY)</t>
        </is>
      </c>
      <c r="H2" s="181" t="inlineStr">
        <is>
          <t>Matthew 401k Bal</t>
        </is>
      </c>
      <c r="I2" s="181" t="inlineStr">
        <is>
          <t>Matthew RMD Required</t>
        </is>
      </c>
      <c r="J2" s="181" t="inlineStr">
        <is>
          <t>Matthew RMD Satisfied?</t>
        </is>
      </c>
      <c r="K2" s="181" t="inlineStr">
        <is>
          <t>Matthew IRA Elective</t>
        </is>
      </c>
      <c r="L2" s="181" t="inlineStr">
        <is>
          <t>Matthew IRA Conversion</t>
        </is>
      </c>
      <c r="M2" s="181" t="inlineStr">
        <is>
          <t>Matthew IRA Total Outflow</t>
        </is>
      </c>
      <c r="N2" s="179" t="inlineStr">
        <is>
          <t>Matthew IRA RMD%</t>
        </is>
      </c>
      <c r="O2" s="179" t="inlineStr">
        <is>
          <t>Patricia IRA Bal (BOY)</t>
        </is>
      </c>
      <c r="P2" s="179" t="inlineStr">
        <is>
          <t>Patricia RMD Required</t>
        </is>
      </c>
      <c r="Q2" s="179" t="inlineStr">
        <is>
          <t>Patricia RMD Satisfied?</t>
        </is>
      </c>
      <c r="R2" s="179" t="inlineStr">
        <is>
          <t>Patricia IRA Elective</t>
        </is>
      </c>
      <c r="S2" s="179" t="inlineStr">
        <is>
          <t>Patricia IRA Conversion</t>
        </is>
      </c>
      <c r="T2" s="182" t="inlineStr">
        <is>
          <t>Patricia IRA Total Outflow</t>
        </is>
      </c>
      <c r="U2" s="182" t="inlineStr">
        <is>
          <t>Patricia IRA RMD%</t>
        </is>
      </c>
      <c r="V2" s="182" t="inlineStr">
        <is>
          <t>Total RMD Req</t>
        </is>
      </c>
      <c r="W2" s="23" t="inlineStr">
        <is>
          <t>Total IRA Cash Drawn</t>
        </is>
      </c>
      <c r="X2" s="23" t="inlineStr">
        <is>
          <t>Total IRA Outflow</t>
        </is>
      </c>
      <c r="Y2" s="23" t="inlineStr">
        <is>
          <t>RMD Match CF?</t>
        </is>
      </c>
      <c r="Z2" s="23" t="inlineStr">
        <is>
          <t>Rollover Event</t>
        </is>
      </c>
      <c r="AA2" s="23" t="inlineStr">
        <is>
          <t>Notes</t>
        </is>
      </c>
    </row>
    <row r="3" ht="15" customHeight="1">
      <c r="A3" s="183" t="n">
        <v>2026</v>
      </c>
      <c r="B3" s="184" t="n">
        <v>64</v>
      </c>
      <c r="C3" s="183" t="n">
        <v>65</v>
      </c>
      <c r="D3" s="185" t="inlineStr">
        <is>
          <t>MFJ</t>
        </is>
      </c>
      <c r="E3" s="185" t="inlineStr">
        <is>
          <t>ALIVE</t>
        </is>
      </c>
      <c r="F3" s="185" t="inlineStr">
        <is>
          <t>ALIVE</t>
        </is>
      </c>
      <c r="G3" s="186" t="n">
        <v>1398947.022424043</v>
      </c>
      <c r="H3" s="186" t="n">
        <v>27634.22558934677</v>
      </c>
      <c r="I3" s="187" t="n">
        <v>0</v>
      </c>
      <c r="J3" s="188" t="inlineStr">
        <is>
          <t>N/A</t>
        </is>
      </c>
      <c r="K3" s="186" t="n">
        <v>0.01624343593437293</v>
      </c>
      <c r="L3" s="187" t="n">
        <v>0</v>
      </c>
      <c r="M3" s="186" t="n">
        <v>0.01624343593437293</v>
      </c>
      <c r="N3" s="189" t="n">
        <v>0</v>
      </c>
      <c r="O3" s="187" t="n">
        <v>345846.0533732587</v>
      </c>
      <c r="P3" s="190" t="n">
        <v>0</v>
      </c>
      <c r="Q3" s="185" t="inlineStr">
        <is>
          <t>N/A</t>
        </is>
      </c>
      <c r="R3" s="187" t="n">
        <v>0.00401568331114502</v>
      </c>
      <c r="S3" s="186" t="n">
        <v>125000</v>
      </c>
      <c r="T3" s="187" t="n">
        <v>125000.0040156833</v>
      </c>
      <c r="U3" s="191" t="n">
        <v>0</v>
      </c>
      <c r="V3" s="186" t="n">
        <v>0</v>
      </c>
      <c r="W3" s="186" t="n">
        <v>0.02025911924551795</v>
      </c>
      <c r="X3" s="186" t="n">
        <v>125000.0202591193</v>
      </c>
      <c r="Y3" s="192" t="inlineStr">
        <is>
          <t>✓</t>
        </is>
      </c>
      <c r="Z3" s="193" t="inlineStr"/>
      <c r="AA3" s="193" t="inlineStr"/>
    </row>
    <row r="4" ht="15" customHeight="1">
      <c r="A4" s="183" t="n">
        <v>2027</v>
      </c>
      <c r="B4" s="184" t="n">
        <v>65</v>
      </c>
      <c r="C4" s="183" t="n">
        <v>66</v>
      </c>
      <c r="D4" s="185" t="inlineStr">
        <is>
          <t>MFJ</t>
        </is>
      </c>
      <c r="E4" s="185" t="inlineStr">
        <is>
          <t>ALIVE</t>
        </is>
      </c>
      <c r="F4" s="185" t="inlineStr">
        <is>
          <t>ALIVE</t>
        </is>
      </c>
      <c r="G4" s="186" t="n">
        <v>1482883.819134008</v>
      </c>
      <c r="H4" s="186" t="n">
        <v>29292.27863806845</v>
      </c>
      <c r="I4" s="187" t="n">
        <v>0</v>
      </c>
      <c r="J4" s="188" t="inlineStr">
        <is>
          <t>N/A</t>
        </is>
      </c>
      <c r="K4" s="186" t="n">
        <v>0.02324101667522666</v>
      </c>
      <c r="L4" s="187" t="n">
        <v>0</v>
      </c>
      <c r="M4" s="186" t="n">
        <v>0.02324101667522666</v>
      </c>
      <c r="N4" s="189" t="n">
        <v>0</v>
      </c>
      <c r="O4" s="187" t="n">
        <v>123946.4009275645</v>
      </c>
      <c r="P4" s="190" t="n">
        <v>0</v>
      </c>
      <c r="Q4" s="185" t="inlineStr">
        <is>
          <t>N/A</t>
        </is>
      </c>
      <c r="R4" s="187" t="n">
        <v>0.001942593434240941</v>
      </c>
      <c r="S4" s="186" t="n">
        <v>228915.4845178686</v>
      </c>
      <c r="T4" s="187" t="n">
        <v>228915.486460462</v>
      </c>
      <c r="U4" s="191" t="n">
        <v>0</v>
      </c>
      <c r="V4" s="186" t="n">
        <v>0</v>
      </c>
      <c r="W4" s="186" t="n">
        <v>0.0251836101094676</v>
      </c>
      <c r="X4" s="186" t="n">
        <v>228915.5097014787</v>
      </c>
      <c r="Y4" s="192" t="inlineStr">
        <is>
          <t>✓</t>
        </is>
      </c>
      <c r="Z4" s="193" t="inlineStr"/>
      <c r="AA4" s="193" t="inlineStr"/>
    </row>
    <row r="5" ht="15" customHeight="1">
      <c r="A5" s="183" t="n">
        <v>2028</v>
      </c>
      <c r="B5" s="184" t="n">
        <v>66</v>
      </c>
      <c r="C5" s="183" t="n">
        <v>67</v>
      </c>
      <c r="D5" s="185" t="inlineStr">
        <is>
          <t>MFJ</t>
        </is>
      </c>
      <c r="E5" s="185" t="inlineStr">
        <is>
          <t>ALIVE</t>
        </is>
      </c>
      <c r="F5" s="185" t="inlineStr">
        <is>
          <t>ALIVE</t>
        </is>
      </c>
      <c r="G5" s="186" t="n">
        <v>1233528.006942952</v>
      </c>
      <c r="H5" s="186" t="n">
        <v>0</v>
      </c>
      <c r="I5" s="187" t="n">
        <v>0</v>
      </c>
      <c r="J5" s="188" t="inlineStr">
        <is>
          <t>N/A</t>
        </is>
      </c>
      <c r="K5" s="186" t="n">
        <v>225625.5662517284</v>
      </c>
      <c r="L5" s="187" t="n">
        <v>93552.58595496682</v>
      </c>
      <c r="M5" s="186" t="n">
        <v>319178.1522066952</v>
      </c>
      <c r="N5" s="189" t="n">
        <v>0</v>
      </c>
      <c r="O5" s="187" t="n">
        <v>0</v>
      </c>
      <c r="P5" s="190" t="n">
        <v>0</v>
      </c>
      <c r="Q5" s="185" t="inlineStr">
        <is>
          <t>N/A</t>
        </is>
      </c>
      <c r="R5" s="187" t="n">
        <v>0</v>
      </c>
      <c r="S5" s="186" t="n">
        <v>123946.4009275645</v>
      </c>
      <c r="T5" s="187" t="n">
        <v>123946.4009275645</v>
      </c>
      <c r="U5" s="191" t="n"/>
      <c r="V5" s="186" t="n">
        <v>0</v>
      </c>
      <c r="W5" s="186" t="n">
        <v>225625.5662517284</v>
      </c>
      <c r="X5" s="186" t="n">
        <v>443124.5531342597</v>
      </c>
      <c r="Y5" s="192" t="inlineStr">
        <is>
          <t>✓</t>
        </is>
      </c>
      <c r="Z5" s="193" t="inlineStr"/>
      <c r="AA5" s="193" t="inlineStr"/>
    </row>
    <row r="6" ht="15" customHeight="1">
      <c r="A6" s="183" t="n">
        <v>2029</v>
      </c>
      <c r="B6" s="184" t="n">
        <v>67</v>
      </c>
      <c r="C6" s="183" t="n">
        <v>68</v>
      </c>
      <c r="D6" s="185" t="inlineStr">
        <is>
          <t>MFJ</t>
        </is>
      </c>
      <c r="E6" s="185" t="inlineStr">
        <is>
          <t>ALIVE</t>
        </is>
      </c>
      <c r="F6" s="185" t="inlineStr">
        <is>
          <t>ALIVE</t>
        </is>
      </c>
      <c r="G6" s="186" t="n">
        <v>968288.2612224719</v>
      </c>
      <c r="H6" s="186" t="n">
        <v>0</v>
      </c>
      <c r="I6" s="187" t="n">
        <v>0</v>
      </c>
      <c r="J6" s="188" t="inlineStr">
        <is>
          <t>N/A</t>
        </is>
      </c>
      <c r="K6" s="186" t="n">
        <v>174387.840226602</v>
      </c>
      <c r="L6" s="187" t="n">
        <v>145660.6749970365</v>
      </c>
      <c r="M6" s="186" t="n">
        <v>320048.5152236385</v>
      </c>
      <c r="N6" s="189" t="n">
        <v>0</v>
      </c>
      <c r="O6" s="187" t="n">
        <v>0</v>
      </c>
      <c r="P6" s="190" t="n">
        <v>0</v>
      </c>
      <c r="Q6" s="185" t="inlineStr">
        <is>
          <t>N/A</t>
        </is>
      </c>
      <c r="R6" s="187" t="n">
        <v>0</v>
      </c>
      <c r="S6" s="186" t="n">
        <v>0</v>
      </c>
      <c r="T6" s="187" t="n">
        <v>0</v>
      </c>
      <c r="U6" s="191" t="n"/>
      <c r="V6" s="186" t="n">
        <v>0</v>
      </c>
      <c r="W6" s="186" t="n">
        <v>174387.840226602</v>
      </c>
      <c r="X6" s="186" t="n">
        <v>320048.5152236385</v>
      </c>
      <c r="Y6" s="192" t="inlineStr">
        <is>
          <t>✓</t>
        </is>
      </c>
      <c r="Z6" s="193" t="inlineStr"/>
      <c r="AA6" s="193" t="inlineStr"/>
    </row>
    <row r="7" ht="15" customHeight="1">
      <c r="A7" s="183" t="n">
        <v>2030</v>
      </c>
      <c r="B7" s="184" t="n">
        <v>68</v>
      </c>
      <c r="C7" s="183" t="n">
        <v>69</v>
      </c>
      <c r="D7" s="185" t="inlineStr">
        <is>
          <t>MFJ</t>
        </is>
      </c>
      <c r="E7" s="185" t="inlineStr">
        <is>
          <t>ALIVE</t>
        </is>
      </c>
      <c r="F7" s="185" t="inlineStr">
        <is>
          <t>ALIVE</t>
        </is>
      </c>
      <c r="G7" s="186" t="n">
        <v>749921.4817017267</v>
      </c>
      <c r="H7" s="186" t="n">
        <v>0</v>
      </c>
      <c r="I7" s="187" t="n">
        <v>0</v>
      </c>
      <c r="J7" s="188" t="inlineStr">
        <is>
          <t>N/A</t>
        </is>
      </c>
      <c r="K7" s="186" t="n">
        <v>105517.6818934454</v>
      </c>
      <c r="L7" s="187" t="n">
        <v>155297.4833840013</v>
      </c>
      <c r="M7" s="186" t="n">
        <v>260815.1652774467</v>
      </c>
      <c r="N7" s="189" t="n">
        <v>0</v>
      </c>
      <c r="O7" s="187" t="n">
        <v>0</v>
      </c>
      <c r="P7" s="190" t="n">
        <v>0</v>
      </c>
      <c r="Q7" s="185" t="inlineStr">
        <is>
          <t>N/A</t>
        </is>
      </c>
      <c r="R7" s="187" t="n">
        <v>0</v>
      </c>
      <c r="S7" s="186" t="n">
        <v>0</v>
      </c>
      <c r="T7" s="187" t="n">
        <v>0</v>
      </c>
      <c r="U7" s="191" t="n"/>
      <c r="V7" s="186" t="n">
        <v>0</v>
      </c>
      <c r="W7" s="186" t="n">
        <v>105517.6818934454</v>
      </c>
      <c r="X7" s="186" t="n">
        <v>260815.1652774467</v>
      </c>
      <c r="Y7" s="192" t="inlineStr">
        <is>
          <t>✓</t>
        </is>
      </c>
      <c r="Z7" s="193" t="inlineStr"/>
      <c r="AA7" s="185" t="inlineStr">
        <is>
          <t>workplace plan rollover</t>
        </is>
      </c>
    </row>
    <row r="8" ht="15" customHeight="1">
      <c r="A8" s="183" t="n">
        <v>2031</v>
      </c>
      <c r="B8" s="184" t="n">
        <v>69</v>
      </c>
      <c r="C8" s="183" t="n">
        <v>70</v>
      </c>
      <c r="D8" s="185" t="inlineStr">
        <is>
          <t>MFJ</t>
        </is>
      </c>
      <c r="E8" s="185" t="inlineStr">
        <is>
          <t>ALIVE</t>
        </is>
      </c>
      <c r="F8" s="185" t="inlineStr">
        <is>
          <t>ALIVE</t>
        </is>
      </c>
      <c r="G8" s="186" t="n">
        <v>562257.0724691423</v>
      </c>
      <c r="H8" s="186" t="n">
        <v>0</v>
      </c>
      <c r="I8" s="187" t="n">
        <v>0</v>
      </c>
      <c r="J8" s="188" t="inlineStr">
        <is>
          <t>N/A</t>
        </is>
      </c>
      <c r="K8" s="186" t="n">
        <v>94223.07362225579</v>
      </c>
      <c r="L8" s="187" t="n">
        <v>125267.2076368838</v>
      </c>
      <c r="M8" s="186" t="n">
        <v>219490.2812591396</v>
      </c>
      <c r="N8" s="189" t="n">
        <v>0</v>
      </c>
      <c r="O8" s="187" t="n">
        <v>0</v>
      </c>
      <c r="P8" s="190" t="n">
        <v>0</v>
      </c>
      <c r="Q8" s="185" t="inlineStr">
        <is>
          <t>N/A</t>
        </is>
      </c>
      <c r="R8" s="187" t="n">
        <v>0</v>
      </c>
      <c r="S8" s="186" t="n">
        <v>0</v>
      </c>
      <c r="T8" s="187" t="n">
        <v>0</v>
      </c>
      <c r="U8" s="191" t="n"/>
      <c r="V8" s="186" t="n">
        <v>0</v>
      </c>
      <c r="W8" s="186" t="n">
        <v>94223.07362225579</v>
      </c>
      <c r="X8" s="186" t="n">
        <v>219490.2812591396</v>
      </c>
      <c r="Y8" s="192" t="inlineStr">
        <is>
          <t>✓</t>
        </is>
      </c>
      <c r="Z8" s="193" t="inlineStr"/>
      <c r="AA8" s="193" t="inlineStr"/>
    </row>
    <row r="9" ht="15" customHeight="1">
      <c r="A9" s="183" t="n">
        <v>2032</v>
      </c>
      <c r="B9" s="184" t="n">
        <v>70</v>
      </c>
      <c r="C9" s="183" t="n">
        <v>71</v>
      </c>
      <c r="D9" s="185" t="inlineStr">
        <is>
          <t>MFJ</t>
        </is>
      </c>
      <c r="E9" s="185" t="inlineStr">
        <is>
          <t>ALIVE</t>
        </is>
      </c>
      <c r="F9" s="185" t="inlineStr">
        <is>
          <t>ALIVE</t>
        </is>
      </c>
      <c r="G9" s="186" t="n">
        <v>270531.9245150437</v>
      </c>
      <c r="H9" s="186" t="n">
        <v>0</v>
      </c>
      <c r="I9" s="187" t="n">
        <v>0</v>
      </c>
      <c r="J9" s="188" t="inlineStr">
        <is>
          <t>N/A</t>
        </is>
      </c>
      <c r="K9" s="186" t="n">
        <v>198129.785700357</v>
      </c>
      <c r="L9" s="187" t="n">
        <v>108908.4900564799</v>
      </c>
      <c r="M9" s="186" t="n">
        <v>307038.2757568369</v>
      </c>
      <c r="N9" s="189" t="n">
        <v>0</v>
      </c>
      <c r="O9" s="187" t="n">
        <v>0</v>
      </c>
      <c r="P9" s="190" t="n">
        <v>0</v>
      </c>
      <c r="Q9" s="185" t="inlineStr">
        <is>
          <t>N/A</t>
        </is>
      </c>
      <c r="R9" s="187" t="n">
        <v>0</v>
      </c>
      <c r="S9" s="186" t="n">
        <v>0</v>
      </c>
      <c r="T9" s="187" t="n">
        <v>0</v>
      </c>
      <c r="U9" s="191" t="n"/>
      <c r="V9" s="186" t="n">
        <v>0</v>
      </c>
      <c r="W9" s="186" t="n">
        <v>198129.785700357</v>
      </c>
      <c r="X9" s="186" t="n">
        <v>307038.2757568369</v>
      </c>
      <c r="Y9" s="192" t="inlineStr">
        <is>
          <t>✓</t>
        </is>
      </c>
      <c r="Z9" s="193" t="inlineStr"/>
      <c r="AA9" s="193" t="inlineStr"/>
    </row>
    <row r="10" ht="15" customHeight="1">
      <c r="A10" s="183" t="n">
        <v>2033</v>
      </c>
      <c r="B10" s="184" t="n">
        <v>71</v>
      </c>
      <c r="C10" s="183" t="n">
        <v>72</v>
      </c>
      <c r="D10" s="185" t="inlineStr">
        <is>
          <t>MFJ</t>
        </is>
      </c>
      <c r="E10" s="185" t="inlineStr">
        <is>
          <t>ALIVE</t>
        </is>
      </c>
      <c r="F10" s="185" t="inlineStr">
        <is>
          <t>ALIVE</t>
        </is>
      </c>
      <c r="G10" s="186" t="n">
        <v>81362.27163218954</v>
      </c>
      <c r="H10" s="186" t="n">
        <v>0</v>
      </c>
      <c r="I10" s="187" t="n">
        <v>0</v>
      </c>
      <c r="J10" s="188" t="inlineStr">
        <is>
          <t>N/A</t>
        </is>
      </c>
      <c r="K10" s="186" t="n">
        <v>77551.61812451128</v>
      </c>
      <c r="L10" s="187" t="n">
        <v>116223.4463601649</v>
      </c>
      <c r="M10" s="186" t="n">
        <v>193775.0644846762</v>
      </c>
      <c r="N10" s="189" t="n">
        <v>0</v>
      </c>
      <c r="O10" s="187" t="n">
        <v>0</v>
      </c>
      <c r="P10" s="190" t="n">
        <v>0</v>
      </c>
      <c r="Q10" s="185" t="inlineStr">
        <is>
          <t>N/A</t>
        </is>
      </c>
      <c r="R10" s="187" t="n">
        <v>0</v>
      </c>
      <c r="S10" s="186" t="n">
        <v>0</v>
      </c>
      <c r="T10" s="187" t="n">
        <v>0</v>
      </c>
      <c r="U10" s="191" t="n"/>
      <c r="V10" s="186" t="n">
        <v>0</v>
      </c>
      <c r="W10" s="186" t="n">
        <v>77551.61812451128</v>
      </c>
      <c r="X10" s="186" t="n">
        <v>193775.0644846762</v>
      </c>
      <c r="Y10" s="192" t="inlineStr">
        <is>
          <t>✓</t>
        </is>
      </c>
      <c r="Z10" s="193" t="inlineStr"/>
      <c r="AA10" s="193" t="inlineStr"/>
    </row>
    <row r="11" ht="15" customHeight="1">
      <c r="A11" s="183" t="n">
        <v>2034</v>
      </c>
      <c r="B11" s="184" t="n">
        <v>72</v>
      </c>
      <c r="C11" s="183" t="n">
        <v>73</v>
      </c>
      <c r="D11" s="185" t="inlineStr">
        <is>
          <t>MFJ</t>
        </is>
      </c>
      <c r="E11" s="185" t="inlineStr">
        <is>
          <t>ALIVE</t>
        </is>
      </c>
      <c r="F11" s="185" t="inlineStr">
        <is>
          <t>ALIVE</t>
        </is>
      </c>
      <c r="G11" s="186" t="n">
        <v>0</v>
      </c>
      <c r="H11" s="186" t="n">
        <v>0</v>
      </c>
      <c r="I11" s="187" t="n">
        <v>0</v>
      </c>
      <c r="J11" s="188" t="inlineStr">
        <is>
          <t>N/A</t>
        </is>
      </c>
      <c r="K11" s="186" t="n">
        <v>0</v>
      </c>
      <c r="L11" s="187" t="n">
        <v>81362.27163218954</v>
      </c>
      <c r="M11" s="186" t="n">
        <v>81362.27163218954</v>
      </c>
      <c r="N11" s="189" t="n"/>
      <c r="O11" s="187" t="n">
        <v>0</v>
      </c>
      <c r="P11" s="190" t="n">
        <v>0</v>
      </c>
      <c r="Q11" s="185" t="inlineStr">
        <is>
          <t>N/A</t>
        </is>
      </c>
      <c r="R11" s="187" t="n">
        <v>0</v>
      </c>
      <c r="S11" s="186" t="n">
        <v>0</v>
      </c>
      <c r="T11" s="187" t="n">
        <v>0</v>
      </c>
      <c r="U11" s="191" t="n"/>
      <c r="V11" s="186" t="n">
        <v>0</v>
      </c>
      <c r="W11" s="186" t="n">
        <v>0</v>
      </c>
      <c r="X11" s="186" t="n">
        <v>81362.27163218954</v>
      </c>
      <c r="Y11" s="192" t="inlineStr">
        <is>
          <t>✓</t>
        </is>
      </c>
      <c r="Z11" s="193" t="inlineStr"/>
      <c r="AA11" s="193" t="inlineStr"/>
    </row>
    <row r="12" ht="15" customHeight="1">
      <c r="A12" s="183" t="n">
        <v>2035</v>
      </c>
      <c r="B12" s="184" t="n">
        <v>73</v>
      </c>
      <c r="C12" s="183" t="n">
        <v>74</v>
      </c>
      <c r="D12" s="185" t="inlineStr">
        <is>
          <t>MFJ</t>
        </is>
      </c>
      <c r="E12" s="185" t="inlineStr">
        <is>
          <t>ALIVE</t>
        </is>
      </c>
      <c r="F12" s="185" t="inlineStr">
        <is>
          <t>ALIVE</t>
        </is>
      </c>
      <c r="G12" s="186" t="n">
        <v>0</v>
      </c>
      <c r="H12" s="186" t="n">
        <v>0</v>
      </c>
      <c r="I12" s="187" t="n">
        <v>0</v>
      </c>
      <c r="J12" s="188" t="inlineStr">
        <is>
          <t>N/A</t>
        </is>
      </c>
      <c r="K12" s="186" t="n">
        <v>0</v>
      </c>
      <c r="L12" s="187" t="n">
        <v>0</v>
      </c>
      <c r="M12" s="186" t="n">
        <v>0</v>
      </c>
      <c r="N12" s="189" t="n"/>
      <c r="O12" s="187" t="n">
        <v>0</v>
      </c>
      <c r="P12" s="190" t="n">
        <v>0</v>
      </c>
      <c r="Q12" s="185" t="inlineStr">
        <is>
          <t>N/A</t>
        </is>
      </c>
      <c r="R12" s="187" t="n">
        <v>0</v>
      </c>
      <c r="S12" s="186" t="n">
        <v>0</v>
      </c>
      <c r="T12" s="187" t="n">
        <v>0</v>
      </c>
      <c r="U12" s="191" t="n"/>
      <c r="V12" s="186" t="n">
        <v>0</v>
      </c>
      <c r="W12" s="186" t="n">
        <v>0</v>
      </c>
      <c r="X12" s="186" t="n">
        <v>0</v>
      </c>
      <c r="Y12" s="192" t="inlineStr">
        <is>
          <t>✓</t>
        </is>
      </c>
      <c r="Z12" s="193" t="inlineStr"/>
      <c r="AA12" s="193" t="inlineStr"/>
    </row>
    <row r="13" ht="15" customHeight="1">
      <c r="A13" s="183" t="n">
        <v>2036</v>
      </c>
      <c r="B13" s="184" t="n">
        <v>74</v>
      </c>
      <c r="C13" s="183" t="n">
        <v>75</v>
      </c>
      <c r="D13" s="185" t="inlineStr">
        <is>
          <t>MFJ</t>
        </is>
      </c>
      <c r="E13" s="185" t="inlineStr">
        <is>
          <t>ALIVE</t>
        </is>
      </c>
      <c r="F13" s="185" t="inlineStr">
        <is>
          <t>ALIVE</t>
        </is>
      </c>
      <c r="G13" s="186" t="n">
        <v>0</v>
      </c>
      <c r="H13" s="186" t="n">
        <v>0</v>
      </c>
      <c r="I13" s="187" t="n">
        <v>0</v>
      </c>
      <c r="J13" s="188" t="inlineStr">
        <is>
          <t>N/A</t>
        </is>
      </c>
      <c r="K13" s="186" t="n">
        <v>0</v>
      </c>
      <c r="L13" s="187" t="n">
        <v>0</v>
      </c>
      <c r="M13" s="186" t="n">
        <v>0</v>
      </c>
      <c r="N13" s="189" t="n"/>
      <c r="O13" s="187" t="n">
        <v>0</v>
      </c>
      <c r="P13" s="190" t="n">
        <v>0</v>
      </c>
      <c r="Q13" s="185" t="inlineStr">
        <is>
          <t>✓</t>
        </is>
      </c>
      <c r="R13" s="187" t="n">
        <v>0</v>
      </c>
      <c r="S13" s="186" t="n">
        <v>0</v>
      </c>
      <c r="T13" s="187" t="n">
        <v>0</v>
      </c>
      <c r="U13" s="191" t="n"/>
      <c r="V13" s="186" t="n">
        <v>0</v>
      </c>
      <c r="W13" s="186" t="n">
        <v>0</v>
      </c>
      <c r="X13" s="186" t="n">
        <v>0</v>
      </c>
      <c r="Y13" s="192" t="inlineStr">
        <is>
          <t>✓</t>
        </is>
      </c>
      <c r="Z13" s="193" t="inlineStr"/>
      <c r="AA13" s="193" t="inlineStr"/>
    </row>
    <row r="14" ht="15" customHeight="1">
      <c r="A14" s="183" t="n">
        <v>2037</v>
      </c>
      <c r="B14" s="184" t="n">
        <v>75</v>
      </c>
      <c r="C14" s="183" t="n">
        <v>76</v>
      </c>
      <c r="D14" s="185" t="inlineStr">
        <is>
          <t>MFJ</t>
        </is>
      </c>
      <c r="E14" s="185" t="inlineStr">
        <is>
          <t>ALIVE</t>
        </is>
      </c>
      <c r="F14" s="185" t="inlineStr">
        <is>
          <t>ALIVE</t>
        </is>
      </c>
      <c r="G14" s="186" t="n">
        <v>0</v>
      </c>
      <c r="H14" s="186" t="n">
        <v>0</v>
      </c>
      <c r="I14" s="187" t="n">
        <v>0</v>
      </c>
      <c r="J14" s="192" t="inlineStr">
        <is>
          <t>✓</t>
        </is>
      </c>
      <c r="K14" s="186" t="n">
        <v>0</v>
      </c>
      <c r="L14" s="187" t="n">
        <v>0</v>
      </c>
      <c r="M14" s="186" t="n">
        <v>0</v>
      </c>
      <c r="N14" s="189" t="n"/>
      <c r="O14" s="187" t="n">
        <v>0</v>
      </c>
      <c r="P14" s="190" t="n">
        <v>0</v>
      </c>
      <c r="Q14" s="185" t="inlineStr">
        <is>
          <t>✓</t>
        </is>
      </c>
      <c r="R14" s="187" t="n">
        <v>0</v>
      </c>
      <c r="S14" s="186" t="n">
        <v>0</v>
      </c>
      <c r="T14" s="187" t="n">
        <v>0</v>
      </c>
      <c r="U14" s="191" t="n"/>
      <c r="V14" s="186" t="n">
        <v>0</v>
      </c>
      <c r="W14" s="186" t="n">
        <v>0</v>
      </c>
      <c r="X14" s="186" t="n">
        <v>0</v>
      </c>
      <c r="Y14" s="192" t="inlineStr">
        <is>
          <t>✓</t>
        </is>
      </c>
      <c r="Z14" s="193" t="inlineStr"/>
      <c r="AA14" s="193" t="inlineStr"/>
    </row>
    <row r="15" ht="15" customHeight="1">
      <c r="A15" s="183" t="n">
        <v>2038</v>
      </c>
      <c r="B15" s="184" t="n">
        <v>76</v>
      </c>
      <c r="C15" s="183" t="n">
        <v>77</v>
      </c>
      <c r="D15" s="185" t="inlineStr">
        <is>
          <t>MFJ</t>
        </is>
      </c>
      <c r="E15" s="185" t="inlineStr">
        <is>
          <t>ALIVE</t>
        </is>
      </c>
      <c r="F15" s="185" t="inlineStr">
        <is>
          <t>ALIVE</t>
        </is>
      </c>
      <c r="G15" s="186" t="n">
        <v>0</v>
      </c>
      <c r="H15" s="186" t="n">
        <v>0</v>
      </c>
      <c r="I15" s="187" t="n">
        <v>0</v>
      </c>
      <c r="J15" s="192" t="inlineStr">
        <is>
          <t>✓</t>
        </is>
      </c>
      <c r="K15" s="186" t="n">
        <v>0</v>
      </c>
      <c r="L15" s="187" t="n">
        <v>0</v>
      </c>
      <c r="M15" s="186" t="n">
        <v>0</v>
      </c>
      <c r="N15" s="189" t="n"/>
      <c r="O15" s="187" t="n">
        <v>0</v>
      </c>
      <c r="P15" s="190" t="n">
        <v>0</v>
      </c>
      <c r="Q15" s="185" t="inlineStr">
        <is>
          <t>✓</t>
        </is>
      </c>
      <c r="R15" s="187" t="n">
        <v>0</v>
      </c>
      <c r="S15" s="186" t="n">
        <v>0</v>
      </c>
      <c r="T15" s="187" t="n">
        <v>0</v>
      </c>
      <c r="U15" s="191" t="n"/>
      <c r="V15" s="186" t="n">
        <v>0</v>
      </c>
      <c r="W15" s="186" t="n">
        <v>0</v>
      </c>
      <c r="X15" s="186" t="n">
        <v>0</v>
      </c>
      <c r="Y15" s="192" t="inlineStr">
        <is>
          <t>✓</t>
        </is>
      </c>
      <c r="Z15" s="193" t="inlineStr"/>
      <c r="AA15" s="193" t="inlineStr"/>
    </row>
    <row r="16" ht="15" customHeight="1">
      <c r="A16" s="183" t="n">
        <v>2039</v>
      </c>
      <c r="B16" s="184" t="n">
        <v>77</v>
      </c>
      <c r="C16" s="183" t="n">
        <v>78</v>
      </c>
      <c r="D16" s="185" t="inlineStr">
        <is>
          <t>MFJ</t>
        </is>
      </c>
      <c r="E16" s="185" t="inlineStr">
        <is>
          <t>ALIVE</t>
        </is>
      </c>
      <c r="F16" s="185" t="inlineStr">
        <is>
          <t>ALIVE</t>
        </is>
      </c>
      <c r="G16" s="186" t="n">
        <v>0</v>
      </c>
      <c r="H16" s="186" t="n">
        <v>0</v>
      </c>
      <c r="I16" s="187" t="n">
        <v>0</v>
      </c>
      <c r="J16" s="192" t="inlineStr">
        <is>
          <t>✓</t>
        </is>
      </c>
      <c r="K16" s="186" t="n">
        <v>0</v>
      </c>
      <c r="L16" s="187" t="n">
        <v>0</v>
      </c>
      <c r="M16" s="186" t="n">
        <v>0</v>
      </c>
      <c r="N16" s="189" t="n"/>
      <c r="O16" s="187" t="n">
        <v>0</v>
      </c>
      <c r="P16" s="190" t="n">
        <v>0</v>
      </c>
      <c r="Q16" s="185" t="inlineStr">
        <is>
          <t>✓</t>
        </is>
      </c>
      <c r="R16" s="187" t="n">
        <v>0</v>
      </c>
      <c r="S16" s="186" t="n">
        <v>0</v>
      </c>
      <c r="T16" s="187" t="n">
        <v>0</v>
      </c>
      <c r="U16" s="191" t="n"/>
      <c r="V16" s="186" t="n">
        <v>0</v>
      </c>
      <c r="W16" s="186" t="n">
        <v>0</v>
      </c>
      <c r="X16" s="186" t="n">
        <v>0</v>
      </c>
      <c r="Y16" s="192" t="inlineStr">
        <is>
          <t>✓</t>
        </is>
      </c>
      <c r="Z16" s="193" t="inlineStr"/>
      <c r="AA16" s="193" t="inlineStr"/>
    </row>
    <row r="17" ht="15" customHeight="1">
      <c r="A17" s="183" t="n">
        <v>2040</v>
      </c>
      <c r="B17" s="184" t="n">
        <v>78</v>
      </c>
      <c r="C17" s="183" t="n">
        <v>79</v>
      </c>
      <c r="D17" s="185" t="inlineStr">
        <is>
          <t>MFJ</t>
        </is>
      </c>
      <c r="E17" s="185" t="inlineStr">
        <is>
          <t>ALIVE</t>
        </is>
      </c>
      <c r="F17" s="185" t="inlineStr">
        <is>
          <t>ALIVE</t>
        </is>
      </c>
      <c r="G17" s="186" t="n">
        <v>0</v>
      </c>
      <c r="H17" s="186" t="n">
        <v>0</v>
      </c>
      <c r="I17" s="187" t="n">
        <v>0</v>
      </c>
      <c r="J17" s="192" t="inlineStr">
        <is>
          <t>✓</t>
        </is>
      </c>
      <c r="K17" s="186" t="n">
        <v>0</v>
      </c>
      <c r="L17" s="187" t="n">
        <v>0</v>
      </c>
      <c r="M17" s="186" t="n">
        <v>0</v>
      </c>
      <c r="N17" s="189" t="n"/>
      <c r="O17" s="187" t="n">
        <v>0</v>
      </c>
      <c r="P17" s="190" t="n">
        <v>0</v>
      </c>
      <c r="Q17" s="185" t="inlineStr">
        <is>
          <t>✓</t>
        </is>
      </c>
      <c r="R17" s="187" t="n">
        <v>0</v>
      </c>
      <c r="S17" s="186" t="n">
        <v>0</v>
      </c>
      <c r="T17" s="187" t="n">
        <v>0</v>
      </c>
      <c r="U17" s="191" t="n"/>
      <c r="V17" s="186" t="n">
        <v>0</v>
      </c>
      <c r="W17" s="186" t="n">
        <v>0</v>
      </c>
      <c r="X17" s="186" t="n">
        <v>0</v>
      </c>
      <c r="Y17" s="192" t="inlineStr">
        <is>
          <t>✓</t>
        </is>
      </c>
      <c r="Z17" s="193" t="inlineStr"/>
      <c r="AA17" s="193" t="inlineStr"/>
    </row>
    <row r="18" ht="15" customHeight="1">
      <c r="A18" s="183" t="n">
        <v>2041</v>
      </c>
      <c r="B18" s="184" t="n">
        <v>79</v>
      </c>
      <c r="C18" s="183" t="n">
        <v>80</v>
      </c>
      <c r="D18" s="185" t="inlineStr">
        <is>
          <t>MFJ</t>
        </is>
      </c>
      <c r="E18" s="185" t="inlineStr">
        <is>
          <t>ALIVE</t>
        </is>
      </c>
      <c r="F18" s="185" t="inlineStr">
        <is>
          <t>ALIVE</t>
        </is>
      </c>
      <c r="G18" s="186" t="n">
        <v>0</v>
      </c>
      <c r="H18" s="186" t="n">
        <v>0</v>
      </c>
      <c r="I18" s="187" t="n">
        <v>0</v>
      </c>
      <c r="J18" s="192" t="inlineStr">
        <is>
          <t>✓</t>
        </is>
      </c>
      <c r="K18" s="186" t="n">
        <v>0</v>
      </c>
      <c r="L18" s="187" t="n">
        <v>0</v>
      </c>
      <c r="M18" s="186" t="n">
        <v>0</v>
      </c>
      <c r="N18" s="189" t="n"/>
      <c r="O18" s="187" t="n">
        <v>0</v>
      </c>
      <c r="P18" s="190" t="n">
        <v>0</v>
      </c>
      <c r="Q18" s="185" t="inlineStr">
        <is>
          <t>✓</t>
        </is>
      </c>
      <c r="R18" s="187" t="n">
        <v>0</v>
      </c>
      <c r="S18" s="186" t="n">
        <v>0</v>
      </c>
      <c r="T18" s="187" t="n">
        <v>0</v>
      </c>
      <c r="U18" s="191" t="n"/>
      <c r="V18" s="186" t="n">
        <v>0</v>
      </c>
      <c r="W18" s="186" t="n">
        <v>0</v>
      </c>
      <c r="X18" s="186" t="n">
        <v>0</v>
      </c>
      <c r="Y18" s="192" t="inlineStr">
        <is>
          <t>✓</t>
        </is>
      </c>
      <c r="Z18" s="193" t="inlineStr"/>
      <c r="AA18" s="193" t="inlineStr"/>
    </row>
    <row r="19" ht="15" customHeight="1">
      <c r="A19" s="183" t="n">
        <v>2042</v>
      </c>
      <c r="B19" s="184" t="n">
        <v>80</v>
      </c>
      <c r="C19" s="183" t="n">
        <v>81</v>
      </c>
      <c r="D19" s="185" t="inlineStr">
        <is>
          <t>MFJ</t>
        </is>
      </c>
      <c r="E19" s="185" t="inlineStr">
        <is>
          <t>ALIVE</t>
        </is>
      </c>
      <c r="F19" s="185" t="inlineStr">
        <is>
          <t>ALIVE</t>
        </is>
      </c>
      <c r="G19" s="186" t="n">
        <v>0</v>
      </c>
      <c r="H19" s="186" t="n">
        <v>0</v>
      </c>
      <c r="I19" s="187" t="n">
        <v>0</v>
      </c>
      <c r="J19" s="192" t="inlineStr">
        <is>
          <t>✓</t>
        </is>
      </c>
      <c r="K19" s="186" t="n">
        <v>0</v>
      </c>
      <c r="L19" s="187" t="n">
        <v>0</v>
      </c>
      <c r="M19" s="186" t="n">
        <v>0</v>
      </c>
      <c r="N19" s="189" t="n"/>
      <c r="O19" s="187" t="n">
        <v>0</v>
      </c>
      <c r="P19" s="190" t="n">
        <v>0</v>
      </c>
      <c r="Q19" s="185" t="inlineStr">
        <is>
          <t>✓</t>
        </is>
      </c>
      <c r="R19" s="187" t="n">
        <v>0</v>
      </c>
      <c r="S19" s="186" t="n">
        <v>0</v>
      </c>
      <c r="T19" s="187" t="n">
        <v>0</v>
      </c>
      <c r="U19" s="191" t="n"/>
      <c r="V19" s="186" t="n">
        <v>0</v>
      </c>
      <c r="W19" s="186" t="n">
        <v>0</v>
      </c>
      <c r="X19" s="186" t="n">
        <v>0</v>
      </c>
      <c r="Y19" s="192" t="inlineStr">
        <is>
          <t>✓</t>
        </is>
      </c>
      <c r="Z19" s="193" t="inlineStr"/>
      <c r="AA19" s="193" t="inlineStr"/>
    </row>
    <row r="20" ht="15" customHeight="1">
      <c r="A20" s="183" t="n">
        <v>2043</v>
      </c>
      <c r="B20" s="184" t="n">
        <v>81</v>
      </c>
      <c r="C20" s="183" t="n">
        <v>82</v>
      </c>
      <c r="D20" s="185" t="inlineStr">
        <is>
          <t>MFJ</t>
        </is>
      </c>
      <c r="E20" s="185" t="inlineStr">
        <is>
          <t>ALIVE</t>
        </is>
      </c>
      <c r="F20" s="185" t="inlineStr">
        <is>
          <t>ALIVE</t>
        </is>
      </c>
      <c r="G20" s="186" t="n">
        <v>0</v>
      </c>
      <c r="H20" s="186" t="n">
        <v>0</v>
      </c>
      <c r="I20" s="187" t="n">
        <v>0</v>
      </c>
      <c r="J20" s="192" t="inlineStr">
        <is>
          <t>✓</t>
        </is>
      </c>
      <c r="K20" s="186" t="n">
        <v>0</v>
      </c>
      <c r="L20" s="187" t="n">
        <v>0</v>
      </c>
      <c r="M20" s="186" t="n">
        <v>0</v>
      </c>
      <c r="N20" s="189" t="n"/>
      <c r="O20" s="187" t="n">
        <v>0</v>
      </c>
      <c r="P20" s="190" t="n">
        <v>0</v>
      </c>
      <c r="Q20" s="185" t="inlineStr">
        <is>
          <t>✓</t>
        </is>
      </c>
      <c r="R20" s="187" t="n">
        <v>0</v>
      </c>
      <c r="S20" s="186" t="n">
        <v>0</v>
      </c>
      <c r="T20" s="187" t="n">
        <v>0</v>
      </c>
      <c r="U20" s="191" t="n"/>
      <c r="V20" s="186" t="n">
        <v>0</v>
      </c>
      <c r="W20" s="186" t="n">
        <v>0</v>
      </c>
      <c r="X20" s="186" t="n">
        <v>0</v>
      </c>
      <c r="Y20" s="192" t="inlineStr">
        <is>
          <t>✓</t>
        </is>
      </c>
      <c r="Z20" s="193" t="inlineStr"/>
      <c r="AA20" s="193" t="inlineStr"/>
    </row>
    <row r="21" ht="15" customHeight="1">
      <c r="A21" s="183" t="n">
        <v>2044</v>
      </c>
      <c r="B21" s="184" t="n">
        <v>82</v>
      </c>
      <c r="C21" s="183" t="n">
        <v>83</v>
      </c>
      <c r="D21" s="185" t="inlineStr">
        <is>
          <t>MFJ</t>
        </is>
      </c>
      <c r="E21" s="185" t="inlineStr">
        <is>
          <t>ALIVE</t>
        </is>
      </c>
      <c r="F21" s="185" t="inlineStr">
        <is>
          <t>ALIVE</t>
        </is>
      </c>
      <c r="G21" s="186" t="n">
        <v>0</v>
      </c>
      <c r="H21" s="186" t="n">
        <v>0</v>
      </c>
      <c r="I21" s="187" t="n">
        <v>0</v>
      </c>
      <c r="J21" s="192" t="inlineStr">
        <is>
          <t>✓</t>
        </is>
      </c>
      <c r="K21" s="186" t="n">
        <v>0</v>
      </c>
      <c r="L21" s="187" t="n">
        <v>0</v>
      </c>
      <c r="M21" s="186" t="n">
        <v>0</v>
      </c>
      <c r="N21" s="189" t="n"/>
      <c r="O21" s="187" t="n">
        <v>0</v>
      </c>
      <c r="P21" s="190" t="n">
        <v>0</v>
      </c>
      <c r="Q21" s="185" t="inlineStr">
        <is>
          <t>✓</t>
        </is>
      </c>
      <c r="R21" s="187" t="n">
        <v>0</v>
      </c>
      <c r="S21" s="186" t="n">
        <v>0</v>
      </c>
      <c r="T21" s="187" t="n">
        <v>0</v>
      </c>
      <c r="U21" s="191" t="n"/>
      <c r="V21" s="186" t="n">
        <v>0</v>
      </c>
      <c r="W21" s="186" t="n">
        <v>0</v>
      </c>
      <c r="X21" s="186" t="n">
        <v>0</v>
      </c>
      <c r="Y21" s="192" t="inlineStr">
        <is>
          <t>✓</t>
        </is>
      </c>
      <c r="Z21" s="193" t="inlineStr"/>
      <c r="AA21" s="193" t="inlineStr"/>
    </row>
    <row r="22" ht="15" customHeight="1">
      <c r="A22" s="183" t="n">
        <v>2045</v>
      </c>
      <c r="B22" s="184" t="n">
        <v>83</v>
      </c>
      <c r="C22" s="183" t="n">
        <v>84</v>
      </c>
      <c r="D22" s="185" t="inlineStr">
        <is>
          <t>MFJ</t>
        </is>
      </c>
      <c r="E22" s="185" t="inlineStr">
        <is>
          <t>ALIVE</t>
        </is>
      </c>
      <c r="F22" s="185" t="inlineStr">
        <is>
          <t>ALIVE</t>
        </is>
      </c>
      <c r="G22" s="186" t="n">
        <v>0</v>
      </c>
      <c r="H22" s="186" t="n">
        <v>0</v>
      </c>
      <c r="I22" s="187" t="n">
        <v>0</v>
      </c>
      <c r="J22" s="192" t="inlineStr">
        <is>
          <t>✓</t>
        </is>
      </c>
      <c r="K22" s="186" t="n">
        <v>0</v>
      </c>
      <c r="L22" s="187" t="n">
        <v>0</v>
      </c>
      <c r="M22" s="186" t="n">
        <v>0</v>
      </c>
      <c r="N22" s="189" t="n"/>
      <c r="O22" s="187" t="n">
        <v>0</v>
      </c>
      <c r="P22" s="190" t="n">
        <v>0</v>
      </c>
      <c r="Q22" s="185" t="inlineStr">
        <is>
          <t>✓</t>
        </is>
      </c>
      <c r="R22" s="187" t="n">
        <v>0</v>
      </c>
      <c r="S22" s="186" t="n">
        <v>0</v>
      </c>
      <c r="T22" s="187" t="n">
        <v>0</v>
      </c>
      <c r="U22" s="191" t="n"/>
      <c r="V22" s="186" t="n">
        <v>0</v>
      </c>
      <c r="W22" s="186" t="n">
        <v>0</v>
      </c>
      <c r="X22" s="186" t="n">
        <v>0</v>
      </c>
      <c r="Y22" s="192" t="inlineStr">
        <is>
          <t>✓</t>
        </is>
      </c>
      <c r="Z22" s="193" t="inlineStr"/>
      <c r="AA22" s="193" t="inlineStr"/>
    </row>
    <row r="23" ht="15" customHeight="1">
      <c r="A23" s="183" t="n">
        <v>2046</v>
      </c>
      <c r="B23" s="184" t="n">
        <v>84</v>
      </c>
      <c r="C23" s="183" t="n">
        <v>85</v>
      </c>
      <c r="D23" s="185" t="inlineStr">
        <is>
          <t>MFJ</t>
        </is>
      </c>
      <c r="E23" s="185" t="inlineStr">
        <is>
          <t>ALIVE</t>
        </is>
      </c>
      <c r="F23" s="185" t="inlineStr">
        <is>
          <t>ALIVE</t>
        </is>
      </c>
      <c r="G23" s="186" t="n">
        <v>0</v>
      </c>
      <c r="H23" s="186" t="n">
        <v>0</v>
      </c>
      <c r="I23" s="187" t="n">
        <v>0</v>
      </c>
      <c r="J23" s="192" t="inlineStr">
        <is>
          <t>✓</t>
        </is>
      </c>
      <c r="K23" s="186" t="n">
        <v>0</v>
      </c>
      <c r="L23" s="187" t="n">
        <v>0</v>
      </c>
      <c r="M23" s="186" t="n">
        <v>0</v>
      </c>
      <c r="N23" s="189" t="n"/>
      <c r="O23" s="187" t="n">
        <v>0</v>
      </c>
      <c r="P23" s="190" t="n">
        <v>0</v>
      </c>
      <c r="Q23" s="185" t="inlineStr">
        <is>
          <t>✓</t>
        </is>
      </c>
      <c r="R23" s="187" t="n">
        <v>0</v>
      </c>
      <c r="S23" s="186" t="n">
        <v>0</v>
      </c>
      <c r="T23" s="187" t="n">
        <v>0</v>
      </c>
      <c r="U23" s="191" t="n"/>
      <c r="V23" s="186" t="n">
        <v>0</v>
      </c>
      <c r="W23" s="186" t="n">
        <v>0</v>
      </c>
      <c r="X23" s="186" t="n">
        <v>0</v>
      </c>
      <c r="Y23" s="192" t="inlineStr">
        <is>
          <t>✓</t>
        </is>
      </c>
      <c r="Z23" s="193" t="inlineStr"/>
      <c r="AA23" s="193" t="inlineStr"/>
    </row>
    <row r="24" ht="15" customHeight="1">
      <c r="A24" s="183" t="n">
        <v>2047</v>
      </c>
      <c r="B24" s="184" t="n">
        <v>85</v>
      </c>
      <c r="C24" s="183" t="n">
        <v>86</v>
      </c>
      <c r="D24" s="185" t="inlineStr">
        <is>
          <t>MFJ</t>
        </is>
      </c>
      <c r="E24" s="185" t="inlineStr">
        <is>
          <t>ALIVE</t>
        </is>
      </c>
      <c r="F24" s="185" t="inlineStr">
        <is>
          <t>ALIVE</t>
        </is>
      </c>
      <c r="G24" s="186" t="n">
        <v>0</v>
      </c>
      <c r="H24" s="186" t="n">
        <v>0</v>
      </c>
      <c r="I24" s="187" t="n">
        <v>0</v>
      </c>
      <c r="J24" s="192" t="inlineStr">
        <is>
          <t>✓</t>
        </is>
      </c>
      <c r="K24" s="186" t="n">
        <v>0</v>
      </c>
      <c r="L24" s="187" t="n">
        <v>0</v>
      </c>
      <c r="M24" s="186" t="n">
        <v>0</v>
      </c>
      <c r="N24" s="189" t="n"/>
      <c r="O24" s="187" t="n">
        <v>0</v>
      </c>
      <c r="P24" s="190" t="n">
        <v>0</v>
      </c>
      <c r="Q24" s="185" t="inlineStr">
        <is>
          <t>✓</t>
        </is>
      </c>
      <c r="R24" s="187" t="n">
        <v>0</v>
      </c>
      <c r="S24" s="186" t="n">
        <v>0</v>
      </c>
      <c r="T24" s="187" t="n">
        <v>0</v>
      </c>
      <c r="U24" s="191" t="n"/>
      <c r="V24" s="186" t="n">
        <v>0</v>
      </c>
      <c r="W24" s="186" t="n">
        <v>0</v>
      </c>
      <c r="X24" s="186" t="n">
        <v>0</v>
      </c>
      <c r="Y24" s="192" t="inlineStr">
        <is>
          <t>✓</t>
        </is>
      </c>
      <c r="Z24" s="193" t="inlineStr"/>
      <c r="AA24" s="193" t="inlineStr"/>
    </row>
    <row r="25" ht="15" customHeight="1">
      <c r="A25" s="183" t="n">
        <v>2048</v>
      </c>
      <c r="B25" s="184" t="n">
        <v>86</v>
      </c>
      <c r="C25" s="183" t="n">
        <v>87</v>
      </c>
      <c r="D25" s="185" t="inlineStr">
        <is>
          <t>MFJ</t>
        </is>
      </c>
      <c r="E25" s="185" t="inlineStr">
        <is>
          <t>ALIVE</t>
        </is>
      </c>
      <c r="F25" s="185" t="inlineStr">
        <is>
          <t>ALIVE</t>
        </is>
      </c>
      <c r="G25" s="186" t="n">
        <v>0</v>
      </c>
      <c r="H25" s="186" t="n">
        <v>0</v>
      </c>
      <c r="I25" s="187" t="n">
        <v>0</v>
      </c>
      <c r="J25" s="192" t="inlineStr">
        <is>
          <t>✓</t>
        </is>
      </c>
      <c r="K25" s="186" t="n">
        <v>0</v>
      </c>
      <c r="L25" s="187" t="n">
        <v>0</v>
      </c>
      <c r="M25" s="186" t="n">
        <v>0</v>
      </c>
      <c r="N25" s="189" t="n"/>
      <c r="O25" s="187" t="n">
        <v>0</v>
      </c>
      <c r="P25" s="190" t="n">
        <v>0</v>
      </c>
      <c r="Q25" s="185" t="inlineStr">
        <is>
          <t>✓</t>
        </is>
      </c>
      <c r="R25" s="187" t="n">
        <v>0</v>
      </c>
      <c r="S25" s="186" t="n">
        <v>0</v>
      </c>
      <c r="T25" s="187" t="n">
        <v>0</v>
      </c>
      <c r="U25" s="191" t="n"/>
      <c r="V25" s="186" t="n">
        <v>0</v>
      </c>
      <c r="W25" s="186" t="n">
        <v>0</v>
      </c>
      <c r="X25" s="186" t="n">
        <v>0</v>
      </c>
      <c r="Y25" s="192" t="inlineStr">
        <is>
          <t>✓</t>
        </is>
      </c>
      <c r="Z25" s="193" t="inlineStr"/>
      <c r="AA25" s="193" t="inlineStr"/>
    </row>
    <row r="26" ht="15" customHeight="1">
      <c r="A26" s="183" t="n">
        <v>2049</v>
      </c>
      <c r="B26" s="184" t="n">
        <v>87</v>
      </c>
      <c r="C26" s="183" t="n">
        <v>88</v>
      </c>
      <c r="D26" s="185" t="inlineStr">
        <is>
          <t>MFJ</t>
        </is>
      </c>
      <c r="E26" s="185" t="inlineStr">
        <is>
          <t>ALIVE</t>
        </is>
      </c>
      <c r="F26" s="185" t="inlineStr">
        <is>
          <t>ALIVE</t>
        </is>
      </c>
      <c r="G26" s="186" t="n">
        <v>0</v>
      </c>
      <c r="H26" s="186" t="n">
        <v>0</v>
      </c>
      <c r="I26" s="187" t="n">
        <v>0</v>
      </c>
      <c r="J26" s="192" t="inlineStr">
        <is>
          <t>✓</t>
        </is>
      </c>
      <c r="K26" s="186" t="n">
        <v>0</v>
      </c>
      <c r="L26" s="187" t="n">
        <v>0</v>
      </c>
      <c r="M26" s="186" t="n">
        <v>0</v>
      </c>
      <c r="N26" s="189" t="n"/>
      <c r="O26" s="187" t="n">
        <v>0</v>
      </c>
      <c r="P26" s="190" t="n">
        <v>0</v>
      </c>
      <c r="Q26" s="185" t="inlineStr">
        <is>
          <t>✓</t>
        </is>
      </c>
      <c r="R26" s="187" t="n">
        <v>0</v>
      </c>
      <c r="S26" s="186" t="n">
        <v>0</v>
      </c>
      <c r="T26" s="187" t="n">
        <v>0</v>
      </c>
      <c r="U26" s="191" t="n"/>
      <c r="V26" s="186" t="n">
        <v>0</v>
      </c>
      <c r="W26" s="186" t="n">
        <v>0</v>
      </c>
      <c r="X26" s="186" t="n">
        <v>0</v>
      </c>
      <c r="Y26" s="192" t="inlineStr">
        <is>
          <t>✓</t>
        </is>
      </c>
      <c r="Z26" s="193" t="inlineStr"/>
      <c r="AA26" s="193" t="inlineStr"/>
    </row>
    <row r="27" ht="15" customHeight="1">
      <c r="A27" s="183" t="n">
        <v>2050</v>
      </c>
      <c r="B27" s="184" t="n">
        <v>88</v>
      </c>
      <c r="C27" s="183" t="n">
        <v>89</v>
      </c>
      <c r="D27" s="185" t="inlineStr">
        <is>
          <t>MFJ</t>
        </is>
      </c>
      <c r="E27" s="185" t="inlineStr">
        <is>
          <t>ALIVE</t>
        </is>
      </c>
      <c r="F27" s="185" t="inlineStr">
        <is>
          <t>ALIVE</t>
        </is>
      </c>
      <c r="G27" s="186" t="n">
        <v>0</v>
      </c>
      <c r="H27" s="186" t="n">
        <v>0</v>
      </c>
      <c r="I27" s="187" t="n">
        <v>0</v>
      </c>
      <c r="J27" s="192" t="inlineStr">
        <is>
          <t>✓</t>
        </is>
      </c>
      <c r="K27" s="186" t="n">
        <v>0</v>
      </c>
      <c r="L27" s="187" t="n">
        <v>0</v>
      </c>
      <c r="M27" s="186" t="n">
        <v>0</v>
      </c>
      <c r="N27" s="189" t="n"/>
      <c r="O27" s="187" t="n">
        <v>0</v>
      </c>
      <c r="P27" s="190" t="n">
        <v>0</v>
      </c>
      <c r="Q27" s="185" t="inlineStr">
        <is>
          <t>✓</t>
        </is>
      </c>
      <c r="R27" s="187" t="n">
        <v>0</v>
      </c>
      <c r="S27" s="186" t="n">
        <v>0</v>
      </c>
      <c r="T27" s="187" t="n">
        <v>0</v>
      </c>
      <c r="U27" s="191" t="n"/>
      <c r="V27" s="186" t="n">
        <v>0</v>
      </c>
      <c r="W27" s="186" t="n">
        <v>0</v>
      </c>
      <c r="X27" s="186" t="n">
        <v>0</v>
      </c>
      <c r="Y27" s="192" t="inlineStr">
        <is>
          <t>✓</t>
        </is>
      </c>
      <c r="Z27" s="193" t="inlineStr"/>
      <c r="AA27" s="193" t="inlineStr"/>
    </row>
    <row r="28" ht="15" customHeight="1">
      <c r="A28" s="183" t="n">
        <v>2051</v>
      </c>
      <c r="B28" s="184" t="n">
        <v>89</v>
      </c>
      <c r="C28" s="183" t="n">
        <v>90</v>
      </c>
      <c r="D28" s="185" t="inlineStr">
        <is>
          <t>MFJ</t>
        </is>
      </c>
      <c r="E28" s="185" t="inlineStr">
        <is>
          <t>ALIVE</t>
        </is>
      </c>
      <c r="F28" s="185" t="inlineStr">
        <is>
          <t>ALIVE</t>
        </is>
      </c>
      <c r="G28" s="186" t="n">
        <v>0</v>
      </c>
      <c r="H28" s="186" t="n">
        <v>0</v>
      </c>
      <c r="I28" s="187" t="n">
        <v>0</v>
      </c>
      <c r="J28" s="192" t="inlineStr">
        <is>
          <t>✓</t>
        </is>
      </c>
      <c r="K28" s="186" t="n">
        <v>0</v>
      </c>
      <c r="L28" s="187" t="n">
        <v>0</v>
      </c>
      <c r="M28" s="186" t="n">
        <v>0</v>
      </c>
      <c r="N28" s="189" t="n"/>
      <c r="O28" s="187" t="n">
        <v>0</v>
      </c>
      <c r="P28" s="190" t="n">
        <v>0</v>
      </c>
      <c r="Q28" s="185" t="inlineStr">
        <is>
          <t>✓</t>
        </is>
      </c>
      <c r="R28" s="187" t="n">
        <v>0</v>
      </c>
      <c r="S28" s="186" t="n">
        <v>0</v>
      </c>
      <c r="T28" s="187" t="n">
        <v>0</v>
      </c>
      <c r="U28" s="191" t="n"/>
      <c r="V28" s="186" t="n">
        <v>0</v>
      </c>
      <c r="W28" s="186" t="n">
        <v>0</v>
      </c>
      <c r="X28" s="186" t="n">
        <v>0</v>
      </c>
      <c r="Y28" s="192" t="inlineStr">
        <is>
          <t>✓</t>
        </is>
      </c>
      <c r="Z28" s="193" t="inlineStr"/>
      <c r="AA28" s="193" t="inlineStr"/>
    </row>
    <row r="29" ht="15" customHeight="1">
      <c r="A29" s="183" t="n">
        <v>2052</v>
      </c>
      <c r="B29" s="184" t="n">
        <v>90</v>
      </c>
      <c r="C29" s="183" t="n">
        <v>91</v>
      </c>
      <c r="D29" s="185" t="inlineStr">
        <is>
          <t>MFJ</t>
        </is>
      </c>
      <c r="E29" s="185" t="inlineStr">
        <is>
          <t>ALIVE</t>
        </is>
      </c>
      <c r="F29" s="185" t="inlineStr">
        <is>
          <t>ALIVE</t>
        </is>
      </c>
      <c r="G29" s="186" t="n">
        <v>0</v>
      </c>
      <c r="H29" s="186" t="n">
        <v>0</v>
      </c>
      <c r="I29" s="187" t="n">
        <v>0</v>
      </c>
      <c r="J29" s="192" t="inlineStr">
        <is>
          <t>✓</t>
        </is>
      </c>
      <c r="K29" s="186" t="n">
        <v>0</v>
      </c>
      <c r="L29" s="187" t="n">
        <v>0</v>
      </c>
      <c r="M29" s="186" t="n">
        <v>0</v>
      </c>
      <c r="N29" s="189" t="n"/>
      <c r="O29" s="187" t="n">
        <v>0</v>
      </c>
      <c r="P29" s="190" t="n">
        <v>0</v>
      </c>
      <c r="Q29" s="185" t="inlineStr">
        <is>
          <t>✓</t>
        </is>
      </c>
      <c r="R29" s="187" t="n">
        <v>0</v>
      </c>
      <c r="S29" s="186" t="n">
        <v>0</v>
      </c>
      <c r="T29" s="187" t="n">
        <v>0</v>
      </c>
      <c r="U29" s="191" t="n"/>
      <c r="V29" s="186" t="n">
        <v>0</v>
      </c>
      <c r="W29" s="186" t="n">
        <v>0</v>
      </c>
      <c r="X29" s="186" t="n">
        <v>0</v>
      </c>
      <c r="Y29" s="192" t="inlineStr">
        <is>
          <t>✓</t>
        </is>
      </c>
      <c r="Z29" s="193" t="inlineStr"/>
      <c r="AA29" s="193" t="inlineStr"/>
    </row>
    <row r="30" ht="15" customHeight="1">
      <c r="A30" s="183" t="n">
        <v>2053</v>
      </c>
      <c r="B30" s="184" t="n">
        <v>91</v>
      </c>
      <c r="C30" s="183" t="n">
        <v>92</v>
      </c>
      <c r="D30" s="185" t="inlineStr">
        <is>
          <t>MFJ</t>
        </is>
      </c>
      <c r="E30" s="185" t="inlineStr">
        <is>
          <t>ALIVE</t>
        </is>
      </c>
      <c r="F30" s="185" t="inlineStr">
        <is>
          <t>ALIVE</t>
        </is>
      </c>
      <c r="G30" s="186" t="n">
        <v>0</v>
      </c>
      <c r="H30" s="186" t="n">
        <v>0</v>
      </c>
      <c r="I30" s="187" t="n">
        <v>0</v>
      </c>
      <c r="J30" s="192" t="inlineStr">
        <is>
          <t>✓</t>
        </is>
      </c>
      <c r="K30" s="186" t="n">
        <v>0</v>
      </c>
      <c r="L30" s="187" t="n">
        <v>0</v>
      </c>
      <c r="M30" s="186" t="n">
        <v>0</v>
      </c>
      <c r="N30" s="189" t="n"/>
      <c r="O30" s="187" t="n">
        <v>0</v>
      </c>
      <c r="P30" s="190" t="n">
        <v>0</v>
      </c>
      <c r="Q30" s="185" t="inlineStr">
        <is>
          <t>✓</t>
        </is>
      </c>
      <c r="R30" s="187" t="n">
        <v>0</v>
      </c>
      <c r="S30" s="186" t="n">
        <v>0</v>
      </c>
      <c r="T30" s="187" t="n">
        <v>0</v>
      </c>
      <c r="U30" s="191" t="n"/>
      <c r="V30" s="186" t="n">
        <v>0</v>
      </c>
      <c r="W30" s="186" t="n">
        <v>0</v>
      </c>
      <c r="X30" s="186" t="n">
        <v>0</v>
      </c>
      <c r="Y30" s="192" t="inlineStr">
        <is>
          <t>✓</t>
        </is>
      </c>
      <c r="Z30" s="193" t="inlineStr"/>
      <c r="AA30" s="193" t="inlineStr"/>
    </row>
    <row r="31" ht="45" customHeight="1">
      <c r="A31" s="194" t="n">
        <v>2054</v>
      </c>
      <c r="B31" s="194" t="n">
        <v>92</v>
      </c>
      <c r="C31" s="194" t="n">
        <v>93</v>
      </c>
      <c r="D31" s="195" t="inlineStr">
        <is>
          <t>MFJ</t>
        </is>
      </c>
      <c r="E31" s="195" t="inlineStr">
        <is>
          <t>ALIVE</t>
        </is>
      </c>
      <c r="F31" s="195" t="inlineStr">
        <is>
          <t>ALIVE</t>
        </is>
      </c>
      <c r="G31" s="196" t="n">
        <v>0</v>
      </c>
      <c r="H31" s="196" t="n">
        <v>0</v>
      </c>
      <c r="I31" s="197" t="n">
        <v>0</v>
      </c>
      <c r="J31" s="192" t="inlineStr">
        <is>
          <t>✓</t>
        </is>
      </c>
      <c r="K31" s="196" t="n">
        <v>0</v>
      </c>
      <c r="L31" s="197" t="n">
        <v>0</v>
      </c>
      <c r="M31" s="196" t="n">
        <v>0</v>
      </c>
      <c r="N31" s="198" t="n"/>
      <c r="O31" s="197" t="n">
        <v>0</v>
      </c>
      <c r="P31" s="199" t="n">
        <v>0</v>
      </c>
      <c r="Q31" s="195" t="inlineStr">
        <is>
          <t>✓</t>
        </is>
      </c>
      <c r="R31" s="197" t="n">
        <v>0</v>
      </c>
      <c r="S31" s="196" t="n">
        <v>0</v>
      </c>
      <c r="T31" s="197" t="n">
        <v>0</v>
      </c>
      <c r="U31" s="200" t="n"/>
      <c r="V31" s="196" t="n">
        <v>0</v>
      </c>
      <c r="W31" s="196" t="n">
        <v>0</v>
      </c>
      <c r="X31" s="196" t="n">
        <v>0</v>
      </c>
      <c r="Y31" s="192" t="inlineStr">
        <is>
          <t>✓</t>
        </is>
      </c>
      <c r="Z31" s="195" t="inlineStr">
        <is>
          <t>Matthew → Patricia (spousal rollover)</t>
        </is>
      </c>
      <c r="AA31" s="195" t="inlineStr">
        <is>
          <t>Rollover: Matthew → Patricia (spousal rollover)</t>
        </is>
      </c>
    </row>
    <row r="32" ht="15" customHeight="1">
      <c r="A32" s="201" t="n">
        <v>2055</v>
      </c>
      <c r="B32" s="201" t="n">
        <v>93</v>
      </c>
      <c r="C32" s="201" t="n">
        <v>94</v>
      </c>
      <c r="D32" s="188" t="inlineStr">
        <is>
          <t>Single</t>
        </is>
      </c>
      <c r="E32" s="188" t="inlineStr">
        <is>
          <t>DIED 2054</t>
        </is>
      </c>
      <c r="F32" s="188" t="inlineStr">
        <is>
          <t>ALIVE</t>
        </is>
      </c>
      <c r="G32" s="199" t="n">
        <v>0</v>
      </c>
      <c r="H32" s="199" t="n">
        <v>0</v>
      </c>
      <c r="I32" s="202" t="n">
        <v>0</v>
      </c>
      <c r="J32" s="188" t="inlineStr">
        <is>
          <t>N/A</t>
        </is>
      </c>
      <c r="K32" s="199" t="n">
        <v>0</v>
      </c>
      <c r="L32" s="202" t="n">
        <v>0</v>
      </c>
      <c r="M32" s="199" t="n">
        <v>0</v>
      </c>
      <c r="N32" s="203" t="n"/>
      <c r="O32" s="202" t="n">
        <v>0</v>
      </c>
      <c r="P32" s="199" t="n">
        <v>0</v>
      </c>
      <c r="Q32" s="188" t="inlineStr">
        <is>
          <t>✓</t>
        </is>
      </c>
      <c r="R32" s="202" t="n">
        <v>0</v>
      </c>
      <c r="S32" s="199" t="n">
        <v>0</v>
      </c>
      <c r="T32" s="202" t="n">
        <v>0</v>
      </c>
      <c r="U32" s="204" t="n"/>
      <c r="V32" s="199" t="n">
        <v>0</v>
      </c>
      <c r="W32" s="199" t="n">
        <v>0</v>
      </c>
      <c r="X32" s="199" t="n">
        <v>0</v>
      </c>
      <c r="Y32" s="192" t="inlineStr">
        <is>
          <t>✓</t>
        </is>
      </c>
      <c r="Z32" s="205" t="inlineStr"/>
      <c r="AA32" s="188" t="inlineStr">
        <is>
          <t>Matthew died 2054</t>
        </is>
      </c>
    </row>
    <row r="33" ht="90" customHeight="1">
      <c r="A33" s="194" t="n">
        <v>2056</v>
      </c>
      <c r="B33" s="194" t="n">
        <v>94</v>
      </c>
      <c r="C33" s="194" t="n">
        <v>95</v>
      </c>
      <c r="D33" s="195" t="inlineStr">
        <is>
          <t>Single</t>
        </is>
      </c>
      <c r="E33" s="195" t="inlineStr">
        <is>
          <t>DIED 2054</t>
        </is>
      </c>
      <c r="F33" s="195" t="inlineStr">
        <is>
          <t>ALIVE</t>
        </is>
      </c>
      <c r="G33" s="196" t="n">
        <v>0</v>
      </c>
      <c r="H33" s="196" t="n">
        <v>0</v>
      </c>
      <c r="I33" s="197" t="n">
        <v>0</v>
      </c>
      <c r="J33" s="188" t="inlineStr">
        <is>
          <t>N/A</t>
        </is>
      </c>
      <c r="K33" s="196" t="n">
        <v>0</v>
      </c>
      <c r="L33" s="197" t="n">
        <v>0</v>
      </c>
      <c r="M33" s="196" t="n">
        <v>0</v>
      </c>
      <c r="N33" s="198" t="n"/>
      <c r="O33" s="197" t="n">
        <v>0</v>
      </c>
      <c r="P33" s="199" t="n">
        <v>0</v>
      </c>
      <c r="Q33" s="195" t="inlineStr">
        <is>
          <t>✓</t>
        </is>
      </c>
      <c r="R33" s="197" t="n">
        <v>0</v>
      </c>
      <c r="S33" s="196" t="n">
        <v>0</v>
      </c>
      <c r="T33" s="197" t="n">
        <v>0</v>
      </c>
      <c r="U33" s="200" t="n"/>
      <c r="V33" s="196" t="n">
        <v>0</v>
      </c>
      <c r="W33" s="196" t="n">
        <v>0</v>
      </c>
      <c r="X33" s="196" t="n">
        <v>0</v>
      </c>
      <c r="Y33" s="192" t="inlineStr">
        <is>
          <t>✓</t>
        </is>
      </c>
      <c r="Z33" s="195" t="inlineStr">
        <is>
          <t>Patricia 2nd death — taxable → Patricia Trust; IRAs/Roths inherited by beneficiaries</t>
        </is>
      </c>
      <c r="AA33" s="195" t="inlineStr">
        <is>
          <t>Matthew died 2054; Rollover: Patricia 2nd death — taxable → Patricia Trust; IRAs/Roths inherited by beneficiaries</t>
        </is>
      </c>
    </row>
    <row r="34"/>
    <row r="35" ht="15" customHeight="1">
      <c r="A35" s="206" t="n"/>
      <c r="B35" s="207" t="inlineStr">
        <is>
          <t>RMD year — satisfied correctly</t>
        </is>
      </c>
    </row>
    <row r="36" ht="15" customHeight="1">
      <c r="A36" s="208" t="n"/>
      <c r="B36" s="207" t="inlineStr">
        <is>
          <t>RMD shortfall or CF mismatch</t>
        </is>
      </c>
    </row>
    <row r="37" ht="15" customHeight="1">
      <c r="A37" s="209" t="n"/>
      <c r="B37" s="207" t="inlineStr">
        <is>
          <t>Spousal rollover year</t>
        </is>
      </c>
    </row>
    <row r="38" ht="15" customHeight="1">
      <c r="A38" s="210" t="n"/>
      <c r="B38" s="207" t="inlineStr">
        <is>
          <t>Post-death (accounts zeroed; rollover to estate)</t>
        </is>
      </c>
    </row>
  </sheetData>
  <mergeCells count="5">
    <mergeCell ref="B36:H36"/>
    <mergeCell ref="B35:H35"/>
    <mergeCell ref="B38:H38"/>
    <mergeCell ref="B37:H37"/>
    <mergeCell ref="A1:N1"/>
  </mergeCells>
  <pageMargins left="0.75" right="0.75" top="1" bottom="1" header="0.5" footer="0.5"/>
</worksheet>
</file>

<file path=xl/worksheets/sheet29.xml><?xml version="1.0" encoding="utf-8"?>
<worksheet xmlns="http://schemas.openxmlformats.org/spreadsheetml/2006/main">
  <sheetPr>
    <tabColor rgb="00B45F06"/>
    <outlinePr summaryBelow="1" summaryRight="1"/>
    <pageSetUpPr/>
  </sheetPr>
  <dimension ref="A1:F64"/>
  <sheetViews>
    <sheetView showGridLines="0" workbookViewId="0">
      <selection activeCell="A1" sqref="A1"/>
    </sheetView>
  </sheetViews>
  <sheetFormatPr baseColWidth="8" defaultRowHeight="15"/>
  <cols>
    <col width="20" customWidth="1" min="1" max="1"/>
    <col width="10" customWidth="1" min="2" max="2"/>
    <col width="27.9" customWidth="1" min="3" max="3"/>
    <col width="23" customWidth="1" min="4" max="4"/>
    <col width="14" customWidth="1" min="5" max="5"/>
    <col width="14" customWidth="1" min="6" max="6"/>
  </cols>
  <sheetData>
    <row r="1" ht="18" customHeight="1">
      <c r="A1" s="9" t="inlineStr">
        <is>
          <t>METHODOLOGY &amp; RE-RUN PROCESS</t>
        </is>
      </c>
    </row>
    <row r="2"/>
    <row r="3" ht="15" customHeight="1">
      <c r="A3" s="13" t="inlineStr">
        <is>
          <t>Projection Engine Logic</t>
        </is>
      </c>
      <c r="B3" s="3" t="n"/>
      <c r="C3" s="3" t="n"/>
      <c r="D3" s="4" t="n"/>
    </row>
    <row r="4" ht="15" customHeight="1">
      <c r="A4" s="12" t="inlineStr">
        <is>
          <t>• Year-by-year from plan_start to plan_end (later of husband/wife death year).</t>
        </is>
      </c>
      <c r="B4" s="3" t="n"/>
      <c r="C4" s="3" t="n"/>
      <c r="D4" s="4" t="n"/>
    </row>
    <row r="5" ht="30" customHeight="1">
      <c r="A5" s="12" t="inlineStr">
        <is>
          <t>• Asset balances grow at portfolio_nominal_return; withdrawals reduce balances before growth.</t>
        </is>
      </c>
      <c r="B5" s="3" t="n"/>
      <c r="C5" s="3" t="n"/>
      <c r="D5" s="4" t="n"/>
    </row>
    <row r="6" ht="30" customHeight="1">
      <c r="A6" s="12" t="inlineStr">
        <is>
          <t>• Income sources: earned income, Social Security (age 70), annuities, pension, Note Receivable, RMDs.</t>
        </is>
      </c>
      <c r="B6" s="3" t="n"/>
      <c r="C6" s="3" t="n"/>
      <c r="D6" s="4" t="n"/>
    </row>
    <row r="7" ht="30" customHeight="1">
      <c r="A7" s="12" t="inlineStr">
        <is>
          <t>• Withdrawal cascade: RMDs → HSA window → tax-sensitive pre-tax → taxable/trust → final pre-tax/HSA → Roth last → Home Equity.</t>
        </is>
      </c>
      <c r="B7" s="3" t="n"/>
      <c r="C7" s="3" t="n"/>
      <c r="D7" s="4" t="n"/>
    </row>
    <row r="8" ht="15" customHeight="1">
      <c r="A8" s="12" t="inlineStr">
        <is>
          <t>• Surplus reinvested into the first registry taxable account.</t>
        </is>
      </c>
      <c r="B8" s="3" t="n"/>
      <c r="C8" s="3" t="n"/>
      <c r="D8" s="4" t="n"/>
    </row>
    <row r="9"/>
    <row r="10" ht="15" customHeight="1">
      <c r="A10" s="13" t="inlineStr">
        <is>
          <t>Tax Computation Order</t>
        </is>
      </c>
      <c r="B10" s="3" t="n"/>
      <c r="C10" s="3" t="n"/>
      <c r="D10" s="4" t="n"/>
    </row>
    <row r="11" ht="15" customHeight="1">
      <c r="A11" s="12" t="inlineStr">
        <is>
          <t>• 1. Gross income (earned + SS + annuities + RMDs + Roth conversion)</t>
        </is>
      </c>
      <c r="B11" s="3" t="n"/>
      <c r="C11" s="3" t="n"/>
      <c r="D11" s="4" t="n"/>
    </row>
    <row r="12" ht="15" customHeight="1">
      <c r="A12" s="12" t="inlineStr">
        <is>
          <t>• 2. AGI (minus SE deductions, half-SE-tax, SEHI)</t>
        </is>
      </c>
      <c r="B12" s="3" t="n"/>
      <c r="C12" s="3" t="n"/>
      <c r="D12" s="4" t="n"/>
    </row>
    <row r="13" ht="15" customHeight="1">
      <c r="A13" s="12" t="inlineStr">
        <is>
          <t>• 3. MAGI (add back for NIIT/SALT)</t>
        </is>
      </c>
      <c r="B13" s="3" t="n"/>
      <c r="C13" s="3" t="n"/>
      <c r="D13" s="4" t="n"/>
    </row>
    <row r="14" ht="15" customHeight="1">
      <c r="A14" s="12" t="inlineStr">
        <is>
          <t>• 4. SALT cap (phased down formula)</t>
        </is>
      </c>
      <c r="B14" s="3" t="n"/>
      <c r="C14" s="3" t="n"/>
      <c r="D14" s="4" t="n"/>
    </row>
    <row r="15" ht="15" customHeight="1">
      <c r="A15" s="12" t="inlineStr">
        <is>
          <t>• 5. Charitable deduction (AGI floor per OBBBA)</t>
        </is>
      </c>
      <c r="B15" s="3" t="n"/>
      <c r="C15" s="3" t="n"/>
      <c r="D15" s="4" t="n"/>
    </row>
    <row r="16" ht="15" customHeight="1">
      <c r="A16" s="12" t="inlineStr">
        <is>
          <t>• 6. Greater of standard or itemized deduction</t>
        </is>
      </c>
      <c r="B16" s="3" t="n"/>
      <c r="C16" s="3" t="n"/>
      <c r="D16" s="4" t="n"/>
    </row>
    <row r="17" ht="15" customHeight="1">
      <c r="A17" s="12" t="inlineStr">
        <is>
          <t>• 7. Federal tax, State tax, NIIT, Payroll tax, IRMAA</t>
        </is>
      </c>
      <c r="B17" s="3" t="n"/>
      <c r="C17" s="3" t="n"/>
      <c r="D17" s="4" t="n"/>
    </row>
    <row r="18" ht="30" customHeight="1">
      <c r="A18" s="12" t="inlineStr">
        <is>
          <t>• 8. Taxable-withdrawal LTCG/NIIT uses a bounded fixed-point solve before moving to pre-tax/Roth buckets.</t>
        </is>
      </c>
      <c r="B18" s="3" t="n"/>
      <c r="C18" s="3" t="n"/>
      <c r="D18" s="4" t="n"/>
    </row>
    <row r="19"/>
    <row r="20" ht="15" customHeight="1">
      <c r="A20" s="13" t="inlineStr">
        <is>
          <t>Annuity Dividend Model</t>
        </is>
      </c>
      <c r="B20" s="3" t="n"/>
      <c r="C20" s="3" t="n"/>
      <c r="D20" s="4" t="n"/>
    </row>
    <row r="21" ht="15" customHeight="1">
      <c r="A21" s="12" t="inlineStr">
        <is>
          <t>• Base compounds at div_rate pre-distribution year.</t>
        </is>
      </c>
      <c r="B21" s="3" t="n"/>
      <c r="C21" s="3" t="n"/>
      <c r="D21" s="4" t="n"/>
    </row>
    <row r="22" ht="15" customHeight="1">
      <c r="A22" s="12" t="inlineStr">
        <is>
          <t>• From first_payment year: base grows at add_pct × div_rate (reinvested share).</t>
        </is>
      </c>
      <c r="B22" s="3" t="n"/>
      <c r="C22" s="3" t="n"/>
      <c r="D22" s="4" t="n"/>
    </row>
    <row r="23" ht="30" customHeight="1">
      <c r="A23" s="12" t="inlineStr">
        <is>
          <t>• Cash income = guaranteed_payment (grows at add_pct × div_rate) + base × div_rate × cash_pct.</t>
        </is>
      </c>
      <c r="B23" s="3" t="n"/>
      <c r="C23" s="3" t="n"/>
      <c r="D23" s="4" t="n"/>
    </row>
    <row r="24" ht="15" customHeight="1">
      <c r="A24" s="12" t="inlineStr">
        <is>
          <t>• Net worth value = PV of future cash income at portfolio discount rate.</t>
        </is>
      </c>
      <c r="B24" s="3" t="n"/>
      <c r="C24" s="3" t="n"/>
      <c r="D24" s="4" t="n"/>
    </row>
    <row r="25" ht="30" customHeight="1">
      <c r="A25" s="12" t="inlineStr">
        <is>
          <t>• Annuity death benefits per configured Annuity Death Benefits matrix; decline to $0 over time.</t>
        </is>
      </c>
      <c r="B25" s="3" t="n"/>
      <c r="C25" s="3" t="n"/>
      <c r="D25" s="4" t="n"/>
    </row>
    <row r="26"/>
    <row r="27" ht="15" customHeight="1">
      <c r="A27" s="13" t="inlineStr">
        <is>
          <t>Monte Carlo Setup</t>
        </is>
      </c>
      <c r="B27" s="3" t="n"/>
      <c r="C27" s="3" t="n"/>
      <c r="D27" s="4" t="n"/>
    </row>
    <row r="28" ht="30" customHeight="1">
      <c r="A28" s="12" t="inlineStr">
        <is>
          <t>• Regime/fat-tail simulations use configured arithmetic return and volatility; non-static glide paths reduce both expected return and volatility over time.</t>
        </is>
      </c>
      <c r="B28" s="3" t="n"/>
      <c r="C28" s="3" t="n"/>
      <c r="D28" s="4" t="n"/>
    </row>
    <row r="29" ht="30" customHeight="1">
      <c r="A29" s="12" t="inlineStr">
        <is>
          <t>• Success = no unfunded annual spending gap and liquid retirement assets remain above the configured floor in every projected year.</t>
        </is>
      </c>
      <c r="B29" s="3" t="n"/>
      <c r="C29" s="3" t="n"/>
      <c r="D29" s="4" t="n"/>
    </row>
    <row r="30" ht="30" customHeight="1">
      <c r="A30" s="12" t="inlineStr">
        <is>
          <t>• 3A. Monte Carlo reports both arithmetic and geometric sampled returns plus P5/P25/P50/P75/P95 bands.</t>
        </is>
      </c>
      <c r="B30" s="3" t="n"/>
      <c r="C30" s="3" t="n"/>
      <c r="D30" s="4" t="n"/>
    </row>
    <row r="31"/>
    <row r="32" ht="15" customHeight="1">
      <c r="A32" s="13" t="inlineStr">
        <is>
          <t>Re-Run Instructions</t>
        </is>
      </c>
      <c r="B32" s="3" t="n"/>
      <c r="C32" s="3" t="n"/>
      <c r="D32" s="4" t="n"/>
    </row>
    <row r="33" ht="30" customHeight="1">
      <c r="A33" s="12" t="inlineStr">
        <is>
          <t>• 1. Edit the split client_*.csv files (UTF-8 encoding required — no CP1252 special chars).</t>
        </is>
      </c>
      <c r="B33" s="3" t="n"/>
      <c r="C33" s="3" t="n"/>
      <c r="D33" s="4" t="n"/>
    </row>
    <row r="34" ht="15" customHeight="1">
      <c r="A34" s="12" t="inlineStr">
        <is>
          <t>• 2. Ensure Python 3.9+, openpyxl, numpy, scipy, requests are installed.</t>
        </is>
      </c>
      <c r="B34" s="3" t="n"/>
      <c r="C34" s="3" t="n"/>
      <c r="D34" s="4" t="n"/>
    </row>
    <row r="35" ht="15" customHeight="1">
      <c r="A35" s="12" t="inlineStr">
        <is>
          <t>• 3. Run: python build_workbook.py</t>
        </is>
      </c>
      <c r="B35" s="3" t="n"/>
      <c r="C35" s="3" t="n"/>
      <c r="D35" s="4" t="n"/>
    </row>
    <row r="36" ht="15" customHeight="1">
      <c r="A36" s="12" t="inlineStr">
        <is>
          <t>• 4. Output file: retirement_plan.xlsx in same directory.</t>
        </is>
      </c>
      <c r="B36" s="3" t="n"/>
      <c r="C36" s="3" t="n"/>
      <c r="D36" s="4" t="n"/>
    </row>
    <row r="37" ht="30" customHeight="1">
      <c r="A37" s="12" t="inlineStr">
        <is>
          <t>• 5. Review Quality Control sheet (4D. Quality Control) — all checks should be PASS.</t>
        </is>
      </c>
      <c r="B37" s="3" t="n"/>
      <c r="C37" s="3" t="n"/>
      <c r="D37" s="4" t="n"/>
    </row>
    <row r="38" ht="30" customHeight="1">
      <c r="A38" s="12" t="inlineStr">
        <is>
          <t>• 6. Update ETF prices by re-running the script (live prices fetched at build time).</t>
        </is>
      </c>
      <c r="B38" s="3" t="n"/>
      <c r="C38" s="3" t="n"/>
      <c r="D38" s="4" t="n"/>
    </row>
    <row r="39" ht="30" customHeight="1">
      <c r="A39" s="12" t="inlineStr">
        <is>
          <t>• 7. Annual review cadence: rebuild each January; update DOB-based calculations auto-update.</t>
        </is>
      </c>
      <c r="B39" s="3" t="n"/>
      <c r="C39" s="3" t="n"/>
      <c r="D39" s="4" t="n"/>
    </row>
    <row r="40"/>
    <row r="41" ht="15" customHeight="1">
      <c r="A41" s="13" t="inlineStr">
        <is>
          <t>Key Editable Variables in CSV</t>
        </is>
      </c>
      <c r="B41" s="3" t="n"/>
      <c r="C41" s="3" t="n"/>
      <c r="D41" s="4" t="n"/>
    </row>
    <row r="42" ht="15" customHeight="1">
      <c r="A42" s="12" t="inlineStr">
        <is>
          <t>• Economic Assumptions: inflation, returns, bracket inflator</t>
        </is>
      </c>
      <c r="B42" s="3" t="n"/>
      <c r="C42" s="3" t="n"/>
      <c r="D42" s="4" t="n"/>
    </row>
    <row r="43" ht="15" customHeight="1">
      <c r="A43" s="12" t="inlineStr">
        <is>
          <t>• Household: DOBs, mortality ages (extend or shorten plan horizon)</t>
        </is>
      </c>
      <c r="B43" s="3" t="n"/>
      <c r="C43" s="3" t="n"/>
      <c r="D43" s="4" t="n"/>
    </row>
    <row r="44" ht="15" customHeight="1">
      <c r="A44" s="12" t="inlineStr">
        <is>
          <t>• Cashflow: spending, earned income, mortgage, lump events</t>
        </is>
      </c>
      <c r="B44" s="3" t="n"/>
      <c r="C44" s="3" t="n"/>
      <c r="D44" s="4" t="n"/>
    </row>
    <row r="45" ht="15" customHeight="1">
      <c r="A45" s="12" t="inlineStr">
        <is>
          <t>• Optional Functions: toggle sheets ON/OFF as needed</t>
        </is>
      </c>
      <c r="B45" s="3" t="n"/>
      <c r="C45" s="3" t="n"/>
      <c r="D45" s="4" t="n"/>
    </row>
    <row r="46" ht="15" customHeight="1">
      <c r="A46" s="12" t="inlineStr">
        <is>
          <t>• Forced Actions: hard-code any prior-year Roth conversions</t>
        </is>
      </c>
      <c r="B46" s="3" t="n"/>
      <c r="C46" s="3" t="n"/>
      <c r="D46" s="4" t="n"/>
    </row>
    <row r="47"/>
    <row r="48"/>
    <row r="49" ht="15" customHeight="1">
      <c r="A49" s="17" t="inlineStr">
        <is>
          <t>Illustration vs Recommendation</t>
        </is>
      </c>
      <c r="B49" s="3" t="n"/>
      <c r="C49" s="3" t="n"/>
      <c r="D49" s="4" t="n"/>
    </row>
    <row r="50">
      <c r="A50" s="33" t="inlineStr"/>
      <c r="B50" s="3" t="n"/>
      <c r="C50" s="3" t="n"/>
      <c r="D50" s="4" t="n"/>
    </row>
    <row r="51" ht="15" customHeight="1">
      <c r="A51" s="12" t="inlineStr">
        <is>
          <t>Advisor-ready status</t>
        </is>
      </c>
      <c r="B51" s="12" t="inlineStr">
        <is>
          <t>BLOCKED</t>
        </is>
      </c>
    </row>
    <row r="52"/>
    <row r="53" ht="15" customHeight="1">
      <c r="A53" s="13" t="inlineStr">
        <is>
          <t>Tax-Year Constants Provenance</t>
        </is>
      </c>
      <c r="B53" s="3" t="n"/>
      <c r="C53" s="3" t="n"/>
      <c r="D53" s="4" t="n"/>
    </row>
    <row r="54" ht="15" customHeight="1">
      <c r="A54" s="10" t="inlineStr">
        <is>
          <t>Constant Group</t>
        </is>
      </c>
      <c r="B54" s="10" t="inlineStr">
        <is>
          <t>Tax Year</t>
        </is>
      </c>
      <c r="C54" s="10" t="inlineStr">
        <is>
          <t>Source</t>
        </is>
      </c>
      <c r="D54" s="10" t="inlineStr">
        <is>
          <t>Last reviewed / status</t>
        </is>
      </c>
    </row>
    <row r="55" ht="45" customHeight="1">
      <c r="A55" s="12" t="inlineStr">
        <is>
          <t>Federal Brackets</t>
        </is>
      </c>
      <c r="B55" s="12" t="n">
        <v>2025</v>
      </c>
      <c r="C55" s="12" t="inlineStr">
        <is>
          <t>v10 local dated tax-law dataset; no embedded fallback required for new code</t>
        </is>
      </c>
      <c r="D55" s="12" t="inlineStr">
        <is>
          <t>See tax-law dashboard</t>
        </is>
      </c>
    </row>
    <row r="56" ht="45" customHeight="1">
      <c r="A56" s="12" t="inlineStr">
        <is>
          <t>Irmaa Tiers</t>
        </is>
      </c>
      <c r="B56" s="12" t="n">
        <v>2025</v>
      </c>
      <c r="C56" s="12" t="inlineStr">
        <is>
          <t>v10 local dated tax-law dataset; no embedded fallback required for new code</t>
        </is>
      </c>
      <c r="D56" s="12" t="inlineStr">
        <is>
          <t>See tax-law dashboard</t>
        </is>
      </c>
    </row>
    <row r="57" ht="45" customHeight="1">
      <c r="A57" s="12" t="inlineStr">
        <is>
          <t>Ltcg Brackets</t>
        </is>
      </c>
      <c r="B57" s="12" t="n">
        <v>2025</v>
      </c>
      <c r="C57" s="12" t="inlineStr">
        <is>
          <t>v10 local dated tax-law dataset; no embedded fallback required for new code</t>
        </is>
      </c>
      <c r="D57" s="12" t="inlineStr">
        <is>
          <t>See tax-law dashboard</t>
        </is>
      </c>
    </row>
    <row r="58" ht="45" customHeight="1">
      <c r="A58" s="12" t="inlineStr">
        <is>
          <t>Niit Threshold</t>
        </is>
      </c>
      <c r="B58" s="12" t="n">
        <v>2026</v>
      </c>
      <c r="C58" s="12" t="inlineStr">
        <is>
          <t>v10 local dated tax-law dataset; no embedded fallback required for new code</t>
        </is>
      </c>
      <c r="D58" s="12" t="inlineStr">
        <is>
          <t>See tax-law dashboard</t>
        </is>
      </c>
    </row>
    <row r="59" ht="45" customHeight="1">
      <c r="A59" s="12" t="inlineStr">
        <is>
          <t>Salt Schedule</t>
        </is>
      </c>
      <c r="B59" s="12" t="n">
        <v>2026</v>
      </c>
      <c r="C59" s="12" t="inlineStr">
        <is>
          <t>v10 local dated tax-law dataset; no embedded fallback required for new code</t>
        </is>
      </c>
      <c r="D59" s="12" t="inlineStr">
        <is>
          <t>See tax-law dashboard</t>
        </is>
      </c>
    </row>
    <row r="60" ht="45" customHeight="1">
      <c r="A60" s="12" t="inlineStr">
        <is>
          <t>Ss Wage Base</t>
        </is>
      </c>
      <c r="B60" s="12" t="n">
        <v>2026</v>
      </c>
      <c r="C60" s="12" t="inlineStr">
        <is>
          <t>v10 local dated tax-law dataset; no embedded fallback required for new code</t>
        </is>
      </c>
      <c r="D60" s="12" t="inlineStr">
        <is>
          <t>See tax-law dashboard</t>
        </is>
      </c>
    </row>
    <row r="61" ht="45" customHeight="1">
      <c r="A61" s="12" t="inlineStr">
        <is>
          <t>Standard Deduction</t>
        </is>
      </c>
      <c r="B61" s="12" t="n">
        <v>2025</v>
      </c>
      <c r="C61" s="12" t="inlineStr">
        <is>
          <t>v10 local dated tax-law dataset; no embedded fallback required for new code</t>
        </is>
      </c>
      <c r="D61" s="12" t="inlineStr">
        <is>
          <t>See tax-law dashboard</t>
        </is>
      </c>
    </row>
    <row r="62" ht="45" customHeight="1">
      <c r="A62" s="12" t="inlineStr">
        <is>
          <t>Standard Deduction Over65</t>
        </is>
      </c>
      <c r="B62" s="12" t="n">
        <v>2025</v>
      </c>
      <c r="C62" s="12" t="inlineStr">
        <is>
          <t>v10 local dated tax-law dataset; no embedded fallback required for new code</t>
        </is>
      </c>
      <c r="D62" s="12" t="inlineStr">
        <is>
          <t>See tax-law dashboard</t>
        </is>
      </c>
    </row>
    <row r="63"/>
    <row r="64" ht="30" customHeight="1">
      <c r="A64" s="12" t="inlineStr">
        <is>
          <t>Filing status: MFJ  |  Survivor filing: Single  |  Roth policy: fill_to_irmaa  |  Cascade: Trust → Roth → IRA → Home</t>
        </is>
      </c>
      <c r="B64" s="3" t="n"/>
      <c r="C64" s="3" t="n"/>
      <c r="D64" s="4" t="n"/>
    </row>
  </sheetData>
  <mergeCells count="44">
    <mergeCell ref="A5:D5"/>
    <mergeCell ref="A17:D17"/>
    <mergeCell ref="A23:D23"/>
    <mergeCell ref="A8:D8"/>
    <mergeCell ref="A22:D22"/>
    <mergeCell ref="A53:D53"/>
    <mergeCell ref="A35:D35"/>
    <mergeCell ref="A4:D4"/>
    <mergeCell ref="A20:D20"/>
    <mergeCell ref="A38:D38"/>
    <mergeCell ref="A29:D29"/>
    <mergeCell ref="A43:D43"/>
    <mergeCell ref="A10:D10"/>
    <mergeCell ref="A28:D28"/>
    <mergeCell ref="A13:D13"/>
    <mergeCell ref="A44:D44"/>
    <mergeCell ref="A34:D34"/>
    <mergeCell ref="A30:D30"/>
    <mergeCell ref="A39:D39"/>
    <mergeCell ref="A15:D15"/>
    <mergeCell ref="A64:D64"/>
    <mergeCell ref="A24:D24"/>
    <mergeCell ref="A11:D11"/>
    <mergeCell ref="A49:D49"/>
    <mergeCell ref="A36:D36"/>
    <mergeCell ref="A45:D45"/>
    <mergeCell ref="A6:D6"/>
    <mergeCell ref="A7:D7"/>
    <mergeCell ref="A25:D25"/>
    <mergeCell ref="A41:D41"/>
    <mergeCell ref="A16:D16"/>
    <mergeCell ref="A46:D46"/>
    <mergeCell ref="A37:D37"/>
    <mergeCell ref="A18:D18"/>
    <mergeCell ref="A27:D27"/>
    <mergeCell ref="A12:D12"/>
    <mergeCell ref="A50:D50"/>
    <mergeCell ref="A1:F1"/>
    <mergeCell ref="A3:D3"/>
    <mergeCell ref="A21:D21"/>
    <mergeCell ref="A33:D33"/>
    <mergeCell ref="A42:D42"/>
    <mergeCell ref="A32:D32"/>
    <mergeCell ref="A14:D14"/>
  </mergeCells>
  <pageMargins left="0.75" right="0.75" top="1" bottom="1" header="0.5" footer="0.5"/>
</worksheet>
</file>

<file path=xl/worksheets/sheet30.xml><?xml version="1.0" encoding="utf-8"?>
<worksheet xmlns="http://schemas.openxmlformats.org/spreadsheetml/2006/main">
  <sheetPr>
    <tabColor rgb="00B45F06"/>
    <outlinePr summaryBelow="1" summaryRight="1"/>
    <pageSetUpPr/>
  </sheetPr>
  <dimension ref="A1:D24"/>
  <sheetViews>
    <sheetView showGridLines="0" workbookViewId="0">
      <selection activeCell="A1" sqref="A1"/>
    </sheetView>
  </sheetViews>
  <sheetFormatPr baseColWidth="8" defaultRowHeight="15"/>
  <cols>
    <col width="18" customWidth="1" min="1" max="1"/>
    <col width="27.9" customWidth="1" min="2" max="2"/>
    <col width="14" customWidth="1" min="3" max="3"/>
    <col width="14" customWidth="1" min="4" max="4"/>
  </cols>
  <sheetData>
    <row r="1" ht="18" customHeight="1">
      <c r="A1" s="9" t="inlineStr">
        <is>
          <t>GLOSSARY OF TERMS</t>
        </is>
      </c>
    </row>
    <row r="2" ht="18" customHeight="1">
      <c r="A2" s="13" t="inlineStr">
        <is>
          <t>Term</t>
        </is>
      </c>
      <c r="B2" s="13" t="inlineStr">
        <is>
          <t>Definition</t>
        </is>
      </c>
      <c r="C2" s="3" t="n"/>
      <c r="D2" s="4" t="n"/>
    </row>
    <row r="3" ht="30" customHeight="1">
      <c r="A3" s="11" t="inlineStr">
        <is>
          <t>AGI</t>
        </is>
      </c>
      <c r="B3" s="12" t="inlineStr">
        <is>
          <t>Adjusted Gross Income — gross income minus above-the-line deductions</t>
        </is>
      </c>
      <c r="C3" s="3" t="n"/>
      <c r="D3" s="4" t="n"/>
    </row>
    <row r="4" ht="30" customHeight="1">
      <c r="A4" s="11" t="inlineStr">
        <is>
          <t>Basis</t>
        </is>
      </c>
      <c r="B4" s="12" t="inlineStr">
        <is>
          <t>The original cost of an asset used to determine capital gain or loss</t>
        </is>
      </c>
      <c r="C4" s="3" t="n"/>
      <c r="D4" s="4" t="n"/>
    </row>
    <row r="5" ht="30" customHeight="1">
      <c r="A5" s="11" t="inlineStr">
        <is>
          <t>Credit-Shelter Trust</t>
        </is>
      </c>
      <c r="B5" s="12" t="inlineStr">
        <is>
          <t>A trust designed to use a decedent's estate tax exemption</t>
        </is>
      </c>
      <c r="C5" s="3" t="n"/>
      <c r="D5" s="4" t="n"/>
    </row>
    <row r="6" ht="30" customHeight="1">
      <c r="A6" s="11" t="inlineStr">
        <is>
          <t>DAF</t>
        </is>
      </c>
      <c r="B6" s="12" t="inlineStr">
        <is>
          <t>Donor Advised Fund — charitable giving vehicle allowing immediate deduction with delayed grant-making</t>
        </is>
      </c>
      <c r="C6" s="3" t="n"/>
      <c r="D6" s="4" t="n"/>
    </row>
    <row r="7" ht="30" customHeight="1">
      <c r="A7" s="11" t="inlineStr">
        <is>
          <t>ILIT</t>
        </is>
      </c>
      <c r="B7" s="12" t="inlineStr">
        <is>
          <t>Irrevocable Life Insurance Trust — removes life insurance proceeds from the taxable estate</t>
        </is>
      </c>
      <c r="C7" s="3" t="n"/>
      <c r="D7" s="4" t="n"/>
    </row>
    <row r="8" ht="30" customHeight="1">
      <c r="A8" s="11" t="inlineStr">
        <is>
          <t>IRMAA</t>
        </is>
      </c>
      <c r="B8" s="12" t="inlineStr">
        <is>
          <t>Income-Related Monthly Adjustment Amount — Medicare premium surcharge for high earners</t>
        </is>
      </c>
      <c r="C8" s="3" t="n"/>
      <c r="D8" s="4" t="n"/>
    </row>
    <row r="9" ht="30" customHeight="1">
      <c r="A9" s="11" t="inlineStr">
        <is>
          <t>J&amp;S (Joint-and-Survivor)</t>
        </is>
      </c>
      <c r="B9" s="12" t="inlineStr">
        <is>
          <t>Annuity feature paying a reduced benefit to a surviving spouse</t>
        </is>
      </c>
      <c r="C9" s="3" t="n"/>
      <c r="D9" s="4" t="n"/>
    </row>
    <row r="10" ht="30" customHeight="1">
      <c r="A10" s="11" t="inlineStr">
        <is>
          <t>LTCG</t>
        </is>
      </c>
      <c r="B10" s="12" t="inlineStr">
        <is>
          <t>Long-Term Capital Gain — gain on assets held more than one year, taxed at preferential rates</t>
        </is>
      </c>
      <c r="C10" s="3" t="n"/>
      <c r="D10" s="4" t="n"/>
    </row>
    <row r="11" ht="30" customHeight="1">
      <c r="A11" s="11" t="inlineStr">
        <is>
          <t>MAGI</t>
        </is>
      </c>
      <c r="B11" s="12" t="inlineStr">
        <is>
          <t>Modified Adjusted Gross Income — AGI with certain deductions added back</t>
        </is>
      </c>
      <c r="C11" s="3" t="n"/>
      <c r="D11" s="4" t="n"/>
    </row>
    <row r="12" ht="30" customHeight="1">
      <c r="A12" s="11" t="inlineStr">
        <is>
          <t>Monte Carlo</t>
        </is>
      </c>
      <c r="B12" s="12" t="inlineStr">
        <is>
          <t>Statistical simulation using random scenarios to model range of outcomes</t>
        </is>
      </c>
      <c r="C12" s="3" t="n"/>
      <c r="D12" s="4" t="n"/>
    </row>
    <row r="13" ht="30" customHeight="1">
      <c r="A13" s="11" t="inlineStr">
        <is>
          <t>NIIT</t>
        </is>
      </c>
      <c r="B13" s="12" t="inlineStr">
        <is>
          <t>Net Investment Income Tax — 3.8% surtax on investment income above MAGI thresholds</t>
        </is>
      </c>
      <c r="C13" s="3" t="n"/>
      <c r="D13" s="4" t="n"/>
    </row>
    <row r="14" ht="30" customHeight="1">
      <c r="A14" s="11" t="inlineStr">
        <is>
          <t>Percentile Band</t>
        </is>
      </c>
      <c r="B14" s="12" t="inlineStr">
        <is>
          <t>The value at or below which a given percentage of simulation results fall</t>
        </is>
      </c>
      <c r="C14" s="3" t="n"/>
      <c r="D14" s="4" t="n"/>
    </row>
    <row r="15" ht="30" customHeight="1">
      <c r="A15" s="11" t="inlineStr">
        <is>
          <t>QCD</t>
        </is>
      </c>
      <c r="B15" s="12" t="inlineStr">
        <is>
          <t>Qualified Charitable Distribution — IRA distribution sent directly to charity, excluded from AGI</t>
        </is>
      </c>
      <c r="C15" s="3" t="n"/>
      <c r="D15" s="4" t="n"/>
    </row>
    <row r="16" ht="30" customHeight="1">
      <c r="A16" s="11" t="inlineStr">
        <is>
          <t>QTIP</t>
        </is>
      </c>
      <c r="B16" s="12" t="inlineStr">
        <is>
          <t>Qualified Terminable Interest Property trust — provides income to surviving spouse</t>
        </is>
      </c>
      <c r="C16" s="3" t="n"/>
      <c r="D16" s="4" t="n"/>
    </row>
    <row r="17" ht="30" customHeight="1">
      <c r="A17" s="11" t="inlineStr">
        <is>
          <t>RMD</t>
        </is>
      </c>
      <c r="B17" s="12" t="inlineStr">
        <is>
          <t>Required Minimum Distribution — mandatory annual withdrawals from tax-deferred accounts starting at age 75</t>
        </is>
      </c>
      <c r="C17" s="3" t="n"/>
      <c r="D17" s="4" t="n"/>
    </row>
    <row r="18" ht="30" customHeight="1">
      <c r="A18" s="11" t="inlineStr">
        <is>
          <t>Roth Conversion</t>
        </is>
      </c>
      <c r="B18" s="12" t="inlineStr">
        <is>
          <t>Transfer from a pre-tax IRA to a Roth IRA, triggering tax in the conversion year</t>
        </is>
      </c>
      <c r="C18" s="3" t="n"/>
      <c r="D18" s="4" t="n"/>
    </row>
    <row r="19" ht="30" customHeight="1">
      <c r="A19" s="11" t="inlineStr">
        <is>
          <t>SALT Cap</t>
        </is>
      </c>
      <c r="B19" s="12" t="inlineStr">
        <is>
          <t>State and Local Tax deduction cap — schedule sourced from tax_data.py</t>
        </is>
      </c>
      <c r="C19" s="3" t="n"/>
      <c r="D19" s="4" t="n"/>
    </row>
    <row r="20" ht="30" customHeight="1">
      <c r="A20" s="11" t="inlineStr">
        <is>
          <t>Sequence-of-Returns Risk</t>
        </is>
      </c>
      <c r="B20" s="12" t="inlineStr">
        <is>
          <t>Risk that poor investment returns early in retirement permanently impair the portfolio</t>
        </is>
      </c>
      <c r="C20" s="3" t="n"/>
      <c r="D20" s="4" t="n"/>
    </row>
    <row r="21" ht="30" customHeight="1">
      <c r="A21" s="11" t="inlineStr">
        <is>
          <t>Spousal Rollover</t>
        </is>
      </c>
      <c r="B21" s="12" t="inlineStr">
        <is>
          <t>Surviving spouse inherits deceased spouse's IRA as their own, deferring RMDs to their own age</t>
        </is>
      </c>
      <c r="C21" s="3" t="n"/>
      <c r="D21" s="4" t="n"/>
    </row>
    <row r="22" ht="30" customHeight="1">
      <c r="A22" s="11" t="inlineStr">
        <is>
          <t>Standard Deduction</t>
        </is>
      </c>
      <c r="B22" s="12" t="inlineStr">
        <is>
          <t>Tax-reference-year MFJ base plus over-65 add-ons; inflated annually</t>
        </is>
      </c>
      <c r="C22" s="3" t="n"/>
      <c r="D22" s="4" t="n"/>
    </row>
    <row r="23" ht="30" customHeight="1">
      <c r="A23" s="11" t="inlineStr">
        <is>
          <t>Step-Up in Basis</t>
        </is>
      </c>
      <c r="B23" s="12" t="inlineStr">
        <is>
          <t>Reset of asset cost basis to fair market value at death for non-retirement assets</t>
        </is>
      </c>
      <c r="C23" s="3" t="n"/>
      <c r="D23" s="4" t="n"/>
    </row>
    <row r="24" ht="30" customHeight="1">
      <c r="A24" s="11" t="inlineStr">
        <is>
          <t>§121 Exclusion</t>
        </is>
      </c>
      <c r="B24" s="12" t="inlineStr">
        <is>
          <t>Up to $500,000 (MFJ) of home sale gain excluded from federal income tax</t>
        </is>
      </c>
      <c r="C24" s="3" t="n"/>
      <c r="D24" s="4" t="n"/>
    </row>
  </sheetData>
  <mergeCells count="24">
    <mergeCell ref="B11:D11"/>
    <mergeCell ref="B14:D14"/>
    <mergeCell ref="B23:D23"/>
    <mergeCell ref="B8:D8"/>
    <mergeCell ref="B17:D17"/>
    <mergeCell ref="B13:D13"/>
    <mergeCell ref="B10:D10"/>
    <mergeCell ref="B19:D19"/>
    <mergeCell ref="B9:D9"/>
    <mergeCell ref="B15:D15"/>
    <mergeCell ref="B6:D6"/>
    <mergeCell ref="B24:D24"/>
    <mergeCell ref="B20:D20"/>
    <mergeCell ref="A1:D1"/>
    <mergeCell ref="B5:D5"/>
    <mergeCell ref="B4:D4"/>
    <mergeCell ref="B7:D7"/>
    <mergeCell ref="B16:D16"/>
    <mergeCell ref="B3:D3"/>
    <mergeCell ref="B22:D22"/>
    <mergeCell ref="B18:D18"/>
    <mergeCell ref="B21:D21"/>
    <mergeCell ref="B12:D12"/>
    <mergeCell ref="B2:D2"/>
  </mergeCells>
  <pageMargins left="0.75" right="0.75" top="1" bottom="1" header="0.5" footer="0.5"/>
</worksheet>
</file>

<file path=xl/worksheets/sheet31.xml><?xml version="1.0" encoding="utf-8"?>
<worksheet xmlns="http://schemas.openxmlformats.org/spreadsheetml/2006/main">
  <sheetPr>
    <tabColor rgb="004472C4"/>
    <outlinePr summaryBelow="1" summaryRight="1"/>
    <pageSetUpPr/>
  </sheetPr>
  <dimension ref="A1:H37"/>
  <sheetViews>
    <sheetView showGridLines="0" workbookViewId="0">
      <selection activeCell="A1" sqref="A1"/>
    </sheetView>
  </sheetViews>
  <sheetFormatPr baseColWidth="8" defaultRowHeight="15"/>
  <cols>
    <col width="43" customWidth="1" min="1" max="1"/>
    <col width="50" customWidth="1" min="2" max="2"/>
    <col width="13" customWidth="1" min="3" max="3"/>
    <col width="14" customWidth="1" min="4" max="4"/>
    <col width="16" customWidth="1" min="5" max="5"/>
    <col width="15" customWidth="1" min="6" max="6"/>
  </cols>
  <sheetData>
    <row r="1" ht="22" customHeight="1">
      <c r="A1" s="211" t="inlineStr">
        <is>
          <t>WHAT-IF SCENARIO ANALYSIS</t>
        </is>
      </c>
    </row>
    <row r="2"/>
    <row r="3">
      <c r="A3" s="212" t="inlineStr">
        <is>
          <t>Deterministic Scenarios</t>
        </is>
      </c>
      <c r="B3" s="3" t="n"/>
      <c r="C3" s="3" t="n"/>
      <c r="D3" s="3" t="n"/>
      <c r="E3" s="3" t="n"/>
      <c r="F3" s="4" t="n"/>
    </row>
    <row r="4">
      <c r="A4" s="98" t="inlineStr">
        <is>
          <t>Scenario</t>
        </is>
      </c>
      <c r="B4" s="98" t="inlineStr">
        <is>
          <t>Assumption Change</t>
        </is>
      </c>
      <c r="C4" s="98" t="inlineStr">
        <is>
          <t>Ending NW</t>
        </is>
      </c>
      <c r="D4" s="98" t="inlineStr">
        <is>
          <t>Lifetime Tax</t>
        </is>
      </c>
      <c r="E4" s="98" t="inlineStr">
        <is>
          <t>Plan Survives?</t>
        </is>
      </c>
      <c r="F4" s="98" t="inlineStr">
        <is>
          <t>Delta vs Base</t>
        </is>
      </c>
    </row>
    <row r="5">
      <c r="A5" s="33" t="inlineStr">
        <is>
          <t>Base Case</t>
        </is>
      </c>
      <c r="B5" s="33" t="inlineStr">
        <is>
          <t>As modeled</t>
        </is>
      </c>
      <c r="C5" s="108" t="n">
        <v>6103848.09961433</v>
      </c>
      <c r="D5" s="108" t="n">
        <v>904151.7922334222</v>
      </c>
      <c r="E5" s="213" t="inlineStr">
        <is>
          <t>YES</t>
        </is>
      </c>
      <c r="F5" s="108" t="n">
        <v>0</v>
      </c>
    </row>
    <row r="6">
      <c r="A6" s="33" t="inlineStr">
        <is>
          <t>Allocation — User Defined</t>
        </is>
      </c>
      <c r="B6" s="33" t="inlineStr">
        <is>
          <t>Use user-specified target_pct allocation; implied return 7.22%, volatility 14.02%, geometric approx 6.24%</t>
        </is>
      </c>
      <c r="C6" s="108" t="n">
        <v>8937343.905318666</v>
      </c>
      <c r="D6" s="108" t="n">
        <v>906448.0986761021</v>
      </c>
      <c r="E6" s="213" t="inlineStr">
        <is>
          <t>YES</t>
        </is>
      </c>
      <c r="F6" s="108" t="n">
        <v>2833495.805704337</v>
      </c>
    </row>
    <row r="7">
      <c r="A7" s="33" t="inlineStr">
        <is>
          <t>Allocation — Optimizer Defined</t>
        </is>
      </c>
      <c r="B7" s="33" t="inlineStr">
        <is>
          <t>Use optimizer allocation recommendation; implied return 6.96%, volatility 12.93%, geometric approx 6.13%</t>
        </is>
      </c>
      <c r="C7" s="108" t="n">
        <v>8248728.994826756</v>
      </c>
      <c r="D7" s="108" t="n">
        <v>906447.8656509537</v>
      </c>
      <c r="E7" s="213" t="inlineStr">
        <is>
          <t>YES</t>
        </is>
      </c>
      <c r="F7" s="108" t="n">
        <v>2144880.895212427</v>
      </c>
    </row>
    <row r="8">
      <c r="A8" s="33" t="inlineStr">
        <is>
          <t>Retire Later (2029)</t>
        </is>
      </c>
      <c r="B8" s="33" t="inlineStr">
        <is>
          <t>earn_end 2029 vs 2027; +2 yrs @ 0.0% growth, $50,000 salary</t>
        </is>
      </c>
      <c r="C8" s="108" t="n">
        <v>10012423.02792553</v>
      </c>
      <c r="D8" s="108" t="n">
        <v>1607387.47909131</v>
      </c>
      <c r="E8" s="213" t="inlineStr">
        <is>
          <t>YES</t>
        </is>
      </c>
      <c r="F8" s="108" t="n">
        <v>3908574.928311203</v>
      </c>
    </row>
    <row r="9">
      <c r="A9" s="33" t="inlineStr">
        <is>
          <t>Spend 19% More</t>
        </is>
      </c>
      <c r="B9" s="33" t="inlineStr">
        <is>
          <t>$154,871/yr vs $129,059 base</t>
        </is>
      </c>
      <c r="C9" s="108" t="n">
        <v>3431309.194016642</v>
      </c>
      <c r="D9" s="108" t="n">
        <v>850817.8434568499</v>
      </c>
      <c r="E9" s="213" t="inlineStr">
        <is>
          <t>YES</t>
        </is>
      </c>
      <c r="F9" s="108" t="n">
        <v>-2672538.905597687</v>
      </c>
    </row>
    <row r="10">
      <c r="A10" s="33" t="inlineStr">
        <is>
          <t>Sell Home 2045</t>
        </is>
      </c>
      <c r="B10" s="33" t="inlineStr">
        <is>
          <t>Gross $2,302,353 · basis $800,000 · net $2,055,711 → Patricia Trust</t>
        </is>
      </c>
      <c r="C10" s="108" t="n">
        <v>7695848.546242196</v>
      </c>
      <c r="D10" s="108" t="n">
        <v>1143791.448135787</v>
      </c>
      <c r="E10" s="213" t="inlineStr">
        <is>
          <t>YES</t>
        </is>
      </c>
      <c r="F10" s="108" t="n">
        <v>1592000.446627866</v>
      </c>
    </row>
    <row r="11">
      <c r="A11" s="33" t="inlineStr">
        <is>
          <t>High Inflation 4.5%</t>
        </is>
      </c>
      <c r="B11" s="33" t="inlineStr">
        <is>
          <t>Inflation 4.5% vs 2.5%</t>
        </is>
      </c>
      <c r="C11" s="108" t="n">
        <v>3390274.137803574</v>
      </c>
      <c r="D11" s="108" t="n">
        <v>876596.536655304</v>
      </c>
      <c r="E11" s="213" t="inlineStr">
        <is>
          <t>YES</t>
        </is>
      </c>
      <c r="F11" s="108" t="n">
        <v>-2713573.961810756</v>
      </c>
    </row>
    <row r="12">
      <c r="A12" s="33" t="inlineStr">
        <is>
          <t>Low Return 4.0%</t>
        </is>
      </c>
      <c r="B12" s="33" t="inlineStr">
        <is>
          <t>Portfolio return 4.0% vs 6.0%</t>
        </is>
      </c>
      <c r="C12" s="108" t="n">
        <v>3473370.807218487</v>
      </c>
      <c r="D12" s="108" t="n">
        <v>876598.5824062185</v>
      </c>
      <c r="E12" s="213" t="inlineStr">
        <is>
          <t>YES</t>
        </is>
      </c>
      <c r="F12" s="108" t="n">
        <v>-2630477.292395842</v>
      </c>
    </row>
    <row r="13">
      <c r="A13" s="33" t="inlineStr">
        <is>
          <t>PDIA Div 4.5%</t>
        </is>
      </c>
      <c r="B13" s="33" t="inlineStr">
        <is>
          <t>All annuity dividends at 4.5% (vs illustrated 5.50-5.75%). Annuity income at age 80: $104,395 vs $117,223 base</t>
        </is>
      </c>
      <c r="C13" s="108" t="n">
        <v>5480794.120682336</v>
      </c>
      <c r="D13" s="108" t="n">
        <v>826559.0216462902</v>
      </c>
      <c r="E13" s="213" t="inlineStr">
        <is>
          <t>YES</t>
        </is>
      </c>
      <c r="F13" s="108" t="n">
        <v>-623053.9789319932</v>
      </c>
    </row>
    <row r="14">
      <c r="A14" s="33" t="inlineStr">
        <is>
          <t>PDIA 50/50 Split</t>
        </is>
      </c>
      <c r="B14" s="33" t="inlineStr">
        <is>
          <t>50% cash / 50% reinvest (vs 80/20). Less cash now, more income growth later. Annuity income at age 80: $116,475 vs $117,223 base</t>
        </is>
      </c>
      <c r="C14" s="108" t="n">
        <v>6029258.378297812</v>
      </c>
      <c r="D14" s="108" t="n">
        <v>914387.5784172096</v>
      </c>
      <c r="E14" s="213" t="inlineStr">
        <is>
          <t>YES</t>
        </is>
      </c>
      <c r="F14" s="108" t="n">
        <v>-74589.72131651733</v>
      </c>
    </row>
    <row r="15">
      <c r="A15" s="33" t="inlineStr">
        <is>
          <t>COMBINED Stress Test</t>
        </is>
      </c>
      <c r="B15" s="33" t="inlineStr">
        <is>
          <t>Stacked: sell home, low return, pdia low div</t>
        </is>
      </c>
      <c r="C15" s="108" t="n">
        <v>3643167.895341138</v>
      </c>
      <c r="D15" s="108" t="n">
        <v>1031956.84380883</v>
      </c>
      <c r="E15" s="213" t="inlineStr">
        <is>
          <t>YES</t>
        </is>
      </c>
      <c r="F15" s="108" t="n">
        <v>-2460680.204273192</v>
      </c>
    </row>
    <row r="16"/>
    <row r="17"/>
    <row r="18">
      <c r="A18" s="214" t="inlineStr">
        <is>
          <t>Sell Home Scenario Detail — 2045</t>
        </is>
      </c>
      <c r="B18" s="3" t="n"/>
      <c r="C18" s="3" t="n"/>
      <c r="D18" s="3" t="n"/>
      <c r="E18" s="3" t="n"/>
      <c r="F18" s="4" t="n"/>
    </row>
    <row r="19">
      <c r="A19" s="33" t="inlineStr">
        <is>
          <t>Projected Home Value at 2045</t>
        </is>
      </c>
      <c r="B19" s="108" t="n">
        <v>2302353.447690235</v>
      </c>
    </row>
    <row r="20">
      <c r="A20" s="33" t="inlineStr">
        <is>
          <t>Projected Sale Price</t>
        </is>
      </c>
      <c r="B20" s="108" t="n">
        <v>2302353.447690235</v>
      </c>
    </row>
    <row r="21">
      <c r="A21" s="33" t="inlineStr">
        <is>
          <t>Less: Selling Costs (6%)</t>
        </is>
      </c>
      <c r="B21" s="108" t="n">
        <v>138141.2068614141</v>
      </c>
    </row>
    <row r="22">
      <c r="A22" s="33" t="inlineStr">
        <is>
          <t>Cost Basis (purchase + improvements)</t>
        </is>
      </c>
      <c r="B22" s="108" t="n">
        <v>800000</v>
      </c>
    </row>
    <row r="23">
      <c r="A23" s="33" t="inlineStr">
        <is>
          <t>Capital Gain (net of selling costs)</t>
        </is>
      </c>
      <c r="B23" s="108" t="n">
        <v>1364212.240828821</v>
      </c>
    </row>
    <row r="24">
      <c r="A24" s="33" t="inlineStr">
        <is>
          <t>§121 Exclusion (MFJ)</t>
        </is>
      </c>
      <c r="B24" s="108" t="n">
        <v>500000</v>
      </c>
    </row>
    <row r="25">
      <c r="A25" s="33" t="inlineStr">
        <is>
          <t>Taxable Capital Gain</t>
        </is>
      </c>
      <c r="B25" s="108" t="n">
        <v>864212.2408288205</v>
      </c>
    </row>
    <row r="26">
      <c r="A26" s="33" t="inlineStr">
        <is>
          <t>LTCG Tax (bracketed 0/15/20% + NIIT)</t>
        </is>
      </c>
      <c r="B26" s="108" t="n">
        <v>108500.7900668073</v>
      </c>
    </row>
    <row r="27">
      <c r="A27" s="33" t="inlineStr">
        <is>
          <t>Remaining Mortgage at Sale</t>
        </is>
      </c>
      <c r="B27" s="108" t="n">
        <v>0</v>
      </c>
    </row>
    <row r="28">
      <c r="A28" s="33" t="inlineStr">
        <is>
          <t>Net Proceeds</t>
        </is>
      </c>
      <c r="B28" s="136" t="n">
        <v>2055711.450762013</v>
      </c>
    </row>
    <row r="29">
      <c r="A29" s="33" t="inlineStr">
        <is>
          <t>Deposited to: Patricia Trust (basis-free)</t>
        </is>
      </c>
    </row>
    <row r="30"/>
    <row r="31"/>
    <row r="32">
      <c r="A32" s="215" t="inlineStr">
        <is>
          <t>Spending Reduction Analysis</t>
        </is>
      </c>
      <c r="B32" s="3" t="n"/>
      <c r="C32" s="3" t="n"/>
      <c r="D32" s="3" t="n"/>
      <c r="E32" s="3" t="n"/>
      <c r="F32" s="4" t="n"/>
    </row>
    <row r="33">
      <c r="A33" s="33" t="inlineStr">
        <is>
          <t>Current Base Spending</t>
        </is>
      </c>
      <c r="B33" s="108" t="n">
        <v>129059</v>
      </c>
    </row>
    <row r="34">
      <c r="A34" s="33" t="inlineStr">
        <is>
          <t>Reduced Spending (−10%)</t>
        </is>
      </c>
      <c r="B34" s="108" t="n">
        <v>116153.1</v>
      </c>
    </row>
    <row r="35">
      <c r="A35" s="33" t="inlineStr">
        <is>
          <t>Terminal NW with Reduction</t>
        </is>
      </c>
      <c r="B35" s="108" t="n">
        <v>7506897.118864305</v>
      </c>
    </row>
    <row r="36">
      <c r="A36" s="216" t="inlineStr">
        <is>
          <t>Increase in Terminal NW</t>
        </is>
      </c>
      <c r="B36" s="136" t="n">
        <v>1403049.019249976</v>
      </c>
    </row>
    <row r="37">
      <c r="A37" s="33" t="inlineStr">
        <is>
          <t>A 10% spending reduction ($12,906/yr) adds $1,403,049 to terminal net worth.</t>
        </is>
      </c>
    </row>
  </sheetData>
  <mergeCells count="4">
    <mergeCell ref="A3:F3"/>
    <mergeCell ref="A18:F18"/>
    <mergeCell ref="A32:F32"/>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X219"/>
  <sheetViews>
    <sheetView showGridLines="0" workbookViewId="0">
      <selection activeCell="A1" sqref="A1"/>
    </sheetView>
  </sheetViews>
  <sheetFormatPr baseColWidth="8" defaultRowHeight="15"/>
  <cols>
    <col width="7"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2" customWidth="1" min="10" max="10"/>
    <col width="7"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2" customWidth="1" min="28" max="28"/>
    <col width="7"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3" max="43"/>
    <col width="14" customWidth="1" min="44" max="44"/>
    <col width="14" customWidth="1" min="45" max="45"/>
    <col width="14" customWidth="1" min="46" max="46"/>
    <col width="14" customWidth="1" min="47" max="47"/>
    <col width="14" customWidth="1" min="48" max="48"/>
    <col width="14" customWidth="1" min="49" max="49"/>
  </cols>
  <sheetData>
    <row r="1" ht="22" customHeight="1">
      <c r="A1" s="217" t="inlineStr">
        <is>
          <t>CHARTS DASHBOARD — Matthew &amp; Patricia  ·  2026–2056</t>
        </is>
      </c>
    </row>
    <row r="2">
      <c r="A2" s="218" t="inlineStr">
        <is>
          <t>Net Worth by Component  ·  2026–2056</t>
        </is>
      </c>
      <c r="K2" s="219" t="inlineStr">
        <is>
          <t>Cash Flow — Income &amp; Portfolio Draws  ·  2026–2056</t>
        </is>
      </c>
      <c r="AC2" s="220" t="inlineStr">
        <is>
          <t>Cash Flow — Spending &amp; Taxes  ·  2026–2056</t>
        </is>
      </c>
      <c r="AQ2" s="221" t="inlineStr">
        <is>
          <t>MC Percentile Bands Data  ·  used by Chart 4</t>
        </is>
      </c>
    </row>
    <row r="3"/>
    <row r="4">
      <c r="A4" s="222" t="inlineStr">
        <is>
          <t>Year</t>
        </is>
      </c>
      <c r="B4" s="222" t="inlineStr">
        <is>
          <t>Annuities &amp; Pension</t>
        </is>
      </c>
      <c r="C4" s="222" t="inlineStr">
        <is>
          <t>Pre-Tax IRA/401k</t>
        </is>
      </c>
      <c r="D4" s="222" t="inlineStr">
        <is>
          <t>Roth</t>
        </is>
      </c>
      <c r="E4" s="222" t="inlineStr">
        <is>
          <t>Trust</t>
        </is>
      </c>
      <c r="F4" s="222" t="inlineStr">
        <is>
          <t>HSA</t>
        </is>
      </c>
      <c r="G4" s="222" t="inlineStr">
        <is>
          <t>Home Equity</t>
        </is>
      </c>
      <c r="H4" s="222" t="inlineStr">
        <is>
          <t>Other Assets</t>
        </is>
      </c>
      <c r="I4" s="223" t="inlineStr">
        <is>
          <t>Total NW</t>
        </is>
      </c>
      <c r="K4" s="222" t="inlineStr">
        <is>
          <t>Year</t>
        </is>
      </c>
      <c r="L4" s="222" t="inlineStr">
        <is>
          <t>Earned Income</t>
        </is>
      </c>
      <c r="M4" s="222" t="inlineStr">
        <is>
          <t>Matthew SS</t>
        </is>
      </c>
      <c r="N4" s="222" t="inlineStr">
        <is>
          <t>Patricia SS</t>
        </is>
      </c>
      <c r="O4" s="222" t="inlineStr">
        <is>
          <t>Pension</t>
        </is>
      </c>
      <c r="P4" s="222" t="inlineStr">
        <is>
          <t>Patricia Single Ann</t>
        </is>
      </c>
      <c r="Q4" s="222" t="inlineStr">
        <is>
          <t>Patricia Joint Ann</t>
        </is>
      </c>
      <c r="R4" s="222" t="inlineStr">
        <is>
          <t>Matthew Single Ann</t>
        </is>
      </c>
      <c r="S4" s="222" t="inlineStr">
        <is>
          <t>Matthew Joint Ann</t>
        </is>
      </c>
      <c r="T4" s="222" t="inlineStr">
        <is>
          <t>Note P+I</t>
        </is>
      </c>
      <c r="U4" s="222" t="inlineStr">
        <is>
          <t>RMD</t>
        </is>
      </c>
      <c r="V4" s="222" t="inlineStr">
        <is>
          <t>Trust Draw</t>
        </is>
      </c>
      <c r="W4" s="222" t="inlineStr">
        <is>
          <t>HSA Draw</t>
        </is>
      </c>
      <c r="X4" s="222" t="inlineStr">
        <is>
          <t>Roth Draw</t>
        </is>
      </c>
      <c r="Y4" s="222" t="inlineStr">
        <is>
          <t>IRA Draw</t>
        </is>
      </c>
      <c r="Z4" s="222" t="inlineStr">
        <is>
          <t>HELOC Draw</t>
        </is>
      </c>
      <c r="AA4" s="224" t="inlineStr">
        <is>
          <t>Σ Income</t>
        </is>
      </c>
      <c r="AC4" s="222" t="inlineStr">
        <is>
          <t>Year</t>
        </is>
      </c>
      <c r="AD4" s="222" t="inlineStr">
        <is>
          <t>Base Spending</t>
        </is>
      </c>
      <c r="AE4" s="222" t="inlineStr">
        <is>
          <t>Housing</t>
        </is>
      </c>
      <c r="AF4" s="222" t="inlineStr">
        <is>
          <t>Wellness</t>
        </is>
      </c>
      <c r="AG4" s="222" t="inlineStr">
        <is>
          <t>Travel</t>
        </is>
      </c>
      <c r="AH4" s="222" t="inlineStr">
        <is>
          <t>Other</t>
        </is>
      </c>
      <c r="AI4" s="222" t="inlineStr">
        <is>
          <t>Federal Tax</t>
        </is>
      </c>
      <c r="AJ4" s="222" t="inlineStr">
        <is>
          <t>State Tax (Il)</t>
        </is>
      </c>
      <c r="AK4" s="222" t="inlineStr">
        <is>
          <t>NIIT</t>
        </is>
      </c>
      <c r="AL4" s="222" t="inlineStr">
        <is>
          <t>Payroll Tax</t>
        </is>
      </c>
      <c r="AM4" s="222" t="inlineStr">
        <is>
          <t>HELOC P&amp;I</t>
        </is>
      </c>
      <c r="AN4" s="225" t="inlineStr">
        <is>
          <t>Σ Spend+Tax</t>
        </is>
      </c>
      <c r="AQ4" s="222" t="inlineStr">
        <is>
          <t>Year</t>
        </is>
      </c>
      <c r="AR4" s="222" t="inlineStr">
        <is>
          <t>P10</t>
        </is>
      </c>
      <c r="AS4" s="222" t="inlineStr">
        <is>
          <t>P25</t>
        </is>
      </c>
      <c r="AT4" s="222" t="inlineStr">
        <is>
          <t>P50 Median</t>
        </is>
      </c>
      <c r="AU4" s="222" t="inlineStr">
        <is>
          <t>P75</t>
        </is>
      </c>
      <c r="AV4" s="222" t="inlineStr">
        <is>
          <t>P90</t>
        </is>
      </c>
    </row>
    <row r="5">
      <c r="A5" s="226" t="n">
        <v>2026</v>
      </c>
      <c r="B5" s="227" t="n">
        <v>1360666</v>
      </c>
      <c r="C5" s="227" t="n">
        <v>1744793</v>
      </c>
      <c r="D5" s="227" t="n">
        <v>483306</v>
      </c>
      <c r="E5" s="227" t="n">
        <v>405184</v>
      </c>
      <c r="F5" s="227" t="n">
        <v>78082</v>
      </c>
      <c r="G5" s="227" t="n">
        <v>1061621</v>
      </c>
      <c r="H5" s="227" t="n">
        <v>547626</v>
      </c>
      <c r="I5" s="228" t="n">
        <v>5681278</v>
      </c>
      <c r="K5" s="226" t="n">
        <v>2026</v>
      </c>
      <c r="L5" s="227" t="n">
        <v>290000</v>
      </c>
      <c r="M5" s="227" t="n">
        <v>0</v>
      </c>
      <c r="N5" s="227" t="n">
        <v>0</v>
      </c>
      <c r="O5" s="227" t="n">
        <v>4512</v>
      </c>
      <c r="P5" s="227" t="n">
        <v>0</v>
      </c>
      <c r="Q5" s="227" t="n">
        <v>0</v>
      </c>
      <c r="R5" s="227" t="n">
        <v>0</v>
      </c>
      <c r="S5" s="227" t="n">
        <v>0</v>
      </c>
      <c r="T5" s="227" t="n">
        <v>100547</v>
      </c>
      <c r="U5" s="227" t="n">
        <v>0</v>
      </c>
      <c r="V5" s="227" t="n">
        <v>139116</v>
      </c>
      <c r="W5" s="227" t="n">
        <v>0</v>
      </c>
      <c r="X5" s="227" t="n">
        <v>0</v>
      </c>
      <c r="Y5" s="227" t="n">
        <v>0</v>
      </c>
      <c r="Z5" s="227" t="n">
        <v>0</v>
      </c>
      <c r="AA5" s="228" t="n">
        <v>534175</v>
      </c>
      <c r="AC5" s="226" t="n">
        <v>2026</v>
      </c>
      <c r="AD5" s="227" t="n">
        <v>314341</v>
      </c>
      <c r="AE5" s="227" t="n">
        <v>105600</v>
      </c>
      <c r="AF5" s="227" t="n">
        <v>21760</v>
      </c>
      <c r="AG5" s="227" t="n">
        <v>13647</v>
      </c>
      <c r="AH5" s="227" t="n">
        <v>0</v>
      </c>
      <c r="AI5" s="227" t="n">
        <v>72804</v>
      </c>
      <c r="AJ5" s="227" t="n">
        <v>15734</v>
      </c>
      <c r="AK5" s="227" t="n">
        <v>2400</v>
      </c>
      <c r="AL5" s="227" t="n">
        <v>0</v>
      </c>
      <c r="AM5" s="227" t="n">
        <v>0</v>
      </c>
      <c r="AN5" s="228" t="n">
        <v>546286</v>
      </c>
      <c r="AQ5" s="226" t="n">
        <v>2026</v>
      </c>
      <c r="AR5" s="227" t="n">
        <v>5393468.595027415</v>
      </c>
      <c r="AS5" s="227" t="n">
        <v>5598731.895940082</v>
      </c>
      <c r="AT5" s="227" t="n">
        <v>5821519.868470038</v>
      </c>
      <c r="AU5" s="227" t="n">
        <v>6030006.920163324</v>
      </c>
      <c r="AV5" s="227" t="n">
        <v>6249843.200240021</v>
      </c>
    </row>
    <row r="6">
      <c r="A6" s="229" t="n">
        <v>2027</v>
      </c>
      <c r="B6" s="230" t="n">
        <v>1437523</v>
      </c>
      <c r="C6" s="230" t="n">
        <v>1606830</v>
      </c>
      <c r="D6" s="230" t="n">
        <v>754954</v>
      </c>
      <c r="E6" s="230" t="n">
        <v>91537</v>
      </c>
      <c r="F6" s="230" t="n">
        <v>82767</v>
      </c>
      <c r="G6" s="230" t="n">
        <v>1132406</v>
      </c>
      <c r="H6" s="230" t="n">
        <v>480568</v>
      </c>
      <c r="I6" s="231" t="n">
        <v>5586585</v>
      </c>
      <c r="K6" s="229" t="n">
        <v>2027</v>
      </c>
      <c r="L6" s="230" t="n">
        <v>0</v>
      </c>
      <c r="M6" s="230" t="n">
        <v>0</v>
      </c>
      <c r="N6" s="230" t="n">
        <v>0</v>
      </c>
      <c r="O6" s="230" t="n">
        <v>4512</v>
      </c>
      <c r="P6" s="230" t="n">
        <v>0</v>
      </c>
      <c r="Q6" s="230" t="n">
        <v>0</v>
      </c>
      <c r="R6" s="230" t="n">
        <v>0</v>
      </c>
      <c r="S6" s="230" t="n">
        <v>0</v>
      </c>
      <c r="T6" s="230" t="n">
        <v>91446</v>
      </c>
      <c r="U6" s="230" t="n">
        <v>0</v>
      </c>
      <c r="V6" s="230" t="n">
        <v>317237</v>
      </c>
      <c r="W6" s="230" t="n">
        <v>0</v>
      </c>
      <c r="X6" s="230" t="n">
        <v>0</v>
      </c>
      <c r="Y6" s="230" t="n">
        <v>0</v>
      </c>
      <c r="Z6" s="230" t="n">
        <v>0</v>
      </c>
      <c r="AA6" s="231" t="n">
        <v>413195</v>
      </c>
      <c r="AC6" s="229" t="n">
        <v>2027</v>
      </c>
      <c r="AD6" s="230" t="n">
        <v>132285</v>
      </c>
      <c r="AE6" s="230" t="n">
        <v>107340</v>
      </c>
      <c r="AF6" s="230" t="n">
        <v>35186</v>
      </c>
      <c r="AG6" s="230" t="n">
        <v>13988</v>
      </c>
      <c r="AH6" s="230" t="n">
        <v>100000</v>
      </c>
      <c r="AI6" s="230" t="n">
        <v>41329</v>
      </c>
      <c r="AJ6" s="230" t="n">
        <v>1977</v>
      </c>
      <c r="AK6" s="230" t="n">
        <v>888</v>
      </c>
      <c r="AL6" s="230" t="n">
        <v>0</v>
      </c>
      <c r="AM6" s="230" t="n">
        <v>0</v>
      </c>
      <c r="AN6" s="231" t="n">
        <v>432993</v>
      </c>
      <c r="AQ6" s="229" t="n">
        <v>2027</v>
      </c>
      <c r="AR6" s="230" t="n">
        <v>5134426.931010533</v>
      </c>
      <c r="AS6" s="230" t="n">
        <v>5427530.468766244</v>
      </c>
      <c r="AT6" s="230" t="n">
        <v>5741356.776166257</v>
      </c>
      <c r="AU6" s="230" t="n">
        <v>6078588.909226959</v>
      </c>
      <c r="AV6" s="230" t="n">
        <v>6453774.96616769</v>
      </c>
    </row>
    <row r="7">
      <c r="A7" s="226" t="n">
        <v>2028</v>
      </c>
      <c r="B7" s="227" t="n">
        <v>1518992</v>
      </c>
      <c r="C7" s="227" t="n">
        <v>1233528</v>
      </c>
      <c r="D7" s="227" t="n">
        <v>1030801</v>
      </c>
      <c r="E7" s="227" t="n">
        <v>0</v>
      </c>
      <c r="F7" s="227" t="n">
        <v>87733</v>
      </c>
      <c r="G7" s="227" t="n">
        <v>1205010</v>
      </c>
      <c r="H7" s="227" t="n">
        <v>413511</v>
      </c>
      <c r="I7" s="228" t="n">
        <v>5489575</v>
      </c>
      <c r="K7" s="226" t="n">
        <v>2028</v>
      </c>
      <c r="L7" s="227" t="n">
        <v>0</v>
      </c>
      <c r="M7" s="227" t="n">
        <v>0</v>
      </c>
      <c r="N7" s="227" t="n">
        <v>0</v>
      </c>
      <c r="O7" s="227" t="n">
        <v>4512</v>
      </c>
      <c r="P7" s="227" t="n">
        <v>0</v>
      </c>
      <c r="Q7" s="227" t="n">
        <v>27611</v>
      </c>
      <c r="R7" s="227" t="n">
        <v>0</v>
      </c>
      <c r="S7" s="227" t="n">
        <v>0</v>
      </c>
      <c r="T7" s="227" t="n">
        <v>86732</v>
      </c>
      <c r="U7" s="227" t="n">
        <v>0</v>
      </c>
      <c r="V7" s="227" t="n">
        <v>91537</v>
      </c>
      <c r="W7" s="227" t="n">
        <v>0</v>
      </c>
      <c r="X7" s="227" t="n">
        <v>0</v>
      </c>
      <c r="Y7" s="227" t="n">
        <v>225626</v>
      </c>
      <c r="Z7" s="227" t="n">
        <v>0</v>
      </c>
      <c r="AA7" s="228" t="n">
        <v>436018</v>
      </c>
      <c r="AC7" s="226" t="n">
        <v>2028</v>
      </c>
      <c r="AD7" s="227" t="n">
        <v>135593</v>
      </c>
      <c r="AE7" s="227" t="n">
        <v>109124</v>
      </c>
      <c r="AF7" s="227" t="n">
        <v>36941</v>
      </c>
      <c r="AG7" s="227" t="n">
        <v>14338</v>
      </c>
      <c r="AH7" s="227" t="n">
        <v>50000</v>
      </c>
      <c r="AI7" s="227" t="n">
        <v>42256</v>
      </c>
      <c r="AJ7" s="227" t="n">
        <v>1446</v>
      </c>
      <c r="AK7" s="227" t="n">
        <v>1095</v>
      </c>
      <c r="AL7" s="227" t="n">
        <v>0</v>
      </c>
      <c r="AM7" s="227" t="n">
        <v>0</v>
      </c>
      <c r="AN7" s="228" t="n">
        <v>390793</v>
      </c>
      <c r="AQ7" s="226" t="n">
        <v>2028</v>
      </c>
      <c r="AR7" s="227" t="n">
        <v>4876866.061067593</v>
      </c>
      <c r="AS7" s="227" t="n">
        <v>5223095.048959605</v>
      </c>
      <c r="AT7" s="227" t="n">
        <v>5622747.35339959</v>
      </c>
      <c r="AU7" s="227" t="n">
        <v>6046998.646688746</v>
      </c>
      <c r="AV7" s="227" t="n">
        <v>6522390.887785587</v>
      </c>
    </row>
    <row r="8">
      <c r="A8" s="229" t="n">
        <v>2029</v>
      </c>
      <c r="B8" s="230" t="n">
        <v>1576080</v>
      </c>
      <c r="C8" s="230" t="n">
        <v>968288</v>
      </c>
      <c r="D8" s="230" t="n">
        <v>1247049</v>
      </c>
      <c r="E8" s="230" t="n">
        <v>0</v>
      </c>
      <c r="F8" s="230" t="n">
        <v>92997</v>
      </c>
      <c r="G8" s="230" t="n">
        <v>1279481</v>
      </c>
      <c r="H8" s="230" t="n">
        <v>346454</v>
      </c>
      <c r="I8" s="231" t="n">
        <v>5510349</v>
      </c>
      <c r="K8" s="229" t="n">
        <v>2029</v>
      </c>
      <c r="L8" s="230" t="n">
        <v>0</v>
      </c>
      <c r="M8" s="230" t="n">
        <v>0</v>
      </c>
      <c r="N8" s="230" t="n">
        <v>0</v>
      </c>
      <c r="O8" s="230" t="n">
        <v>4512</v>
      </c>
      <c r="P8" s="230" t="n">
        <v>4600</v>
      </c>
      <c r="Q8" s="230" t="n">
        <v>27437</v>
      </c>
      <c r="R8" s="230" t="n">
        <v>8123</v>
      </c>
      <c r="S8" s="230" t="n">
        <v>71336</v>
      </c>
      <c r="T8" s="230" t="n">
        <v>82017</v>
      </c>
      <c r="U8" s="230" t="n">
        <v>0</v>
      </c>
      <c r="V8" s="230" t="n">
        <v>0</v>
      </c>
      <c r="W8" s="230" t="n">
        <v>0</v>
      </c>
      <c r="X8" s="230" t="n">
        <v>0</v>
      </c>
      <c r="Y8" s="230" t="n">
        <v>174388</v>
      </c>
      <c r="Z8" s="230" t="n">
        <v>0</v>
      </c>
      <c r="AA8" s="231" t="n">
        <v>372413</v>
      </c>
      <c r="AC8" s="229" t="n">
        <v>2029</v>
      </c>
      <c r="AD8" s="230" t="n">
        <v>138982</v>
      </c>
      <c r="AE8" s="230" t="n">
        <v>110952</v>
      </c>
      <c r="AF8" s="230" t="n">
        <v>38790</v>
      </c>
      <c r="AG8" s="230" t="n">
        <v>14696</v>
      </c>
      <c r="AH8" s="230" t="n">
        <v>0</v>
      </c>
      <c r="AI8" s="230" t="n">
        <v>42745</v>
      </c>
      <c r="AJ8" s="230" t="n">
        <v>1611</v>
      </c>
      <c r="AK8" s="230" t="n">
        <v>0</v>
      </c>
      <c r="AL8" s="230" t="n">
        <v>24637</v>
      </c>
      <c r="AM8" s="230" t="n">
        <v>0</v>
      </c>
      <c r="AN8" s="231" t="n">
        <v>372413</v>
      </c>
      <c r="AQ8" s="229" t="n">
        <v>2029</v>
      </c>
      <c r="AR8" s="230" t="n">
        <v>4787750.88401636</v>
      </c>
      <c r="AS8" s="230" t="n">
        <v>5176299.403257917</v>
      </c>
      <c r="AT8" s="230" t="n">
        <v>5615091.634995502</v>
      </c>
      <c r="AU8" s="230" t="n">
        <v>6142256.73301531</v>
      </c>
      <c r="AV8" s="230" t="n">
        <v>6630056.137857603</v>
      </c>
    </row>
    <row r="9">
      <c r="A9" s="226" t="n">
        <v>2030</v>
      </c>
      <c r="B9" s="227" t="n">
        <v>1547677</v>
      </c>
      <c r="C9" s="227" t="n">
        <v>749921</v>
      </c>
      <c r="D9" s="227" t="n">
        <v>1486487</v>
      </c>
      <c r="E9" s="227" t="n">
        <v>0</v>
      </c>
      <c r="F9" s="227" t="n">
        <v>98577</v>
      </c>
      <c r="G9" s="227" t="n">
        <v>1355868</v>
      </c>
      <c r="H9" s="227" t="n">
        <v>213396</v>
      </c>
      <c r="I9" s="228" t="n">
        <v>5451926</v>
      </c>
      <c r="K9" s="226" t="n">
        <v>2030</v>
      </c>
      <c r="L9" s="227" t="n">
        <v>0</v>
      </c>
      <c r="M9" s="227" t="n">
        <v>0</v>
      </c>
      <c r="N9" s="227" t="n">
        <v>0</v>
      </c>
      <c r="O9" s="227" t="n">
        <v>4512</v>
      </c>
      <c r="P9" s="227" t="n">
        <v>4583</v>
      </c>
      <c r="Q9" s="227" t="n">
        <v>27268</v>
      </c>
      <c r="R9" s="227" t="n">
        <v>8088</v>
      </c>
      <c r="S9" s="227" t="n">
        <v>70915</v>
      </c>
      <c r="T9" s="227" t="n">
        <v>77303</v>
      </c>
      <c r="U9" s="227" t="n">
        <v>0</v>
      </c>
      <c r="V9" s="227" t="n">
        <v>66000</v>
      </c>
      <c r="W9" s="227" t="n">
        <v>0</v>
      </c>
      <c r="X9" s="227" t="n">
        <v>0</v>
      </c>
      <c r="Y9" s="227" t="n">
        <v>105518</v>
      </c>
      <c r="Z9" s="227" t="n">
        <v>0</v>
      </c>
      <c r="AA9" s="228" t="n">
        <v>364187</v>
      </c>
      <c r="AC9" s="226" t="n">
        <v>2030</v>
      </c>
      <c r="AD9" s="227" t="n">
        <v>142457</v>
      </c>
      <c r="AE9" s="227" t="n">
        <v>112825</v>
      </c>
      <c r="AF9" s="227" t="n">
        <v>40738</v>
      </c>
      <c r="AG9" s="227" t="n">
        <v>15064</v>
      </c>
      <c r="AH9" s="227" t="n">
        <v>0</v>
      </c>
      <c r="AI9" s="227" t="n">
        <v>44332</v>
      </c>
      <c r="AJ9" s="227" t="n">
        <v>1445</v>
      </c>
      <c r="AK9" s="227" t="n">
        <v>1109</v>
      </c>
      <c r="AL9" s="227" t="n">
        <v>6217</v>
      </c>
      <c r="AM9" s="227" t="n">
        <v>0</v>
      </c>
      <c r="AN9" s="228" t="n">
        <v>364187</v>
      </c>
      <c r="AQ9" s="226" t="n">
        <v>2030</v>
      </c>
      <c r="AR9" s="227" t="n">
        <v>4558640.308714996</v>
      </c>
      <c r="AS9" s="227" t="n">
        <v>5014957.131285966</v>
      </c>
      <c r="AT9" s="227" t="n">
        <v>5543426.257935669</v>
      </c>
      <c r="AU9" s="227" t="n">
        <v>6142880.927680278</v>
      </c>
      <c r="AV9" s="227" t="n">
        <v>6737318.861030078</v>
      </c>
    </row>
    <row r="10">
      <c r="A10" s="229" t="n">
        <v>2031</v>
      </c>
      <c r="B10" s="230" t="n">
        <v>1518250</v>
      </c>
      <c r="C10" s="230" t="n">
        <v>562257</v>
      </c>
      <c r="D10" s="230" t="n">
        <v>1708460</v>
      </c>
      <c r="E10" s="230" t="n">
        <v>0</v>
      </c>
      <c r="F10" s="230" t="n">
        <v>94043</v>
      </c>
      <c r="G10" s="230" t="n">
        <v>1434223</v>
      </c>
      <c r="H10" s="230" t="n">
        <v>146339</v>
      </c>
      <c r="I10" s="231" t="n">
        <v>5463572</v>
      </c>
      <c r="K10" s="229" t="n">
        <v>2031</v>
      </c>
      <c r="L10" s="230" t="n">
        <v>0</v>
      </c>
      <c r="M10" s="230" t="n">
        <v>0</v>
      </c>
      <c r="N10" s="230" t="n">
        <v>50088</v>
      </c>
      <c r="O10" s="230" t="n">
        <v>4512</v>
      </c>
      <c r="P10" s="230" t="n">
        <v>4567</v>
      </c>
      <c r="Q10" s="230" t="n">
        <v>27109</v>
      </c>
      <c r="R10" s="230" t="n">
        <v>8055</v>
      </c>
      <c r="S10" s="230" t="n">
        <v>70503</v>
      </c>
      <c r="T10" s="230" t="n">
        <v>72588</v>
      </c>
      <c r="U10" s="230" t="n">
        <v>0</v>
      </c>
      <c r="V10" s="230" t="n">
        <v>0</v>
      </c>
      <c r="W10" s="230" t="n">
        <v>9858</v>
      </c>
      <c r="X10" s="230" t="n">
        <v>0</v>
      </c>
      <c r="Y10" s="230" t="n">
        <v>94223</v>
      </c>
      <c r="Z10" s="230" t="n">
        <v>0</v>
      </c>
      <c r="AA10" s="231" t="n">
        <v>341503</v>
      </c>
      <c r="AC10" s="229" t="n">
        <v>2031</v>
      </c>
      <c r="AD10" s="230" t="n">
        <v>146018</v>
      </c>
      <c r="AE10" s="230" t="n">
        <v>86461</v>
      </c>
      <c r="AF10" s="230" t="n">
        <v>42792</v>
      </c>
      <c r="AG10" s="230" t="n">
        <v>15440</v>
      </c>
      <c r="AH10" s="230" t="n">
        <v>0</v>
      </c>
      <c r="AI10" s="230" t="n">
        <v>45235</v>
      </c>
      <c r="AJ10" s="230" t="n">
        <v>1140</v>
      </c>
      <c r="AK10" s="230" t="n">
        <v>0</v>
      </c>
      <c r="AL10" s="230" t="n">
        <v>4417</v>
      </c>
      <c r="AM10" s="230" t="n">
        <v>0</v>
      </c>
      <c r="AN10" s="231" t="n">
        <v>341503</v>
      </c>
      <c r="AQ10" s="229" t="n">
        <v>2031</v>
      </c>
      <c r="AR10" s="230" t="n">
        <v>4449285.638347247</v>
      </c>
      <c r="AS10" s="230" t="n">
        <v>4946774.952711737</v>
      </c>
      <c r="AT10" s="230" t="n">
        <v>5527776.865528923</v>
      </c>
      <c r="AU10" s="230" t="n">
        <v>6194629.311315843</v>
      </c>
      <c r="AV10" s="230" t="n">
        <v>6941382.176447091</v>
      </c>
    </row>
    <row r="11">
      <c r="A11" s="226" t="n">
        <v>2032</v>
      </c>
      <c r="B11" s="227" t="n">
        <v>1487715</v>
      </c>
      <c r="C11" s="227" t="n">
        <v>270532</v>
      </c>
      <c r="D11" s="227" t="n">
        <v>1926410</v>
      </c>
      <c r="E11" s="227" t="n">
        <v>0</v>
      </c>
      <c r="F11" s="227" t="n">
        <v>88609</v>
      </c>
      <c r="G11" s="227" t="n">
        <v>1514599</v>
      </c>
      <c r="H11" s="227" t="n">
        <v>79282</v>
      </c>
      <c r="I11" s="228" t="n">
        <v>5367147</v>
      </c>
      <c r="K11" s="226" t="n">
        <v>2032</v>
      </c>
      <c r="L11" s="227" t="n">
        <v>0</v>
      </c>
      <c r="M11" s="227" t="n">
        <v>47549</v>
      </c>
      <c r="N11" s="227" t="n">
        <v>39850</v>
      </c>
      <c r="O11" s="227" t="n">
        <v>4512</v>
      </c>
      <c r="P11" s="227" t="n">
        <v>4552</v>
      </c>
      <c r="Q11" s="227" t="n">
        <v>26960</v>
      </c>
      <c r="R11" s="227" t="n">
        <v>8023</v>
      </c>
      <c r="S11" s="227" t="n">
        <v>70118</v>
      </c>
      <c r="T11" s="227" t="n">
        <v>63730</v>
      </c>
      <c r="U11" s="227" t="n">
        <v>0</v>
      </c>
      <c r="V11" s="227" t="n">
        <v>0</v>
      </c>
      <c r="W11" s="227" t="n">
        <v>10449</v>
      </c>
      <c r="X11" s="227" t="n">
        <v>0</v>
      </c>
      <c r="Y11" s="227" t="n">
        <v>198130</v>
      </c>
      <c r="Z11" s="227" t="n">
        <v>0</v>
      </c>
      <c r="AA11" s="228" t="n">
        <v>473873</v>
      </c>
      <c r="AC11" s="226" t="n">
        <v>2032</v>
      </c>
      <c r="AD11" s="227" t="n">
        <v>149669</v>
      </c>
      <c r="AE11" s="227" t="n">
        <v>87722</v>
      </c>
      <c r="AF11" s="227" t="n">
        <v>44956</v>
      </c>
      <c r="AG11" s="227" t="n">
        <v>15826</v>
      </c>
      <c r="AH11" s="227" t="n">
        <v>100000</v>
      </c>
      <c r="AI11" s="227" t="n">
        <v>46156</v>
      </c>
      <c r="AJ11" s="227" t="n">
        <v>700</v>
      </c>
      <c r="AK11" s="227" t="n">
        <v>0</v>
      </c>
      <c r="AL11" s="227" t="n">
        <v>28844</v>
      </c>
      <c r="AM11" s="227" t="n">
        <v>0</v>
      </c>
      <c r="AN11" s="228" t="n">
        <v>473873</v>
      </c>
      <c r="AQ11" s="226" t="n">
        <v>2032</v>
      </c>
      <c r="AR11" s="227" t="n">
        <v>4230481.66413134</v>
      </c>
      <c r="AS11" s="227" t="n">
        <v>4718474.837659603</v>
      </c>
      <c r="AT11" s="227" t="n">
        <v>5391942.274722341</v>
      </c>
      <c r="AU11" s="227" t="n">
        <v>6167459.469927487</v>
      </c>
      <c r="AV11" s="227" t="n">
        <v>6993286.827204264</v>
      </c>
    </row>
    <row r="12">
      <c r="A12" s="229" t="n">
        <v>2033</v>
      </c>
      <c r="B12" s="230" t="n">
        <v>1455962</v>
      </c>
      <c r="C12" s="230" t="n">
        <v>81362</v>
      </c>
      <c r="D12" s="230" t="n">
        <v>2165192</v>
      </c>
      <c r="E12" s="230" t="n">
        <v>0</v>
      </c>
      <c r="F12" s="230" t="n">
        <v>82185</v>
      </c>
      <c r="G12" s="230" t="n">
        <v>1597049</v>
      </c>
      <c r="H12" s="230" t="n">
        <v>20000</v>
      </c>
      <c r="I12" s="231" t="n">
        <v>5401750</v>
      </c>
      <c r="K12" s="229" t="n">
        <v>2033</v>
      </c>
      <c r="L12" s="230" t="n">
        <v>0</v>
      </c>
      <c r="M12" s="230" t="n">
        <v>48500</v>
      </c>
      <c r="N12" s="230" t="n">
        <v>40647</v>
      </c>
      <c r="O12" s="230" t="n">
        <v>4512</v>
      </c>
      <c r="P12" s="230" t="n">
        <v>4538</v>
      </c>
      <c r="Q12" s="230" t="n">
        <v>26822</v>
      </c>
      <c r="R12" s="230" t="n">
        <v>7994</v>
      </c>
      <c r="S12" s="230" t="n">
        <v>69759</v>
      </c>
      <c r="T12" s="230" t="n">
        <v>61552</v>
      </c>
      <c r="U12" s="230" t="n">
        <v>0</v>
      </c>
      <c r="V12" s="230" t="n">
        <v>0</v>
      </c>
      <c r="W12" s="230" t="n">
        <v>11076</v>
      </c>
      <c r="X12" s="230" t="n">
        <v>0</v>
      </c>
      <c r="Y12" s="230" t="n">
        <v>77552</v>
      </c>
      <c r="Z12" s="230" t="n">
        <v>0</v>
      </c>
      <c r="AA12" s="231" t="n">
        <v>352952</v>
      </c>
      <c r="AC12" s="229" t="n">
        <v>2033</v>
      </c>
      <c r="AD12" s="230" t="n">
        <v>153411</v>
      </c>
      <c r="AE12" s="230" t="n">
        <v>89015</v>
      </c>
      <c r="AF12" s="230" t="n">
        <v>47237</v>
      </c>
      <c r="AG12" s="230" t="n">
        <v>16222</v>
      </c>
      <c r="AH12" s="230" t="n">
        <v>0</v>
      </c>
      <c r="AI12" s="230" t="n">
        <v>47096</v>
      </c>
      <c r="AJ12" s="230" t="n">
        <v>588</v>
      </c>
      <c r="AK12" s="230" t="n">
        <v>0</v>
      </c>
      <c r="AL12" s="230" t="n">
        <v>0</v>
      </c>
      <c r="AM12" s="230" t="n">
        <v>0</v>
      </c>
      <c r="AN12" s="231" t="n">
        <v>353569</v>
      </c>
      <c r="AQ12" s="229" t="n">
        <v>2033</v>
      </c>
      <c r="AR12" s="230" t="n">
        <v>4170250.581520535</v>
      </c>
      <c r="AS12" s="230" t="n">
        <v>4671145.182494745</v>
      </c>
      <c r="AT12" s="230" t="n">
        <v>5419871.371651636</v>
      </c>
      <c r="AU12" s="230" t="n">
        <v>6280970.653024144</v>
      </c>
      <c r="AV12" s="230" t="n">
        <v>7156800.877467837</v>
      </c>
    </row>
    <row r="13">
      <c r="A13" s="226" t="n">
        <v>2034</v>
      </c>
      <c r="B13" s="227" t="n">
        <v>1422877</v>
      </c>
      <c r="C13" s="227" t="n">
        <v>0</v>
      </c>
      <c r="D13" s="227" t="n">
        <v>2257274</v>
      </c>
      <c r="E13" s="227" t="n">
        <v>0</v>
      </c>
      <c r="F13" s="227" t="n">
        <v>74671</v>
      </c>
      <c r="G13" s="227" t="n">
        <v>1681629</v>
      </c>
      <c r="H13" s="227" t="n">
        <v>20000</v>
      </c>
      <c r="I13" s="228" t="n">
        <v>5456451</v>
      </c>
      <c r="K13" s="226" t="n">
        <v>2034</v>
      </c>
      <c r="L13" s="227" t="n">
        <v>0</v>
      </c>
      <c r="M13" s="227" t="n">
        <v>49470</v>
      </c>
      <c r="N13" s="227" t="n">
        <v>41460</v>
      </c>
      <c r="O13" s="227" t="n">
        <v>4512</v>
      </c>
      <c r="P13" s="227" t="n">
        <v>4526</v>
      </c>
      <c r="Q13" s="227" t="n">
        <v>26693</v>
      </c>
      <c r="R13" s="227" t="n">
        <v>7967</v>
      </c>
      <c r="S13" s="227" t="n">
        <v>69423</v>
      </c>
      <c r="T13" s="227" t="n">
        <v>0</v>
      </c>
      <c r="U13" s="227" t="n">
        <v>0</v>
      </c>
      <c r="V13" s="227" t="n">
        <v>0</v>
      </c>
      <c r="W13" s="227" t="n">
        <v>11741</v>
      </c>
      <c r="X13" s="227" t="n">
        <v>117050</v>
      </c>
      <c r="Y13" s="227" t="n">
        <v>0</v>
      </c>
      <c r="Z13" s="227" t="n">
        <v>0</v>
      </c>
      <c r="AA13" s="228" t="n">
        <v>332842</v>
      </c>
      <c r="AC13" s="226" t="n">
        <v>2034</v>
      </c>
      <c r="AD13" s="227" t="n">
        <v>157246</v>
      </c>
      <c r="AE13" s="227" t="n">
        <v>90341</v>
      </c>
      <c r="AF13" s="227" t="n">
        <v>49640</v>
      </c>
      <c r="AG13" s="227" t="n">
        <v>16628</v>
      </c>
      <c r="AH13" s="227" t="n">
        <v>0</v>
      </c>
      <c r="AI13" s="227" t="n">
        <v>38274</v>
      </c>
      <c r="AJ13" s="227" t="n">
        <v>476</v>
      </c>
      <c r="AK13" s="227" t="n">
        <v>0</v>
      </c>
      <c r="AL13" s="227" t="n">
        <v>0</v>
      </c>
      <c r="AM13" s="227" t="n">
        <v>0</v>
      </c>
      <c r="AN13" s="228" t="n">
        <v>352605</v>
      </c>
      <c r="AQ13" s="226" t="n">
        <v>2034</v>
      </c>
      <c r="AR13" s="227" t="n">
        <v>4095278.852916345</v>
      </c>
      <c r="AS13" s="227" t="n">
        <v>4658726.359902568</v>
      </c>
      <c r="AT13" s="227" t="n">
        <v>5425580.831231764</v>
      </c>
      <c r="AU13" s="227" t="n">
        <v>6401869.581650252</v>
      </c>
      <c r="AV13" s="227" t="n">
        <v>7348669.646020876</v>
      </c>
    </row>
    <row r="14">
      <c r="A14" s="229" t="n">
        <v>2035</v>
      </c>
      <c r="B14" s="230" t="n">
        <v>1388342</v>
      </c>
      <c r="C14" s="230" t="n">
        <v>0</v>
      </c>
      <c r="D14" s="230" t="n">
        <v>2322593</v>
      </c>
      <c r="E14" s="230" t="n">
        <v>0</v>
      </c>
      <c r="F14" s="230" t="n">
        <v>65959</v>
      </c>
      <c r="G14" s="230" t="n">
        <v>1764562</v>
      </c>
      <c r="H14" s="230" t="n">
        <v>20000</v>
      </c>
      <c r="I14" s="231" t="n">
        <v>5561456</v>
      </c>
      <c r="K14" s="229" t="n">
        <v>2035</v>
      </c>
      <c r="L14" s="230" t="n">
        <v>0</v>
      </c>
      <c r="M14" s="230" t="n">
        <v>50459</v>
      </c>
      <c r="N14" s="230" t="n">
        <v>42289</v>
      </c>
      <c r="O14" s="230" t="n">
        <v>4512</v>
      </c>
      <c r="P14" s="230" t="n">
        <v>4514</v>
      </c>
      <c r="Q14" s="230" t="n">
        <v>29725</v>
      </c>
      <c r="R14" s="230" t="n">
        <v>7941</v>
      </c>
      <c r="S14" s="230" t="n">
        <v>69111</v>
      </c>
      <c r="T14" s="230" t="n">
        <v>0</v>
      </c>
      <c r="U14" s="230" t="n">
        <v>0</v>
      </c>
      <c r="V14" s="230" t="n">
        <v>0</v>
      </c>
      <c r="W14" s="230" t="n">
        <v>12445</v>
      </c>
      <c r="X14" s="230" t="n">
        <v>66148</v>
      </c>
      <c r="Y14" s="230" t="n">
        <v>0</v>
      </c>
      <c r="Z14" s="230" t="n">
        <v>0</v>
      </c>
      <c r="AA14" s="231" t="n">
        <v>287144</v>
      </c>
      <c r="AC14" s="229" t="n">
        <v>2035</v>
      </c>
      <c r="AD14" s="230" t="n">
        <v>161177</v>
      </c>
      <c r="AE14" s="230" t="n">
        <v>55699</v>
      </c>
      <c r="AF14" s="230" t="n">
        <v>52174</v>
      </c>
      <c r="AG14" s="230" t="n">
        <v>17043</v>
      </c>
      <c r="AH14" s="230" t="n">
        <v>0</v>
      </c>
      <c r="AI14" s="230" t="n">
        <v>20889</v>
      </c>
      <c r="AJ14" s="230" t="n">
        <v>475</v>
      </c>
      <c r="AK14" s="230" t="n">
        <v>0</v>
      </c>
      <c r="AL14" s="230" t="n">
        <v>0</v>
      </c>
      <c r="AM14" s="230" t="n">
        <v>0</v>
      </c>
      <c r="AN14" s="231" t="n">
        <v>307457</v>
      </c>
      <c r="AQ14" s="229" t="n">
        <v>2035</v>
      </c>
      <c r="AR14" s="230" t="n">
        <v>4123479.872710791</v>
      </c>
      <c r="AS14" s="230" t="n">
        <v>4701915.926532065</v>
      </c>
      <c r="AT14" s="230" t="n">
        <v>5533833.930778778</v>
      </c>
      <c r="AU14" s="230" t="n">
        <v>6511276.822872482</v>
      </c>
      <c r="AV14" s="230" t="n">
        <v>7644931.561754034</v>
      </c>
    </row>
    <row r="15">
      <c r="A15" s="226" t="n">
        <v>2036</v>
      </c>
      <c r="B15" s="227" t="n">
        <v>1348892</v>
      </c>
      <c r="C15" s="227" t="n">
        <v>0</v>
      </c>
      <c r="D15" s="227" t="n">
        <v>2392764</v>
      </c>
      <c r="E15" s="227" t="n">
        <v>0</v>
      </c>
      <c r="F15" s="227" t="n">
        <v>55934</v>
      </c>
      <c r="G15" s="227" t="n">
        <v>1817499</v>
      </c>
      <c r="H15" s="227" t="n">
        <v>20000</v>
      </c>
      <c r="I15" s="228" t="n">
        <v>5635089</v>
      </c>
      <c r="K15" s="226" t="n">
        <v>2036</v>
      </c>
      <c r="L15" s="227" t="n">
        <v>0</v>
      </c>
      <c r="M15" s="227" t="n">
        <v>51468</v>
      </c>
      <c r="N15" s="227" t="n">
        <v>43135</v>
      </c>
      <c r="O15" s="227" t="n">
        <v>4512</v>
      </c>
      <c r="P15" s="227" t="n">
        <v>4809</v>
      </c>
      <c r="Q15" s="227" t="n">
        <v>29362</v>
      </c>
      <c r="R15" s="227" t="n">
        <v>8540</v>
      </c>
      <c r="S15" s="227" t="n">
        <v>76457</v>
      </c>
      <c r="T15" s="227" t="n">
        <v>0</v>
      </c>
      <c r="U15" s="227" t="n">
        <v>0</v>
      </c>
      <c r="V15" s="227" t="n">
        <v>0</v>
      </c>
      <c r="W15" s="227" t="n">
        <v>13192</v>
      </c>
      <c r="X15" s="227" t="n">
        <v>65269</v>
      </c>
      <c r="Y15" s="227" t="n">
        <v>0</v>
      </c>
      <c r="Z15" s="227" t="n">
        <v>0</v>
      </c>
      <c r="AA15" s="228" t="n">
        <v>296744</v>
      </c>
      <c r="AC15" s="226" t="n">
        <v>2036</v>
      </c>
      <c r="AD15" s="227" t="n">
        <v>165206</v>
      </c>
      <c r="AE15" s="227" t="n">
        <v>57092</v>
      </c>
      <c r="AF15" s="227" t="n">
        <v>54844</v>
      </c>
      <c r="AG15" s="227" t="n">
        <v>17469</v>
      </c>
      <c r="AH15" s="227" t="n">
        <v>0</v>
      </c>
      <c r="AI15" s="227" t="n">
        <v>22498</v>
      </c>
      <c r="AJ15" s="227" t="n">
        <v>509</v>
      </c>
      <c r="AK15" s="227" t="n">
        <v>0</v>
      </c>
      <c r="AL15" s="227" t="n">
        <v>0</v>
      </c>
      <c r="AM15" s="227" t="n">
        <v>0</v>
      </c>
      <c r="AN15" s="228" t="n">
        <v>317618</v>
      </c>
      <c r="AQ15" s="226" t="n">
        <v>2036</v>
      </c>
      <c r="AR15" s="227" t="n">
        <v>4081204.633629376</v>
      </c>
      <c r="AS15" s="227" t="n">
        <v>4724929.09356145</v>
      </c>
      <c r="AT15" s="227" t="n">
        <v>5579085.072947441</v>
      </c>
      <c r="AU15" s="227" t="n">
        <v>6657047.593195971</v>
      </c>
      <c r="AV15" s="227" t="n">
        <v>8027398.047628022</v>
      </c>
    </row>
    <row r="16">
      <c r="A16" s="229" t="n">
        <v>2037</v>
      </c>
      <c r="B16" s="230" t="n">
        <v>1298724</v>
      </c>
      <c r="C16" s="230" t="n">
        <v>0</v>
      </c>
      <c r="D16" s="230" t="n">
        <v>2462546</v>
      </c>
      <c r="E16" s="230" t="n">
        <v>0</v>
      </c>
      <c r="F16" s="230" t="n">
        <v>44467</v>
      </c>
      <c r="G16" s="230" t="n">
        <v>1872024</v>
      </c>
      <c r="H16" s="230" t="n">
        <v>20000</v>
      </c>
      <c r="I16" s="231" t="n">
        <v>5697761</v>
      </c>
      <c r="K16" s="229" t="n">
        <v>2037</v>
      </c>
      <c r="L16" s="230" t="n">
        <v>0</v>
      </c>
      <c r="M16" s="230" t="n">
        <v>52498</v>
      </c>
      <c r="N16" s="230" t="n">
        <v>43998</v>
      </c>
      <c r="O16" s="230" t="n">
        <v>4512</v>
      </c>
      <c r="P16" s="230" t="n">
        <v>4774</v>
      </c>
      <c r="Q16" s="230" t="n">
        <v>29021</v>
      </c>
      <c r="R16" s="230" t="n">
        <v>8468</v>
      </c>
      <c r="S16" s="230" t="n">
        <v>75577</v>
      </c>
      <c r="T16" s="230" t="n">
        <v>0</v>
      </c>
      <c r="U16" s="230" t="n">
        <v>0</v>
      </c>
      <c r="V16" s="230" t="n">
        <v>0</v>
      </c>
      <c r="W16" s="230" t="n">
        <v>13983</v>
      </c>
      <c r="X16" s="230" t="n">
        <v>69607</v>
      </c>
      <c r="Y16" s="230" t="n">
        <v>0</v>
      </c>
      <c r="Z16" s="230" t="n">
        <v>0</v>
      </c>
      <c r="AA16" s="231" t="n">
        <v>302438</v>
      </c>
      <c r="AC16" s="229" t="n">
        <v>2037</v>
      </c>
      <c r="AD16" s="230" t="n">
        <v>169337</v>
      </c>
      <c r="AE16" s="230" t="n">
        <v>58519</v>
      </c>
      <c r="AF16" s="230" t="n">
        <v>57659</v>
      </c>
      <c r="AG16" s="230" t="n">
        <v>17906</v>
      </c>
      <c r="AH16" s="230" t="n">
        <v>0</v>
      </c>
      <c r="AI16" s="230" t="n">
        <v>22130</v>
      </c>
      <c r="AJ16" s="230" t="n">
        <v>505</v>
      </c>
      <c r="AK16" s="230" t="n">
        <v>0</v>
      </c>
      <c r="AL16" s="230" t="n">
        <v>0</v>
      </c>
      <c r="AM16" s="230" t="n">
        <v>0</v>
      </c>
      <c r="AN16" s="231" t="n">
        <v>326056</v>
      </c>
      <c r="AQ16" s="229" t="n">
        <v>2037</v>
      </c>
      <c r="AR16" s="230" t="n">
        <v>4024747.700211575</v>
      </c>
      <c r="AS16" s="230" t="n">
        <v>4702389.141859608</v>
      </c>
      <c r="AT16" s="230" t="n">
        <v>5616702.469132341</v>
      </c>
      <c r="AU16" s="230" t="n">
        <v>6888782.707095354</v>
      </c>
      <c r="AV16" s="230" t="n">
        <v>8321796.16083381</v>
      </c>
    </row>
    <row r="17">
      <c r="A17" s="226" t="n">
        <v>2038</v>
      </c>
      <c r="B17" s="227" t="n">
        <v>1246954</v>
      </c>
      <c r="C17" s="227" t="n">
        <v>0</v>
      </c>
      <c r="D17" s="227" t="n">
        <v>2529483</v>
      </c>
      <c r="E17" s="227" t="n">
        <v>0</v>
      </c>
      <c r="F17" s="227" t="n">
        <v>31423</v>
      </c>
      <c r="G17" s="227" t="n">
        <v>1928185</v>
      </c>
      <c r="H17" s="227" t="n">
        <v>20000</v>
      </c>
      <c r="I17" s="228" t="n">
        <v>5756045</v>
      </c>
      <c r="K17" s="226" t="n">
        <v>2038</v>
      </c>
      <c r="L17" s="227" t="n">
        <v>0</v>
      </c>
      <c r="M17" s="227" t="n">
        <v>53548</v>
      </c>
      <c r="N17" s="227" t="n">
        <v>44878</v>
      </c>
      <c r="O17" s="227" t="n">
        <v>4512</v>
      </c>
      <c r="P17" s="227" t="n">
        <v>4743</v>
      </c>
      <c r="Q17" s="227" t="n">
        <v>28710</v>
      </c>
      <c r="R17" s="227" t="n">
        <v>8401</v>
      </c>
      <c r="S17" s="227" t="n">
        <v>74750</v>
      </c>
      <c r="T17" s="227" t="n">
        <v>0</v>
      </c>
      <c r="U17" s="227" t="n">
        <v>0</v>
      </c>
      <c r="V17" s="227" t="n">
        <v>0</v>
      </c>
      <c r="W17" s="227" t="n">
        <v>14822</v>
      </c>
      <c r="X17" s="227" t="n">
        <v>76242</v>
      </c>
      <c r="Y17" s="227" t="n">
        <v>0</v>
      </c>
      <c r="Z17" s="227" t="n">
        <v>0</v>
      </c>
      <c r="AA17" s="228" t="n">
        <v>310606</v>
      </c>
      <c r="AC17" s="226" t="n">
        <v>2038</v>
      </c>
      <c r="AD17" s="227" t="n">
        <v>173570</v>
      </c>
      <c r="AE17" s="227" t="n">
        <v>59982</v>
      </c>
      <c r="AF17" s="227" t="n">
        <v>60626</v>
      </c>
      <c r="AG17" s="227" t="n">
        <v>18354</v>
      </c>
      <c r="AH17" s="227" t="n">
        <v>0</v>
      </c>
      <c r="AI17" s="227" t="n">
        <v>21781</v>
      </c>
      <c r="AJ17" s="227" t="n">
        <v>501</v>
      </c>
      <c r="AK17" s="227" t="n">
        <v>0</v>
      </c>
      <c r="AL17" s="227" t="n">
        <v>0</v>
      </c>
      <c r="AM17" s="227" t="n">
        <v>0</v>
      </c>
      <c r="AN17" s="228" t="n">
        <v>334814</v>
      </c>
      <c r="AQ17" s="226" t="n">
        <v>2038</v>
      </c>
      <c r="AR17" s="227" t="n">
        <v>3908227.37587299</v>
      </c>
      <c r="AS17" s="227" t="n">
        <v>4692173.126485125</v>
      </c>
      <c r="AT17" s="227" t="n">
        <v>5591148.824798234</v>
      </c>
      <c r="AU17" s="227" t="n">
        <v>7078489.730321897</v>
      </c>
      <c r="AV17" s="227" t="n">
        <v>8667709.128035121</v>
      </c>
    </row>
    <row r="18">
      <c r="A18" s="229" t="n">
        <v>2039</v>
      </c>
      <c r="B18" s="230" t="n">
        <v>1193388</v>
      </c>
      <c r="C18" s="230" t="n">
        <v>0</v>
      </c>
      <c r="D18" s="230" t="n">
        <v>2593273</v>
      </c>
      <c r="E18" s="230" t="n">
        <v>0</v>
      </c>
      <c r="F18" s="230" t="n">
        <v>16654</v>
      </c>
      <c r="G18" s="230" t="n">
        <v>1986030</v>
      </c>
      <c r="H18" s="230" t="n">
        <v>20000</v>
      </c>
      <c r="I18" s="231" t="n">
        <v>5809345</v>
      </c>
      <c r="K18" s="229" t="n">
        <v>2039</v>
      </c>
      <c r="L18" s="230" t="n">
        <v>0</v>
      </c>
      <c r="M18" s="230" t="n">
        <v>54619</v>
      </c>
      <c r="N18" s="230" t="n">
        <v>45775</v>
      </c>
      <c r="O18" s="230" t="n">
        <v>4512</v>
      </c>
      <c r="P18" s="230" t="n">
        <v>4714</v>
      </c>
      <c r="Q18" s="230" t="n">
        <v>28428</v>
      </c>
      <c r="R18" s="230" t="n">
        <v>8340</v>
      </c>
      <c r="S18" s="230" t="n">
        <v>73998</v>
      </c>
      <c r="T18" s="230" t="n">
        <v>0</v>
      </c>
      <c r="U18" s="230" t="n">
        <v>0</v>
      </c>
      <c r="V18" s="230" t="n">
        <v>0</v>
      </c>
      <c r="W18" s="230" t="n">
        <v>15712</v>
      </c>
      <c r="X18" s="230" t="n">
        <v>82999</v>
      </c>
      <c r="Y18" s="230" t="n">
        <v>0</v>
      </c>
      <c r="Z18" s="230" t="n">
        <v>0</v>
      </c>
      <c r="AA18" s="231" t="n">
        <v>319097</v>
      </c>
      <c r="AC18" s="229" t="n">
        <v>2039</v>
      </c>
      <c r="AD18" s="230" t="n">
        <v>177909</v>
      </c>
      <c r="AE18" s="230" t="n">
        <v>61482</v>
      </c>
      <c r="AF18" s="230" t="n">
        <v>63754</v>
      </c>
      <c r="AG18" s="230" t="n">
        <v>18813</v>
      </c>
      <c r="AH18" s="230" t="n">
        <v>0</v>
      </c>
      <c r="AI18" s="230" t="n">
        <v>21454</v>
      </c>
      <c r="AJ18" s="230" t="n">
        <v>498</v>
      </c>
      <c r="AK18" s="230" t="n">
        <v>0</v>
      </c>
      <c r="AL18" s="230" t="n">
        <v>0</v>
      </c>
      <c r="AM18" s="230" t="n">
        <v>0</v>
      </c>
      <c r="AN18" s="231" t="n">
        <v>343910</v>
      </c>
      <c r="AQ18" s="229" t="n">
        <v>2039</v>
      </c>
      <c r="AR18" s="230" t="n">
        <v>3830415.545205024</v>
      </c>
      <c r="AS18" s="230" t="n">
        <v>4641453.920849137</v>
      </c>
      <c r="AT18" s="230" t="n">
        <v>5606410.750630565</v>
      </c>
      <c r="AU18" s="230" t="n">
        <v>7255731.735753307</v>
      </c>
      <c r="AV18" s="230" t="n">
        <v>8827555.325641964</v>
      </c>
    </row>
    <row r="19">
      <c r="A19" s="226" t="n">
        <v>2040</v>
      </c>
      <c r="B19" s="227" t="n">
        <v>1137801</v>
      </c>
      <c r="C19" s="227" t="n">
        <v>0</v>
      </c>
      <c r="D19" s="227" t="n">
        <v>2653586</v>
      </c>
      <c r="E19" s="227" t="n">
        <v>0</v>
      </c>
      <c r="F19" s="227" t="n">
        <v>0</v>
      </c>
      <c r="G19" s="227" t="n">
        <v>2045611</v>
      </c>
      <c r="H19" s="227" t="n">
        <v>20000</v>
      </c>
      <c r="I19" s="228" t="n">
        <v>5856998</v>
      </c>
      <c r="K19" s="226" t="n">
        <v>2040</v>
      </c>
      <c r="L19" s="227" t="n">
        <v>0</v>
      </c>
      <c r="M19" s="227" t="n">
        <v>55711</v>
      </c>
      <c r="N19" s="227" t="n">
        <v>46691</v>
      </c>
      <c r="O19" s="227" t="n">
        <v>4512</v>
      </c>
      <c r="P19" s="227" t="n">
        <v>4689</v>
      </c>
      <c r="Q19" s="227" t="n">
        <v>28173</v>
      </c>
      <c r="R19" s="227" t="n">
        <v>8284</v>
      </c>
      <c r="S19" s="227" t="n">
        <v>73315</v>
      </c>
      <c r="T19" s="227" t="n">
        <v>0</v>
      </c>
      <c r="U19" s="227" t="n">
        <v>0</v>
      </c>
      <c r="V19" s="227" t="n">
        <v>0</v>
      </c>
      <c r="W19" s="227" t="n">
        <v>16654</v>
      </c>
      <c r="X19" s="227" t="n">
        <v>89890</v>
      </c>
      <c r="Y19" s="227" t="n">
        <v>0</v>
      </c>
      <c r="Z19" s="227" t="n">
        <v>0</v>
      </c>
      <c r="AA19" s="228" t="n">
        <v>327919</v>
      </c>
      <c r="AC19" s="226" t="n">
        <v>2040</v>
      </c>
      <c r="AD19" s="227" t="n">
        <v>182357</v>
      </c>
      <c r="AE19" s="227" t="n">
        <v>63019</v>
      </c>
      <c r="AF19" s="227" t="n">
        <v>67051</v>
      </c>
      <c r="AG19" s="227" t="n">
        <v>19283</v>
      </c>
      <c r="AH19" s="227" t="n">
        <v>0</v>
      </c>
      <c r="AI19" s="227" t="n">
        <v>21148</v>
      </c>
      <c r="AJ19" s="227" t="n">
        <v>495</v>
      </c>
      <c r="AK19" s="227" t="n">
        <v>0</v>
      </c>
      <c r="AL19" s="227" t="n">
        <v>0</v>
      </c>
      <c r="AM19" s="227" t="n">
        <v>0</v>
      </c>
      <c r="AN19" s="228" t="n">
        <v>353353</v>
      </c>
      <c r="AQ19" s="226" t="n">
        <v>2040</v>
      </c>
      <c r="AR19" s="227" t="n">
        <v>3727500.109795863</v>
      </c>
      <c r="AS19" s="227" t="n">
        <v>4574085.317483976</v>
      </c>
      <c r="AT19" s="227" t="n">
        <v>5653332.30331395</v>
      </c>
      <c r="AU19" s="227" t="n">
        <v>7377249.450139545</v>
      </c>
      <c r="AV19" s="227" t="n">
        <v>9325462.21500537</v>
      </c>
    </row>
    <row r="20">
      <c r="A20" s="229" t="n">
        <v>2041</v>
      </c>
      <c r="B20" s="230" t="n">
        <v>1079958</v>
      </c>
      <c r="C20" s="230" t="n">
        <v>0</v>
      </c>
      <c r="D20" s="230" t="n">
        <v>2696174</v>
      </c>
      <c r="E20" s="230" t="n">
        <v>0</v>
      </c>
      <c r="F20" s="230" t="n">
        <v>0</v>
      </c>
      <c r="G20" s="230" t="n">
        <v>2106980</v>
      </c>
      <c r="H20" s="230" t="n">
        <v>20000</v>
      </c>
      <c r="I20" s="231" t="n">
        <v>5903112</v>
      </c>
      <c r="K20" s="229" t="n">
        <v>2041</v>
      </c>
      <c r="L20" s="230" t="n">
        <v>0</v>
      </c>
      <c r="M20" s="230" t="n">
        <v>56825</v>
      </c>
      <c r="N20" s="230" t="n">
        <v>47624</v>
      </c>
      <c r="O20" s="230" t="n">
        <v>4512</v>
      </c>
      <c r="P20" s="230" t="n">
        <v>4665</v>
      </c>
      <c r="Q20" s="230" t="n">
        <v>27944</v>
      </c>
      <c r="R20" s="230" t="n">
        <v>8234</v>
      </c>
      <c r="S20" s="230" t="n">
        <v>72697</v>
      </c>
      <c r="T20" s="230" t="n">
        <v>0</v>
      </c>
      <c r="U20" s="230" t="n">
        <v>0</v>
      </c>
      <c r="V20" s="230" t="n">
        <v>0</v>
      </c>
      <c r="W20" s="230" t="n">
        <v>0</v>
      </c>
      <c r="X20" s="230" t="n">
        <v>110026</v>
      </c>
      <c r="Y20" s="230" t="n">
        <v>0</v>
      </c>
      <c r="Z20" s="230" t="n">
        <v>0</v>
      </c>
      <c r="AA20" s="231" t="n">
        <v>332527</v>
      </c>
      <c r="AC20" s="229" t="n">
        <v>2041</v>
      </c>
      <c r="AD20" s="230" t="n">
        <v>182357</v>
      </c>
      <c r="AE20" s="230" t="n">
        <v>64594</v>
      </c>
      <c r="AF20" s="230" t="n">
        <v>70527</v>
      </c>
      <c r="AG20" s="230" t="n">
        <v>19765</v>
      </c>
      <c r="AH20" s="230" t="n">
        <v>0</v>
      </c>
      <c r="AI20" s="230" t="n">
        <v>20862</v>
      </c>
      <c r="AJ20" s="230" t="n">
        <v>492</v>
      </c>
      <c r="AK20" s="230" t="n">
        <v>0</v>
      </c>
      <c r="AL20" s="230" t="n">
        <v>0</v>
      </c>
      <c r="AM20" s="230" t="n">
        <v>0</v>
      </c>
      <c r="AN20" s="231" t="n">
        <v>358597</v>
      </c>
      <c r="AQ20" s="229" t="n">
        <v>2041</v>
      </c>
      <c r="AR20" s="230" t="n">
        <v>3629512.50723211</v>
      </c>
      <c r="AS20" s="230" t="n">
        <v>4515221.033837212</v>
      </c>
      <c r="AT20" s="230" t="n">
        <v>5682228.700785721</v>
      </c>
      <c r="AU20" s="230" t="n">
        <v>7465930.920022153</v>
      </c>
      <c r="AV20" s="230" t="n">
        <v>9536245.423361454</v>
      </c>
    </row>
    <row r="21">
      <c r="A21" s="226" t="n">
        <v>2042</v>
      </c>
      <c r="B21" s="227" t="n">
        <v>1019621</v>
      </c>
      <c r="C21" s="227" t="n">
        <v>0</v>
      </c>
      <c r="D21" s="227" t="n">
        <v>2737512</v>
      </c>
      <c r="E21" s="227" t="n">
        <v>0</v>
      </c>
      <c r="F21" s="227" t="n">
        <v>0</v>
      </c>
      <c r="G21" s="227" t="n">
        <v>2170189</v>
      </c>
      <c r="H21" s="227" t="n">
        <v>20000</v>
      </c>
      <c r="I21" s="228" t="n">
        <v>5947322</v>
      </c>
      <c r="K21" s="226" t="n">
        <v>2042</v>
      </c>
      <c r="L21" s="227" t="n">
        <v>0</v>
      </c>
      <c r="M21" s="227" t="n">
        <v>57962</v>
      </c>
      <c r="N21" s="227" t="n">
        <v>48577</v>
      </c>
      <c r="O21" s="227" t="n">
        <v>4512</v>
      </c>
      <c r="P21" s="227" t="n">
        <v>4644</v>
      </c>
      <c r="Q21" s="227" t="n">
        <v>27738</v>
      </c>
      <c r="R21" s="227" t="n">
        <v>8188</v>
      </c>
      <c r="S21" s="227" t="n">
        <v>72141</v>
      </c>
      <c r="T21" s="227" t="n">
        <v>0</v>
      </c>
      <c r="U21" s="227" t="n">
        <v>0</v>
      </c>
      <c r="V21" s="227" t="n">
        <v>0</v>
      </c>
      <c r="W21" s="227" t="n">
        <v>0</v>
      </c>
      <c r="X21" s="227" t="n">
        <v>113616</v>
      </c>
      <c r="Y21" s="227" t="n">
        <v>0</v>
      </c>
      <c r="Z21" s="227" t="n">
        <v>0</v>
      </c>
      <c r="AA21" s="228" t="n">
        <v>337378</v>
      </c>
      <c r="AC21" s="226" t="n">
        <v>2042</v>
      </c>
      <c r="AD21" s="227" t="n">
        <v>182357</v>
      </c>
      <c r="AE21" s="227" t="n">
        <v>66209</v>
      </c>
      <c r="AF21" s="227" t="n">
        <v>74191</v>
      </c>
      <c r="AG21" s="227" t="n">
        <v>20259</v>
      </c>
      <c r="AH21" s="227" t="n">
        <v>0</v>
      </c>
      <c r="AI21" s="227" t="n">
        <v>20593</v>
      </c>
      <c r="AJ21" s="227" t="n">
        <v>489</v>
      </c>
      <c r="AK21" s="227" t="n">
        <v>0</v>
      </c>
      <c r="AL21" s="227" t="n">
        <v>0</v>
      </c>
      <c r="AM21" s="227" t="n">
        <v>0</v>
      </c>
      <c r="AN21" s="228" t="n">
        <v>364098</v>
      </c>
      <c r="AQ21" s="226" t="n">
        <v>2042</v>
      </c>
      <c r="AR21" s="227" t="n">
        <v>3539056.383259014</v>
      </c>
      <c r="AS21" s="227" t="n">
        <v>4485989.53562109</v>
      </c>
      <c r="AT21" s="227" t="n">
        <v>5734229.903261857</v>
      </c>
      <c r="AU21" s="227" t="n">
        <v>7563181.367135906</v>
      </c>
      <c r="AV21" s="227" t="n">
        <v>10175171.01439997</v>
      </c>
    </row>
    <row r="22">
      <c r="A22" s="229" t="n">
        <v>2043</v>
      </c>
      <c r="B22" s="230" t="n">
        <v>956542</v>
      </c>
      <c r="C22" s="230" t="n">
        <v>0</v>
      </c>
      <c r="D22" s="230" t="n">
        <v>2777392</v>
      </c>
      <c r="E22" s="230" t="n">
        <v>0</v>
      </c>
      <c r="F22" s="230" t="n">
        <v>0</v>
      </c>
      <c r="G22" s="230" t="n">
        <v>2235295</v>
      </c>
      <c r="H22" s="230" t="n">
        <v>20000</v>
      </c>
      <c r="I22" s="231" t="n">
        <v>5989229</v>
      </c>
      <c r="K22" s="229" t="n">
        <v>2043</v>
      </c>
      <c r="L22" s="230" t="n">
        <v>0</v>
      </c>
      <c r="M22" s="230" t="n">
        <v>59121</v>
      </c>
      <c r="N22" s="230" t="n">
        <v>49548</v>
      </c>
      <c r="O22" s="230" t="n">
        <v>4512</v>
      </c>
      <c r="P22" s="230" t="n">
        <v>4626</v>
      </c>
      <c r="Q22" s="230" t="n">
        <v>27554</v>
      </c>
      <c r="R22" s="230" t="n">
        <v>8147</v>
      </c>
      <c r="S22" s="230" t="n">
        <v>71642</v>
      </c>
      <c r="T22" s="230" t="n">
        <v>0</v>
      </c>
      <c r="U22" s="230" t="n">
        <v>0</v>
      </c>
      <c r="V22" s="230" t="n">
        <v>0</v>
      </c>
      <c r="W22" s="230" t="n">
        <v>0</v>
      </c>
      <c r="X22" s="230" t="n">
        <v>117330</v>
      </c>
      <c r="Y22" s="230" t="n">
        <v>0</v>
      </c>
      <c r="Z22" s="230" t="n">
        <v>0</v>
      </c>
      <c r="AA22" s="231" t="n">
        <v>342480</v>
      </c>
      <c r="AC22" s="229" t="n">
        <v>2043</v>
      </c>
      <c r="AD22" s="230" t="n">
        <v>182357</v>
      </c>
      <c r="AE22" s="230" t="n">
        <v>67864</v>
      </c>
      <c r="AF22" s="230" t="n">
        <v>78054</v>
      </c>
      <c r="AG22" s="230" t="n">
        <v>20766</v>
      </c>
      <c r="AH22" s="230" t="n">
        <v>0</v>
      </c>
      <c r="AI22" s="230" t="n">
        <v>20342</v>
      </c>
      <c r="AJ22" s="230" t="n">
        <v>487</v>
      </c>
      <c r="AK22" s="230" t="n">
        <v>0</v>
      </c>
      <c r="AL22" s="230" t="n">
        <v>0</v>
      </c>
      <c r="AM22" s="230" t="n">
        <v>0</v>
      </c>
      <c r="AN22" s="231" t="n">
        <v>369870</v>
      </c>
      <c r="AQ22" s="229" t="n">
        <v>2043</v>
      </c>
      <c r="AR22" s="230" t="n">
        <v>3452778.481815435</v>
      </c>
      <c r="AS22" s="230" t="n">
        <v>4366945.594415486</v>
      </c>
      <c r="AT22" s="230" t="n">
        <v>5773154.941410162</v>
      </c>
      <c r="AU22" s="230" t="n">
        <v>7637810.381816683</v>
      </c>
      <c r="AV22" s="230" t="n">
        <v>10491223.4338881</v>
      </c>
    </row>
    <row r="23">
      <c r="A23" s="226" t="n">
        <v>2044</v>
      </c>
      <c r="B23" s="227" t="n">
        <v>890464</v>
      </c>
      <c r="C23" s="227" t="n">
        <v>0</v>
      </c>
      <c r="D23" s="227" t="n">
        <v>2815580</v>
      </c>
      <c r="E23" s="227" t="n">
        <v>0</v>
      </c>
      <c r="F23" s="227" t="n">
        <v>0</v>
      </c>
      <c r="G23" s="227" t="n">
        <v>2302353</v>
      </c>
      <c r="H23" s="227" t="n">
        <v>20000</v>
      </c>
      <c r="I23" s="228" t="n">
        <v>6028397</v>
      </c>
      <c r="K23" s="226" t="n">
        <v>2044</v>
      </c>
      <c r="L23" s="227" t="n">
        <v>0</v>
      </c>
      <c r="M23" s="227" t="n">
        <v>60303</v>
      </c>
      <c r="N23" s="227" t="n">
        <v>50539</v>
      </c>
      <c r="O23" s="227" t="n">
        <v>4512</v>
      </c>
      <c r="P23" s="227" t="n">
        <v>4609</v>
      </c>
      <c r="Q23" s="227" t="n">
        <v>27391</v>
      </c>
      <c r="R23" s="227" t="n">
        <v>8111</v>
      </c>
      <c r="S23" s="227" t="n">
        <v>71197</v>
      </c>
      <c r="T23" s="227" t="n">
        <v>0</v>
      </c>
      <c r="U23" s="227" t="n">
        <v>0</v>
      </c>
      <c r="V23" s="227" t="n">
        <v>0</v>
      </c>
      <c r="W23" s="227" t="n">
        <v>0</v>
      </c>
      <c r="X23" s="227" t="n">
        <v>121184</v>
      </c>
      <c r="Y23" s="227" t="n">
        <v>0</v>
      </c>
      <c r="Z23" s="227" t="n">
        <v>0</v>
      </c>
      <c r="AA23" s="228" t="n">
        <v>347846</v>
      </c>
      <c r="AC23" s="226" t="n">
        <v>2044</v>
      </c>
      <c r="AD23" s="227" t="n">
        <v>182357</v>
      </c>
      <c r="AE23" s="227" t="n">
        <v>69561</v>
      </c>
      <c r="AF23" s="227" t="n">
        <v>82127</v>
      </c>
      <c r="AG23" s="227" t="n">
        <v>21285</v>
      </c>
      <c r="AH23" s="227" t="n">
        <v>0</v>
      </c>
      <c r="AI23" s="227" t="n">
        <v>20107</v>
      </c>
      <c r="AJ23" s="227" t="n">
        <v>485</v>
      </c>
      <c r="AK23" s="227" t="n">
        <v>0</v>
      </c>
      <c r="AL23" s="227" t="n">
        <v>0</v>
      </c>
      <c r="AM23" s="227" t="n">
        <v>0</v>
      </c>
      <c r="AN23" s="228" t="n">
        <v>375922</v>
      </c>
      <c r="AQ23" s="226" t="n">
        <v>2044</v>
      </c>
      <c r="AR23" s="227" t="n">
        <v>3296312.820988317</v>
      </c>
      <c r="AS23" s="227" t="n">
        <v>4296686.509656517</v>
      </c>
      <c r="AT23" s="227" t="n">
        <v>5706243.358585005</v>
      </c>
      <c r="AU23" s="227" t="n">
        <v>7842805.558132621</v>
      </c>
      <c r="AV23" s="227" t="n">
        <v>10701076.98825039</v>
      </c>
    </row>
    <row r="24">
      <c r="A24" s="229" t="n">
        <v>2045</v>
      </c>
      <c r="B24" s="230" t="n">
        <v>821122</v>
      </c>
      <c r="C24" s="230" t="n">
        <v>0</v>
      </c>
      <c r="D24" s="230" t="n">
        <v>2851810</v>
      </c>
      <c r="E24" s="230" t="n">
        <v>0</v>
      </c>
      <c r="F24" s="230" t="n">
        <v>0</v>
      </c>
      <c r="G24" s="230" t="n">
        <v>2371424</v>
      </c>
      <c r="H24" s="230" t="n">
        <v>20000</v>
      </c>
      <c r="I24" s="231" t="n">
        <v>6064356</v>
      </c>
      <c r="K24" s="229" t="n">
        <v>2045</v>
      </c>
      <c r="L24" s="230" t="n">
        <v>0</v>
      </c>
      <c r="M24" s="230" t="n">
        <v>61509</v>
      </c>
      <c r="N24" s="230" t="n">
        <v>51550</v>
      </c>
      <c r="O24" s="230" t="n">
        <v>4512</v>
      </c>
      <c r="P24" s="230" t="n">
        <v>4595</v>
      </c>
      <c r="Q24" s="230" t="n">
        <v>27247</v>
      </c>
      <c r="R24" s="230" t="n">
        <v>8079</v>
      </c>
      <c r="S24" s="230" t="n">
        <v>70802</v>
      </c>
      <c r="T24" s="230" t="n">
        <v>0</v>
      </c>
      <c r="U24" s="230" t="n">
        <v>0</v>
      </c>
      <c r="V24" s="230" t="n">
        <v>0</v>
      </c>
      <c r="W24" s="230" t="n">
        <v>0</v>
      </c>
      <c r="X24" s="230" t="n">
        <v>125194</v>
      </c>
      <c r="Y24" s="230" t="n">
        <v>0</v>
      </c>
      <c r="Z24" s="230" t="n">
        <v>0</v>
      </c>
      <c r="AA24" s="231" t="n">
        <v>353488</v>
      </c>
      <c r="AC24" s="229" t="n">
        <v>2045</v>
      </c>
      <c r="AD24" s="230" t="n">
        <v>182357</v>
      </c>
      <c r="AE24" s="230" t="n">
        <v>71300</v>
      </c>
      <c r="AF24" s="230" t="n">
        <v>86422</v>
      </c>
      <c r="AG24" s="230" t="n">
        <v>21817</v>
      </c>
      <c r="AH24" s="230" t="n">
        <v>0</v>
      </c>
      <c r="AI24" s="230" t="n">
        <v>19886</v>
      </c>
      <c r="AJ24" s="230" t="n">
        <v>483</v>
      </c>
      <c r="AK24" s="230" t="n">
        <v>0</v>
      </c>
      <c r="AL24" s="230" t="n">
        <v>0</v>
      </c>
      <c r="AM24" s="230" t="n">
        <v>0</v>
      </c>
      <c r="AN24" s="231" t="n">
        <v>382265</v>
      </c>
      <c r="AQ24" s="229" t="n">
        <v>2045</v>
      </c>
      <c r="AR24" s="230" t="n">
        <v>3212545.80921576</v>
      </c>
      <c r="AS24" s="230" t="n">
        <v>4212991.128837273</v>
      </c>
      <c r="AT24" s="230" t="n">
        <v>5686791.208802653</v>
      </c>
      <c r="AU24" s="230" t="n">
        <v>7936435.609214366</v>
      </c>
      <c r="AV24" s="230" t="n">
        <v>11424807.71053083</v>
      </c>
    </row>
    <row r="25">
      <c r="A25" s="226" t="n">
        <v>2046</v>
      </c>
      <c r="B25" s="227" t="n">
        <v>748240</v>
      </c>
      <c r="C25" s="227" t="n">
        <v>0</v>
      </c>
      <c r="D25" s="227" t="n">
        <v>2885782</v>
      </c>
      <c r="E25" s="227" t="n">
        <v>0</v>
      </c>
      <c r="F25" s="227" t="n">
        <v>0</v>
      </c>
      <c r="G25" s="227" t="n">
        <v>2442567</v>
      </c>
      <c r="H25" s="227" t="n">
        <v>20000</v>
      </c>
      <c r="I25" s="228" t="n">
        <v>6096589</v>
      </c>
      <c r="K25" s="226" t="n">
        <v>2046</v>
      </c>
      <c r="L25" s="227" t="n">
        <v>0</v>
      </c>
      <c r="M25" s="227" t="n">
        <v>62740</v>
      </c>
      <c r="N25" s="227" t="n">
        <v>52581</v>
      </c>
      <c r="O25" s="227" t="n">
        <v>4512</v>
      </c>
      <c r="P25" s="227" t="n">
        <v>4582</v>
      </c>
      <c r="Q25" s="227" t="n">
        <v>27122</v>
      </c>
      <c r="R25" s="227" t="n">
        <v>8051</v>
      </c>
      <c r="S25" s="227" t="n">
        <v>70454</v>
      </c>
      <c r="T25" s="227" t="n">
        <v>0</v>
      </c>
      <c r="U25" s="227" t="n">
        <v>0</v>
      </c>
      <c r="V25" s="227" t="n">
        <v>0</v>
      </c>
      <c r="W25" s="227" t="n">
        <v>0</v>
      </c>
      <c r="X25" s="227" t="n">
        <v>129374</v>
      </c>
      <c r="Y25" s="227" t="n">
        <v>0</v>
      </c>
      <c r="Z25" s="227" t="n">
        <v>0</v>
      </c>
      <c r="AA25" s="228" t="n">
        <v>359416</v>
      </c>
      <c r="AC25" s="226" t="n">
        <v>2046</v>
      </c>
      <c r="AD25" s="227" t="n">
        <v>182357</v>
      </c>
      <c r="AE25" s="227" t="n">
        <v>73082</v>
      </c>
      <c r="AF25" s="227" t="n">
        <v>90949</v>
      </c>
      <c r="AG25" s="227" t="n">
        <v>22362</v>
      </c>
      <c r="AH25" s="227" t="n">
        <v>0</v>
      </c>
      <c r="AI25" s="227" t="n">
        <v>19678</v>
      </c>
      <c r="AJ25" s="227" t="n">
        <v>482</v>
      </c>
      <c r="AK25" s="227" t="n">
        <v>0</v>
      </c>
      <c r="AL25" s="227" t="n">
        <v>0</v>
      </c>
      <c r="AM25" s="227" t="n">
        <v>0</v>
      </c>
      <c r="AN25" s="228" t="n">
        <v>388910</v>
      </c>
      <c r="AQ25" s="226" t="n">
        <v>2046</v>
      </c>
      <c r="AR25" s="227" t="n">
        <v>3210806.515456208</v>
      </c>
      <c r="AS25" s="227" t="n">
        <v>4104104.915064061</v>
      </c>
      <c r="AT25" s="227" t="n">
        <v>5743301.126954641</v>
      </c>
      <c r="AU25" s="227" t="n">
        <v>8291228.43812952</v>
      </c>
      <c r="AV25" s="227" t="n">
        <v>11595565.65819731</v>
      </c>
    </row>
    <row r="26">
      <c r="A26" s="229" t="n">
        <v>2047</v>
      </c>
      <c r="B26" s="230" t="n">
        <v>671530</v>
      </c>
      <c r="C26" s="230" t="n">
        <v>0</v>
      </c>
      <c r="D26" s="230" t="n">
        <v>2908875</v>
      </c>
      <c r="E26" s="230" t="n">
        <v>0</v>
      </c>
      <c r="F26" s="230" t="n">
        <v>0</v>
      </c>
      <c r="G26" s="230" t="n">
        <v>2515844</v>
      </c>
      <c r="H26" s="230" t="n">
        <v>20000</v>
      </c>
      <c r="I26" s="231" t="n">
        <v>6116249</v>
      </c>
      <c r="K26" s="229" t="n">
        <v>2047</v>
      </c>
      <c r="L26" s="230" t="n">
        <v>0</v>
      </c>
      <c r="M26" s="230" t="n">
        <v>63994</v>
      </c>
      <c r="N26" s="230" t="n">
        <v>53633</v>
      </c>
      <c r="O26" s="230" t="n">
        <v>4512</v>
      </c>
      <c r="P26" s="230" t="n">
        <v>3652</v>
      </c>
      <c r="Q26" s="230" t="n">
        <v>17933</v>
      </c>
      <c r="R26" s="230" t="n">
        <v>8026</v>
      </c>
      <c r="S26" s="230" t="n">
        <v>70150</v>
      </c>
      <c r="T26" s="230" t="n">
        <v>0</v>
      </c>
      <c r="U26" s="230" t="n">
        <v>0</v>
      </c>
      <c r="V26" s="230" t="n">
        <v>0</v>
      </c>
      <c r="W26" s="230" t="n">
        <v>0</v>
      </c>
      <c r="X26" s="230" t="n">
        <v>141561</v>
      </c>
      <c r="Y26" s="230" t="n">
        <v>0</v>
      </c>
      <c r="Z26" s="230" t="n">
        <v>0</v>
      </c>
      <c r="AA26" s="231" t="n">
        <v>363461</v>
      </c>
      <c r="AC26" s="229" t="n">
        <v>2047</v>
      </c>
      <c r="AD26" s="230" t="n">
        <v>182357</v>
      </c>
      <c r="AE26" s="230" t="n">
        <v>74909</v>
      </c>
      <c r="AF26" s="230" t="n">
        <v>95723</v>
      </c>
      <c r="AG26" s="230" t="n">
        <v>22921</v>
      </c>
      <c r="AH26" s="230" t="n">
        <v>0</v>
      </c>
      <c r="AI26" s="230" t="n">
        <v>17336</v>
      </c>
      <c r="AJ26" s="230" t="n">
        <v>447</v>
      </c>
      <c r="AK26" s="230" t="n">
        <v>0</v>
      </c>
      <c r="AL26" s="230" t="n">
        <v>0</v>
      </c>
      <c r="AM26" s="230" t="n">
        <v>0</v>
      </c>
      <c r="AN26" s="231" t="n">
        <v>393693</v>
      </c>
      <c r="AQ26" s="229" t="n">
        <v>2047</v>
      </c>
      <c r="AR26" s="230" t="n">
        <v>3207374.248848518</v>
      </c>
      <c r="AS26" s="230" t="n">
        <v>4022762.596862659</v>
      </c>
      <c r="AT26" s="230" t="n">
        <v>5733177.768661609</v>
      </c>
      <c r="AU26" s="230" t="n">
        <v>8381180.069684958</v>
      </c>
      <c r="AV26" s="230" t="n">
        <v>12152297.38615509</v>
      </c>
    </row>
    <row r="27">
      <c r="A27" s="226" t="n">
        <v>2048</v>
      </c>
      <c r="B27" s="227" t="n">
        <v>601293</v>
      </c>
      <c r="C27" s="227" t="n">
        <v>0</v>
      </c>
      <c r="D27" s="227" t="n">
        <v>2908527</v>
      </c>
      <c r="E27" s="227" t="n">
        <v>0</v>
      </c>
      <c r="F27" s="227" t="n">
        <v>0</v>
      </c>
      <c r="G27" s="227" t="n">
        <v>2591319</v>
      </c>
      <c r="H27" s="227" t="n">
        <v>20000</v>
      </c>
      <c r="I27" s="228" t="n">
        <v>6121139</v>
      </c>
      <c r="K27" s="226" t="n">
        <v>2048</v>
      </c>
      <c r="L27" s="227" t="n">
        <v>0</v>
      </c>
      <c r="M27" s="227" t="n">
        <v>65274</v>
      </c>
      <c r="N27" s="227" t="n">
        <v>54706</v>
      </c>
      <c r="O27" s="227" t="n">
        <v>4512</v>
      </c>
      <c r="P27" s="227" t="n">
        <v>3680</v>
      </c>
      <c r="Q27" s="227" t="n">
        <v>18208</v>
      </c>
      <c r="R27" s="227" t="n">
        <v>6211</v>
      </c>
      <c r="S27" s="227" t="n">
        <v>47890</v>
      </c>
      <c r="T27" s="227" t="n">
        <v>0</v>
      </c>
      <c r="U27" s="227" t="n">
        <v>0</v>
      </c>
      <c r="V27" s="227" t="n">
        <v>0</v>
      </c>
      <c r="W27" s="227" t="n">
        <v>0</v>
      </c>
      <c r="X27" s="227" t="n">
        <v>164981</v>
      </c>
      <c r="Y27" s="227" t="n">
        <v>0</v>
      </c>
      <c r="Z27" s="227" t="n">
        <v>0</v>
      </c>
      <c r="AA27" s="228" t="n">
        <v>365462</v>
      </c>
      <c r="AC27" s="226" t="n">
        <v>2048</v>
      </c>
      <c r="AD27" s="227" t="n">
        <v>182357</v>
      </c>
      <c r="AE27" s="227" t="n">
        <v>76782</v>
      </c>
      <c r="AF27" s="227" t="n">
        <v>100757</v>
      </c>
      <c r="AG27" s="227" t="n">
        <v>23494</v>
      </c>
      <c r="AH27" s="227" t="n">
        <v>0</v>
      </c>
      <c r="AI27" s="227" t="n">
        <v>12683</v>
      </c>
      <c r="AJ27" s="227" t="n">
        <v>377</v>
      </c>
      <c r="AK27" s="227" t="n">
        <v>0</v>
      </c>
      <c r="AL27" s="227" t="n">
        <v>0</v>
      </c>
      <c r="AM27" s="227" t="n">
        <v>0</v>
      </c>
      <c r="AN27" s="228" t="n">
        <v>396450</v>
      </c>
      <c r="AQ27" s="226" t="n">
        <v>2048</v>
      </c>
      <c r="AR27" s="227" t="n">
        <v>3212612.162531917</v>
      </c>
      <c r="AS27" s="227" t="n">
        <v>3869482.219436089</v>
      </c>
      <c r="AT27" s="227" t="n">
        <v>5626912.472822793</v>
      </c>
      <c r="AU27" s="227" t="n">
        <v>8562009.353523964</v>
      </c>
      <c r="AV27" s="227" t="n">
        <v>12592322.0891213</v>
      </c>
    </row>
    <row r="28">
      <c r="A28" s="229" t="n">
        <v>2049</v>
      </c>
      <c r="B28" s="230" t="n">
        <v>552040</v>
      </c>
      <c r="C28" s="230" t="n">
        <v>0</v>
      </c>
      <c r="D28" s="230" t="n">
        <v>2904108</v>
      </c>
      <c r="E28" s="230" t="n">
        <v>0</v>
      </c>
      <c r="F28" s="230" t="n">
        <v>0</v>
      </c>
      <c r="G28" s="230" t="n">
        <v>2669059</v>
      </c>
      <c r="H28" s="230" t="n">
        <v>20000</v>
      </c>
      <c r="I28" s="231" t="n">
        <v>6145207</v>
      </c>
      <c r="K28" s="229" t="n">
        <v>2049</v>
      </c>
      <c r="L28" s="230" t="n">
        <v>0</v>
      </c>
      <c r="M28" s="230" t="n">
        <v>66580</v>
      </c>
      <c r="N28" s="230" t="n">
        <v>55800</v>
      </c>
      <c r="O28" s="230" t="n">
        <v>4512</v>
      </c>
      <c r="P28" s="230" t="n">
        <v>3708</v>
      </c>
      <c r="Q28" s="230" t="n">
        <v>18487</v>
      </c>
      <c r="R28" s="230" t="n">
        <v>6265</v>
      </c>
      <c r="S28" s="230" t="n">
        <v>48555</v>
      </c>
      <c r="T28" s="230" t="n">
        <v>0</v>
      </c>
      <c r="U28" s="230" t="n">
        <v>0</v>
      </c>
      <c r="V28" s="230" t="n">
        <v>0</v>
      </c>
      <c r="W28" s="230" t="n">
        <v>0</v>
      </c>
      <c r="X28" s="230" t="n">
        <v>168803</v>
      </c>
      <c r="Y28" s="230" t="n">
        <v>0</v>
      </c>
      <c r="Z28" s="230" t="n">
        <v>0</v>
      </c>
      <c r="AA28" s="231" t="n">
        <v>372710</v>
      </c>
      <c r="AC28" s="229" t="n">
        <v>2049</v>
      </c>
      <c r="AD28" s="230" t="n">
        <v>182357</v>
      </c>
      <c r="AE28" s="230" t="n">
        <v>78702</v>
      </c>
      <c r="AF28" s="230" t="n">
        <v>106064</v>
      </c>
      <c r="AG28" s="230" t="n">
        <v>24082</v>
      </c>
      <c r="AH28" s="230" t="n">
        <v>0</v>
      </c>
      <c r="AI28" s="230" t="n">
        <v>12888</v>
      </c>
      <c r="AJ28" s="230" t="n">
        <v>380</v>
      </c>
      <c r="AK28" s="230" t="n">
        <v>0</v>
      </c>
      <c r="AL28" s="230" t="n">
        <v>0</v>
      </c>
      <c r="AM28" s="230" t="n">
        <v>0</v>
      </c>
      <c r="AN28" s="231" t="n">
        <v>404473</v>
      </c>
      <c r="AQ28" s="229" t="n">
        <v>2049</v>
      </c>
      <c r="AR28" s="230" t="n">
        <v>3241098.995544306</v>
      </c>
      <c r="AS28" s="230" t="n">
        <v>3750709.338141223</v>
      </c>
      <c r="AT28" s="230" t="n">
        <v>5601185.919772261</v>
      </c>
      <c r="AU28" s="230" t="n">
        <v>8909462.438127983</v>
      </c>
      <c r="AV28" s="230" t="n">
        <v>13295318.70501056</v>
      </c>
    </row>
    <row r="29">
      <c r="A29" s="226" t="n">
        <v>2050</v>
      </c>
      <c r="B29" s="227" t="n">
        <v>498744</v>
      </c>
      <c r="C29" s="227" t="n">
        <v>0</v>
      </c>
      <c r="D29" s="227" t="n">
        <v>2895083</v>
      </c>
      <c r="E29" s="227" t="n">
        <v>0</v>
      </c>
      <c r="F29" s="227" t="n">
        <v>0</v>
      </c>
      <c r="G29" s="227" t="n">
        <v>2749130</v>
      </c>
      <c r="H29" s="227" t="n">
        <v>20000</v>
      </c>
      <c r="I29" s="228" t="n">
        <v>6162957</v>
      </c>
      <c r="K29" s="226" t="n">
        <v>2050</v>
      </c>
      <c r="L29" s="227" t="n">
        <v>0</v>
      </c>
      <c r="M29" s="227" t="n">
        <v>67911</v>
      </c>
      <c r="N29" s="227" t="n">
        <v>56916</v>
      </c>
      <c r="O29" s="227" t="n">
        <v>4512</v>
      </c>
      <c r="P29" s="227" t="n">
        <v>3737</v>
      </c>
      <c r="Q29" s="227" t="n">
        <v>18769</v>
      </c>
      <c r="R29" s="227" t="n">
        <v>6320</v>
      </c>
      <c r="S29" s="227" t="n">
        <v>49231</v>
      </c>
      <c r="T29" s="227" t="n">
        <v>0</v>
      </c>
      <c r="U29" s="227" t="n">
        <v>0</v>
      </c>
      <c r="V29" s="227" t="n">
        <v>0</v>
      </c>
      <c r="W29" s="227" t="n">
        <v>0</v>
      </c>
      <c r="X29" s="227" t="n">
        <v>172897</v>
      </c>
      <c r="Y29" s="227" t="n">
        <v>0</v>
      </c>
      <c r="Z29" s="227" t="n">
        <v>0</v>
      </c>
      <c r="AA29" s="228" t="n">
        <v>380293</v>
      </c>
      <c r="AC29" s="226" t="n">
        <v>2050</v>
      </c>
      <c r="AD29" s="227" t="n">
        <v>182357</v>
      </c>
      <c r="AE29" s="227" t="n">
        <v>80669</v>
      </c>
      <c r="AF29" s="227" t="n">
        <v>111661</v>
      </c>
      <c r="AG29" s="227" t="n">
        <v>24684</v>
      </c>
      <c r="AH29" s="227" t="n">
        <v>0</v>
      </c>
      <c r="AI29" s="227" t="n">
        <v>13096</v>
      </c>
      <c r="AJ29" s="227" t="n">
        <v>383</v>
      </c>
      <c r="AK29" s="227" t="n">
        <v>0</v>
      </c>
      <c r="AL29" s="227" t="n">
        <v>0</v>
      </c>
      <c r="AM29" s="227" t="n">
        <v>0</v>
      </c>
      <c r="AN29" s="228" t="n">
        <v>412850</v>
      </c>
      <c r="AQ29" s="226" t="n">
        <v>2050</v>
      </c>
      <c r="AR29" s="227" t="n">
        <v>3267874.435484977</v>
      </c>
      <c r="AS29" s="227" t="n">
        <v>3608744.950107078</v>
      </c>
      <c r="AT29" s="227" t="n">
        <v>5551952.168324893</v>
      </c>
      <c r="AU29" s="227" t="n">
        <v>9071619.843250996</v>
      </c>
      <c r="AV29" s="227" t="n">
        <v>14029933.50567571</v>
      </c>
    </row>
    <row r="30">
      <c r="A30" s="229" t="n">
        <v>2051</v>
      </c>
      <c r="B30" s="230" t="n">
        <v>441146</v>
      </c>
      <c r="C30" s="230" t="n">
        <v>0</v>
      </c>
      <c r="D30" s="230" t="n">
        <v>2880869</v>
      </c>
      <c r="E30" s="230" t="n">
        <v>0</v>
      </c>
      <c r="F30" s="230" t="n">
        <v>0</v>
      </c>
      <c r="G30" s="230" t="n">
        <v>2831604</v>
      </c>
      <c r="H30" s="230" t="n">
        <v>20000</v>
      </c>
      <c r="I30" s="231" t="n">
        <v>6173619</v>
      </c>
      <c r="K30" s="229" t="n">
        <v>2051</v>
      </c>
      <c r="L30" s="230" t="n">
        <v>0</v>
      </c>
      <c r="M30" s="230" t="n">
        <v>69270</v>
      </c>
      <c r="N30" s="230" t="n">
        <v>58054</v>
      </c>
      <c r="O30" s="230" t="n">
        <v>4512</v>
      </c>
      <c r="P30" s="230" t="n">
        <v>3766</v>
      </c>
      <c r="Q30" s="230" t="n">
        <v>19054</v>
      </c>
      <c r="R30" s="230" t="n">
        <v>6376</v>
      </c>
      <c r="S30" s="230" t="n">
        <v>49915</v>
      </c>
      <c r="T30" s="230" t="n">
        <v>0</v>
      </c>
      <c r="U30" s="230" t="n">
        <v>0</v>
      </c>
      <c r="V30" s="230" t="n">
        <v>0</v>
      </c>
      <c r="W30" s="230" t="n">
        <v>0</v>
      </c>
      <c r="X30" s="230" t="n">
        <v>177282</v>
      </c>
      <c r="Y30" s="230" t="n">
        <v>0</v>
      </c>
      <c r="Z30" s="230" t="n">
        <v>0</v>
      </c>
      <c r="AA30" s="231" t="n">
        <v>388229</v>
      </c>
      <c r="AC30" s="229" t="n">
        <v>2051</v>
      </c>
      <c r="AD30" s="230" t="n">
        <v>182357</v>
      </c>
      <c r="AE30" s="230" t="n">
        <v>82686</v>
      </c>
      <c r="AF30" s="230" t="n">
        <v>117562</v>
      </c>
      <c r="AG30" s="230" t="n">
        <v>25301</v>
      </c>
      <c r="AH30" s="230" t="n">
        <v>0</v>
      </c>
      <c r="AI30" s="230" t="n">
        <v>13307</v>
      </c>
      <c r="AJ30" s="230" t="n">
        <v>387</v>
      </c>
      <c r="AK30" s="230" t="n">
        <v>0</v>
      </c>
      <c r="AL30" s="230" t="n">
        <v>0</v>
      </c>
      <c r="AM30" s="230" t="n">
        <v>0</v>
      </c>
      <c r="AN30" s="231" t="n">
        <v>421600</v>
      </c>
      <c r="AQ30" s="229" t="n">
        <v>2051</v>
      </c>
      <c r="AR30" s="230" t="n">
        <v>3292749.91110467</v>
      </c>
      <c r="AS30" s="230" t="n">
        <v>3444648.357878408</v>
      </c>
      <c r="AT30" s="230" t="n">
        <v>5509160.167583879</v>
      </c>
      <c r="AU30" s="230" t="n">
        <v>9301061.12990215</v>
      </c>
      <c r="AV30" s="230" t="n">
        <v>14664523.63441823</v>
      </c>
    </row>
    <row r="31">
      <c r="A31" s="226" t="n">
        <v>2052</v>
      </c>
      <c r="B31" s="227" t="n">
        <v>378974</v>
      </c>
      <c r="C31" s="227" t="n">
        <v>0</v>
      </c>
      <c r="D31" s="227" t="n">
        <v>2860854</v>
      </c>
      <c r="E31" s="227" t="n">
        <v>0</v>
      </c>
      <c r="F31" s="227" t="n">
        <v>0</v>
      </c>
      <c r="G31" s="227" t="n">
        <v>2916552</v>
      </c>
      <c r="H31" s="227" t="n">
        <v>20000</v>
      </c>
      <c r="I31" s="228" t="n">
        <v>6176380</v>
      </c>
      <c r="K31" s="226" t="n">
        <v>2052</v>
      </c>
      <c r="L31" s="227" t="n">
        <v>0</v>
      </c>
      <c r="M31" s="227" t="n">
        <v>70655</v>
      </c>
      <c r="N31" s="227" t="n">
        <v>59215</v>
      </c>
      <c r="O31" s="227" t="n">
        <v>4512</v>
      </c>
      <c r="P31" s="227" t="n">
        <v>3795</v>
      </c>
      <c r="Q31" s="227" t="n">
        <v>19374</v>
      </c>
      <c r="R31" s="227" t="n">
        <v>6432</v>
      </c>
      <c r="S31" s="227" t="n">
        <v>50606</v>
      </c>
      <c r="T31" s="227" t="n">
        <v>0</v>
      </c>
      <c r="U31" s="227" t="n">
        <v>0</v>
      </c>
      <c r="V31" s="227" t="n">
        <v>0</v>
      </c>
      <c r="W31" s="227" t="n">
        <v>0</v>
      </c>
      <c r="X31" s="227" t="n">
        <v>181950</v>
      </c>
      <c r="Y31" s="227" t="n">
        <v>0</v>
      </c>
      <c r="Z31" s="227" t="n">
        <v>0</v>
      </c>
      <c r="AA31" s="228" t="n">
        <v>396539</v>
      </c>
      <c r="AC31" s="226" t="n">
        <v>2052</v>
      </c>
      <c r="AD31" s="227" t="n">
        <v>182357</v>
      </c>
      <c r="AE31" s="227" t="n">
        <v>84753</v>
      </c>
      <c r="AF31" s="227" t="n">
        <v>123785</v>
      </c>
      <c r="AG31" s="227" t="n">
        <v>25933</v>
      </c>
      <c r="AH31" s="227" t="n">
        <v>0</v>
      </c>
      <c r="AI31" s="227" t="n">
        <v>13527</v>
      </c>
      <c r="AJ31" s="227" t="n">
        <v>390</v>
      </c>
      <c r="AK31" s="227" t="n">
        <v>0</v>
      </c>
      <c r="AL31" s="227" t="n">
        <v>0</v>
      </c>
      <c r="AM31" s="227" t="n">
        <v>0</v>
      </c>
      <c r="AN31" s="228" t="n">
        <v>430745</v>
      </c>
      <c r="AQ31" s="226" t="n">
        <v>2052</v>
      </c>
      <c r="AR31" s="227" t="n">
        <v>3315526.45314006</v>
      </c>
      <c r="AS31" s="227" t="n">
        <v>3315526.45314006</v>
      </c>
      <c r="AT31" s="227" t="n">
        <v>5490191.751426443</v>
      </c>
      <c r="AU31" s="227" t="n">
        <v>9711402.924655074</v>
      </c>
      <c r="AV31" s="227" t="n">
        <v>15149644.13896808</v>
      </c>
    </row>
    <row r="32">
      <c r="A32" s="229" t="n">
        <v>2053</v>
      </c>
      <c r="B32" s="230" t="n">
        <v>311910</v>
      </c>
      <c r="C32" s="230" t="n">
        <v>0</v>
      </c>
      <c r="D32" s="230" t="n">
        <v>2834446</v>
      </c>
      <c r="E32" s="230" t="n">
        <v>0</v>
      </c>
      <c r="F32" s="230" t="n">
        <v>0</v>
      </c>
      <c r="G32" s="230" t="n">
        <v>3004049</v>
      </c>
      <c r="H32" s="230" t="n">
        <v>20000</v>
      </c>
      <c r="I32" s="231" t="n">
        <v>6170405</v>
      </c>
      <c r="K32" s="229" t="n">
        <v>2053</v>
      </c>
      <c r="L32" s="230" t="n">
        <v>0</v>
      </c>
      <c r="M32" s="230" t="n">
        <v>72068</v>
      </c>
      <c r="N32" s="230" t="n">
        <v>60399</v>
      </c>
      <c r="O32" s="230" t="n">
        <v>4512</v>
      </c>
      <c r="P32" s="230" t="n">
        <v>3827</v>
      </c>
      <c r="Q32" s="230" t="n">
        <v>19733</v>
      </c>
      <c r="R32" s="230" t="n">
        <v>6495</v>
      </c>
      <c r="S32" s="230" t="n">
        <v>51382</v>
      </c>
      <c r="T32" s="230" t="n">
        <v>0</v>
      </c>
      <c r="U32" s="230" t="n">
        <v>0</v>
      </c>
      <c r="V32" s="230" t="n">
        <v>0</v>
      </c>
      <c r="W32" s="230" t="n">
        <v>0</v>
      </c>
      <c r="X32" s="230" t="n">
        <v>186849</v>
      </c>
      <c r="Y32" s="230" t="n">
        <v>0</v>
      </c>
      <c r="Z32" s="230" t="n">
        <v>0</v>
      </c>
      <c r="AA32" s="231" t="n">
        <v>405265</v>
      </c>
      <c r="AC32" s="229" t="n">
        <v>2053</v>
      </c>
      <c r="AD32" s="230" t="n">
        <v>182357</v>
      </c>
      <c r="AE32" s="230" t="n">
        <v>86872</v>
      </c>
      <c r="AF32" s="230" t="n">
        <v>130347</v>
      </c>
      <c r="AG32" s="230" t="n">
        <v>26582</v>
      </c>
      <c r="AH32" s="230" t="n">
        <v>0</v>
      </c>
      <c r="AI32" s="230" t="n">
        <v>13775</v>
      </c>
      <c r="AJ32" s="230" t="n">
        <v>393</v>
      </c>
      <c r="AK32" s="230" t="n">
        <v>0</v>
      </c>
      <c r="AL32" s="230" t="n">
        <v>0</v>
      </c>
      <c r="AM32" s="230" t="n">
        <v>0</v>
      </c>
      <c r="AN32" s="231" t="n">
        <v>440326</v>
      </c>
      <c r="AQ32" s="229" t="n">
        <v>2053</v>
      </c>
      <c r="AR32" s="230" t="n">
        <v>3335958.900418749</v>
      </c>
      <c r="AS32" s="230" t="n">
        <v>3335958.900418749</v>
      </c>
      <c r="AT32" s="230" t="n">
        <v>5475518.412568513</v>
      </c>
      <c r="AU32" s="230" t="n">
        <v>9801512.280942867</v>
      </c>
      <c r="AV32" s="230" t="n">
        <v>16091069.56513429</v>
      </c>
    </row>
    <row r="33">
      <c r="A33" s="226" t="n">
        <v>2054</v>
      </c>
      <c r="B33" s="227" t="n">
        <v>239518</v>
      </c>
      <c r="C33" s="227" t="n">
        <v>0</v>
      </c>
      <c r="D33" s="227" t="n">
        <v>2801007</v>
      </c>
      <c r="E33" s="227" t="n">
        <v>0</v>
      </c>
      <c r="F33" s="227" t="n">
        <v>0</v>
      </c>
      <c r="G33" s="227" t="n">
        <v>3094171</v>
      </c>
      <c r="H33" s="227" t="n">
        <v>0</v>
      </c>
      <c r="I33" s="228" t="n">
        <v>6134696</v>
      </c>
      <c r="K33" s="226" t="n">
        <v>2054</v>
      </c>
      <c r="L33" s="227" t="n">
        <v>0</v>
      </c>
      <c r="M33" s="227" t="n">
        <v>73509</v>
      </c>
      <c r="N33" s="227" t="n">
        <v>61607</v>
      </c>
      <c r="O33" s="227" t="n">
        <v>4512</v>
      </c>
      <c r="P33" s="227" t="n">
        <v>3864</v>
      </c>
      <c r="Q33" s="227" t="n">
        <v>20134</v>
      </c>
      <c r="R33" s="227" t="n">
        <v>6566</v>
      </c>
      <c r="S33" s="227" t="n">
        <v>52251</v>
      </c>
      <c r="T33" s="227" t="n">
        <v>0</v>
      </c>
      <c r="U33" s="227" t="n">
        <v>0</v>
      </c>
      <c r="V33" s="227" t="n">
        <v>0</v>
      </c>
      <c r="W33" s="227" t="n">
        <v>0</v>
      </c>
      <c r="X33" s="227" t="n">
        <v>191986</v>
      </c>
      <c r="Y33" s="227" t="n">
        <v>0</v>
      </c>
      <c r="Z33" s="227" t="n">
        <v>0</v>
      </c>
      <c r="AA33" s="228" t="n">
        <v>414429</v>
      </c>
      <c r="AC33" s="226" t="n">
        <v>2054</v>
      </c>
      <c r="AD33" s="227" t="n">
        <v>182357</v>
      </c>
      <c r="AE33" s="227" t="n">
        <v>89044</v>
      </c>
      <c r="AF33" s="227" t="n">
        <v>137267</v>
      </c>
      <c r="AG33" s="227" t="n">
        <v>27246</v>
      </c>
      <c r="AH33" s="227" t="n">
        <v>0</v>
      </c>
      <c r="AI33" s="227" t="n">
        <v>14055</v>
      </c>
      <c r="AJ33" s="227" t="n">
        <v>398</v>
      </c>
      <c r="AK33" s="227" t="n">
        <v>0</v>
      </c>
      <c r="AL33" s="227" t="n">
        <v>0</v>
      </c>
      <c r="AM33" s="227" t="n">
        <v>0</v>
      </c>
      <c r="AN33" s="228" t="n">
        <v>450367</v>
      </c>
      <c r="AQ33" s="226" t="n">
        <v>2054</v>
      </c>
      <c r="AR33" s="227" t="n">
        <v>3354888.410047718</v>
      </c>
      <c r="AS33" s="227" t="n">
        <v>3354888.410047718</v>
      </c>
      <c r="AT33" s="227" t="n">
        <v>5420378.088594787</v>
      </c>
      <c r="AU33" s="227" t="n">
        <v>10007893.82548231</v>
      </c>
      <c r="AV33" s="227" t="n">
        <v>16421123.98557625</v>
      </c>
    </row>
    <row r="34">
      <c r="A34" s="229" t="n">
        <v>2055</v>
      </c>
      <c r="B34" s="230" t="n">
        <v>161323</v>
      </c>
      <c r="C34" s="230" t="n">
        <v>0</v>
      </c>
      <c r="D34" s="230" t="n">
        <v>2760778</v>
      </c>
      <c r="E34" s="230" t="n">
        <v>0</v>
      </c>
      <c r="F34" s="230" t="n">
        <v>0</v>
      </c>
      <c r="G34" s="230" t="n">
        <v>3186996</v>
      </c>
      <c r="H34" s="230" t="n">
        <v>0</v>
      </c>
      <c r="I34" s="231" t="n">
        <v>6109097</v>
      </c>
      <c r="K34" s="229" t="n">
        <v>2055</v>
      </c>
      <c r="L34" s="230" t="n">
        <v>0</v>
      </c>
      <c r="M34" s="230" t="n">
        <v>0</v>
      </c>
      <c r="N34" s="230" t="n">
        <v>73509</v>
      </c>
      <c r="O34" s="230" t="n">
        <v>4512</v>
      </c>
      <c r="P34" s="230" t="n">
        <v>3904</v>
      </c>
      <c r="Q34" s="230" t="n">
        <v>20582</v>
      </c>
      <c r="R34" s="230" t="n">
        <v>0</v>
      </c>
      <c r="S34" s="230" t="n">
        <v>53222</v>
      </c>
      <c r="T34" s="230" t="n">
        <v>0</v>
      </c>
      <c r="U34" s="230" t="n">
        <v>0</v>
      </c>
      <c r="V34" s="230" t="n">
        <v>0</v>
      </c>
      <c r="W34" s="230" t="n">
        <v>0</v>
      </c>
      <c r="X34" s="230" t="n">
        <v>196499</v>
      </c>
      <c r="Y34" s="230" t="n">
        <v>0</v>
      </c>
      <c r="Z34" s="230" t="n">
        <v>0</v>
      </c>
      <c r="AA34" s="231" t="n">
        <v>352228</v>
      </c>
      <c r="AC34" s="229" t="n">
        <v>2055</v>
      </c>
      <c r="AD34" s="230" t="n">
        <v>182357</v>
      </c>
      <c r="AE34" s="230" t="n">
        <v>91270</v>
      </c>
      <c r="AF34" s="230" t="n">
        <v>72282</v>
      </c>
      <c r="AG34" s="230" t="n">
        <v>27927</v>
      </c>
      <c r="AH34" s="230" t="n">
        <v>0</v>
      </c>
      <c r="AI34" s="230" t="n">
        <v>14826</v>
      </c>
      <c r="AJ34" s="230" t="n">
        <v>402</v>
      </c>
      <c r="AK34" s="230" t="n">
        <v>0</v>
      </c>
      <c r="AL34" s="230" t="n">
        <v>0</v>
      </c>
      <c r="AM34" s="230" t="n">
        <v>0</v>
      </c>
      <c r="AN34" s="231" t="n">
        <v>389064</v>
      </c>
      <c r="AQ34" s="229" t="n">
        <v>2055</v>
      </c>
      <c r="AR34" s="230" t="n">
        <v>3370790.16580873</v>
      </c>
      <c r="AS34" s="230" t="n">
        <v>3370790.16580873</v>
      </c>
      <c r="AT34" s="230" t="n">
        <v>5459708.788503475</v>
      </c>
      <c r="AU34" s="230" t="n">
        <v>10369720.42638134</v>
      </c>
      <c r="AV34" s="230" t="n">
        <v>17339894.72830968</v>
      </c>
    </row>
    <row r="35">
      <c r="A35" s="226" t="n">
        <v>2056</v>
      </c>
      <c r="B35" s="227" t="n">
        <v>83848</v>
      </c>
      <c r="C35" s="227" t="n">
        <v>0</v>
      </c>
      <c r="D35" s="227" t="n">
        <v>2713574</v>
      </c>
      <c r="E35" s="227" t="n">
        <v>0</v>
      </c>
      <c r="F35" s="227" t="n">
        <v>0</v>
      </c>
      <c r="G35" s="227" t="n">
        <v>3282605</v>
      </c>
      <c r="H35" s="227" t="n">
        <v>0</v>
      </c>
      <c r="I35" s="228" t="n">
        <v>6080027</v>
      </c>
      <c r="K35" s="226" t="n">
        <v>2056</v>
      </c>
      <c r="L35" s="227" t="n">
        <v>0</v>
      </c>
      <c r="M35" s="227" t="n">
        <v>0</v>
      </c>
      <c r="N35" s="227" t="n">
        <v>73509</v>
      </c>
      <c r="O35" s="227" t="n">
        <v>4512</v>
      </c>
      <c r="P35" s="227" t="n">
        <v>3950</v>
      </c>
      <c r="Q35" s="227" t="n">
        <v>21080</v>
      </c>
      <c r="R35" s="227" t="n">
        <v>0</v>
      </c>
      <c r="S35" s="227" t="n">
        <v>54306</v>
      </c>
      <c r="T35" s="227" t="n">
        <v>0</v>
      </c>
      <c r="U35" s="227" t="n">
        <v>0</v>
      </c>
      <c r="V35" s="227" t="n">
        <v>0</v>
      </c>
      <c r="W35" s="227" t="n">
        <v>0</v>
      </c>
      <c r="X35" s="227" t="n">
        <v>200803</v>
      </c>
      <c r="Y35" s="227" t="n">
        <v>0</v>
      </c>
      <c r="Z35" s="227" t="n">
        <v>0</v>
      </c>
      <c r="AA35" s="228" t="n">
        <v>358160</v>
      </c>
      <c r="AC35" s="226" t="n">
        <v>2056</v>
      </c>
      <c r="AD35" s="227" t="n">
        <v>182357</v>
      </c>
      <c r="AE35" s="227" t="n">
        <v>93552</v>
      </c>
      <c r="AF35" s="227" t="n">
        <v>76130</v>
      </c>
      <c r="AG35" s="227" t="n">
        <v>28626</v>
      </c>
      <c r="AH35" s="227" t="n">
        <v>0</v>
      </c>
      <c r="AI35" s="227" t="n">
        <v>14845</v>
      </c>
      <c r="AJ35" s="227" t="n">
        <v>407</v>
      </c>
      <c r="AK35" s="227" t="n">
        <v>0</v>
      </c>
      <c r="AL35" s="227" t="n">
        <v>0</v>
      </c>
      <c r="AM35" s="227" t="n">
        <v>0</v>
      </c>
      <c r="AN35" s="228" t="n">
        <v>395917</v>
      </c>
      <c r="AQ35" s="226" t="n">
        <v>2056</v>
      </c>
      <c r="AR35" s="227" t="n">
        <v>3390274.137803574</v>
      </c>
      <c r="AS35" s="227" t="n">
        <v>3390274.137803574</v>
      </c>
      <c r="AT35" s="227" t="n">
        <v>5500076.791061295</v>
      </c>
      <c r="AU35" s="227" t="n">
        <v>10578051.0299707</v>
      </c>
      <c r="AV35" s="227" t="n">
        <v>18230124.75771325</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c r="A210" s="216" t="inlineStr">
        <is>
          <t>Asset Class</t>
        </is>
      </c>
      <c r="B210" s="216" t="inlineStr">
        <is>
          <t>Current Portfolio Allocation</t>
        </is>
      </c>
      <c r="D210" s="216" t="inlineStr">
        <is>
          <t>Asset Class</t>
        </is>
      </c>
      <c r="E210" s="216" t="inlineStr">
        <is>
          <t>Target Portfolio Allocation</t>
        </is>
      </c>
    </row>
    <row r="211">
      <c r="A211" s="33" t="inlineStr">
        <is>
          <t>US Large Cap</t>
        </is>
      </c>
      <c r="B211" s="108" t="n">
        <v>1357238.41112</v>
      </c>
      <c r="D211" s="33" t="inlineStr">
        <is>
          <t>US Large Cap</t>
        </is>
      </c>
      <c r="E211" s="108" t="n">
        <v>1209226.55896</v>
      </c>
    </row>
    <row r="212">
      <c r="A212" s="33" t="inlineStr">
        <is>
          <t>International</t>
        </is>
      </c>
      <c r="B212" s="108" t="n">
        <v>910327.1116479998</v>
      </c>
      <c r="D212" s="33" t="inlineStr">
        <is>
          <t>International</t>
        </is>
      </c>
      <c r="E212" s="108" t="n">
        <v>690987.1116479998</v>
      </c>
    </row>
    <row r="213">
      <c r="A213" s="33" t="inlineStr">
        <is>
          <t>US Small Cap</t>
        </is>
      </c>
      <c r="B213" s="108" t="n">
        <v>309683.143654</v>
      </c>
      <c r="D213" s="33" t="inlineStr">
        <is>
          <t>US Small Cap</t>
        </is>
      </c>
      <c r="E213" s="108" t="n">
        <v>172747.143654</v>
      </c>
    </row>
    <row r="214">
      <c r="A214" s="33" t="inlineStr">
        <is>
          <t>Commodities</t>
        </is>
      </c>
      <c r="B214" s="108" t="n">
        <v>166714.35</v>
      </c>
      <c r="D214" s="33" t="inlineStr">
        <is>
          <t>Commodities</t>
        </is>
      </c>
      <c r="E214" s="108" t="n">
        <v>172746.35</v>
      </c>
    </row>
    <row r="215">
      <c r="A215" s="33" t="inlineStr">
        <is>
          <t>Cash</t>
        </is>
      </c>
      <c r="B215" s="108" t="n">
        <v>19984.61</v>
      </c>
      <c r="D215" s="33" t="inlineStr">
        <is>
          <t>Cash</t>
        </is>
      </c>
      <c r="E215" s="108" t="n">
        <v>172746.61</v>
      </c>
    </row>
    <row r="216">
      <c r="A216" s="33" t="inlineStr">
        <is>
          <t>Fixed Income (Non-Liquid)</t>
        </is>
      </c>
      <c r="B216" s="108" t="n">
        <v>1274327.16356137</v>
      </c>
      <c r="D216" s="33" t="inlineStr">
        <is>
          <t>Emerging Markets</t>
        </is>
      </c>
      <c r="E216" s="108" t="n">
        <v>172747</v>
      </c>
    </row>
    <row r="217">
      <c r="A217" s="33" t="inlineStr">
        <is>
          <t>Real Estate (Non-Liquid)</t>
        </is>
      </c>
      <c r="B217" s="108" t="n">
        <v>1313000</v>
      </c>
      <c r="D217" s="33" t="inlineStr">
        <is>
          <t>US Mid Cap</t>
        </is>
      </c>
      <c r="E217" s="108" t="n">
        <v>172747</v>
      </c>
    </row>
    <row r="218">
      <c r="D218" s="33" t="inlineStr">
        <is>
          <t>Fixed Income (Non-Liquid)</t>
        </is>
      </c>
      <c r="E218" s="108" t="n">
        <v>1274327.16356137</v>
      </c>
    </row>
    <row r="219">
      <c r="D219" s="33" t="inlineStr">
        <is>
          <t>Real Estate (Non-Liquid)</t>
        </is>
      </c>
      <c r="E219" s="108" t="n">
        <v>1313000</v>
      </c>
    </row>
  </sheetData>
  <mergeCells count="5">
    <mergeCell ref="A2:I2"/>
    <mergeCell ref="AC2:AN2"/>
    <mergeCell ref="A1:AX1"/>
    <mergeCell ref="K2:AA2"/>
    <mergeCell ref="AQ2:AV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2026-07-04T03:12:09Z</dcterms:created>
  <dcterms:modified xmlns:dcterms="http://purl.org/dc/terms/" xmlns:xsi="http://www.w3.org/2001/XMLSchema-instance" xsi:type="dcterms:W3CDTF">2026-07-04T03:12:16Z</dcterms:modified>
</cp:coreProperties>
</file>