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6">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0" borderId="1" applyAlignment="1" pivotButton="0" quotePrefix="0" xfId="0">
      <alignment horizontal="left" vertical="top" wrapText="1"/>
    </xf>
    <xf numFmtId="0" fontId="4" fillId="12" borderId="1" applyAlignment="1" pivotButton="0" quotePrefix="0" xfId="0">
      <alignment horizontal="left" vertical="top" wrapText="1"/>
    </xf>
    <xf numFmtId="0" fontId="4" fillId="11"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2" borderId="1" applyAlignment="1" pivotButton="0" quotePrefix="0" xfId="0">
      <alignment horizontal="right" vertical="top" wrapText="1"/>
    </xf>
    <xf numFmtId="164" fontId="22" fillId="12" borderId="1" applyAlignment="1" pivotButton="0" quotePrefix="0" xfId="0">
      <alignment horizontal="right" vertical="top" wrapText="1"/>
    </xf>
    <xf numFmtId="164" fontId="11" fillId="12" borderId="1" applyAlignment="1" pivotButton="0" quotePrefix="0" xfId="0">
      <alignment horizontal="right" vertical="top" wrapText="1"/>
    </xf>
    <xf numFmtId="165" fontId="22" fillId="12" borderId="1" applyAlignment="1" pivotButton="0" quotePrefix="0" xfId="0">
      <alignment horizontal="right" vertical="top" wrapText="1"/>
    </xf>
    <xf numFmtId="164" fontId="22" fillId="4" borderId="1" applyAlignment="1" pivotButton="0" quotePrefix="0" xfId="0">
      <alignment horizontal="right" vertical="top" wrapText="1"/>
    </xf>
    <xf numFmtId="165" fontId="11" fillId="12" borderId="1" applyAlignment="1" pivotButton="0" quotePrefix="0" xfId="0">
      <alignment horizontal="right" vertical="center"/>
    </xf>
    <xf numFmtId="0" fontId="22" fillId="12"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5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5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1357238.41112</v>
                </pt>
                <pt idx="1">
                  <v>910327.1116479998</v>
                </pt>
                <pt idx="2">
                  <v>309683.143654</v>
                </pt>
                <pt idx="3">
                  <v>166714.35</v>
                </pt>
                <pt idx="4">
                  <v>19984.61</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1209226.55896</v>
                </pt>
                <pt idx="1">
                  <v>690987.1116479998</v>
                </pt>
                <pt idx="2">
                  <v>172747.143654</v>
                </pt>
                <pt idx="3">
                  <v>172746.35</v>
                </pt>
                <pt idx="4">
                  <v>172746.61</v>
                </pt>
                <pt idx="5">
                  <v>172747</v>
                </pt>
                <pt idx="6">
                  <v>172747</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2026-07-03</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07/03/2026 11:32 AM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5975050.406289078</v>
      </c>
      <c r="C11" s="3" t="n"/>
      <c r="D11" s="3" t="n"/>
      <c r="E11" s="3" t="n"/>
      <c r="F11" s="4" t="n"/>
    </row>
    <row r="12" ht="30" customHeight="1">
      <c r="A12" s="11" t="inlineStr">
        <is>
          <t>Terminal Net Worth (Yn)</t>
        </is>
      </c>
      <c r="B12" s="14" t="n">
        <v>7705446.938734698</v>
      </c>
      <c r="C12" s="3" t="n"/>
      <c r="D12" s="3" t="n"/>
      <c r="E12" s="3" t="n"/>
      <c r="F12" s="4" t="n"/>
    </row>
    <row r="13" ht="45" customHeight="1">
      <c r="A13" s="11" t="inlineStr">
        <is>
          <t>Lifetime Federal Tax (estimated)</t>
        </is>
      </c>
      <c r="B13" s="14" t="n">
        <v>943662.8853451287</v>
      </c>
      <c r="C13" s="3" t="n"/>
      <c r="D13" s="3" t="n"/>
      <c r="E13" s="3" t="n"/>
      <c r="F13" s="4" t="n"/>
    </row>
    <row r="14" ht="30" customHeight="1">
      <c r="A14" s="11" t="inlineStr">
        <is>
          <t>Plan Success Rate (Monte Carlo)</t>
        </is>
      </c>
      <c r="B14" s="15" t="n">
        <v>0.6875</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0.4440393186673406</v>
      </c>
      <c r="C17" s="3" t="n"/>
      <c r="D17" s="3" t="n"/>
      <c r="E17" s="3" t="n"/>
      <c r="F17" s="4" t="n"/>
    </row>
    <row r="18" ht="30" customHeight="1">
      <c r="A18" s="11" t="inlineStr">
        <is>
          <t>MC Success 95% CI High</t>
        </is>
      </c>
      <c r="B18" s="15" t="n">
        <v>0.8583556494803894</v>
      </c>
      <c r="C18" s="3" t="n"/>
      <c r="D18" s="3" t="n"/>
      <c r="E18" s="3" t="n"/>
      <c r="F18" s="4" t="n"/>
    </row>
    <row r="19" ht="45" customHeight="1">
      <c r="A19" s="11" t="inlineStr">
        <is>
          <t>Estimated Tax Saved — Roth Strategy</t>
        </is>
      </c>
      <c r="B19" s="14" t="n">
        <v>321752.4851972568</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2026-07-03</t>
        </is>
      </c>
      <c r="B35" s="3" t="n"/>
      <c r="C35" s="3" t="n"/>
      <c r="D35" s="3" t="n"/>
      <c r="E35" s="3" t="n"/>
      <c r="F35" s="4" t="n"/>
    </row>
    <row r="36" ht="60" customHeight="1">
      <c r="A36" s="19" t="inlineStr">
        <is>
          <t>Workbook pricing source: CACHE — as of 07/03/2026 11:32 AM. Cached quotes were used as of 07/03/2026 11:32 AM; cache TTL is 24.0 hours. CACHE mode checks the cache before calling live providers; the cache is still valid until 07/04/2026 11:32 AM. Ticker-level source counts: cash: 1, fresh_cache_24h_from_yahoo: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Matthew Age</t>
        </is>
      </c>
      <c r="C2" s="23" t="inlineStr">
        <is>
          <t>Patricia Age</t>
        </is>
      </c>
      <c r="D2" s="23" t="inlineStr">
        <is>
          <t>Pension PV</t>
        </is>
      </c>
      <c r="E2" s="23" t="inlineStr">
        <is>
          <t>Patricia Single PV</t>
        </is>
      </c>
      <c r="F2" s="23" t="inlineStr">
        <is>
          <t>Patricia Joint PV</t>
        </is>
      </c>
      <c r="G2" s="23" t="inlineStr">
        <is>
          <t>Matthew Single PV</t>
        </is>
      </c>
      <c r="H2" s="23" t="inlineStr">
        <is>
          <t>Matthew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1411591.8891052</v>
      </c>
      <c r="K3" s="27" t="n">
        <v>41270.464</v>
      </c>
      <c r="L3" s="27" t="n">
        <v>356004.4688181999</v>
      </c>
      <c r="M3" s="28" t="n">
        <v>1808866.8219234</v>
      </c>
      <c r="N3" s="27" t="n">
        <v>146617.2657862</v>
      </c>
      <c r="O3" s="27" t="n">
        <v>350884.26212164</v>
      </c>
      <c r="P3" s="28" t="n">
        <v>497501.52790784</v>
      </c>
      <c r="Q3" s="27" t="n">
        <v>268070.8791706013</v>
      </c>
      <c r="R3" s="27" t="n">
        <v>346275.36612844</v>
      </c>
      <c r="S3" s="28" t="n">
        <v>614346.2452990413</v>
      </c>
      <c r="T3" s="27" t="n">
        <v>84423.70941279999</v>
      </c>
      <c r="U3" s="27" t="n">
        <v>1061620.66</v>
      </c>
      <c r="V3" s="27" t="n">
        <v>0</v>
      </c>
      <c r="W3" s="27" t="n">
        <v>66000</v>
      </c>
      <c r="X3" s="27" t="n">
        <v>46654.28571428572</v>
      </c>
      <c r="Y3" s="27" t="n">
        <v>414971.34</v>
      </c>
      <c r="Z3" s="27" t="n">
        <v>20000</v>
      </c>
      <c r="AA3" s="28" t="n">
        <v>1609246.285714286</v>
      </c>
      <c r="AB3" s="28" t="n">
        <v>5975050.406289078</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1496287.395433858</v>
      </c>
      <c r="K4" s="27" t="n">
        <v>43746.69163482609</v>
      </c>
      <c r="L4" s="27" t="n">
        <v>139084.9940576586</v>
      </c>
      <c r="M4" s="28" t="n">
        <v>1679119.081126343</v>
      </c>
      <c r="N4" s="27" t="n">
        <v>155414.301733372</v>
      </c>
      <c r="O4" s="27" t="n">
        <v>610217.0600862569</v>
      </c>
      <c r="P4" s="28" t="n">
        <v>765631.3618196289</v>
      </c>
      <c r="Q4" s="27" t="n">
        <v>136609.5366110229</v>
      </c>
      <c r="R4" s="27" t="n">
        <v>177059.1808863212</v>
      </c>
      <c r="S4" s="28" t="n">
        <v>313668.7174973441</v>
      </c>
      <c r="T4" s="27" t="n">
        <v>89489.13197756799</v>
      </c>
      <c r="U4" s="27" t="n">
        <v>1132406.050134</v>
      </c>
      <c r="V4" s="27" t="n">
        <v>0</v>
      </c>
      <c r="W4" s="27" t="n">
        <v>66000</v>
      </c>
      <c r="X4" s="27" t="n">
        <v>38878.57142857143</v>
      </c>
      <c r="Y4" s="27" t="n">
        <v>355689.72</v>
      </c>
      <c r="Z4" s="27" t="n">
        <v>20000</v>
      </c>
      <c r="AA4" s="28" t="n">
        <v>1612974.341562571</v>
      </c>
      <c r="AB4" s="28" t="n">
        <v>5898405.678977069</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1553892.202311367</v>
      </c>
      <c r="K5" s="27" t="n">
        <v>0</v>
      </c>
      <c r="L5" s="27" t="n">
        <v>0</v>
      </c>
      <c r="M5" s="28" t="n">
        <v>1553892.202311367</v>
      </c>
      <c r="N5" s="27" t="n">
        <v>243283.0856260345</v>
      </c>
      <c r="O5" s="27" t="n">
        <v>794260.1773925505</v>
      </c>
      <c r="P5" s="28" t="n">
        <v>1037543.263018585</v>
      </c>
      <c r="Q5" s="27" t="n">
        <v>23838.17836592437</v>
      </c>
      <c r="R5" s="27" t="n">
        <v>31001.01917026895</v>
      </c>
      <c r="S5" s="28" t="n">
        <v>54839.19753619333</v>
      </c>
      <c r="T5" s="27" t="n">
        <v>94858.47989622207</v>
      </c>
      <c r="U5" s="27" t="n">
        <v>1205009.843701667</v>
      </c>
      <c r="V5" s="27" t="n">
        <v>0</v>
      </c>
      <c r="W5" s="27" t="n">
        <v>66000</v>
      </c>
      <c r="X5" s="27" t="n">
        <v>31102.85714285714</v>
      </c>
      <c r="Y5" s="27" t="n">
        <v>296408.1</v>
      </c>
      <c r="Z5" s="27" t="n">
        <v>20000</v>
      </c>
      <c r="AA5" s="28" t="n">
        <v>1618520.800844524</v>
      </c>
      <c r="AB5" s="28" t="n">
        <v>5878645.651300122</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1385141.730890491</v>
      </c>
      <c r="K6" s="27" t="n">
        <v>0</v>
      </c>
      <c r="L6" s="27" t="n">
        <v>0</v>
      </c>
      <c r="M6" s="28" t="n">
        <v>1385141.730890491</v>
      </c>
      <c r="N6" s="27" t="n">
        <v>411155.5215685088</v>
      </c>
      <c r="O6" s="27" t="n">
        <v>841915.7880361036</v>
      </c>
      <c r="P6" s="28" t="n">
        <v>1253071.309604612</v>
      </c>
      <c r="Q6" s="27" t="n">
        <v>0</v>
      </c>
      <c r="R6" s="27" t="n">
        <v>0</v>
      </c>
      <c r="S6" s="28" t="n">
        <v>0</v>
      </c>
      <c r="T6" s="27" t="n">
        <v>100549.9886899954</v>
      </c>
      <c r="U6" s="27" t="n">
        <v>1279480.52015643</v>
      </c>
      <c r="V6" s="27" t="n">
        <v>0</v>
      </c>
      <c r="W6" s="27" t="n">
        <v>66000</v>
      </c>
      <c r="X6" s="27" t="n">
        <v>23327.14285714286</v>
      </c>
      <c r="Y6" s="27" t="n">
        <v>237126.48</v>
      </c>
      <c r="Z6" s="27" t="n">
        <v>20000</v>
      </c>
      <c r="AA6" s="28" t="n">
        <v>1625934.143013573</v>
      </c>
      <c r="AB6" s="28" t="n">
        <v>5940777.528281355</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1191786.159549827</v>
      </c>
      <c r="K7" s="27" t="n">
        <v>0</v>
      </c>
      <c r="L7" s="27" t="n">
        <v>0</v>
      </c>
      <c r="M7" s="28" t="n">
        <v>1191786.159549827</v>
      </c>
      <c r="N7" s="27" t="n">
        <v>600440.1852496607</v>
      </c>
      <c r="O7" s="27" t="n">
        <v>892430.7353182698</v>
      </c>
      <c r="P7" s="28" t="n">
        <v>1492870.920567931</v>
      </c>
      <c r="Q7" s="27" t="n">
        <v>0</v>
      </c>
      <c r="R7" s="27" t="n">
        <v>0</v>
      </c>
      <c r="S7" s="28" t="n">
        <v>0</v>
      </c>
      <c r="T7" s="27" t="n">
        <v>106582.9880113951</v>
      </c>
      <c r="U7" s="27" t="n">
        <v>1355867.892489596</v>
      </c>
      <c r="V7" s="27" t="n">
        <v>0</v>
      </c>
      <c r="W7" s="27" t="n">
        <v>0</v>
      </c>
      <c r="X7" s="27" t="n">
        <v>15551.42857142857</v>
      </c>
      <c r="Y7" s="27" t="n">
        <v>177844.86</v>
      </c>
      <c r="Z7" s="27" t="n">
        <v>20000</v>
      </c>
      <c r="AA7" s="28" t="n">
        <v>1569264.181061025</v>
      </c>
      <c r="AB7" s="28" t="n">
        <v>5908180.873494681</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1031750.210528517</v>
      </c>
      <c r="K8" s="27" t="n">
        <v>0</v>
      </c>
      <c r="L8" s="27" t="n">
        <v>0</v>
      </c>
      <c r="M8" s="28" t="n">
        <v>1031750.210528517</v>
      </c>
      <c r="N8" s="27" t="n">
        <v>769249.8364597373</v>
      </c>
      <c r="O8" s="27" t="n">
        <v>945976.579437366</v>
      </c>
      <c r="P8" s="28" t="n">
        <v>1715226.415897103</v>
      </c>
      <c r="Q8" s="27" t="n">
        <v>0</v>
      </c>
      <c r="R8" s="27" t="n">
        <v>0</v>
      </c>
      <c r="S8" s="28" t="n">
        <v>0</v>
      </c>
      <c r="T8" s="27" t="n">
        <v>101680.1705628709</v>
      </c>
      <c r="U8" s="27" t="n">
        <v>1434223.144831653</v>
      </c>
      <c r="V8" s="27" t="n">
        <v>0</v>
      </c>
      <c r="W8" s="27" t="n">
        <v>0</v>
      </c>
      <c r="X8" s="27" t="n">
        <v>7775.71428571429</v>
      </c>
      <c r="Y8" s="27" t="n">
        <v>118563.24</v>
      </c>
      <c r="Z8" s="27" t="n">
        <v>20000</v>
      </c>
      <c r="AA8" s="28" t="n">
        <v>1580562.099117368</v>
      </c>
      <c r="AB8" s="28" t="n">
        <v>5947469.024997885</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769378.2251707938</v>
      </c>
      <c r="K9" s="27" t="n">
        <v>0</v>
      </c>
      <c r="L9" s="27" t="n">
        <v>0</v>
      </c>
      <c r="M9" s="28" t="n">
        <v>769378.2251707938</v>
      </c>
      <c r="N9" s="27" t="n">
        <v>930847.8261071902</v>
      </c>
      <c r="O9" s="27" t="n">
        <v>1002735.174203608</v>
      </c>
      <c r="P9" s="28" t="n">
        <v>1933583.000310798</v>
      </c>
      <c r="Q9" s="27" t="n">
        <v>0</v>
      </c>
      <c r="R9" s="27" t="n">
        <v>0</v>
      </c>
      <c r="S9" s="28" t="n">
        <v>0</v>
      </c>
      <c r="T9" s="27" t="n">
        <v>95805.31626368283</v>
      </c>
      <c r="U9" s="27" t="n">
        <v>1514598.871133763</v>
      </c>
      <c r="V9" s="27" t="n">
        <v>0</v>
      </c>
      <c r="W9" s="27" t="n">
        <v>0</v>
      </c>
      <c r="X9" s="27" t="n">
        <v>0</v>
      </c>
      <c r="Y9" s="27" t="n">
        <v>59281.62000000005</v>
      </c>
      <c r="Z9" s="27" t="n">
        <v>20000</v>
      </c>
      <c r="AA9" s="28" t="n">
        <v>1593880.491133763</v>
      </c>
      <c r="AB9" s="28" t="n">
        <v>5880361.783026627</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611393.9390988661</v>
      </c>
      <c r="K10" s="27" t="n">
        <v>0</v>
      </c>
      <c r="L10" s="27" t="n">
        <v>0</v>
      </c>
      <c r="M10" s="28" t="n">
        <v>611393.9390988661</v>
      </c>
      <c r="N10" s="27" t="n">
        <v>1109895.548815396</v>
      </c>
      <c r="O10" s="27" t="n">
        <v>1062899.284655825</v>
      </c>
      <c r="P10" s="28" t="n">
        <v>2172794.833471221</v>
      </c>
      <c r="Q10" s="27" t="n">
        <v>0</v>
      </c>
      <c r="R10" s="27" t="n">
        <v>0</v>
      </c>
      <c r="S10" s="28" t="n">
        <v>0</v>
      </c>
      <c r="T10" s="27" t="n">
        <v>88859.43083456584</v>
      </c>
      <c r="U10" s="27" t="n">
        <v>1597049.114960884</v>
      </c>
      <c r="V10" s="27" t="n">
        <v>0</v>
      </c>
      <c r="W10" s="27" t="n">
        <v>0</v>
      </c>
      <c r="X10" s="27" t="n">
        <v>0</v>
      </c>
      <c r="Y10" s="27" t="n">
        <v>0</v>
      </c>
      <c r="Z10" s="27" t="n">
        <v>20000</v>
      </c>
      <c r="AA10" s="28" t="n">
        <v>1617049.114960884</v>
      </c>
      <c r="AB10" s="28" t="n">
        <v>5946058.943250133</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341503.4631509617</v>
      </c>
      <c r="K11" s="27" t="n">
        <v>0</v>
      </c>
      <c r="L11" s="27" t="n">
        <v>0</v>
      </c>
      <c r="M11" s="28" t="n">
        <v>341503.4631509617</v>
      </c>
      <c r="N11" s="27" t="n">
        <v>1307499.113625868</v>
      </c>
      <c r="O11" s="27" t="n">
        <v>1126673.241735174</v>
      </c>
      <c r="P11" s="28" t="n">
        <v>2434172.355361042</v>
      </c>
      <c r="Q11" s="27" t="n">
        <v>0</v>
      </c>
      <c r="R11" s="27" t="n">
        <v>0</v>
      </c>
      <c r="S11" s="28" t="n">
        <v>0</v>
      </c>
      <c r="T11" s="27" t="n">
        <v>80735.14001540553</v>
      </c>
      <c r="U11" s="27" t="n">
        <v>1681629.410428911</v>
      </c>
      <c r="V11" s="27" t="n">
        <v>0</v>
      </c>
      <c r="W11" s="27" t="n">
        <v>0</v>
      </c>
      <c r="X11" s="27" t="n">
        <v>0</v>
      </c>
      <c r="Y11" s="27" t="n">
        <v>0</v>
      </c>
      <c r="Z11" s="27" t="n">
        <v>20000</v>
      </c>
      <c r="AA11" s="28" t="n">
        <v>1701629.410428911</v>
      </c>
      <c r="AB11" s="28" t="n">
        <v>5980917.433149415</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98709.0399866713</v>
      </c>
      <c r="K12" s="27" t="n">
        <v>0</v>
      </c>
      <c r="L12" s="27" t="n">
        <v>0</v>
      </c>
      <c r="M12" s="28" t="n">
        <v>98709.0399866713</v>
      </c>
      <c r="N12" s="27" t="n">
        <v>1519133.565078319</v>
      </c>
      <c r="O12" s="27" t="n">
        <v>1194273.636239285</v>
      </c>
      <c r="P12" s="28" t="n">
        <v>2713407.201317604</v>
      </c>
      <c r="Q12" s="27" t="n">
        <v>0</v>
      </c>
      <c r="R12" s="27" t="n">
        <v>0</v>
      </c>
      <c r="S12" s="28" t="n">
        <v>0</v>
      </c>
      <c r="T12" s="27" t="n">
        <v>71316.04034694155</v>
      </c>
      <c r="U12" s="27" t="n">
        <v>1764562.206078832</v>
      </c>
      <c r="V12" s="27" t="n">
        <v>0</v>
      </c>
      <c r="W12" s="27" t="n">
        <v>0</v>
      </c>
      <c r="X12" s="27" t="n">
        <v>0</v>
      </c>
      <c r="Y12" s="27" t="n">
        <v>0</v>
      </c>
      <c r="Z12" s="27" t="n">
        <v>20000</v>
      </c>
      <c r="AA12" s="28" t="n">
        <v>1784562.206078832</v>
      </c>
      <c r="AB12" s="28" t="n">
        <v>6056336.692779399</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17388.55102924682</v>
      </c>
      <c r="K13" s="27" t="n">
        <v>0</v>
      </c>
      <c r="L13" s="27" t="n">
        <v>0</v>
      </c>
      <c r="M13" s="28" t="n">
        <v>17388.55102924682</v>
      </c>
      <c r="N13" s="27" t="n">
        <v>1610281.578983018</v>
      </c>
      <c r="O13" s="27" t="n">
        <v>1265930.054413642</v>
      </c>
      <c r="P13" s="28" t="n">
        <v>2876211.63339666</v>
      </c>
      <c r="Q13" s="27" t="n">
        <v>0</v>
      </c>
      <c r="R13" s="27" t="n">
        <v>0</v>
      </c>
      <c r="S13" s="28" t="n">
        <v>0</v>
      </c>
      <c r="T13" s="27" t="n">
        <v>60476.00221420643</v>
      </c>
      <c r="U13" s="27" t="n">
        <v>1817499.072261197</v>
      </c>
      <c r="V13" s="27" t="n">
        <v>0</v>
      </c>
      <c r="W13" s="27" t="n">
        <v>0</v>
      </c>
      <c r="X13" s="27" t="n">
        <v>0</v>
      </c>
      <c r="Y13" s="27" t="n">
        <v>0</v>
      </c>
      <c r="Z13" s="27" t="n">
        <v>20000</v>
      </c>
      <c r="AA13" s="28" t="n">
        <v>1837499.072261197</v>
      </c>
      <c r="AB13" s="28" t="n">
        <v>6140466.839714104</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1673026.839657182</v>
      </c>
      <c r="O14" s="27" t="n">
        <v>1315257.52129655</v>
      </c>
      <c r="P14" s="28" t="n">
        <v>2988284.360953732</v>
      </c>
      <c r="Q14" s="27" t="n">
        <v>0</v>
      </c>
      <c r="R14" s="27" t="n">
        <v>0</v>
      </c>
      <c r="S14" s="28" t="n">
        <v>0</v>
      </c>
      <c r="T14" s="27" t="n">
        <v>48078.42176029411</v>
      </c>
      <c r="U14" s="27" t="n">
        <v>1872024.044429033</v>
      </c>
      <c r="V14" s="27" t="n">
        <v>0</v>
      </c>
      <c r="W14" s="27" t="n">
        <v>0</v>
      </c>
      <c r="X14" s="27" t="n">
        <v>0</v>
      </c>
      <c r="Y14" s="27" t="n">
        <v>0</v>
      </c>
      <c r="Z14" s="27" t="n">
        <v>20000</v>
      </c>
      <c r="AA14" s="28" t="n">
        <v>1892024.044429033</v>
      </c>
      <c r="AB14" s="28" t="n">
        <v>6227111.194074372</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1728876.657940455</v>
      </c>
      <c r="O15" s="27" t="n">
        <v>1359164.105350619</v>
      </c>
      <c r="P15" s="28" t="n">
        <v>3088040.763291075</v>
      </c>
      <c r="Q15" s="27" t="n">
        <v>0</v>
      </c>
      <c r="R15" s="27" t="n">
        <v>0</v>
      </c>
      <c r="S15" s="28" t="n">
        <v>0</v>
      </c>
      <c r="T15" s="27" t="n">
        <v>33975.41804394116</v>
      </c>
      <c r="U15" s="27" t="n">
        <v>1928184.765761904</v>
      </c>
      <c r="V15" s="27" t="n">
        <v>0</v>
      </c>
      <c r="W15" s="27" t="n">
        <v>0</v>
      </c>
      <c r="X15" s="27" t="n">
        <v>0</v>
      </c>
      <c r="Y15" s="27" t="n">
        <v>0</v>
      </c>
      <c r="Z15" s="27" t="n">
        <v>20000</v>
      </c>
      <c r="AA15" s="28" t="n">
        <v>1948184.765761904</v>
      </c>
      <c r="AB15" s="28" t="n">
        <v>6317154.962636184</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1784110.70912845</v>
      </c>
      <c r="O16" s="27" t="n">
        <v>1402586.60135288</v>
      </c>
      <c r="P16" s="28" t="n">
        <v>3186697.310481329</v>
      </c>
      <c r="Q16" s="27" t="n">
        <v>0</v>
      </c>
      <c r="R16" s="27" t="n">
        <v>0</v>
      </c>
      <c r="S16" s="28" t="n">
        <v>0</v>
      </c>
      <c r="T16" s="27" t="n">
        <v>18006.97156328882</v>
      </c>
      <c r="U16" s="27" t="n">
        <v>1986030.308734762</v>
      </c>
      <c r="V16" s="27" t="n">
        <v>0</v>
      </c>
      <c r="W16" s="27" t="n">
        <v>0</v>
      </c>
      <c r="X16" s="27" t="n">
        <v>0</v>
      </c>
      <c r="Y16" s="27" t="n">
        <v>0</v>
      </c>
      <c r="Z16" s="27" t="n">
        <v>20000</v>
      </c>
      <c r="AA16" s="28" t="n">
        <v>2006030.308734762</v>
      </c>
      <c r="AB16" s="28" t="n">
        <v>6404122.970711892</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1838614.414795273</v>
      </c>
      <c r="O17" s="27" t="n">
        <v>1445434.932962139</v>
      </c>
      <c r="P17" s="28" t="n">
        <v>3284049.347757411</v>
      </c>
      <c r="Q17" s="27" t="n">
        <v>0</v>
      </c>
      <c r="R17" s="27" t="n">
        <v>0</v>
      </c>
      <c r="S17" s="28" t="n">
        <v>0</v>
      </c>
      <c r="T17" s="27" t="n">
        <v>0</v>
      </c>
      <c r="U17" s="27" t="n">
        <v>2045611.217996805</v>
      </c>
      <c r="V17" s="27" t="n">
        <v>0</v>
      </c>
      <c r="W17" s="27" t="n">
        <v>0</v>
      </c>
      <c r="X17" s="27" t="n">
        <v>0</v>
      </c>
      <c r="Y17" s="27" t="n">
        <v>0</v>
      </c>
      <c r="Z17" s="27" t="n">
        <v>20000</v>
      </c>
      <c r="AA17" s="28" t="n">
        <v>2065611.217996805</v>
      </c>
      <c r="AB17" s="28" t="n">
        <v>6487461.328135343</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1883636.200810461</v>
      </c>
      <c r="O18" s="27" t="n">
        <v>1480829.011093494</v>
      </c>
      <c r="P18" s="28" t="n">
        <v>3364465.211903955</v>
      </c>
      <c r="Q18" s="27" t="n">
        <v>0</v>
      </c>
      <c r="R18" s="27" t="n">
        <v>0</v>
      </c>
      <c r="S18" s="28" t="n">
        <v>0</v>
      </c>
      <c r="T18" s="27" t="n">
        <v>0</v>
      </c>
      <c r="U18" s="27" t="n">
        <v>2106979.554536709</v>
      </c>
      <c r="V18" s="27" t="n">
        <v>0</v>
      </c>
      <c r="W18" s="27" t="n">
        <v>0</v>
      </c>
      <c r="X18" s="27" t="n">
        <v>0</v>
      </c>
      <c r="Y18" s="27" t="n">
        <v>0</v>
      </c>
      <c r="Z18" s="27" t="n">
        <v>20000</v>
      </c>
      <c r="AA18" s="28" t="n">
        <v>2126979.554536709</v>
      </c>
      <c r="AB18" s="28" t="n">
        <v>6571403.050687212</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1929228.636744382</v>
      </c>
      <c r="O19" s="27" t="n">
        <v>1516671.708206834</v>
      </c>
      <c r="P19" s="28" t="n">
        <v>3445900.344951216</v>
      </c>
      <c r="Q19" s="27" t="n">
        <v>0</v>
      </c>
      <c r="R19" s="27" t="n">
        <v>0</v>
      </c>
      <c r="S19" s="28" t="n">
        <v>0</v>
      </c>
      <c r="T19" s="27" t="n">
        <v>0</v>
      </c>
      <c r="U19" s="27" t="n">
        <v>2170188.94117281</v>
      </c>
      <c r="V19" s="27" t="n">
        <v>0</v>
      </c>
      <c r="W19" s="27" t="n">
        <v>0</v>
      </c>
      <c r="X19" s="27" t="n">
        <v>0</v>
      </c>
      <c r="Y19" s="27" t="n">
        <v>0</v>
      </c>
      <c r="Z19" s="27" t="n">
        <v>20000</v>
      </c>
      <c r="AA19" s="28" t="n">
        <v>2190188.94117281</v>
      </c>
      <c r="AB19" s="28" t="n">
        <v>6655710.397943776</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1975352.246142851</v>
      </c>
      <c r="O20" s="27" t="n">
        <v>1552931.98971141</v>
      </c>
      <c r="P20" s="28" t="n">
        <v>3528284.235854262</v>
      </c>
      <c r="Q20" s="27" t="n">
        <v>1.511455543027415e-11</v>
      </c>
      <c r="R20" s="27" t="n">
        <v>0</v>
      </c>
      <c r="S20" s="28" t="n">
        <v>1.511455543027415e-11</v>
      </c>
      <c r="T20" s="27" t="n">
        <v>0</v>
      </c>
      <c r="U20" s="27" t="n">
        <v>2235294.609407994</v>
      </c>
      <c r="V20" s="27" t="n">
        <v>0</v>
      </c>
      <c r="W20" s="27" t="n">
        <v>0</v>
      </c>
      <c r="X20" s="27" t="n">
        <v>0</v>
      </c>
      <c r="Y20" s="27" t="n">
        <v>0</v>
      </c>
      <c r="Z20" s="27" t="n">
        <v>20000</v>
      </c>
      <c r="AA20" s="28" t="n">
        <v>2255294.609407994</v>
      </c>
      <c r="AB20" s="28" t="n">
        <v>6740120.501362991</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2021956.098611041</v>
      </c>
      <c r="O21" s="27" t="n">
        <v>1589569.816449887</v>
      </c>
      <c r="P21" s="28" t="n">
        <v>3611525.915060928</v>
      </c>
      <c r="Q21" s="27" t="n">
        <v>0</v>
      </c>
      <c r="R21" s="27" t="n">
        <v>0</v>
      </c>
      <c r="S21" s="28" t="n">
        <v>0</v>
      </c>
      <c r="T21" s="27" t="n">
        <v>0</v>
      </c>
      <c r="U21" s="27" t="n">
        <v>2302353.447690234</v>
      </c>
      <c r="V21" s="27" t="n">
        <v>0</v>
      </c>
      <c r="W21" s="27" t="n">
        <v>0</v>
      </c>
      <c r="X21" s="27" t="n">
        <v>0</v>
      </c>
      <c r="Y21" s="27" t="n">
        <v>0</v>
      </c>
      <c r="Z21" s="27" t="n">
        <v>20000</v>
      </c>
      <c r="AA21" s="28" t="n">
        <v>2322353.447690234</v>
      </c>
      <c r="AB21" s="28" t="n">
        <v>6824343.106721029</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2068976.906938427</v>
      </c>
      <c r="O22" s="27" t="n">
        <v>1626535.434899087</v>
      </c>
      <c r="P22" s="28" t="n">
        <v>3695512.341837513</v>
      </c>
      <c r="Q22" s="27" t="n">
        <v>0</v>
      </c>
      <c r="R22" s="27" t="n">
        <v>0</v>
      </c>
      <c r="S22" s="28" t="n">
        <v>0</v>
      </c>
      <c r="T22" s="27" t="n">
        <v>0</v>
      </c>
      <c r="U22" s="27" t="n">
        <v>2371424.051120941</v>
      </c>
      <c r="V22" s="27" t="n">
        <v>0</v>
      </c>
      <c r="W22" s="27" t="n">
        <v>0</v>
      </c>
      <c r="X22" s="27" t="n">
        <v>0</v>
      </c>
      <c r="Y22" s="27" t="n">
        <v>0</v>
      </c>
      <c r="Z22" s="27" t="n">
        <v>20000</v>
      </c>
      <c r="AA22" s="28" t="n">
        <v>2391424.051120941</v>
      </c>
      <c r="AB22" s="28" t="n">
        <v>6908058.151053272</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2116338.043053989</v>
      </c>
      <c r="O23" s="27" t="n">
        <v>1663768.603558776</v>
      </c>
      <c r="P23" s="28" t="n">
        <v>3780106.646612765</v>
      </c>
      <c r="Q23" s="27" t="n">
        <v>0</v>
      </c>
      <c r="R23" s="27" t="n">
        <v>0</v>
      </c>
      <c r="S23" s="28" t="n">
        <v>0</v>
      </c>
      <c r="T23" s="27" t="n">
        <v>0</v>
      </c>
      <c r="U23" s="27" t="n">
        <v>2442566.772654569</v>
      </c>
      <c r="V23" s="27" t="n">
        <v>0</v>
      </c>
      <c r="W23" s="27" t="n">
        <v>0</v>
      </c>
      <c r="X23" s="27" t="n">
        <v>0</v>
      </c>
      <c r="Y23" s="27" t="n">
        <v>0</v>
      </c>
      <c r="Z23" s="27" t="n">
        <v>20000</v>
      </c>
      <c r="AA23" s="28" t="n">
        <v>2462566.772654569</v>
      </c>
      <c r="AB23" s="28" t="n">
        <v>6990913.162068972</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2159308.633646661</v>
      </c>
      <c r="O24" s="27" t="n">
        <v>1697550.125248618</v>
      </c>
      <c r="P24" s="28" t="n">
        <v>3856858.75889528</v>
      </c>
      <c r="Q24" s="27" t="n">
        <v>0</v>
      </c>
      <c r="R24" s="27" t="n">
        <v>0</v>
      </c>
      <c r="S24" s="28" t="n">
        <v>0</v>
      </c>
      <c r="T24" s="27" t="n">
        <v>0</v>
      </c>
      <c r="U24" s="27" t="n">
        <v>2515843.775834206</v>
      </c>
      <c r="V24" s="27" t="n">
        <v>0</v>
      </c>
      <c r="W24" s="27" t="n">
        <v>0</v>
      </c>
      <c r="X24" s="27" t="n">
        <v>0</v>
      </c>
      <c r="Y24" s="27" t="n">
        <v>0</v>
      </c>
      <c r="Z24" s="27" t="n">
        <v>20000</v>
      </c>
      <c r="AA24" s="28" t="n">
        <v>2535843.775834206</v>
      </c>
      <c r="AB24" s="28" t="n">
        <v>7064233.007743798</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2190958.492905391</v>
      </c>
      <c r="O25" s="27" t="n">
        <v>1722431.803444858</v>
      </c>
      <c r="P25" s="28" t="n">
        <v>3913390.29635025</v>
      </c>
      <c r="Q25" s="27" t="n">
        <v>0</v>
      </c>
      <c r="R25" s="27" t="n">
        <v>0</v>
      </c>
      <c r="S25" s="28" t="n">
        <v>0</v>
      </c>
      <c r="T25" s="27" t="n">
        <v>0</v>
      </c>
      <c r="U25" s="27" t="n">
        <v>2591319.089109233</v>
      </c>
      <c r="V25" s="27" t="n">
        <v>0</v>
      </c>
      <c r="W25" s="27" t="n">
        <v>0</v>
      </c>
      <c r="X25" s="27" t="n">
        <v>0</v>
      </c>
      <c r="Y25" s="27" t="n">
        <v>0</v>
      </c>
      <c r="Z25" s="27" t="n">
        <v>20000</v>
      </c>
      <c r="AA25" s="28" t="n">
        <v>2611319.089109233</v>
      </c>
      <c r="AB25" s="28" t="n">
        <v>7126002.458882167</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2222239.197006017</v>
      </c>
      <c r="O26" s="27" t="n">
        <v>1747023.268665003</v>
      </c>
      <c r="P26" s="28" t="n">
        <v>3969262.46567102</v>
      </c>
      <c r="Q26" s="27" t="n">
        <v>0</v>
      </c>
      <c r="R26" s="27" t="n">
        <v>0</v>
      </c>
      <c r="S26" s="28" t="n">
        <v>0</v>
      </c>
      <c r="T26" s="27" t="n">
        <v>0</v>
      </c>
      <c r="U26" s="27" t="n">
        <v>2669058.66178251</v>
      </c>
      <c r="V26" s="27" t="n">
        <v>0</v>
      </c>
      <c r="W26" s="27" t="n">
        <v>0</v>
      </c>
      <c r="X26" s="27" t="n">
        <v>0</v>
      </c>
      <c r="Y26" s="27" t="n">
        <v>0</v>
      </c>
      <c r="Z26" s="27" t="n">
        <v>20000</v>
      </c>
      <c r="AA26" s="28" t="n">
        <v>2689058.66178251</v>
      </c>
      <c r="AB26" s="28" t="n">
        <v>7210361.461215326</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2252967.037651666</v>
      </c>
      <c r="O27" s="27" t="n">
        <v>1771180.097811076</v>
      </c>
      <c r="P27" s="28" t="n">
        <v>4024147.135462742</v>
      </c>
      <c r="Q27" s="27" t="n">
        <v>3.02291108605483e-11</v>
      </c>
      <c r="R27" s="27" t="n">
        <v>0</v>
      </c>
      <c r="S27" s="28" t="n">
        <v>3.02291108605483e-11</v>
      </c>
      <c r="T27" s="27" t="n">
        <v>0</v>
      </c>
      <c r="U27" s="27" t="n">
        <v>2749130.421635985</v>
      </c>
      <c r="V27" s="27" t="n">
        <v>0</v>
      </c>
      <c r="W27" s="27" t="n">
        <v>0</v>
      </c>
      <c r="X27" s="27" t="n">
        <v>0</v>
      </c>
      <c r="Y27" s="27" t="n">
        <v>0</v>
      </c>
      <c r="Z27" s="27" t="n">
        <v>20000</v>
      </c>
      <c r="AA27" s="28" t="n">
        <v>2769130.421635985</v>
      </c>
      <c r="AB27" s="28" t="n">
        <v>7292021.57094772</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2282936.489647065</v>
      </c>
      <c r="O28" s="27" t="n">
        <v>1794740.716332989</v>
      </c>
      <c r="P28" s="28" t="n">
        <v>4077677.205980053</v>
      </c>
      <c r="Q28" s="27" t="n">
        <v>3.02291108605483e-11</v>
      </c>
      <c r="R28" s="27" t="n">
        <v>0</v>
      </c>
      <c r="S28" s="28" t="n">
        <v>3.02291108605483e-11</v>
      </c>
      <c r="T28" s="27" t="n">
        <v>0</v>
      </c>
      <c r="U28" s="27" t="n">
        <v>2831604.334285065</v>
      </c>
      <c r="V28" s="27" t="n">
        <v>0</v>
      </c>
      <c r="W28" s="27" t="n">
        <v>0</v>
      </c>
      <c r="X28" s="27" t="n">
        <v>0</v>
      </c>
      <c r="Y28" s="27" t="n">
        <v>0</v>
      </c>
      <c r="Z28" s="27" t="n">
        <v>20000</v>
      </c>
      <c r="AA28" s="28" t="n">
        <v>2851604.334285065</v>
      </c>
      <c r="AB28" s="28" t="n">
        <v>7370427.117084723</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2311933.671762019</v>
      </c>
      <c r="O29" s="27" t="n">
        <v>1817536.980546487</v>
      </c>
      <c r="P29" s="28" t="n">
        <v>4129470.652308505</v>
      </c>
      <c r="Q29" s="27" t="n">
        <v>3.02291108605483e-11</v>
      </c>
      <c r="R29" s="27" t="n">
        <v>0</v>
      </c>
      <c r="S29" s="28" t="n">
        <v>3.02291108605483e-11</v>
      </c>
      <c r="T29" s="27" t="n">
        <v>0</v>
      </c>
      <c r="U29" s="27" t="n">
        <v>2916552.464313617</v>
      </c>
      <c r="V29" s="27" t="n">
        <v>0</v>
      </c>
      <c r="W29" s="27" t="n">
        <v>0</v>
      </c>
      <c r="X29" s="27" t="n">
        <v>0</v>
      </c>
      <c r="Y29" s="27" t="n">
        <v>0</v>
      </c>
      <c r="Z29" s="27" t="n">
        <v>20000</v>
      </c>
      <c r="AA29" s="28" t="n">
        <v>2936552.464313617</v>
      </c>
      <c r="AB29" s="28" t="n">
        <v>7444997.105448566</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2339763.529248673</v>
      </c>
      <c r="O30" s="27" t="n">
        <v>1839415.547290481</v>
      </c>
      <c r="P30" s="28" t="n">
        <v>4179179.076539154</v>
      </c>
      <c r="Q30" s="27" t="n">
        <v>0</v>
      </c>
      <c r="R30" s="27" t="n">
        <v>0</v>
      </c>
      <c r="S30" s="28" t="n">
        <v>0</v>
      </c>
      <c r="T30" s="27" t="n">
        <v>0</v>
      </c>
      <c r="U30" s="27" t="n">
        <v>3004049.038243025</v>
      </c>
      <c r="V30" s="27" t="n">
        <v>0</v>
      </c>
      <c r="W30" s="27" t="n">
        <v>0</v>
      </c>
      <c r="X30" s="27" t="n">
        <v>0</v>
      </c>
      <c r="Y30" s="27" t="n">
        <v>0</v>
      </c>
      <c r="Z30" s="27" t="n">
        <v>20000</v>
      </c>
      <c r="AA30" s="28" t="n">
        <v>3024049.038243025</v>
      </c>
      <c r="AB30" s="28" t="n">
        <v>7515137.976957904</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4226424.314131381</v>
      </c>
      <c r="P31" s="28" t="n">
        <v>4226424.314131381</v>
      </c>
      <c r="Q31" s="27" t="n">
        <v>0</v>
      </c>
      <c r="R31" s="27" t="n">
        <v>0</v>
      </c>
      <c r="S31" s="28" t="n">
        <v>0</v>
      </c>
      <c r="T31" s="27" t="n">
        <v>0</v>
      </c>
      <c r="U31" s="27" t="n">
        <v>3094170.509390316</v>
      </c>
      <c r="V31" s="27" t="n">
        <v>0</v>
      </c>
      <c r="W31" s="27" t="n">
        <v>0</v>
      </c>
      <c r="X31" s="27" t="n">
        <v>0</v>
      </c>
      <c r="Y31" s="27" t="n">
        <v>0</v>
      </c>
      <c r="Z31" s="27" t="n">
        <v>20000</v>
      </c>
      <c r="AA31" s="28" t="n">
        <v>3114170.509390316</v>
      </c>
      <c r="AB31" s="28" t="n">
        <v>7581312.724179099</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4271720.730847677</v>
      </c>
      <c r="P32" s="28" t="n">
        <v>4271720.730847677</v>
      </c>
      <c r="Q32" s="27" t="n">
        <v>0</v>
      </c>
      <c r="R32" s="27" t="n">
        <v>0</v>
      </c>
      <c r="S32" s="28" t="n">
        <v>0</v>
      </c>
      <c r="T32" s="27" t="n">
        <v>0</v>
      </c>
      <c r="U32" s="27" t="n">
        <v>3186995.624672025</v>
      </c>
      <c r="V32" s="27" t="n">
        <v>0</v>
      </c>
      <c r="W32" s="27" t="n">
        <v>0</v>
      </c>
      <c r="X32" s="27" t="n">
        <v>0</v>
      </c>
      <c r="Y32" s="27" t="n">
        <v>0</v>
      </c>
      <c r="Z32" s="27" t="n">
        <v>20000</v>
      </c>
      <c r="AA32" s="28" t="n">
        <v>3206995.624672025</v>
      </c>
      <c r="AB32" s="28" t="n">
        <v>7642510.896656407</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4315172.800931123</v>
      </c>
      <c r="P33" s="28" t="n">
        <v>4315172.800931123</v>
      </c>
      <c r="Q33" s="27" t="n">
        <v>0</v>
      </c>
      <c r="R33" s="27" t="n">
        <v>0</v>
      </c>
      <c r="S33" s="28" t="n">
        <v>0</v>
      </c>
      <c r="T33" s="27" t="n">
        <v>0</v>
      </c>
      <c r="U33" s="27" t="n">
        <v>3282605.493412186</v>
      </c>
      <c r="V33" s="27" t="n">
        <v>0</v>
      </c>
      <c r="W33" s="27" t="n">
        <v>0</v>
      </c>
      <c r="X33" s="27" t="n">
        <v>0</v>
      </c>
      <c r="Y33" s="27" t="n">
        <v>0</v>
      </c>
      <c r="Z33" s="27" t="n">
        <v>20000</v>
      </c>
      <c r="AA33" s="28" t="n">
        <v>3302605.493412186</v>
      </c>
      <c r="AB33" s="28" t="n">
        <v>7705446.938734698</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1808866.8219234</v>
      </c>
      <c r="C38" s="27" t="n">
        <v>0</v>
      </c>
      <c r="D38" s="27" t="n">
        <v>-1808866.8219234</v>
      </c>
      <c r="E38" s="29" t="n">
        <v>-1</v>
      </c>
    </row>
    <row r="39" ht="15" customHeight="1">
      <c r="A39" s="12" t="inlineStr">
        <is>
          <t>Roth</t>
        </is>
      </c>
      <c r="B39" s="27" t="n">
        <v>497501.52790784</v>
      </c>
      <c r="C39" s="27" t="n">
        <v>4315172.800931123</v>
      </c>
      <c r="D39" s="27" t="n">
        <v>3817671.273023283</v>
      </c>
      <c r="E39" s="29" t="n">
        <v>7.673687534343594</v>
      </c>
    </row>
    <row r="40" ht="15" customHeight="1">
      <c r="A40" s="12" t="inlineStr">
        <is>
          <t>Trusts</t>
        </is>
      </c>
      <c r="B40" s="27" t="n">
        <v>614346.2452990413</v>
      </c>
      <c r="C40" s="27" t="n">
        <v>0</v>
      </c>
      <c r="D40" s="27" t="n">
        <v>-614346.2452990413</v>
      </c>
      <c r="E40" s="29" t="n">
        <v>-1</v>
      </c>
    </row>
    <row r="41" ht="15" customHeight="1">
      <c r="A41" s="12" t="inlineStr">
        <is>
          <t>HSA</t>
        </is>
      </c>
      <c r="B41" s="27" t="n">
        <v>84423.70941279999</v>
      </c>
      <c r="C41" s="27" t="n">
        <v>0</v>
      </c>
      <c r="D41" s="27" t="n">
        <v>-84423.70941279999</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5975050.406289078</v>
      </c>
      <c r="C43" s="30" t="n">
        <v>7705446.938734698</v>
      </c>
      <c r="D43" s="30" t="n">
        <v>1730396.53244562</v>
      </c>
      <c r="E43" s="31" t="n">
        <v>0.2896036710626373</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Matthew Age</t>
        </is>
      </c>
      <c r="C2" s="23" t="inlineStr">
        <is>
          <t>Patricia Age</t>
        </is>
      </c>
      <c r="D2" s="23" t="inlineStr">
        <is>
          <t>Earned</t>
        </is>
      </c>
      <c r="E2" s="23" t="inlineStr">
        <is>
          <t>Matthew SS</t>
        </is>
      </c>
      <c r="F2" s="23" t="inlineStr">
        <is>
          <t>Patricia SS</t>
        </is>
      </c>
      <c r="G2" s="23" t="inlineStr">
        <is>
          <t>Pension</t>
        </is>
      </c>
      <c r="H2" s="23" t="inlineStr">
        <is>
          <t>Patricia Single Ann</t>
        </is>
      </c>
      <c r="I2" s="23" t="inlineStr">
        <is>
          <t>Patricia Joint Ann</t>
        </is>
      </c>
      <c r="J2" s="23" t="inlineStr">
        <is>
          <t>Matthew Single Ann</t>
        </is>
      </c>
      <c r="K2" s="23" t="inlineStr">
        <is>
          <t>Matthew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Matthew Trust WD</t>
        </is>
      </c>
      <c r="AW2" s="23" t="inlineStr">
        <is>
          <t>Patricia Trust WD</t>
        </is>
      </c>
      <c r="AX2" s="24" t="inlineStr">
        <is>
          <t>Σ Trust</t>
        </is>
      </c>
      <c r="AY2" s="23" t="inlineStr">
        <is>
          <t>HSA WD</t>
        </is>
      </c>
      <c r="AZ2" s="23" t="inlineStr">
        <is>
          <t>Matthew Roth WD</t>
        </is>
      </c>
      <c r="BA2" s="23" t="inlineStr">
        <is>
          <t>Patricia Roth WD</t>
        </is>
      </c>
      <c r="BB2" s="24" t="inlineStr">
        <is>
          <t>Σ Roth</t>
        </is>
      </c>
      <c r="BC2" s="23" t="inlineStr">
        <is>
          <t>Matthew IRA RMD</t>
        </is>
      </c>
      <c r="BD2" s="23" t="inlineStr">
        <is>
          <t>Matthew IRA Elec</t>
        </is>
      </c>
      <c r="BE2" s="23" t="inlineStr">
        <is>
          <t>Matthew IRA Conv</t>
        </is>
      </c>
      <c r="BF2" s="24" t="inlineStr">
        <is>
          <t>Matthew IRA Outflow</t>
        </is>
      </c>
      <c r="BG2" s="23" t="inlineStr">
        <is>
          <t>Patricia IRA RMD</t>
        </is>
      </c>
      <c r="BH2" s="23" t="inlineStr">
        <is>
          <t>Patricia IRA Elec</t>
        </is>
      </c>
      <c r="BI2" s="23" t="inlineStr">
        <is>
          <t>Patricia IRA Conv</t>
        </is>
      </c>
      <c r="BJ2" s="24" t="inlineStr">
        <is>
          <t>Patricia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125000</v>
      </c>
      <c r="P3" s="28" t="n">
        <v>447372.89762428</v>
      </c>
      <c r="Q3" s="27" t="n">
        <v>364148.5178139996</v>
      </c>
      <c r="R3" s="27" t="n">
        <v>72803.5242753599</v>
      </c>
      <c r="S3" s="27" t="n">
        <v>15734.11443240186</v>
      </c>
      <c r="T3" s="27" t="n">
        <v>0</v>
      </c>
      <c r="U3" s="27" t="n">
        <v>5335.200000000001</v>
      </c>
      <c r="V3" s="27" t="n">
        <v>129059</v>
      </c>
      <c r="W3" s="27" t="n">
        <v>105600</v>
      </c>
      <c r="X3" s="27" t="n">
        <v>36000</v>
      </c>
      <c r="Y3" s="27" t="n">
        <v>18000</v>
      </c>
      <c r="Z3" s="27" t="n">
        <v>13185</v>
      </c>
      <c r="AA3" s="27" t="n">
        <v>25000</v>
      </c>
      <c r="AB3" s="27" t="n">
        <v>2100</v>
      </c>
      <c r="AC3" s="27" t="n">
        <v>11315</v>
      </c>
      <c r="AD3" s="27" t="n">
        <v>21760.12</v>
      </c>
      <c r="AE3" s="27" t="n">
        <v>11760.12</v>
      </c>
      <c r="AF3" s="27" t="n">
        <v>4332.807096677191</v>
      </c>
      <c r="AG3" s="27" t="n">
        <v>1090.061644865434</v>
      </c>
      <c r="AH3" s="27" t="n">
        <v>789.3549842129003</v>
      </c>
      <c r="AI3" s="27" t="n">
        <v>1879.416629078334</v>
      </c>
      <c r="AJ3" s="27" t="n">
        <v>1908.35964516614</v>
      </c>
      <c r="AK3" s="27" t="n">
        <v>13647</v>
      </c>
      <c r="AL3" s="27" t="n">
        <v>0</v>
      </c>
      <c r="AM3" s="28" t="n">
        <v>0</v>
      </c>
      <c r="AN3" s="28" t="n">
        <v>270066.12</v>
      </c>
      <c r="AO3" s="27" t="n">
        <v>103052.8387077618</v>
      </c>
      <c r="AP3" s="28" t="n">
        <v>355118.9587077618</v>
      </c>
      <c r="AQ3" s="27" t="n">
        <v>395058.63</v>
      </c>
      <c r="AR3" s="27" t="n">
        <v>10356.00762428</v>
      </c>
      <c r="AS3" s="27" t="n">
        <v>0</v>
      </c>
      <c r="AT3" s="28" t="n">
        <v>0</v>
      </c>
      <c r="AU3" s="28" t="n">
        <v>-50295.67891651823</v>
      </c>
      <c r="AV3" s="27" t="n">
        <v>0</v>
      </c>
      <c r="AW3" s="27" t="n">
        <v>0</v>
      </c>
      <c r="AX3" s="28" t="n">
        <v>0</v>
      </c>
      <c r="AY3" s="27" t="n">
        <v>0</v>
      </c>
      <c r="AZ3" s="27" t="n">
        <v>0</v>
      </c>
      <c r="BA3" s="27" t="n">
        <v>0</v>
      </c>
      <c r="BB3" s="28" t="n">
        <v>0</v>
      </c>
      <c r="BC3" s="27" t="n">
        <v>0</v>
      </c>
      <c r="BD3" s="27" t="n">
        <v>0</v>
      </c>
      <c r="BE3" s="27" t="n">
        <v>0</v>
      </c>
      <c r="BF3" s="28" t="n">
        <v>0</v>
      </c>
      <c r="BG3" s="27" t="n">
        <v>0</v>
      </c>
      <c r="BH3" s="27" t="n">
        <v>0</v>
      </c>
      <c r="BI3" s="27" t="n">
        <v>125000</v>
      </c>
      <c r="BJ3" s="28" t="n">
        <v>125000</v>
      </c>
      <c r="BK3" s="27" t="n">
        <v>0</v>
      </c>
      <c r="BL3" s="28" t="n">
        <v>0</v>
      </c>
      <c r="BM3" s="28" t="n">
        <v>0</v>
      </c>
      <c r="BN3" s="27" t="n">
        <v>50295.67891651823</v>
      </c>
      <c r="BO3" s="27" t="n">
        <v>5975050.406289078</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224792.2096578476</v>
      </c>
      <c r="P4" s="28" t="n">
        <v>273359.9999999999</v>
      </c>
      <c r="Q4" s="27" t="n">
        <v>234220.3199999999</v>
      </c>
      <c r="R4" s="27" t="n">
        <v>41328.91439999999</v>
      </c>
      <c r="S4" s="27" t="n">
        <v>2180.761621936541</v>
      </c>
      <c r="T4" s="27" t="n">
        <v>887.6799999999978</v>
      </c>
      <c r="U4" s="27" t="n">
        <v>2167.2</v>
      </c>
      <c r="V4" s="27" t="n">
        <v>132285.475</v>
      </c>
      <c r="W4" s="27" t="n">
        <v>107340</v>
      </c>
      <c r="X4" s="27" t="n">
        <v>36000</v>
      </c>
      <c r="Y4" s="27" t="n">
        <v>18450</v>
      </c>
      <c r="Z4" s="27" t="n">
        <v>13514.625</v>
      </c>
      <c r="AA4" s="27" t="n">
        <v>25625</v>
      </c>
      <c r="AB4" s="27" t="n">
        <v>2152.5</v>
      </c>
      <c r="AC4" s="27" t="n">
        <v>11597.875</v>
      </c>
      <c r="AD4" s="27" t="n">
        <v>35185.751</v>
      </c>
      <c r="AE4" s="27" t="n">
        <v>24635.751</v>
      </c>
      <c r="AF4" s="27" t="n">
        <v>4605.983896086551</v>
      </c>
      <c r="AG4" s="27" t="n">
        <v>1158.788348976403</v>
      </c>
      <c r="AH4" s="27" t="n">
        <v>839.1225975346368</v>
      </c>
      <c r="AI4" s="27" t="n">
        <v>1917.426382315098</v>
      </c>
      <c r="AJ4" s="27" t="n">
        <v>2028.67877508731</v>
      </c>
      <c r="AK4" s="27" t="n">
        <v>13988.175</v>
      </c>
      <c r="AL4" s="27" t="n">
        <v>100000</v>
      </c>
      <c r="AM4" s="28" t="n">
        <v>0</v>
      </c>
      <c r="AN4" s="28" t="n">
        <v>388799.401</v>
      </c>
      <c r="AO4" s="27" t="n">
        <v>50428.13364556708</v>
      </c>
      <c r="AP4" s="28" t="n">
        <v>416026.2770219365</v>
      </c>
      <c r="AQ4" s="27" t="n">
        <v>95957.62</v>
      </c>
      <c r="AR4" s="27" t="n">
        <v>11891.79034215233</v>
      </c>
      <c r="AS4" s="27" t="n">
        <v>0</v>
      </c>
      <c r="AT4" s="28" t="n">
        <v>312928.1260864659</v>
      </c>
      <c r="AU4" s="28" t="n">
        <v>-4751.259406681755</v>
      </c>
      <c r="AV4" s="27" t="n">
        <v>136546.6404775929</v>
      </c>
      <c r="AW4" s="27" t="n">
        <v>176381.4781794931</v>
      </c>
      <c r="AX4" s="28" t="n">
        <v>312928.118657086</v>
      </c>
      <c r="AY4" s="27" t="n">
        <v>0</v>
      </c>
      <c r="AZ4" s="27" t="n">
        <v>0</v>
      </c>
      <c r="BA4" s="27" t="n">
        <v>0</v>
      </c>
      <c r="BB4" s="28" t="n">
        <v>0</v>
      </c>
      <c r="BC4" s="27" t="n">
        <v>0</v>
      </c>
      <c r="BD4" s="27" t="n">
        <v>0.006813988620267761</v>
      </c>
      <c r="BE4" s="27" t="n">
        <v>0</v>
      </c>
      <c r="BF4" s="28" t="n">
        <v>0.006813988620267761</v>
      </c>
      <c r="BG4" s="27" t="n">
        <v>0</v>
      </c>
      <c r="BH4" s="27" t="n">
        <v>0.0006153912921257484</v>
      </c>
      <c r="BI4" s="27" t="n">
        <v>224792.2096578476</v>
      </c>
      <c r="BJ4" s="28" t="n">
        <v>224792.2102732389</v>
      </c>
      <c r="BK4" s="27" t="n">
        <v>0</v>
      </c>
      <c r="BL4" s="28" t="n">
        <v>0</v>
      </c>
      <c r="BM4" s="28" t="n">
        <v>312928.1260864659</v>
      </c>
      <c r="BN4" s="27" t="n">
        <v>0</v>
      </c>
      <c r="BO4" s="27" t="n">
        <v>5898405.678977069</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213183.0372545078</v>
      </c>
      <c r="P5" s="28" t="n">
        <v>278827.2</v>
      </c>
      <c r="Q5" s="27" t="n">
        <v>239324.7264</v>
      </c>
      <c r="R5" s="27" t="n">
        <v>42256.292688</v>
      </c>
      <c r="S5" s="27" t="n">
        <v>1659.275417627329</v>
      </c>
      <c r="T5" s="27" t="n">
        <v>1095.433600000001</v>
      </c>
      <c r="U5" s="27" t="n">
        <v>10670.4</v>
      </c>
      <c r="V5" s="27" t="n">
        <v>135592.611875</v>
      </c>
      <c r="W5" s="27" t="n">
        <v>109123.5</v>
      </c>
      <c r="X5" s="27" t="n">
        <v>36000</v>
      </c>
      <c r="Y5" s="27" t="n">
        <v>18911.25</v>
      </c>
      <c r="Z5" s="27" t="n">
        <v>13852.490625</v>
      </c>
      <c r="AA5" s="27" t="n">
        <v>26265.625</v>
      </c>
      <c r="AB5" s="27" t="n">
        <v>2206.3125</v>
      </c>
      <c r="AC5" s="27" t="n">
        <v>11887.821875</v>
      </c>
      <c r="AD5" s="27" t="n">
        <v>36940.6388275</v>
      </c>
      <c r="AE5" s="27" t="n">
        <v>25810.3888275</v>
      </c>
      <c r="AF5" s="27" t="n">
        <v>4895.153091821279</v>
      </c>
      <c r="AG5" s="27" t="n">
        <v>1231.538471959895</v>
      </c>
      <c r="AH5" s="27" t="n">
        <v>891.8037210744069</v>
      </c>
      <c r="AI5" s="27" t="n">
        <v>1955.713052337388</v>
      </c>
      <c r="AJ5" s="27" t="n">
        <v>2156.04166280703</v>
      </c>
      <c r="AK5" s="27" t="n">
        <v>14337.879375</v>
      </c>
      <c r="AL5" s="27" t="n">
        <v>50000</v>
      </c>
      <c r="AM5" s="28" t="n">
        <v>0</v>
      </c>
      <c r="AN5" s="28" t="n">
        <v>345994.6300775</v>
      </c>
      <c r="AO5" s="27" t="n">
        <v>58813.86330676931</v>
      </c>
      <c r="AP5" s="28" t="n">
        <v>381669.3481831273</v>
      </c>
      <c r="AQ5" s="27" t="n">
        <v>118855.0672378694</v>
      </c>
      <c r="AR5" s="27" t="n">
        <v>6070.715507622817</v>
      </c>
      <c r="AS5" s="27" t="n">
        <v>0</v>
      </c>
      <c r="AT5" s="28" t="n">
        <v>260971.4615880855</v>
      </c>
      <c r="AU5" s="28" t="n">
        <v>-4227.896150450339</v>
      </c>
      <c r="AV5" s="27" t="n">
        <v>113658.7358163926</v>
      </c>
      <c r="AW5" s="27" t="n">
        <v>147312.7218162413</v>
      </c>
      <c r="AX5" s="28" t="n">
        <v>260971.4576326339</v>
      </c>
      <c r="AY5" s="27" t="n">
        <v>0</v>
      </c>
      <c r="AZ5" s="27" t="n">
        <v>0</v>
      </c>
      <c r="BA5" s="27" t="n">
        <v>0</v>
      </c>
      <c r="BB5" s="28" t="n">
        <v>0</v>
      </c>
      <c r="BC5" s="27" t="n">
        <v>0</v>
      </c>
      <c r="BD5" s="27" t="n">
        <v>0.003955451609272059</v>
      </c>
      <c r="BE5" s="27" t="n">
        <v>74098.04319684923</v>
      </c>
      <c r="BF5" s="28" t="n">
        <v>74098.04715230085</v>
      </c>
      <c r="BG5" s="27" t="n">
        <v>0</v>
      </c>
      <c r="BH5" s="27" t="n">
        <v>0</v>
      </c>
      <c r="BI5" s="27" t="n">
        <v>139084.9940576586</v>
      </c>
      <c r="BJ5" s="28" t="n">
        <v>139084.9940576586</v>
      </c>
      <c r="BK5" s="27" t="n">
        <v>0</v>
      </c>
      <c r="BL5" s="28" t="n">
        <v>0</v>
      </c>
      <c r="BM5" s="28" t="n">
        <v>260971.4615880855</v>
      </c>
      <c r="BN5" s="27" t="n">
        <v>0</v>
      </c>
      <c r="BO5" s="27" t="n">
        <v>5878645.651300122</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144599.4818914267</v>
      </c>
      <c r="P6" s="28" t="n">
        <v>281484.7492599302</v>
      </c>
      <c r="Q6" s="27" t="n">
        <v>242628.2269751292</v>
      </c>
      <c r="R6" s="27" t="n">
        <v>42745.49999307102</v>
      </c>
      <c r="S6" s="27" t="n">
        <v>1663.175480044083</v>
      </c>
      <c r="T6" s="27" t="n">
        <v>1196.420471877346</v>
      </c>
      <c r="U6" s="27" t="n">
        <v>2167.2</v>
      </c>
      <c r="V6" s="27" t="n">
        <v>138982.427171875</v>
      </c>
      <c r="W6" s="27" t="n">
        <v>110951.5875</v>
      </c>
      <c r="X6" s="27" t="n">
        <v>36000</v>
      </c>
      <c r="Y6" s="27" t="n">
        <v>19384.03124999999</v>
      </c>
      <c r="Z6" s="27" t="n">
        <v>14198.80289062499</v>
      </c>
      <c r="AA6" s="27" t="n">
        <v>26922.26562499999</v>
      </c>
      <c r="AB6" s="27" t="n">
        <v>2261.470312499999</v>
      </c>
      <c r="AC6" s="27" t="n">
        <v>12185.017421875</v>
      </c>
      <c r="AD6" s="27" t="n">
        <v>38789.79137954375</v>
      </c>
      <c r="AE6" s="27" t="n">
        <v>27047.37762954375</v>
      </c>
      <c r="AF6" s="27" t="n">
        <v>5201.202840372714</v>
      </c>
      <c r="AG6" s="27" t="n">
        <v>1308.535459103051</v>
      </c>
      <c r="AH6" s="27" t="n">
        <v>947.5601600401407</v>
      </c>
      <c r="AI6" s="27" t="n">
        <v>1994.275798806094</v>
      </c>
      <c r="AJ6" s="27" t="n">
        <v>2290.839491677997</v>
      </c>
      <c r="AK6" s="27" t="n">
        <v>14696.32635937499</v>
      </c>
      <c r="AL6" s="27" t="n">
        <v>0</v>
      </c>
      <c r="AM6" s="28" t="n">
        <v>0</v>
      </c>
      <c r="AN6" s="28" t="n">
        <v>303420.1324107936</v>
      </c>
      <c r="AO6" s="27" t="n">
        <v>47830.95970428492</v>
      </c>
      <c r="AP6" s="28" t="n">
        <v>330611.9766339088</v>
      </c>
      <c r="AQ6" s="27" t="n">
        <v>198024.6890029636</v>
      </c>
      <c r="AR6" s="27" t="n">
        <v>1061.193105609808</v>
      </c>
      <c r="AS6" s="27" t="n">
        <v>0</v>
      </c>
      <c r="AT6" s="28" t="n">
        <v>157394.4359839722</v>
      </c>
      <c r="AU6" s="28" t="n">
        <v>-25868.34145863674</v>
      </c>
      <c r="AV6" s="27" t="n">
        <v>23838.17836592437</v>
      </c>
      <c r="AW6" s="27" t="n">
        <v>31001.01917026895</v>
      </c>
      <c r="AX6" s="28" t="n">
        <v>54839.19753619333</v>
      </c>
      <c r="AY6" s="27" t="n">
        <v>0</v>
      </c>
      <c r="AZ6" s="27" t="n">
        <v>0</v>
      </c>
      <c r="BA6" s="27" t="n">
        <v>0</v>
      </c>
      <c r="BB6" s="28" t="n">
        <v>0</v>
      </c>
      <c r="BC6" s="27" t="n">
        <v>0</v>
      </c>
      <c r="BD6" s="27" t="n">
        <v>102555.2384477788</v>
      </c>
      <c r="BE6" s="27" t="n">
        <v>144599.4818914267</v>
      </c>
      <c r="BF6" s="28" t="n">
        <v>247154.7203392055</v>
      </c>
      <c r="BG6" s="27" t="n">
        <v>0</v>
      </c>
      <c r="BH6" s="27" t="n">
        <v>0</v>
      </c>
      <c r="BI6" s="27" t="n">
        <v>0</v>
      </c>
      <c r="BJ6" s="28" t="n">
        <v>0</v>
      </c>
      <c r="BK6" s="27" t="n">
        <v>0</v>
      </c>
      <c r="BL6" s="28" t="n">
        <v>0</v>
      </c>
      <c r="BM6" s="28" t="n">
        <v>157394.4359839722</v>
      </c>
      <c r="BN6" s="27" t="n">
        <v>0</v>
      </c>
      <c r="BO6" s="27" t="n">
        <v>5940777.528281355</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155297.4833840013</v>
      </c>
      <c r="P7" s="28" t="n">
        <v>287184.5138177453</v>
      </c>
      <c r="Q7" s="27" t="n">
        <v>250529.0311515053</v>
      </c>
      <c r="R7" s="27" t="n">
        <v>44331.98750578208</v>
      </c>
      <c r="S7" s="27" t="n">
        <v>1445.045672662552</v>
      </c>
      <c r="T7" s="27" t="n">
        <v>1109.327991134888</v>
      </c>
      <c r="U7" s="27" t="n">
        <v>2167.2</v>
      </c>
      <c r="V7" s="27" t="n">
        <v>142456.9878511718</v>
      </c>
      <c r="W7" s="27" t="n">
        <v>112825.3771875</v>
      </c>
      <c r="X7" s="27" t="n">
        <v>36000</v>
      </c>
      <c r="Y7" s="27" t="n">
        <v>19868.63203124999</v>
      </c>
      <c r="Z7" s="27" t="n">
        <v>14553.77296289062</v>
      </c>
      <c r="AA7" s="27" t="n">
        <v>27595.32226562499</v>
      </c>
      <c r="AB7" s="27" t="n">
        <v>2318.007070312499</v>
      </c>
      <c r="AC7" s="27" t="n">
        <v>12489.64285742187</v>
      </c>
      <c r="AD7" s="27" t="n">
        <v>40738.36503965654</v>
      </c>
      <c r="AE7" s="27" t="n">
        <v>28350.11853340654</v>
      </c>
      <c r="AF7" s="27" t="n">
        <v>5525.069891948609</v>
      </c>
      <c r="AG7" s="27" t="n">
        <v>1390.014981057601</v>
      </c>
      <c r="AH7" s="27" t="n">
        <v>1006.562572489987</v>
      </c>
      <c r="AI7" s="27" t="n">
        <v>2033.114212881583</v>
      </c>
      <c r="AJ7" s="27" t="n">
        <v>2433.484847872221</v>
      </c>
      <c r="AK7" s="27" t="n">
        <v>15063.73451835937</v>
      </c>
      <c r="AL7" s="27" t="n">
        <v>0</v>
      </c>
      <c r="AM7" s="28" t="n">
        <v>0</v>
      </c>
      <c r="AN7" s="28" t="n">
        <v>311084.4645966876</v>
      </c>
      <c r="AO7" s="27" t="n">
        <v>49053.56116957951</v>
      </c>
      <c r="AP7" s="28" t="n">
        <v>339160.0657438823</v>
      </c>
      <c r="AQ7" s="27" t="n">
        <v>192667.8019535354</v>
      </c>
      <c r="AR7" s="27" t="n">
        <v>1408.153542463338</v>
      </c>
      <c r="AS7" s="27" t="n">
        <v>0</v>
      </c>
      <c r="AT7" s="28" t="n">
        <v>171517.6818934454</v>
      </c>
      <c r="AU7" s="28" t="n">
        <v>-26433.57164556181</v>
      </c>
      <c r="AV7" s="27" t="n">
        <v>66000</v>
      </c>
      <c r="AW7" s="27" t="n">
        <v>0</v>
      </c>
      <c r="AX7" s="28" t="n">
        <v>66000</v>
      </c>
      <c r="AY7" s="27" t="n">
        <v>0</v>
      </c>
      <c r="AZ7" s="27" t="n">
        <v>0</v>
      </c>
      <c r="BA7" s="27" t="n">
        <v>0</v>
      </c>
      <c r="BB7" s="28" t="n">
        <v>0</v>
      </c>
      <c r="BC7" s="27" t="n">
        <v>0</v>
      </c>
      <c r="BD7" s="27" t="n">
        <v>105517.6818934454</v>
      </c>
      <c r="BE7" s="27" t="n">
        <v>155297.4833840013</v>
      </c>
      <c r="BF7" s="28" t="n">
        <v>260815.1652774467</v>
      </c>
      <c r="BG7" s="27" t="n">
        <v>0</v>
      </c>
      <c r="BH7" s="27" t="n">
        <v>0</v>
      </c>
      <c r="BI7" s="27" t="n">
        <v>0</v>
      </c>
      <c r="BJ7" s="28" t="n">
        <v>0</v>
      </c>
      <c r="BK7" s="27" t="n">
        <v>0</v>
      </c>
      <c r="BL7" s="28" t="n">
        <v>0</v>
      </c>
      <c r="BM7" s="28" t="n">
        <v>171517.6818934454</v>
      </c>
      <c r="BN7" s="27" t="n">
        <v>0</v>
      </c>
      <c r="BO7" s="27" t="n">
        <v>5908180.873494681</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146018.4125474511</v>
      </c>
      <c r="W8" s="27" t="n">
        <v>86460.80629492184</v>
      </c>
      <c r="X8" s="27" t="n">
        <v>36000</v>
      </c>
      <c r="Y8" s="27" t="n">
        <v>20365.34783203124</v>
      </c>
      <c r="Z8" s="27" t="n">
        <v>14917.61728696288</v>
      </c>
      <c r="AA8" s="27" t="n">
        <v>0</v>
      </c>
      <c r="AB8" s="27" t="n">
        <v>2375.957247070311</v>
      </c>
      <c r="AC8" s="27" t="n">
        <v>12801.88392885742</v>
      </c>
      <c r="AD8" s="27" t="n">
        <v>42791.79944025352</v>
      </c>
      <c r="AE8" s="27" t="n">
        <v>29722.19937615977</v>
      </c>
      <c r="AF8" s="27" t="n">
        <v>5867.742278426734</v>
      </c>
      <c r="AG8" s="27" t="n">
        <v>1476.225610083936</v>
      </c>
      <c r="AH8" s="27" t="n">
        <v>1068.990959026298</v>
      </c>
      <c r="AI8" s="27" t="n">
        <v>2072.228312282247</v>
      </c>
      <c r="AJ8" s="27" t="n">
        <v>2584.412904274532</v>
      </c>
      <c r="AK8" s="27" t="n">
        <v>15440.32788131835</v>
      </c>
      <c r="AL8" s="27" t="n">
        <v>0</v>
      </c>
      <c r="AM8" s="28" t="n">
        <v>0</v>
      </c>
      <c r="AN8" s="28" t="n">
        <v>290711.3461639448</v>
      </c>
      <c r="AO8" s="27" t="n">
        <v>48542.537579936</v>
      </c>
      <c r="AP8" s="28" t="n">
        <v>318888.5359118496</v>
      </c>
      <c r="AQ8" s="27" t="n">
        <v>237421.2676207162</v>
      </c>
      <c r="AR8" s="27" t="n">
        <v>0</v>
      </c>
      <c r="AS8" s="27" t="n">
        <v>0</v>
      </c>
      <c r="AT8" s="28" t="n">
        <v>103827.9954984998</v>
      </c>
      <c r="AU8" s="28" t="n">
        <v>-22360.72720736648</v>
      </c>
      <c r="AV8" s="27" t="n">
        <v>0</v>
      </c>
      <c r="AW8" s="27" t="n">
        <v>0</v>
      </c>
      <c r="AX8" s="28" t="n">
        <v>0</v>
      </c>
      <c r="AY8" s="27" t="n">
        <v>10658.29880113951</v>
      </c>
      <c r="AZ8" s="27" t="n">
        <v>0</v>
      </c>
      <c r="BA8" s="27" t="n">
        <v>0</v>
      </c>
      <c r="BB8" s="28" t="n">
        <v>0</v>
      </c>
      <c r="BC8" s="27" t="n">
        <v>0</v>
      </c>
      <c r="BD8" s="27" t="n">
        <v>93169.69669736034</v>
      </c>
      <c r="BE8" s="27" t="n">
        <v>125267.2076368838</v>
      </c>
      <c r="BF8" s="28" t="n">
        <v>218436.9043342441</v>
      </c>
      <c r="BG8" s="27" t="n">
        <v>0</v>
      </c>
      <c r="BH8" s="27" t="n">
        <v>0</v>
      </c>
      <c r="BI8" s="27" t="n">
        <v>0</v>
      </c>
      <c r="BJ8" s="28" t="n">
        <v>0</v>
      </c>
      <c r="BK8" s="27" t="n">
        <v>0</v>
      </c>
      <c r="BL8" s="28" t="n">
        <v>0</v>
      </c>
      <c r="BM8" s="28" t="n">
        <v>103827.9954984998</v>
      </c>
      <c r="BN8" s="27" t="n">
        <v>0</v>
      </c>
      <c r="BO8" s="27" t="n">
        <v>5947469.024997885</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149668.8728611374</v>
      </c>
      <c r="W9" s="27" t="n">
        <v>87722.32645229489</v>
      </c>
      <c r="X9" s="27" t="n">
        <v>36000</v>
      </c>
      <c r="Y9" s="27" t="n">
        <v>20874.48152783202</v>
      </c>
      <c r="Z9" s="27" t="n">
        <v>15290.55771913695</v>
      </c>
      <c r="AA9" s="27" t="n">
        <v>0</v>
      </c>
      <c r="AB9" s="27" t="n">
        <v>2435.356178247069</v>
      </c>
      <c r="AC9" s="27" t="n">
        <v>13121.93102707885</v>
      </c>
      <c r="AD9" s="27" t="n">
        <v>44955.83303692601</v>
      </c>
      <c r="AE9" s="27" t="n">
        <v>31167.40496930711</v>
      </c>
      <c r="AF9" s="27" t="n">
        <v>6230.262149597422</v>
      </c>
      <c r="AG9" s="27" t="n">
        <v>1567.429533602197</v>
      </c>
      <c r="AH9" s="27" t="n">
        <v>1135.035179505039</v>
      </c>
      <c r="AI9" s="27" t="n">
        <v>2111.618535225155</v>
      </c>
      <c r="AJ9" s="27" t="n">
        <v>2744.082669689087</v>
      </c>
      <c r="AK9" s="27" t="n">
        <v>15826.33607835131</v>
      </c>
      <c r="AL9" s="27" t="n">
        <v>100000</v>
      </c>
      <c r="AM9" s="28" t="n">
        <v>0</v>
      </c>
      <c r="AN9" s="28" t="n">
        <v>398173.3684287096</v>
      </c>
      <c r="AO9" s="27" t="n">
        <v>49023.42673617806</v>
      </c>
      <c r="AP9" s="28" t="n">
        <v>426322.3136370555</v>
      </c>
      <c r="AQ9" s="27" t="n">
        <v>265294.4802262721</v>
      </c>
      <c r="AR9" s="27" t="n">
        <v>0</v>
      </c>
      <c r="AS9" s="27" t="n">
        <v>0</v>
      </c>
      <c r="AT9" s="28" t="n">
        <v>208311.0028891757</v>
      </c>
      <c r="AU9" s="28" t="n">
        <v>-47283.16947839226</v>
      </c>
      <c r="AV9" s="27" t="n">
        <v>0</v>
      </c>
      <c r="AW9" s="27" t="n">
        <v>0</v>
      </c>
      <c r="AX9" s="28" t="n">
        <v>0</v>
      </c>
      <c r="AY9" s="27" t="n">
        <v>11297.79672920788</v>
      </c>
      <c r="AZ9" s="27" t="n">
        <v>0</v>
      </c>
      <c r="BA9" s="27" t="n">
        <v>0</v>
      </c>
      <c r="BB9" s="28" t="n">
        <v>0</v>
      </c>
      <c r="BC9" s="27" t="n">
        <v>0</v>
      </c>
      <c r="BD9" s="27" t="n">
        <v>197013.2061599678</v>
      </c>
      <c r="BE9" s="27" t="n">
        <v>108908.4900564799</v>
      </c>
      <c r="BF9" s="28" t="n">
        <v>305921.6962164477</v>
      </c>
      <c r="BG9" s="27" t="n">
        <v>0</v>
      </c>
      <c r="BH9" s="27" t="n">
        <v>0</v>
      </c>
      <c r="BI9" s="27" t="n">
        <v>0</v>
      </c>
      <c r="BJ9" s="28" t="n">
        <v>0</v>
      </c>
      <c r="BK9" s="27" t="n">
        <v>0</v>
      </c>
      <c r="BL9" s="28" t="n">
        <v>0</v>
      </c>
      <c r="BM9" s="28" t="n">
        <v>208311.0028891757</v>
      </c>
      <c r="BN9" s="27" t="n">
        <v>0</v>
      </c>
      <c r="BO9" s="27" t="n">
        <v>5880361.783026627</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153410.5946826658</v>
      </c>
      <c r="W10" s="27" t="n">
        <v>89015.38461360226</v>
      </c>
      <c r="X10" s="27" t="n">
        <v>36000</v>
      </c>
      <c r="Y10" s="27" t="n">
        <v>21396.34356602782</v>
      </c>
      <c r="Z10" s="27" t="n">
        <v>15672.82166211538</v>
      </c>
      <c r="AA10" s="27" t="n">
        <v>0</v>
      </c>
      <c r="AB10" s="27" t="n">
        <v>2496.240082703246</v>
      </c>
      <c r="AC10" s="27" t="n">
        <v>13449.97930275582</v>
      </c>
      <c r="AD10" s="27" t="n">
        <v>47236.51953925873</v>
      </c>
      <c r="AE10" s="27" t="n">
        <v>32689.72792792079</v>
      </c>
      <c r="AF10" s="27" t="n">
        <v>6613.728765755164</v>
      </c>
      <c r="AG10" s="27" t="n">
        <v>1663.903307078162</v>
      </c>
      <c r="AH10" s="27" t="n">
        <v>1204.895498229014</v>
      </c>
      <c r="AI10" s="27" t="n">
        <v>2151.285733366689</v>
      </c>
      <c r="AJ10" s="27" t="n">
        <v>2912.978306908907</v>
      </c>
      <c r="AK10" s="27" t="n">
        <v>16221.99448031009</v>
      </c>
      <c r="AL10" s="27" t="n">
        <v>0</v>
      </c>
      <c r="AM10" s="28" t="n">
        <v>0</v>
      </c>
      <c r="AN10" s="28" t="n">
        <v>305884.4933158369</v>
      </c>
      <c r="AO10" s="27" t="n">
        <v>49851.05900828451</v>
      </c>
      <c r="AP10" s="28" t="n">
        <v>334339.2087580936</v>
      </c>
      <c r="AQ10" s="27" t="n">
        <v>264323.8309282422</v>
      </c>
      <c r="AR10" s="27" t="n">
        <v>0</v>
      </c>
      <c r="AS10" s="27" t="n">
        <v>0</v>
      </c>
      <c r="AT10" s="28" t="n">
        <v>88343.7083446591</v>
      </c>
      <c r="AU10" s="28" t="n">
        <v>-18328.33051480769</v>
      </c>
      <c r="AV10" s="27" t="n">
        <v>0</v>
      </c>
      <c r="AW10" s="27" t="n">
        <v>0</v>
      </c>
      <c r="AX10" s="28" t="n">
        <v>0</v>
      </c>
      <c r="AY10" s="27" t="n">
        <v>11975.66453296035</v>
      </c>
      <c r="AZ10" s="27" t="n">
        <v>0</v>
      </c>
      <c r="BA10" s="27" t="n">
        <v>0</v>
      </c>
      <c r="BB10" s="28" t="n">
        <v>0</v>
      </c>
      <c r="BC10" s="27" t="n">
        <v>0</v>
      </c>
      <c r="BD10" s="27" t="n">
        <v>76368.04381169875</v>
      </c>
      <c r="BE10" s="27" t="n">
        <v>116223.4463601649</v>
      </c>
      <c r="BF10" s="28" t="n">
        <v>192591.4901718636</v>
      </c>
      <c r="BG10" s="27" t="n">
        <v>0</v>
      </c>
      <c r="BH10" s="27" t="n">
        <v>0</v>
      </c>
      <c r="BI10" s="27" t="n">
        <v>0</v>
      </c>
      <c r="BJ10" s="28" t="n">
        <v>0</v>
      </c>
      <c r="BK10" s="27" t="n">
        <v>0</v>
      </c>
      <c r="BL10" s="28" t="n">
        <v>0</v>
      </c>
      <c r="BM10" s="28" t="n">
        <v>88343.7083446591</v>
      </c>
      <c r="BN10" s="27" t="n">
        <v>0</v>
      </c>
      <c r="BO10" s="27" t="n">
        <v>5946058.943250133</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157245.8595497324</v>
      </c>
      <c r="W11" s="27" t="n">
        <v>90340.76922894231</v>
      </c>
      <c r="X11" s="27" t="n">
        <v>36000</v>
      </c>
      <c r="Y11" s="27" t="n">
        <v>21931.25215517851</v>
      </c>
      <c r="Z11" s="27" t="n">
        <v>16064.64220366826</v>
      </c>
      <c r="AA11" s="27" t="n">
        <v>0</v>
      </c>
      <c r="AB11" s="27" t="n">
        <v>2558.646084770826</v>
      </c>
      <c r="AC11" s="27" t="n">
        <v>13786.22878532471</v>
      </c>
      <c r="AD11" s="27" t="n">
        <v>49640.24524528603</v>
      </c>
      <c r="AE11" s="27" t="n">
        <v>34293.38009532451</v>
      </c>
      <c r="AF11" s="27" t="n">
        <v>7019.301655147509</v>
      </c>
      <c r="AG11" s="27" t="n">
        <v>1765.938648384469</v>
      </c>
      <c r="AH11" s="27" t="n">
        <v>1278.78315917496</v>
      </c>
      <c r="AI11" s="27" t="n">
        <v>2191.231163858742</v>
      </c>
      <c r="AJ11" s="27" t="n">
        <v>3091.610523395845</v>
      </c>
      <c r="AK11" s="27" t="n">
        <v>16627.54434231784</v>
      </c>
      <c r="AL11" s="27" t="n">
        <v>0</v>
      </c>
      <c r="AM11" s="28" t="n">
        <v>0</v>
      </c>
      <c r="AN11" s="28" t="n">
        <v>313854.4183662786</v>
      </c>
      <c r="AO11" s="27" t="n">
        <v>50697.30652970363</v>
      </c>
      <c r="AP11" s="28" t="n">
        <v>342620.4727408037</v>
      </c>
      <c r="AQ11" s="27" t="n">
        <v>204049.9918138473</v>
      </c>
      <c r="AR11" s="27" t="n">
        <v>0</v>
      </c>
      <c r="AS11" s="27" t="n">
        <v>0</v>
      </c>
      <c r="AT11" s="28" t="n">
        <v>178320.8840391727</v>
      </c>
      <c r="AU11" s="28" t="n">
        <v>-39750.40311221633</v>
      </c>
      <c r="AV11" s="27" t="n">
        <v>0</v>
      </c>
      <c r="AW11" s="27" t="n">
        <v>0</v>
      </c>
      <c r="AX11" s="28" t="n">
        <v>0</v>
      </c>
      <c r="AY11" s="27" t="n">
        <v>12694.20440493798</v>
      </c>
      <c r="AZ11" s="27" t="n">
        <v>0</v>
      </c>
      <c r="BA11" s="27" t="n">
        <v>0</v>
      </c>
      <c r="BB11" s="28" t="n">
        <v>0</v>
      </c>
      <c r="BC11" s="27" t="n">
        <v>0</v>
      </c>
      <c r="BD11" s="27" t="n">
        <v>165626.6796342347</v>
      </c>
      <c r="BE11" s="27" t="n">
        <v>123594.1810203279</v>
      </c>
      <c r="BF11" s="28" t="n">
        <v>289220.8606545626</v>
      </c>
      <c r="BG11" s="27" t="n">
        <v>0</v>
      </c>
      <c r="BH11" s="27" t="n">
        <v>0</v>
      </c>
      <c r="BI11" s="27" t="n">
        <v>0</v>
      </c>
      <c r="BJ11" s="28" t="n">
        <v>0</v>
      </c>
      <c r="BK11" s="27" t="n">
        <v>0</v>
      </c>
      <c r="BL11" s="28" t="n">
        <v>0</v>
      </c>
      <c r="BM11" s="28" t="n">
        <v>178320.8840391727</v>
      </c>
      <c r="BN11" s="27" t="n">
        <v>0</v>
      </c>
      <c r="BO11" s="27" t="n">
        <v>5980917.433149415</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125645.7590895275</v>
      </c>
      <c r="P12" s="28" t="n">
        <v>317426.662569388</v>
      </c>
      <c r="Q12" s="27" t="n">
        <v>276956.0478255621</v>
      </c>
      <c r="R12" s="27" t="n">
        <v>49030.5173056899</v>
      </c>
      <c r="S12" s="27" t="n">
        <v>475.0310965926355</v>
      </c>
      <c r="T12" s="27" t="n">
        <v>0</v>
      </c>
      <c r="U12" s="27" t="n">
        <v>2167.2</v>
      </c>
      <c r="V12" s="27" t="n">
        <v>161177.0060384757</v>
      </c>
      <c r="W12" s="27" t="n">
        <v>55699.28845966587</v>
      </c>
      <c r="X12" s="27" t="n">
        <v>0</v>
      </c>
      <c r="Y12" s="27" t="n">
        <v>22479.53345905797</v>
      </c>
      <c r="Z12" s="27" t="n">
        <v>16466.25825875996</v>
      </c>
      <c r="AA12" s="27" t="n">
        <v>0</v>
      </c>
      <c r="AB12" s="27" t="n">
        <v>2622.612236890097</v>
      </c>
      <c r="AC12" s="27" t="n">
        <v>14130.88450495783</v>
      </c>
      <c r="AD12" s="27" t="n">
        <v>52173.74732928693</v>
      </c>
      <c r="AE12" s="27" t="n">
        <v>35982.80459607752</v>
      </c>
      <c r="AF12" s="27" t="n">
        <v>7448.203945262447</v>
      </c>
      <c r="AG12" s="27" t="n">
        <v>1873.843275896686</v>
      </c>
      <c r="AH12" s="27" t="n">
        <v>1356.920992890703</v>
      </c>
      <c r="AI12" s="27" t="n">
        <v>2231.456480632859</v>
      </c>
      <c r="AJ12" s="27" t="n">
        <v>3280.518038526714</v>
      </c>
      <c r="AK12" s="27" t="n">
        <v>17043.23295087579</v>
      </c>
      <c r="AL12" s="27" t="n">
        <v>0</v>
      </c>
      <c r="AM12" s="28" t="n">
        <v>0</v>
      </c>
      <c r="AN12" s="28" t="n">
        <v>286093.2747783043</v>
      </c>
      <c r="AO12" s="27" t="n">
        <v>51672.74840228253</v>
      </c>
      <c r="AP12" s="28" t="n">
        <v>315286.4897215289</v>
      </c>
      <c r="AQ12" s="27" t="n">
        <v>208551.2972013312</v>
      </c>
      <c r="AR12" s="27" t="n">
        <v>0</v>
      </c>
      <c r="AS12" s="27" t="n">
        <v>0</v>
      </c>
      <c r="AT12" s="28" t="n">
        <v>136191.8248941861</v>
      </c>
      <c r="AU12" s="28" t="n">
        <v>-29456.63237398842</v>
      </c>
      <c r="AV12" s="27" t="n">
        <v>0</v>
      </c>
      <c r="AW12" s="27" t="n">
        <v>0</v>
      </c>
      <c r="AX12" s="28" t="n">
        <v>0</v>
      </c>
      <c r="AY12" s="27" t="n">
        <v>13455.85666923426</v>
      </c>
      <c r="AZ12" s="27" t="n">
        <v>0</v>
      </c>
      <c r="BA12" s="27" t="n">
        <v>0</v>
      </c>
      <c r="BB12" s="28" t="n">
        <v>0</v>
      </c>
      <c r="BC12" s="27" t="n">
        <v>0</v>
      </c>
      <c r="BD12" s="27" t="n">
        <v>122735.9682249518</v>
      </c>
      <c r="BE12" s="27" t="n">
        <v>125645.7590895275</v>
      </c>
      <c r="BF12" s="28" t="n">
        <v>248381.7273144793</v>
      </c>
      <c r="BG12" s="27" t="n">
        <v>0</v>
      </c>
      <c r="BH12" s="27" t="n">
        <v>0</v>
      </c>
      <c r="BI12" s="27" t="n">
        <v>0</v>
      </c>
      <c r="BJ12" s="28" t="n">
        <v>0</v>
      </c>
      <c r="BK12" s="27" t="n">
        <v>0</v>
      </c>
      <c r="BL12" s="28" t="n">
        <v>0</v>
      </c>
      <c r="BM12" s="28" t="n">
        <v>136191.8248941861</v>
      </c>
      <c r="BN12" s="27" t="n">
        <v>0</v>
      </c>
      <c r="BO12" s="27" t="n">
        <v>6056336.692779399</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165206.4311894376</v>
      </c>
      <c r="W13" s="27" t="n">
        <v>57091.77067115751</v>
      </c>
      <c r="X13" s="27" t="n">
        <v>0</v>
      </c>
      <c r="Y13" s="27" t="n">
        <v>23041.52179553442</v>
      </c>
      <c r="Z13" s="27" t="n">
        <v>16877.91471522896</v>
      </c>
      <c r="AA13" s="27" t="n">
        <v>0</v>
      </c>
      <c r="AB13" s="27" t="n">
        <v>2688.177542812349</v>
      </c>
      <c r="AC13" s="27" t="n">
        <v>14484.15661758178</v>
      </c>
      <c r="AD13" s="27" t="n">
        <v>54844.13313535175</v>
      </c>
      <c r="AE13" s="27" t="n">
        <v>37762.68855181582</v>
      </c>
      <c r="AF13" s="27" t="n">
        <v>7901.725877434905</v>
      </c>
      <c r="AG13" s="27" t="n">
        <v>1987.941792709398</v>
      </c>
      <c r="AH13" s="27" t="n">
        <v>1439.544056789564</v>
      </c>
      <c r="AI13" s="27" t="n">
        <v>2271.963725020814</v>
      </c>
      <c r="AJ13" s="27" t="n">
        <v>3480.269131581245</v>
      </c>
      <c r="AK13" s="27" t="n">
        <v>17469.31377464768</v>
      </c>
      <c r="AL13" s="27" t="n">
        <v>0</v>
      </c>
      <c r="AM13" s="28" t="n">
        <v>0</v>
      </c>
      <c r="AN13" s="28" t="n">
        <v>294611.6487705945</v>
      </c>
      <c r="AO13" s="27" t="n">
        <v>25173.98303035425</v>
      </c>
      <c r="AP13" s="28" t="n">
        <v>296744.1100054144</v>
      </c>
      <c r="AQ13" s="27" t="n">
        <v>218283.1996170003</v>
      </c>
      <c r="AR13" s="27" t="n">
        <v>0</v>
      </c>
      <c r="AS13" s="27" t="n">
        <v>0</v>
      </c>
      <c r="AT13" s="28" t="n">
        <v>96567.95463224185</v>
      </c>
      <c r="AU13" s="28" t="n">
        <v>-18107.04424382777</v>
      </c>
      <c r="AV13" s="27" t="n">
        <v>0</v>
      </c>
      <c r="AW13" s="27" t="n">
        <v>0</v>
      </c>
      <c r="AX13" s="28" t="n">
        <v>0</v>
      </c>
      <c r="AY13" s="27" t="n">
        <v>14263.20806938831</v>
      </c>
      <c r="AZ13" s="27" t="n">
        <v>0</v>
      </c>
      <c r="BA13" s="27" t="n">
        <v>0</v>
      </c>
      <c r="BB13" s="28" t="n">
        <v>0</v>
      </c>
      <c r="BC13" s="27" t="n">
        <v>0</v>
      </c>
      <c r="BD13" s="27" t="n">
        <v>82304.74656285354</v>
      </c>
      <c r="BE13" s="27" t="n">
        <v>0</v>
      </c>
      <c r="BF13" s="28" t="n">
        <v>82304.74656285354</v>
      </c>
      <c r="BG13" s="27" t="n">
        <v>0</v>
      </c>
      <c r="BH13" s="27" t="n">
        <v>0</v>
      </c>
      <c r="BI13" s="27" t="n">
        <v>0</v>
      </c>
      <c r="BJ13" s="28" t="n">
        <v>0</v>
      </c>
      <c r="BK13" s="27" t="n">
        <v>0</v>
      </c>
      <c r="BL13" s="28" t="n">
        <v>0</v>
      </c>
      <c r="BM13" s="28" t="n">
        <v>96567.95463224185</v>
      </c>
      <c r="BN13" s="27" t="n">
        <v>0</v>
      </c>
      <c r="BO13" s="27" t="n">
        <v>6140466.839714104</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706.8516678555618</v>
      </c>
      <c r="N14" s="28" t="n">
        <v>219554.8572612297</v>
      </c>
      <c r="O14" s="27" t="n">
        <v>0</v>
      </c>
      <c r="P14" s="28" t="n">
        <v>202042.8668767607</v>
      </c>
      <c r="Q14" s="27" t="n">
        <v>159937.2392972842</v>
      </c>
      <c r="R14" s="27" t="n">
        <v>22285.6371111123</v>
      </c>
      <c r="S14" s="27" t="n">
        <v>505.1458054834306</v>
      </c>
      <c r="T14" s="27" t="n">
        <v>0</v>
      </c>
      <c r="U14" s="27" t="n">
        <v>2167.2</v>
      </c>
      <c r="V14" s="27" t="n">
        <v>169336.5919691735</v>
      </c>
      <c r="W14" s="27" t="n">
        <v>58519.06493793644</v>
      </c>
      <c r="X14" s="27" t="n">
        <v>0</v>
      </c>
      <c r="Y14" s="27" t="n">
        <v>23617.55984042278</v>
      </c>
      <c r="Z14" s="27" t="n">
        <v>17299.86258310969</v>
      </c>
      <c r="AA14" s="27" t="n">
        <v>0</v>
      </c>
      <c r="AB14" s="27" t="n">
        <v>2755.381981382658</v>
      </c>
      <c r="AC14" s="27" t="n">
        <v>14846.26053302132</v>
      </c>
      <c r="AD14" s="27" t="n">
        <v>57658.90053203706</v>
      </c>
      <c r="AE14" s="27" t="n">
        <v>39637.97649640666</v>
      </c>
      <c r="AF14" s="27" t="n">
        <v>8381.228514779919</v>
      </c>
      <c r="AG14" s="27" t="n">
        <v>2108.576619490046</v>
      </c>
      <c r="AH14" s="27" t="n">
        <v>1526.900310665206</v>
      </c>
      <c r="AI14" s="27" t="n">
        <v>2312.755315815584</v>
      </c>
      <c r="AJ14" s="27" t="n">
        <v>3691.463274879643</v>
      </c>
      <c r="AK14" s="27" t="n">
        <v>17906.04661901387</v>
      </c>
      <c r="AL14" s="27" t="n">
        <v>0</v>
      </c>
      <c r="AM14" s="28" t="n">
        <v>0</v>
      </c>
      <c r="AN14" s="28" t="n">
        <v>303420.6040581609</v>
      </c>
      <c r="AO14" s="27" t="n">
        <v>24957.98291659573</v>
      </c>
      <c r="AP14" s="28" t="n">
        <v>304761.0271343339</v>
      </c>
      <c r="AQ14" s="27" t="n">
        <v>219554.8572612297</v>
      </c>
      <c r="AR14" s="27" t="n">
        <v>0</v>
      </c>
      <c r="AS14" s="27" t="n">
        <v>0</v>
      </c>
      <c r="AT14" s="28" t="n">
        <v>88876.14373261028</v>
      </c>
      <c r="AU14" s="28" t="n">
        <v>-3669.973859506077</v>
      </c>
      <c r="AV14" s="27" t="n">
        <v>0</v>
      </c>
      <c r="AW14" s="27" t="n">
        <v>0</v>
      </c>
      <c r="AX14" s="28" t="n">
        <v>0</v>
      </c>
      <c r="AY14" s="27" t="n">
        <v>15119.00055355161</v>
      </c>
      <c r="AZ14" s="27" t="n">
        <v>31954.37175926163</v>
      </c>
      <c r="BA14" s="27" t="n">
        <v>25121.07205840577</v>
      </c>
      <c r="BB14" s="28" t="n">
        <v>57075.4438176674</v>
      </c>
      <c r="BC14" s="27" t="n">
        <v>706.8516678555618</v>
      </c>
      <c r="BD14" s="27" t="n">
        <v>16681.69936139126</v>
      </c>
      <c r="BE14" s="27" t="n">
        <v>0</v>
      </c>
      <c r="BF14" s="28" t="n">
        <v>17388.55102924682</v>
      </c>
      <c r="BG14" s="27" t="n">
        <v>0</v>
      </c>
      <c r="BH14" s="27" t="n">
        <v>0</v>
      </c>
      <c r="BI14" s="27" t="n">
        <v>0</v>
      </c>
      <c r="BJ14" s="28" t="n">
        <v>0</v>
      </c>
      <c r="BK14" s="27" t="n">
        <v>0</v>
      </c>
      <c r="BL14" s="28" t="n">
        <v>0</v>
      </c>
      <c r="BM14" s="28" t="n">
        <v>89582.99540046584</v>
      </c>
      <c r="BN14" s="27" t="n">
        <v>0</v>
      </c>
      <c r="BO14" s="27" t="n">
        <v>6227111.194074372</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173570.0067684028</v>
      </c>
      <c r="W15" s="27" t="n">
        <v>59982.04156138485</v>
      </c>
      <c r="X15" s="27" t="n">
        <v>0</v>
      </c>
      <c r="Y15" s="27" t="n">
        <v>24207.99883643335</v>
      </c>
      <c r="Z15" s="27" t="n">
        <v>17732.35914768743</v>
      </c>
      <c r="AA15" s="27" t="n">
        <v>0</v>
      </c>
      <c r="AB15" s="27" t="n">
        <v>2824.266530917224</v>
      </c>
      <c r="AC15" s="27" t="n">
        <v>15217.41704634685</v>
      </c>
      <c r="AD15" s="27" t="n">
        <v>60625.95938646809</v>
      </c>
      <c r="AE15" s="27" t="n">
        <v>41613.88452887801</v>
      </c>
      <c r="AF15" s="27" t="n">
        <v>8888.14765401622</v>
      </c>
      <c r="AG15" s="27" t="n">
        <v>2236.108978628181</v>
      </c>
      <c r="AH15" s="27" t="n">
        <v>1619.251329351441</v>
      </c>
      <c r="AI15" s="27" t="n">
        <v>2353.834038871722</v>
      </c>
      <c r="AJ15" s="27" t="n">
        <v>3914.732856722509</v>
      </c>
      <c r="AK15" s="27" t="n">
        <v>18353.69778448922</v>
      </c>
      <c r="AL15" s="27" t="n">
        <v>0</v>
      </c>
      <c r="AM15" s="28" t="n">
        <v>0</v>
      </c>
      <c r="AN15" s="28" t="n">
        <v>312531.705500745</v>
      </c>
      <c r="AO15" s="27" t="n">
        <v>22281.97149835437</v>
      </c>
      <c r="AP15" s="28" t="n">
        <v>310605.6781626661</v>
      </c>
      <c r="AQ15" s="27" t="n">
        <v>219541.179726957</v>
      </c>
      <c r="AR15" s="27" t="n">
        <v>0</v>
      </c>
      <c r="AS15" s="27" t="n">
        <v>0</v>
      </c>
      <c r="AT15" s="28" t="n">
        <v>91064.4984357091</v>
      </c>
      <c r="AU15" s="28" t="n">
        <v>0</v>
      </c>
      <c r="AV15" s="27" t="n">
        <v>0</v>
      </c>
      <c r="AW15" s="27" t="n">
        <v>0</v>
      </c>
      <c r="AX15" s="28" t="n">
        <v>0</v>
      </c>
      <c r="AY15" s="27" t="n">
        <v>16026.1405867647</v>
      </c>
      <c r="AZ15" s="27" t="n">
        <v>42011.1246190161</v>
      </c>
      <c r="BA15" s="27" t="n">
        <v>33027.2332299283</v>
      </c>
      <c r="BB15" s="28" t="n">
        <v>75038.3578489444</v>
      </c>
      <c r="BC15" s="27" t="n">
        <v>0</v>
      </c>
      <c r="BD15" s="27" t="n">
        <v>0</v>
      </c>
      <c r="BE15" s="27" t="n">
        <v>0</v>
      </c>
      <c r="BF15" s="28" t="n">
        <v>0</v>
      </c>
      <c r="BG15" s="27" t="n">
        <v>0</v>
      </c>
      <c r="BH15" s="27" t="n">
        <v>0</v>
      </c>
      <c r="BI15" s="27" t="n">
        <v>0</v>
      </c>
      <c r="BJ15" s="28" t="n">
        <v>0</v>
      </c>
      <c r="BK15" s="27" t="n">
        <v>0</v>
      </c>
      <c r="BL15" s="28" t="n">
        <v>0</v>
      </c>
      <c r="BM15" s="28" t="n">
        <v>91064.4984357091</v>
      </c>
      <c r="BN15" s="27" t="n">
        <v>0</v>
      </c>
      <c r="BO15" s="27" t="n">
        <v>6317154.962636184</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177909.2569376129</v>
      </c>
      <c r="W16" s="27" t="n">
        <v>61481.59260041946</v>
      </c>
      <c r="X16" s="27" t="n">
        <v>0</v>
      </c>
      <c r="Y16" s="27" t="n">
        <v>24813.19880734418</v>
      </c>
      <c r="Z16" s="27" t="n">
        <v>18175.66812637961</v>
      </c>
      <c r="AA16" s="27" t="n">
        <v>0</v>
      </c>
      <c r="AB16" s="27" t="n">
        <v>2894.873194190154</v>
      </c>
      <c r="AC16" s="27" t="n">
        <v>15597.85247250552</v>
      </c>
      <c r="AD16" s="27" t="n">
        <v>63753.65421945743</v>
      </c>
      <c r="AE16" s="27" t="n">
        <v>43695.9152446999</v>
      </c>
      <c r="AF16" s="27" t="n">
        <v>9423.997952330765</v>
      </c>
      <c r="AG16" s="27" t="n">
        <v>2370.919932485401</v>
      </c>
      <c r="AH16" s="27" t="n">
        <v>1716.873054558394</v>
      </c>
      <c r="AI16" s="27" t="n">
        <v>2395.203036338693</v>
      </c>
      <c r="AJ16" s="27" t="n">
        <v>4150.744999044269</v>
      </c>
      <c r="AK16" s="27" t="n">
        <v>18812.54022910144</v>
      </c>
      <c r="AL16" s="27" t="n">
        <v>0</v>
      </c>
      <c r="AM16" s="28" t="n">
        <v>0</v>
      </c>
      <c r="AN16" s="28" t="n">
        <v>321957.0439865912</v>
      </c>
      <c r="AO16" s="27" t="n">
        <v>21951.60762144411</v>
      </c>
      <c r="AP16" s="28" t="n">
        <v>319095.4528006911</v>
      </c>
      <c r="AQ16" s="27" t="n">
        <v>220385.1979228624</v>
      </c>
      <c r="AR16" s="27" t="n">
        <v>0</v>
      </c>
      <c r="AS16" s="27" t="n">
        <v>0</v>
      </c>
      <c r="AT16" s="28" t="n">
        <v>98710.25487782875</v>
      </c>
      <c r="AU16" s="28" t="n">
        <v>1.455191522836685e-11</v>
      </c>
      <c r="AV16" s="27" t="n">
        <v>0</v>
      </c>
      <c r="AW16" s="27" t="n">
        <v>0</v>
      </c>
      <c r="AX16" s="28" t="n">
        <v>0</v>
      </c>
      <c r="AY16" s="27" t="n">
        <v>16987.70902197058</v>
      </c>
      <c r="AZ16" s="27" t="n">
        <v>45753.34744191784</v>
      </c>
      <c r="BA16" s="27" t="n">
        <v>35969.19841394033</v>
      </c>
      <c r="BB16" s="28" t="n">
        <v>81722.54585585816</v>
      </c>
      <c r="BC16" s="27" t="n">
        <v>0</v>
      </c>
      <c r="BD16" s="27" t="n">
        <v>0</v>
      </c>
      <c r="BE16" s="27" t="n">
        <v>0</v>
      </c>
      <c r="BF16" s="28" t="n">
        <v>0</v>
      </c>
      <c r="BG16" s="27" t="n">
        <v>0</v>
      </c>
      <c r="BH16" s="27" t="n">
        <v>0</v>
      </c>
      <c r="BI16" s="27" t="n">
        <v>0</v>
      </c>
      <c r="BJ16" s="28" t="n">
        <v>0</v>
      </c>
      <c r="BK16" s="27" t="n">
        <v>0</v>
      </c>
      <c r="BL16" s="28" t="n">
        <v>0</v>
      </c>
      <c r="BM16" s="28" t="n">
        <v>98710.25487782875</v>
      </c>
      <c r="BN16" s="27" t="n">
        <v>0</v>
      </c>
      <c r="BO16" s="27" t="n">
        <v>6404122.970711892</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182356.9883610532</v>
      </c>
      <c r="W17" s="27" t="n">
        <v>63018.63241542995</v>
      </c>
      <c r="X17" s="27" t="n">
        <v>0</v>
      </c>
      <c r="Y17" s="27" t="n">
        <v>25433.52877752778</v>
      </c>
      <c r="Z17" s="27" t="n">
        <v>18630.0598295391</v>
      </c>
      <c r="AA17" s="27" t="n">
        <v>0</v>
      </c>
      <c r="AB17" s="27" t="n">
        <v>2967.245024044908</v>
      </c>
      <c r="AC17" s="27" t="n">
        <v>15987.79878431816</v>
      </c>
      <c r="AD17" s="27" t="n">
        <v>67050.78810659534</v>
      </c>
      <c r="AE17" s="27" t="n">
        <v>45889.87348822615</v>
      </c>
      <c r="AF17" s="27" t="n">
        <v>9990.377281053779</v>
      </c>
      <c r="AG17" s="27" t="n">
        <v>2513.411478707032</v>
      </c>
      <c r="AH17" s="27" t="n">
        <v>1820.05658802923</v>
      </c>
      <c r="AI17" s="27" t="n">
        <v>2436.865795615141</v>
      </c>
      <c r="AJ17" s="27" t="n">
        <v>4400.203474964001</v>
      </c>
      <c r="AK17" s="27" t="n">
        <v>19282.85373482898</v>
      </c>
      <c r="AL17" s="27" t="n">
        <v>0</v>
      </c>
      <c r="AM17" s="28" t="n">
        <v>0</v>
      </c>
      <c r="AN17" s="28" t="n">
        <v>331709.2626179075</v>
      </c>
      <c r="AO17" s="27" t="n">
        <v>21642.61741173897</v>
      </c>
      <c r="AP17" s="28" t="n">
        <v>327918.3512521186</v>
      </c>
      <c r="AQ17" s="27" t="n">
        <v>221373.831242794</v>
      </c>
      <c r="AR17" s="27" t="n">
        <v>0</v>
      </c>
      <c r="AS17" s="27" t="n">
        <v>0</v>
      </c>
      <c r="AT17" s="28" t="n">
        <v>106544.5200093247</v>
      </c>
      <c r="AU17" s="28" t="n">
        <v>0</v>
      </c>
      <c r="AV17" s="27" t="n">
        <v>0</v>
      </c>
      <c r="AW17" s="27" t="n">
        <v>0</v>
      </c>
      <c r="AX17" s="28" t="n">
        <v>0</v>
      </c>
      <c r="AY17" s="27" t="n">
        <v>18006.97156328882</v>
      </c>
      <c r="AZ17" s="27" t="n">
        <v>49568.80837819283</v>
      </c>
      <c r="BA17" s="27" t="n">
        <v>38968.740067843</v>
      </c>
      <c r="BB17" s="28" t="n">
        <v>88537.54844603583</v>
      </c>
      <c r="BC17" s="27" t="n">
        <v>0</v>
      </c>
      <c r="BD17" s="27" t="n">
        <v>0</v>
      </c>
      <c r="BE17" s="27" t="n">
        <v>0</v>
      </c>
      <c r="BF17" s="28" t="n">
        <v>0</v>
      </c>
      <c r="BG17" s="27" t="n">
        <v>0</v>
      </c>
      <c r="BH17" s="27" t="n">
        <v>0</v>
      </c>
      <c r="BI17" s="27" t="n">
        <v>0</v>
      </c>
      <c r="BJ17" s="28" t="n">
        <v>0</v>
      </c>
      <c r="BK17" s="27" t="n">
        <v>0</v>
      </c>
      <c r="BL17" s="28" t="n">
        <v>0</v>
      </c>
      <c r="BM17" s="28" t="n">
        <v>106544.5200093247</v>
      </c>
      <c r="BN17" s="27" t="n">
        <v>0</v>
      </c>
      <c r="BO17" s="27" t="n">
        <v>6487461.328135343</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182356.9883610532</v>
      </c>
      <c r="W18" s="27" t="n">
        <v>64594.09822581569</v>
      </c>
      <c r="X18" s="27" t="n">
        <v>0</v>
      </c>
      <c r="Y18" s="27" t="n">
        <v>26069.36699696597</v>
      </c>
      <c r="Z18" s="27" t="n">
        <v>19095.81132527758</v>
      </c>
      <c r="AA18" s="27" t="n">
        <v>0</v>
      </c>
      <c r="AB18" s="27" t="n">
        <v>3041.42614964603</v>
      </c>
      <c r="AC18" s="27" t="n">
        <v>16387.49375392611</v>
      </c>
      <c r="AD18" s="27" t="n">
        <v>70526.6478938392</v>
      </c>
      <c r="AE18" s="27" t="n">
        <v>48201.8829714597</v>
      </c>
      <c r="AF18" s="27" t="n">
        <v>10588.9713185669</v>
      </c>
      <c r="AG18" s="27" t="n">
        <v>2664.00770572083</v>
      </c>
      <c r="AH18" s="27" t="n">
        <v>1929.109028280601</v>
      </c>
      <c r="AI18" s="27" t="n">
        <v>2478.826138106107</v>
      </c>
      <c r="AJ18" s="27" t="n">
        <v>4663.850731705053</v>
      </c>
      <c r="AK18" s="27" t="n">
        <v>19764.9250781997</v>
      </c>
      <c r="AL18" s="27" t="n">
        <v>0</v>
      </c>
      <c r="AM18" s="28" t="n">
        <v>0</v>
      </c>
      <c r="AN18" s="28" t="n">
        <v>337242.6595589078</v>
      </c>
      <c r="AO18" s="27" t="n">
        <v>21353.51704674344</v>
      </c>
      <c r="AP18" s="28" t="n">
        <v>332526.8096086853</v>
      </c>
      <c r="AQ18" s="27" t="n">
        <v>222501.2466663256</v>
      </c>
      <c r="AR18" s="27" t="n">
        <v>0</v>
      </c>
      <c r="AS18" s="27" t="n">
        <v>0</v>
      </c>
      <c r="AT18" s="28" t="n">
        <v>110025.5629423597</v>
      </c>
      <c r="AU18" s="28" t="n">
        <v>0</v>
      </c>
      <c r="AV18" s="27" t="n">
        <v>0</v>
      </c>
      <c r="AW18" s="27" t="n">
        <v>0</v>
      </c>
      <c r="AX18" s="28" t="n">
        <v>0</v>
      </c>
      <c r="AY18" s="27" t="n">
        <v>0</v>
      </c>
      <c r="AZ18" s="27" t="n">
        <v>61599.13101181887</v>
      </c>
      <c r="BA18" s="27" t="n">
        <v>48426.43193054082</v>
      </c>
      <c r="BB18" s="28" t="n">
        <v>110025.5629423597</v>
      </c>
      <c r="BC18" s="27" t="n">
        <v>0</v>
      </c>
      <c r="BD18" s="27" t="n">
        <v>0</v>
      </c>
      <c r="BE18" s="27" t="n">
        <v>0</v>
      </c>
      <c r="BF18" s="28" t="n">
        <v>0</v>
      </c>
      <c r="BG18" s="27" t="n">
        <v>0</v>
      </c>
      <c r="BH18" s="27" t="n">
        <v>0</v>
      </c>
      <c r="BI18" s="27" t="n">
        <v>0</v>
      </c>
      <c r="BJ18" s="28" t="n">
        <v>0</v>
      </c>
      <c r="BK18" s="27" t="n">
        <v>0</v>
      </c>
      <c r="BL18" s="28" t="n">
        <v>0</v>
      </c>
      <c r="BM18" s="28" t="n">
        <v>110025.5629423597</v>
      </c>
      <c r="BN18" s="27" t="n">
        <v>0</v>
      </c>
      <c r="BO18" s="27" t="n">
        <v>6571403.050687212</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182356.9883610532</v>
      </c>
      <c r="W19" s="27" t="n">
        <v>66208.95068146108</v>
      </c>
      <c r="X19" s="27" t="n">
        <v>0</v>
      </c>
      <c r="Y19" s="27" t="n">
        <v>26721.10117189012</v>
      </c>
      <c r="Z19" s="27" t="n">
        <v>19573.20660840951</v>
      </c>
      <c r="AA19" s="27" t="n">
        <v>0</v>
      </c>
      <c r="AB19" s="27" t="n">
        <v>3117.461803387181</v>
      </c>
      <c r="AC19" s="27" t="n">
        <v>16797.18109777426</v>
      </c>
      <c r="AD19" s="27" t="n">
        <v>74191.03079989871</v>
      </c>
      <c r="AE19" s="27" t="n">
        <v>50638.40380678835</v>
      </c>
      <c r="AF19" s="27" t="n">
        <v>11221.55839555585</v>
      </c>
      <c r="AG19" s="27" t="n">
        <v>2823.156011721346</v>
      </c>
      <c r="AH19" s="27" t="n">
        <v>2044.354353315458</v>
      </c>
      <c r="AI19" s="27" t="n">
        <v>2521.088207859336</v>
      </c>
      <c r="AJ19" s="27" t="n">
        <v>4942.47002465837</v>
      </c>
      <c r="AK19" s="27" t="n">
        <v>20259.04820515469</v>
      </c>
      <c r="AL19" s="27" t="n">
        <v>0</v>
      </c>
      <c r="AM19" s="28" t="n">
        <v>0</v>
      </c>
      <c r="AN19" s="28" t="n">
        <v>343016.0180475677</v>
      </c>
      <c r="AO19" s="27" t="n">
        <v>21082.90116166768</v>
      </c>
      <c r="AP19" s="28" t="n">
        <v>337377.8180373452</v>
      </c>
      <c r="AQ19" s="27" t="n">
        <v>223761.988162839</v>
      </c>
      <c r="AR19" s="27" t="n">
        <v>0</v>
      </c>
      <c r="AS19" s="27" t="n">
        <v>0</v>
      </c>
      <c r="AT19" s="28" t="n">
        <v>113615.8298745062</v>
      </c>
      <c r="AU19" s="28" t="n">
        <v>0</v>
      </c>
      <c r="AV19" s="27" t="n">
        <v>0</v>
      </c>
      <c r="AW19" s="27" t="n">
        <v>0</v>
      </c>
      <c r="AX19" s="28" t="n">
        <v>0</v>
      </c>
      <c r="AY19" s="27" t="n">
        <v>0</v>
      </c>
      <c r="AZ19" s="27" t="n">
        <v>63609.18501387433</v>
      </c>
      <c r="BA19" s="27" t="n">
        <v>50006.64486063189</v>
      </c>
      <c r="BB19" s="28" t="n">
        <v>113615.8298745062</v>
      </c>
      <c r="BC19" s="27" t="n">
        <v>0</v>
      </c>
      <c r="BD19" s="27" t="n">
        <v>0</v>
      </c>
      <c r="BE19" s="27" t="n">
        <v>0</v>
      </c>
      <c r="BF19" s="28" t="n">
        <v>0</v>
      </c>
      <c r="BG19" s="27" t="n">
        <v>0</v>
      </c>
      <c r="BH19" s="27" t="n">
        <v>0</v>
      </c>
      <c r="BI19" s="27" t="n">
        <v>0</v>
      </c>
      <c r="BJ19" s="28" t="n">
        <v>0</v>
      </c>
      <c r="BK19" s="27" t="n">
        <v>0</v>
      </c>
      <c r="BL19" s="28" t="n">
        <v>0</v>
      </c>
      <c r="BM19" s="28" t="n">
        <v>113615.8298745062</v>
      </c>
      <c r="BN19" s="27" t="n">
        <v>0</v>
      </c>
      <c r="BO19" s="27" t="n">
        <v>6655710.397943776</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182356.9883610532</v>
      </c>
      <c r="W20" s="27" t="n">
        <v>67864.17444849759</v>
      </c>
      <c r="X20" s="27" t="n">
        <v>0</v>
      </c>
      <c r="Y20" s="27" t="n">
        <v>27389.12870118737</v>
      </c>
      <c r="Z20" s="27" t="n">
        <v>20062.53677361975</v>
      </c>
      <c r="AA20" s="27" t="n">
        <v>0</v>
      </c>
      <c r="AB20" s="27" t="n">
        <v>3195.39834847186</v>
      </c>
      <c r="AC20" s="27" t="n">
        <v>17217.11062521861</v>
      </c>
      <c r="AD20" s="27" t="n">
        <v>78054.27248169025</v>
      </c>
      <c r="AE20" s="27" t="n">
        <v>53206.25100395882</v>
      </c>
      <c r="AF20" s="27" t="n">
        <v>11890.01460644569</v>
      </c>
      <c r="AG20" s="27" t="n">
        <v>2991.328390621367</v>
      </c>
      <c r="AH20" s="27" t="n">
        <v>2166.134351829266</v>
      </c>
      <c r="AI20" s="27" t="n">
        <v>2563.656460150731</v>
      </c>
      <c r="AJ20" s="27" t="n">
        <v>5236.887668684373</v>
      </c>
      <c r="AK20" s="27" t="n">
        <v>20765.52441028356</v>
      </c>
      <c r="AL20" s="27" t="n">
        <v>0</v>
      </c>
      <c r="AM20" s="28" t="n">
        <v>0</v>
      </c>
      <c r="AN20" s="28" t="n">
        <v>349040.9597015246</v>
      </c>
      <c r="AO20" s="27" t="n">
        <v>20829.43882592252</v>
      </c>
      <c r="AP20" s="28" t="n">
        <v>342481.2698262598</v>
      </c>
      <c r="AQ20" s="27" t="n">
        <v>225150.9586998192</v>
      </c>
      <c r="AR20" s="27" t="n">
        <v>0</v>
      </c>
      <c r="AS20" s="27" t="n">
        <v>0</v>
      </c>
      <c r="AT20" s="28" t="n">
        <v>117330.3111264405</v>
      </c>
      <c r="AU20" s="28" t="n">
        <v>-1.455191522836685e-11</v>
      </c>
      <c r="AV20" s="27" t="n">
        <v>0</v>
      </c>
      <c r="AW20" s="27" t="n">
        <v>0</v>
      </c>
      <c r="AX20" s="28" t="n">
        <v>0</v>
      </c>
      <c r="AY20" s="27" t="n">
        <v>0</v>
      </c>
      <c r="AZ20" s="27" t="n">
        <v>65688.78189263528</v>
      </c>
      <c r="BA20" s="27" t="n">
        <v>51641.52923380527</v>
      </c>
      <c r="BB20" s="28" t="n">
        <v>117330.3111264405</v>
      </c>
      <c r="BC20" s="27" t="n">
        <v>0</v>
      </c>
      <c r="BD20" s="27" t="n">
        <v>0</v>
      </c>
      <c r="BE20" s="27" t="n">
        <v>0</v>
      </c>
      <c r="BF20" s="28" t="n">
        <v>0</v>
      </c>
      <c r="BG20" s="27" t="n">
        <v>0</v>
      </c>
      <c r="BH20" s="27" t="n">
        <v>0</v>
      </c>
      <c r="BI20" s="27" t="n">
        <v>0</v>
      </c>
      <c r="BJ20" s="28" t="n">
        <v>0</v>
      </c>
      <c r="BK20" s="27" t="n">
        <v>0</v>
      </c>
      <c r="BL20" s="28" t="n">
        <v>0</v>
      </c>
      <c r="BM20" s="28" t="n">
        <v>117330.3111264405</v>
      </c>
      <c r="BN20" s="27" t="n">
        <v>1.455191522836685e-11</v>
      </c>
      <c r="BO20" s="27" t="n">
        <v>6740120.501362991</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182356.9883610532</v>
      </c>
      <c r="W21" s="27" t="n">
        <v>69560.77880971003</v>
      </c>
      <c r="X21" s="27" t="n">
        <v>0</v>
      </c>
      <c r="Y21" s="27" t="n">
        <v>28073.85691871705</v>
      </c>
      <c r="Z21" s="27" t="n">
        <v>20564.10019296024</v>
      </c>
      <c r="AA21" s="27" t="n">
        <v>0</v>
      </c>
      <c r="AB21" s="27" t="n">
        <v>3275.283307183656</v>
      </c>
      <c r="AC21" s="27" t="n">
        <v>17647.53839084908</v>
      </c>
      <c r="AD21" s="27" t="n">
        <v>82127.27664332779</v>
      </c>
      <c r="AE21" s="27" t="n">
        <v>55912.61398432112</v>
      </c>
      <c r="AF21" s="27" t="n">
        <v>12596.31920162294</v>
      </c>
      <c r="AG21" s="27" t="n">
        <v>3169.022788644619</v>
      </c>
      <c r="AH21" s="27" t="n">
        <v>2294.809605570241</v>
      </c>
      <c r="AI21" s="27" t="n">
        <v>2606.535650083089</v>
      </c>
      <c r="AJ21" s="27" t="n">
        <v>5547.975413085769</v>
      </c>
      <c r="AK21" s="27" t="n">
        <v>21284.66252054065</v>
      </c>
      <c r="AL21" s="27" t="n">
        <v>0</v>
      </c>
      <c r="AM21" s="28" t="n">
        <v>0</v>
      </c>
      <c r="AN21" s="28" t="n">
        <v>355329.7063346317</v>
      </c>
      <c r="AO21" s="27" t="n">
        <v>20591.86971354248</v>
      </c>
      <c r="AP21" s="28" t="n">
        <v>347847.7191294571</v>
      </c>
      <c r="AQ21" s="27" t="n">
        <v>226663.4031439956</v>
      </c>
      <c r="AR21" s="27" t="n">
        <v>3.224790116954397e-13</v>
      </c>
      <c r="AS21" s="27" t="n">
        <v>0</v>
      </c>
      <c r="AT21" s="28" t="n">
        <v>121184.3159854615</v>
      </c>
      <c r="AU21" s="28" t="n">
        <v>1.455191522836685e-11</v>
      </c>
      <c r="AV21" s="27" t="n">
        <v>1.511455543027415e-11</v>
      </c>
      <c r="AW21" s="27" t="n">
        <v>0</v>
      </c>
      <c r="AX21" s="28" t="n">
        <v>1.511455543027415e-11</v>
      </c>
      <c r="AY21" s="27" t="n">
        <v>0</v>
      </c>
      <c r="AZ21" s="27" t="n">
        <v>67846.49273620886</v>
      </c>
      <c r="BA21" s="27" t="n">
        <v>53337.82324925263</v>
      </c>
      <c r="BB21" s="28" t="n">
        <v>121184.3159854615</v>
      </c>
      <c r="BC21" s="27" t="n">
        <v>0</v>
      </c>
      <c r="BD21" s="27" t="n">
        <v>0</v>
      </c>
      <c r="BE21" s="27" t="n">
        <v>0</v>
      </c>
      <c r="BF21" s="28" t="n">
        <v>0</v>
      </c>
      <c r="BG21" s="27" t="n">
        <v>0</v>
      </c>
      <c r="BH21" s="27" t="n">
        <v>0</v>
      </c>
      <c r="BI21" s="27" t="n">
        <v>0</v>
      </c>
      <c r="BJ21" s="28" t="n">
        <v>0</v>
      </c>
      <c r="BK21" s="27" t="n">
        <v>0</v>
      </c>
      <c r="BL21" s="28" t="n">
        <v>0</v>
      </c>
      <c r="BM21" s="28" t="n">
        <v>121184.3159854615</v>
      </c>
      <c r="BN21" s="27" t="n">
        <v>0</v>
      </c>
      <c r="BO21" s="27" t="n">
        <v>6824343.106721029</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182356.9883610532</v>
      </c>
      <c r="W22" s="27" t="n">
        <v>71299.79827995277</v>
      </c>
      <c r="X22" s="27" t="n">
        <v>0</v>
      </c>
      <c r="Y22" s="27" t="n">
        <v>28775.70334168497</v>
      </c>
      <c r="Z22" s="27" t="n">
        <v>21078.20269778424</v>
      </c>
      <c r="AA22" s="27" t="n">
        <v>0</v>
      </c>
      <c r="AB22" s="27" t="n">
        <v>3357.165389863247</v>
      </c>
      <c r="AC22" s="27" t="n">
        <v>18088.7268506203</v>
      </c>
      <c r="AD22" s="27" t="n">
        <v>86421.54627354468</v>
      </c>
      <c r="AE22" s="27" t="n">
        <v>58765.07716829266</v>
      </c>
      <c r="AF22" s="27" t="n">
        <v>13342.56027585716</v>
      </c>
      <c r="AG22" s="27" t="n">
        <v>3356.764535437301</v>
      </c>
      <c r="AH22" s="27" t="n">
        <v>2430.760525661494</v>
      </c>
      <c r="AI22" s="27" t="n">
        <v>2649.730821256345</v>
      </c>
      <c r="AJ22" s="27" t="n">
        <v>5876.652947039716</v>
      </c>
      <c r="AK22" s="27" t="n">
        <v>21816.77908355416</v>
      </c>
      <c r="AL22" s="27" t="n">
        <v>0</v>
      </c>
      <c r="AM22" s="28" t="n">
        <v>0</v>
      </c>
      <c r="AN22" s="28" t="n">
        <v>361895.1119981048</v>
      </c>
      <c r="AO22" s="27" t="n">
        <v>20369.00045841167</v>
      </c>
      <c r="AP22" s="28" t="n">
        <v>353488.4091148315</v>
      </c>
      <c r="AQ22" s="27" t="n">
        <v>228294.8920138218</v>
      </c>
      <c r="AR22" s="27" t="n">
        <v>0</v>
      </c>
      <c r="AS22" s="27" t="n">
        <v>0</v>
      </c>
      <c r="AT22" s="28" t="n">
        <v>125193.5171010097</v>
      </c>
      <c r="AU22" s="28" t="n">
        <v>0</v>
      </c>
      <c r="AV22" s="27" t="n">
        <v>0</v>
      </c>
      <c r="AW22" s="27" t="n">
        <v>0</v>
      </c>
      <c r="AX22" s="28" t="n">
        <v>0</v>
      </c>
      <c r="AY22" s="27" t="n">
        <v>0</v>
      </c>
      <c r="AZ22" s="27" t="n">
        <v>70091.09206535536</v>
      </c>
      <c r="BA22" s="27" t="n">
        <v>55102.42503565436</v>
      </c>
      <c r="BB22" s="28" t="n">
        <v>125193.5171010097</v>
      </c>
      <c r="BC22" s="27" t="n">
        <v>0</v>
      </c>
      <c r="BD22" s="27" t="n">
        <v>0</v>
      </c>
      <c r="BE22" s="27" t="n">
        <v>0</v>
      </c>
      <c r="BF22" s="28" t="n">
        <v>0</v>
      </c>
      <c r="BG22" s="27" t="n">
        <v>0</v>
      </c>
      <c r="BH22" s="27" t="n">
        <v>0</v>
      </c>
      <c r="BI22" s="27" t="n">
        <v>0</v>
      </c>
      <c r="BJ22" s="28" t="n">
        <v>0</v>
      </c>
      <c r="BK22" s="27" t="n">
        <v>0</v>
      </c>
      <c r="BL22" s="28" t="n">
        <v>0</v>
      </c>
      <c r="BM22" s="28" t="n">
        <v>125193.5171010097</v>
      </c>
      <c r="BN22" s="27" t="n">
        <v>0</v>
      </c>
      <c r="BO22" s="27" t="n">
        <v>6908058.151053272</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182356.9883610532</v>
      </c>
      <c r="W23" s="27" t="n">
        <v>73082.29323695158</v>
      </c>
      <c r="X23" s="27" t="n">
        <v>0</v>
      </c>
      <c r="Y23" s="27" t="n">
        <v>29495.09592522709</v>
      </c>
      <c r="Z23" s="27" t="n">
        <v>21605.15776522885</v>
      </c>
      <c r="AA23" s="27" t="n">
        <v>0</v>
      </c>
      <c r="AB23" s="27" t="n">
        <v>3441.094524609828</v>
      </c>
      <c r="AC23" s="27" t="n">
        <v>18540.94502188581</v>
      </c>
      <c r="AD23" s="27" t="n">
        <v>90949.21660110893</v>
      </c>
      <c r="AE23" s="27" t="n">
        <v>61771.64169506804</v>
      </c>
      <c r="AF23" s="27" t="n">
        <v>14130.94076918716</v>
      </c>
      <c r="AG23" s="27" t="n">
        <v>3555.107853790472</v>
      </c>
      <c r="AH23" s="27" t="n">
        <v>2574.388445848272</v>
      </c>
      <c r="AI23" s="27" t="n">
        <v>2693.247294561793</v>
      </c>
      <c r="AJ23" s="27" t="n">
        <v>6223.890542653181</v>
      </c>
      <c r="AK23" s="27" t="n">
        <v>22362.19856064301</v>
      </c>
      <c r="AL23" s="27" t="n">
        <v>0</v>
      </c>
      <c r="AM23" s="28" t="n">
        <v>0</v>
      </c>
      <c r="AN23" s="28" t="n">
        <v>368750.6967597568</v>
      </c>
      <c r="AO23" s="27" t="n">
        <v>20159.7011855864</v>
      </c>
      <c r="AP23" s="28" t="n">
        <v>359415.302020116</v>
      </c>
      <c r="AQ23" s="27" t="n">
        <v>230041.3060437013</v>
      </c>
      <c r="AR23" s="27" t="n">
        <v>0</v>
      </c>
      <c r="AS23" s="27" t="n">
        <v>0</v>
      </c>
      <c r="AT23" s="28" t="n">
        <v>129373.9959764147</v>
      </c>
      <c r="AU23" s="28" t="n">
        <v>0</v>
      </c>
      <c r="AV23" s="27" t="n">
        <v>0</v>
      </c>
      <c r="AW23" s="27" t="n">
        <v>0</v>
      </c>
      <c r="AX23" s="28" t="n">
        <v>0</v>
      </c>
      <c r="AY23" s="27" t="n">
        <v>0</v>
      </c>
      <c r="AZ23" s="27" t="n">
        <v>72431.58330258829</v>
      </c>
      <c r="BA23" s="27" t="n">
        <v>56942.41267382642</v>
      </c>
      <c r="BB23" s="28" t="n">
        <v>129373.9959764147</v>
      </c>
      <c r="BC23" s="27" t="n">
        <v>0</v>
      </c>
      <c r="BD23" s="27" t="n">
        <v>0</v>
      </c>
      <c r="BE23" s="27" t="n">
        <v>0</v>
      </c>
      <c r="BF23" s="28" t="n">
        <v>0</v>
      </c>
      <c r="BG23" s="27" t="n">
        <v>0</v>
      </c>
      <c r="BH23" s="27" t="n">
        <v>0</v>
      </c>
      <c r="BI23" s="27" t="n">
        <v>0</v>
      </c>
      <c r="BJ23" s="28" t="n">
        <v>0</v>
      </c>
      <c r="BK23" s="27" t="n">
        <v>0</v>
      </c>
      <c r="BL23" s="28" t="n">
        <v>0</v>
      </c>
      <c r="BM23" s="28" t="n">
        <v>129373.9959764147</v>
      </c>
      <c r="BN23" s="27" t="n">
        <v>0</v>
      </c>
      <c r="BO23" s="27" t="n">
        <v>6990913.162068972</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182356.9883610532</v>
      </c>
      <c r="W24" s="27" t="n">
        <v>74909.35056787537</v>
      </c>
      <c r="X24" s="27" t="n">
        <v>0</v>
      </c>
      <c r="Y24" s="27" t="n">
        <v>30232.47332335778</v>
      </c>
      <c r="Z24" s="27" t="n">
        <v>22145.28670935957</v>
      </c>
      <c r="AA24" s="27" t="n">
        <v>0</v>
      </c>
      <c r="AB24" s="27" t="n">
        <v>3527.121887725074</v>
      </c>
      <c r="AC24" s="27" t="n">
        <v>19004.46864743296</v>
      </c>
      <c r="AD24" s="27" t="n">
        <v>95723.08986272071</v>
      </c>
      <c r="AE24" s="27" t="n">
        <v>64940.74833684758</v>
      </c>
      <c r="AF24" s="27" t="n">
        <v>14963.78479743583</v>
      </c>
      <c r="AG24" s="27" t="n">
        <v>3764.637452291481</v>
      </c>
      <c r="AH24" s="27" t="n">
        <v>2726.116775797279</v>
      </c>
      <c r="AI24" s="27" t="n">
        <v>2737.090657147212</v>
      </c>
      <c r="AJ24" s="27" t="n">
        <v>6590.711843201328</v>
      </c>
      <c r="AK24" s="27" t="n">
        <v>22921.25352465909</v>
      </c>
      <c r="AL24" s="27" t="n">
        <v>0</v>
      </c>
      <c r="AM24" s="28" t="n">
        <v>0</v>
      </c>
      <c r="AN24" s="28" t="n">
        <v>375910.6823163084</v>
      </c>
      <c r="AO24" s="27" t="n">
        <v>17782.59019445763</v>
      </c>
      <c r="AP24" s="28" t="n">
        <v>363460.7991874082</v>
      </c>
      <c r="AQ24" s="27" t="n">
        <v>221900.1515324549</v>
      </c>
      <c r="AR24" s="27" t="n">
        <v>0</v>
      </c>
      <c r="AS24" s="27" t="n">
        <v>0</v>
      </c>
      <c r="AT24" s="28" t="n">
        <v>141560.6476549534</v>
      </c>
      <c r="AU24" s="28" t="n">
        <v>0</v>
      </c>
      <c r="AV24" s="27" t="n">
        <v>0</v>
      </c>
      <c r="AW24" s="27" t="n">
        <v>0</v>
      </c>
      <c r="AX24" s="28" t="n">
        <v>0</v>
      </c>
      <c r="AY24" s="27" t="n">
        <v>0</v>
      </c>
      <c r="AZ24" s="27" t="n">
        <v>79254.42640619482</v>
      </c>
      <c r="BA24" s="27" t="n">
        <v>62306.22124875855</v>
      </c>
      <c r="BB24" s="28" t="n">
        <v>141560.6476549534</v>
      </c>
      <c r="BC24" s="27" t="n">
        <v>0</v>
      </c>
      <c r="BD24" s="27" t="n">
        <v>0</v>
      </c>
      <c r="BE24" s="27" t="n">
        <v>0</v>
      </c>
      <c r="BF24" s="28" t="n">
        <v>0</v>
      </c>
      <c r="BG24" s="27" t="n">
        <v>0</v>
      </c>
      <c r="BH24" s="27" t="n">
        <v>0</v>
      </c>
      <c r="BI24" s="27" t="n">
        <v>0</v>
      </c>
      <c r="BJ24" s="28" t="n">
        <v>0</v>
      </c>
      <c r="BK24" s="27" t="n">
        <v>0</v>
      </c>
      <c r="BL24" s="28" t="n">
        <v>0</v>
      </c>
      <c r="BM24" s="28" t="n">
        <v>141560.6476549534</v>
      </c>
      <c r="BN24" s="27" t="n">
        <v>0</v>
      </c>
      <c r="BO24" s="27" t="n">
        <v>7064233.007743798</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182356.9883610532</v>
      </c>
      <c r="W25" s="27" t="n">
        <v>76782.08433207223</v>
      </c>
      <c r="X25" s="27" t="n">
        <v>0</v>
      </c>
      <c r="Y25" s="27" t="n">
        <v>30988.28515644171</v>
      </c>
      <c r="Z25" s="27" t="n">
        <v>22698.91887709355</v>
      </c>
      <c r="AA25" s="27" t="n">
        <v>0</v>
      </c>
      <c r="AB25" s="27" t="n">
        <v>3615.2999349182</v>
      </c>
      <c r="AC25" s="27" t="n">
        <v>19479.58036361878</v>
      </c>
      <c r="AD25" s="27" t="n">
        <v>100756.671983078</v>
      </c>
      <c r="AE25" s="27" t="n">
        <v>68281.30167328187</v>
      </c>
      <c r="AF25" s="27" t="n">
        <v>15843.54433046617</v>
      </c>
      <c r="AG25" s="27" t="n">
        <v>3985.970205461255</v>
      </c>
      <c r="AH25" s="27" t="n">
        <v>2886.392217747805</v>
      </c>
      <c r="AI25" s="27" t="n">
        <v>2781.266751594439</v>
      </c>
      <c r="AJ25" s="27" t="n">
        <v>6978.196804526479</v>
      </c>
      <c r="AK25" s="27" t="n">
        <v>23494.28486277556</v>
      </c>
      <c r="AL25" s="27" t="n">
        <v>0</v>
      </c>
      <c r="AM25" s="28" t="n">
        <v>0</v>
      </c>
      <c r="AN25" s="28" t="n">
        <v>383390.0295389791</v>
      </c>
      <c r="AO25" s="27" t="n">
        <v>13059.52302307638</v>
      </c>
      <c r="AP25" s="28" t="n">
        <v>365461.2674056137</v>
      </c>
      <c r="AQ25" s="27" t="n">
        <v>200480.1465766074</v>
      </c>
      <c r="AR25" s="27" t="n">
        <v>0</v>
      </c>
      <c r="AS25" s="27" t="n">
        <v>0</v>
      </c>
      <c r="AT25" s="28" t="n">
        <v>164981.1208290062</v>
      </c>
      <c r="AU25" s="28" t="n">
        <v>0</v>
      </c>
      <c r="AV25" s="27" t="n">
        <v>0</v>
      </c>
      <c r="AW25" s="27" t="n">
        <v>0</v>
      </c>
      <c r="AX25" s="28" t="n">
        <v>0</v>
      </c>
      <c r="AY25" s="27" t="n">
        <v>0</v>
      </c>
      <c r="AZ25" s="27" t="n">
        <v>92366.65920761267</v>
      </c>
      <c r="BA25" s="27" t="n">
        <v>72614.4616213936</v>
      </c>
      <c r="BB25" s="28" t="n">
        <v>164981.1208290062</v>
      </c>
      <c r="BC25" s="27" t="n">
        <v>0</v>
      </c>
      <c r="BD25" s="27" t="n">
        <v>0</v>
      </c>
      <c r="BE25" s="27" t="n">
        <v>0</v>
      </c>
      <c r="BF25" s="28" t="n">
        <v>0</v>
      </c>
      <c r="BG25" s="27" t="n">
        <v>0</v>
      </c>
      <c r="BH25" s="27" t="n">
        <v>0</v>
      </c>
      <c r="BI25" s="27" t="n">
        <v>0</v>
      </c>
      <c r="BJ25" s="28" t="n">
        <v>0</v>
      </c>
      <c r="BK25" s="27" t="n">
        <v>0</v>
      </c>
      <c r="BL25" s="28" t="n">
        <v>0</v>
      </c>
      <c r="BM25" s="28" t="n">
        <v>164981.1208290062</v>
      </c>
      <c r="BN25" s="27" t="n">
        <v>0</v>
      </c>
      <c r="BO25" s="27" t="n">
        <v>7126002.458882167</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182356.9883610532</v>
      </c>
      <c r="W26" s="27" t="n">
        <v>78701.63644037404</v>
      </c>
      <c r="X26" s="27" t="n">
        <v>0</v>
      </c>
      <c r="Y26" s="27" t="n">
        <v>31762.99228535276</v>
      </c>
      <c r="Z26" s="27" t="n">
        <v>23266.39184902089</v>
      </c>
      <c r="AA26" s="27" t="n">
        <v>0</v>
      </c>
      <c r="AB26" s="27" t="n">
        <v>3705.682433291155</v>
      </c>
      <c r="AC26" s="27" t="n">
        <v>19966.56987270925</v>
      </c>
      <c r="AD26" s="27" t="n">
        <v>106064.2112722788</v>
      </c>
      <c r="AE26" s="27" t="n">
        <v>71802.69559544389</v>
      </c>
      <c r="AF26" s="27" t="n">
        <v>16772.806237291</v>
      </c>
      <c r="AG26" s="27" t="n">
        <v>4219.756926185816</v>
      </c>
      <c r="AH26" s="27" t="n">
        <v>3055.686049996626</v>
      </c>
      <c r="AI26" s="27" t="n">
        <v>2825.781665345839</v>
      </c>
      <c r="AJ26" s="27" t="n">
        <v>7387.48479801565</v>
      </c>
      <c r="AK26" s="27" t="n">
        <v>24081.64198434495</v>
      </c>
      <c r="AL26" s="27" t="n">
        <v>0</v>
      </c>
      <c r="AM26" s="28" t="n">
        <v>0</v>
      </c>
      <c r="AN26" s="28" t="n">
        <v>391204.478058051</v>
      </c>
      <c r="AO26" s="27" t="n">
        <v>13268.12963278216</v>
      </c>
      <c r="AP26" s="28" t="n">
        <v>372709.6154054805</v>
      </c>
      <c r="AQ26" s="27" t="n">
        <v>203906.550820344</v>
      </c>
      <c r="AR26" s="27" t="n">
        <v>0</v>
      </c>
      <c r="AS26" s="27" t="n">
        <v>0</v>
      </c>
      <c r="AT26" s="28" t="n">
        <v>168803.0645851365</v>
      </c>
      <c r="AU26" s="28" t="n">
        <v>0</v>
      </c>
      <c r="AV26" s="27" t="n">
        <v>0</v>
      </c>
      <c r="AW26" s="27" t="n">
        <v>0</v>
      </c>
      <c r="AX26" s="28" t="n">
        <v>0</v>
      </c>
      <c r="AY26" s="27" t="n">
        <v>0</v>
      </c>
      <c r="AZ26" s="27" t="n">
        <v>94506.42025820605</v>
      </c>
      <c r="BA26" s="27" t="n">
        <v>74296.6443269305</v>
      </c>
      <c r="BB26" s="28" t="n">
        <v>168803.0645851365</v>
      </c>
      <c r="BC26" s="27" t="n">
        <v>0</v>
      </c>
      <c r="BD26" s="27" t="n">
        <v>0</v>
      </c>
      <c r="BE26" s="27" t="n">
        <v>0</v>
      </c>
      <c r="BF26" s="28" t="n">
        <v>0</v>
      </c>
      <c r="BG26" s="27" t="n">
        <v>0</v>
      </c>
      <c r="BH26" s="27" t="n">
        <v>0</v>
      </c>
      <c r="BI26" s="27" t="n">
        <v>0</v>
      </c>
      <c r="BJ26" s="28" t="n">
        <v>0</v>
      </c>
      <c r="BK26" s="27" t="n">
        <v>0</v>
      </c>
      <c r="BL26" s="28" t="n">
        <v>0</v>
      </c>
      <c r="BM26" s="28" t="n">
        <v>168803.0645851365</v>
      </c>
      <c r="BN26" s="27" t="n">
        <v>0</v>
      </c>
      <c r="BO26" s="27" t="n">
        <v>7210361.461215326</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182356.9883610532</v>
      </c>
      <c r="W27" s="27" t="n">
        <v>80669.17735138339</v>
      </c>
      <c r="X27" s="27" t="n">
        <v>0</v>
      </c>
      <c r="Y27" s="27" t="n">
        <v>32557.06709248657</v>
      </c>
      <c r="Z27" s="27" t="n">
        <v>23848.05164524641</v>
      </c>
      <c r="AA27" s="27" t="n">
        <v>0</v>
      </c>
      <c r="AB27" s="27" t="n">
        <v>3798.324494123433</v>
      </c>
      <c r="AC27" s="27" t="n">
        <v>20465.73411952697</v>
      </c>
      <c r="AD27" s="27" t="n">
        <v>111660.7392515123</v>
      </c>
      <c r="AE27" s="27" t="n">
        <v>75514.84021245147</v>
      </c>
      <c r="AF27" s="27" t="n">
        <v>17754.29971820375</v>
      </c>
      <c r="AG27" s="27" t="n">
        <v>4466.684235515823</v>
      </c>
      <c r="AH27" s="27" t="n">
        <v>3234.495480890769</v>
      </c>
      <c r="AI27" s="27" t="n">
        <v>2870.641720411252</v>
      </c>
      <c r="AJ27" s="27" t="n">
        <v>7819.777884039254</v>
      </c>
      <c r="AK27" s="27" t="n">
        <v>24683.68303395357</v>
      </c>
      <c r="AL27" s="27" t="n">
        <v>0</v>
      </c>
      <c r="AM27" s="28" t="n">
        <v>0</v>
      </c>
      <c r="AN27" s="28" t="n">
        <v>399370.5879979025</v>
      </c>
      <c r="AO27" s="27" t="n">
        <v>13479.69043282948</v>
      </c>
      <c r="AP27" s="28" t="n">
        <v>380293.2113382454</v>
      </c>
      <c r="AQ27" s="27" t="n">
        <v>207395.9678018882</v>
      </c>
      <c r="AR27" s="27" t="n">
        <v>0</v>
      </c>
      <c r="AS27" s="27" t="n">
        <v>0</v>
      </c>
      <c r="AT27" s="28" t="n">
        <v>172897.2435363572</v>
      </c>
      <c r="AU27" s="28" t="n">
        <v>-2.91038304567337e-11</v>
      </c>
      <c r="AV27" s="27" t="n">
        <v>0</v>
      </c>
      <c r="AW27" s="27" t="n">
        <v>0</v>
      </c>
      <c r="AX27" s="28" t="n">
        <v>0</v>
      </c>
      <c r="AY27" s="27" t="n">
        <v>0</v>
      </c>
      <c r="AZ27" s="27" t="n">
        <v>96798.59544784081</v>
      </c>
      <c r="BA27" s="27" t="n">
        <v>76098.64808851642</v>
      </c>
      <c r="BB27" s="28" t="n">
        <v>172897.2435363572</v>
      </c>
      <c r="BC27" s="27" t="n">
        <v>0</v>
      </c>
      <c r="BD27" s="27" t="n">
        <v>0</v>
      </c>
      <c r="BE27" s="27" t="n">
        <v>0</v>
      </c>
      <c r="BF27" s="28" t="n">
        <v>0</v>
      </c>
      <c r="BG27" s="27" t="n">
        <v>0</v>
      </c>
      <c r="BH27" s="27" t="n">
        <v>0</v>
      </c>
      <c r="BI27" s="27" t="n">
        <v>0</v>
      </c>
      <c r="BJ27" s="28" t="n">
        <v>0</v>
      </c>
      <c r="BK27" s="27" t="n">
        <v>0</v>
      </c>
      <c r="BL27" s="28" t="n">
        <v>0</v>
      </c>
      <c r="BM27" s="28" t="n">
        <v>172897.2435363572</v>
      </c>
      <c r="BN27" s="27" t="n">
        <v>2.91038304567337e-11</v>
      </c>
      <c r="BO27" s="27" t="n">
        <v>7292021.57094772</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182356.9883610532</v>
      </c>
      <c r="W28" s="27" t="n">
        <v>82685.90678516797</v>
      </c>
      <c r="X28" s="27" t="n">
        <v>0</v>
      </c>
      <c r="Y28" s="27" t="n">
        <v>33370.99376979873</v>
      </c>
      <c r="Z28" s="27" t="n">
        <v>24444.25293637757</v>
      </c>
      <c r="AA28" s="27" t="n">
        <v>0</v>
      </c>
      <c r="AB28" s="27" t="n">
        <v>3893.282606476519</v>
      </c>
      <c r="AC28" s="27" t="n">
        <v>20977.37747251515</v>
      </c>
      <c r="AD28" s="27" t="n">
        <v>117562.1137240944</v>
      </c>
      <c r="AE28" s="27" t="n">
        <v>79428.19023788518</v>
      </c>
      <c r="AF28" s="27" t="n">
        <v>18790.90414521034</v>
      </c>
      <c r="AG28" s="27" t="n">
        <v>4727.476535187818</v>
      </c>
      <c r="AH28" s="27" t="n">
        <v>3423.345077204972</v>
      </c>
      <c r="AI28" s="27" t="n">
        <v>2915.853463382433</v>
      </c>
      <c r="AJ28" s="27" t="n">
        <v>8276.344265223639</v>
      </c>
      <c r="AK28" s="27" t="n">
        <v>25300.77510980241</v>
      </c>
      <c r="AL28" s="27" t="n">
        <v>0</v>
      </c>
      <c r="AM28" s="28" t="n">
        <v>0</v>
      </c>
      <c r="AN28" s="28" t="n">
        <v>407905.7839801181</v>
      </c>
      <c r="AO28" s="27" t="n">
        <v>13693.56939596265</v>
      </c>
      <c r="AP28" s="28" t="n">
        <v>388228.3596062819</v>
      </c>
      <c r="AQ28" s="27" t="n">
        <v>210946.512803967</v>
      </c>
      <c r="AR28" s="27" t="n">
        <v>6.449580233908794e-13</v>
      </c>
      <c r="AS28" s="27" t="n">
        <v>0</v>
      </c>
      <c r="AT28" s="28" t="n">
        <v>177281.8468023149</v>
      </c>
      <c r="AU28" s="28" t="n">
        <v>-2.91038304567337e-11</v>
      </c>
      <c r="AV28" s="27" t="n">
        <v>3.02291108605483e-11</v>
      </c>
      <c r="AW28" s="27" t="n">
        <v>0</v>
      </c>
      <c r="AX28" s="28" t="n">
        <v>3.02291108605483e-11</v>
      </c>
      <c r="AY28" s="27" t="n">
        <v>0</v>
      </c>
      <c r="AZ28" s="27" t="n">
        <v>99253.3681733034</v>
      </c>
      <c r="BA28" s="27" t="n">
        <v>78028.47862901144</v>
      </c>
      <c r="BB28" s="28" t="n">
        <v>177281.8468023149</v>
      </c>
      <c r="BC28" s="27" t="n">
        <v>0</v>
      </c>
      <c r="BD28" s="27" t="n">
        <v>0</v>
      </c>
      <c r="BE28" s="27" t="n">
        <v>0</v>
      </c>
      <c r="BF28" s="28" t="n">
        <v>0</v>
      </c>
      <c r="BG28" s="27" t="n">
        <v>0</v>
      </c>
      <c r="BH28" s="27" t="n">
        <v>0</v>
      </c>
      <c r="BI28" s="27" t="n">
        <v>0</v>
      </c>
      <c r="BJ28" s="28" t="n">
        <v>0</v>
      </c>
      <c r="BK28" s="27" t="n">
        <v>0</v>
      </c>
      <c r="BL28" s="28" t="n">
        <v>0</v>
      </c>
      <c r="BM28" s="28" t="n">
        <v>177281.8468023149</v>
      </c>
      <c r="BN28" s="27" t="n">
        <v>2.91038304567337e-11</v>
      </c>
      <c r="BO28" s="27" t="n">
        <v>7370427.117084723</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389.8333820132184</v>
      </c>
      <c r="T29" s="27" t="n">
        <v>0</v>
      </c>
      <c r="U29" s="27" t="n">
        <v>0</v>
      </c>
      <c r="V29" s="27" t="n">
        <v>182356.9883610532</v>
      </c>
      <c r="W29" s="27" t="n">
        <v>84753.05445479715</v>
      </c>
      <c r="X29" s="27" t="n">
        <v>0</v>
      </c>
      <c r="Y29" s="27" t="n">
        <v>34205.26861404369</v>
      </c>
      <c r="Z29" s="27" t="n">
        <v>25055.35925978701</v>
      </c>
      <c r="AA29" s="27" t="n">
        <v>0</v>
      </c>
      <c r="AB29" s="27" t="n">
        <v>3990.614671638431</v>
      </c>
      <c r="AC29" s="27" t="n">
        <v>21501.81190932802</v>
      </c>
      <c r="AD29" s="27" t="n">
        <v>123785.0642153403</v>
      </c>
      <c r="AE29" s="27" t="n">
        <v>83553.77493738962</v>
      </c>
      <c r="AF29" s="27" t="n">
        <v>19885.65733321552</v>
      </c>
      <c r="AG29" s="27" t="n">
        <v>5002.898088516095</v>
      </c>
      <c r="AH29" s="27" t="n">
        <v>3622.788270994413</v>
      </c>
      <c r="AI29" s="27" t="n">
        <v>2961.423655777702</v>
      </c>
      <c r="AJ29" s="27" t="n">
        <v>8758.52192944697</v>
      </c>
      <c r="AK29" s="27" t="n">
        <v>25933.29448754746</v>
      </c>
      <c r="AL29" s="27" t="n">
        <v>0</v>
      </c>
      <c r="AM29" s="28" t="n">
        <v>0</v>
      </c>
      <c r="AN29" s="28" t="n">
        <v>416828.4015187381</v>
      </c>
      <c r="AO29" s="27" t="n">
        <v>13916.482755611</v>
      </c>
      <c r="AP29" s="28" t="n">
        <v>396539.6156603055</v>
      </c>
      <c r="AQ29" s="27" t="n">
        <v>214589.4401599739</v>
      </c>
      <c r="AR29" s="27" t="n">
        <v>6.449580233908794e-13</v>
      </c>
      <c r="AS29" s="27" t="n">
        <v>0</v>
      </c>
      <c r="AT29" s="28" t="n">
        <v>181950.1755003317</v>
      </c>
      <c r="AU29" s="28" t="n">
        <v>-2.91038304567337e-11</v>
      </c>
      <c r="AV29" s="27" t="n">
        <v>3.02291108605483e-11</v>
      </c>
      <c r="AW29" s="27" t="n">
        <v>0</v>
      </c>
      <c r="AX29" s="28" t="n">
        <v>3.02291108605483e-11</v>
      </c>
      <c r="AY29" s="27" t="n">
        <v>0</v>
      </c>
      <c r="AZ29" s="27" t="n">
        <v>101866.9879847832</v>
      </c>
      <c r="BA29" s="27" t="n">
        <v>80083.18751554842</v>
      </c>
      <c r="BB29" s="28" t="n">
        <v>181950.1755003316</v>
      </c>
      <c r="BC29" s="27" t="n">
        <v>0</v>
      </c>
      <c r="BD29" s="27" t="n">
        <v>0</v>
      </c>
      <c r="BE29" s="27" t="n">
        <v>0</v>
      </c>
      <c r="BF29" s="28" t="n">
        <v>0</v>
      </c>
      <c r="BG29" s="27" t="n">
        <v>0</v>
      </c>
      <c r="BH29" s="27" t="n">
        <v>0</v>
      </c>
      <c r="BI29" s="27" t="n">
        <v>0</v>
      </c>
      <c r="BJ29" s="28" t="n">
        <v>0</v>
      </c>
      <c r="BK29" s="27" t="n">
        <v>0</v>
      </c>
      <c r="BL29" s="28" t="n">
        <v>0</v>
      </c>
      <c r="BM29" s="28" t="n">
        <v>181950.1755003317</v>
      </c>
      <c r="BN29" s="27" t="n">
        <v>2.91038304567337e-11</v>
      </c>
      <c r="BO29" s="27" t="n">
        <v>7444997.105448566</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182356.9883610532</v>
      </c>
      <c r="W30" s="27" t="n">
        <v>86871.88081616709</v>
      </c>
      <c r="X30" s="27" t="n">
        <v>0</v>
      </c>
      <c r="Y30" s="27" t="n">
        <v>35060.40032939479</v>
      </c>
      <c r="Z30" s="27" t="n">
        <v>25681.74324128168</v>
      </c>
      <c r="AA30" s="27" t="n">
        <v>0</v>
      </c>
      <c r="AB30" s="27" t="n">
        <v>4090.380038429392</v>
      </c>
      <c r="AC30" s="27" t="n">
        <v>22039.35720706122</v>
      </c>
      <c r="AD30" s="27" t="n">
        <v>130347.23991156</v>
      </c>
      <c r="AE30" s="27" t="n">
        <v>87903.22972332206</v>
      </c>
      <c r="AF30" s="27" t="n">
        <v>21041.7642656551</v>
      </c>
      <c r="AG30" s="27" t="n">
        <v>5293.755215615492</v>
      </c>
      <c r="AH30" s="27" t="n">
        <v>3833.408949238805</v>
      </c>
      <c r="AI30" s="27" t="n">
        <v>3007.35926473554</v>
      </c>
      <c r="AJ30" s="27" t="n">
        <v>9267.722492993054</v>
      </c>
      <c r="AK30" s="27" t="n">
        <v>26581.62684973615</v>
      </c>
      <c r="AL30" s="27" t="n">
        <v>0</v>
      </c>
      <c r="AM30" s="28" t="n">
        <v>0</v>
      </c>
      <c r="AN30" s="28" t="n">
        <v>426157.7359385165</v>
      </c>
      <c r="AO30" s="27" t="n">
        <v>14168.56397368701</v>
      </c>
      <c r="AP30" s="28" t="n">
        <v>405265.8995828087</v>
      </c>
      <c r="AQ30" s="27" t="n">
        <v>218417.0175942602</v>
      </c>
      <c r="AR30" s="27" t="n">
        <v>6.449580233908794e-13</v>
      </c>
      <c r="AS30" s="27" t="n">
        <v>0</v>
      </c>
      <c r="AT30" s="28" t="n">
        <v>186848.8819885485</v>
      </c>
      <c r="AU30" s="28" t="n">
        <v>0</v>
      </c>
      <c r="AV30" s="27" t="n">
        <v>3.02291108605483e-11</v>
      </c>
      <c r="AW30" s="27" t="n">
        <v>0</v>
      </c>
      <c r="AX30" s="28" t="n">
        <v>3.02291108605483e-11</v>
      </c>
      <c r="AY30" s="27" t="n">
        <v>0</v>
      </c>
      <c r="AZ30" s="27" t="n">
        <v>104609.5875651571</v>
      </c>
      <c r="BA30" s="27" t="n">
        <v>82239.29442339137</v>
      </c>
      <c r="BB30" s="28" t="n">
        <v>186848.8819885485</v>
      </c>
      <c r="BC30" s="27" t="n">
        <v>0</v>
      </c>
      <c r="BD30" s="27" t="n">
        <v>0</v>
      </c>
      <c r="BE30" s="27" t="n">
        <v>0</v>
      </c>
      <c r="BF30" s="28" t="n">
        <v>0</v>
      </c>
      <c r="BG30" s="27" t="n">
        <v>0</v>
      </c>
      <c r="BH30" s="27" t="n">
        <v>0</v>
      </c>
      <c r="BI30" s="27" t="n">
        <v>0</v>
      </c>
      <c r="BJ30" s="28" t="n">
        <v>0</v>
      </c>
      <c r="BK30" s="27" t="n">
        <v>0</v>
      </c>
      <c r="BL30" s="28" t="n">
        <v>0</v>
      </c>
      <c r="BM30" s="28" t="n">
        <v>186848.8819885485</v>
      </c>
      <c r="BN30" s="27" t="n">
        <v>0</v>
      </c>
      <c r="BO30" s="27" t="n">
        <v>7515137.976957904</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182356.9883610532</v>
      </c>
      <c r="W31" s="27" t="n">
        <v>89043.67783657125</v>
      </c>
      <c r="X31" s="27" t="n">
        <v>0</v>
      </c>
      <c r="Y31" s="27" t="n">
        <v>35936.91033762966</v>
      </c>
      <c r="Z31" s="27" t="n">
        <v>26323.78682231372</v>
      </c>
      <c r="AA31" s="27" t="n">
        <v>0</v>
      </c>
      <c r="AB31" s="27" t="n">
        <v>4192.639539390127</v>
      </c>
      <c r="AC31" s="27" t="n">
        <v>22590.34113723775</v>
      </c>
      <c r="AD31" s="27" t="n">
        <v>137267.2602356266</v>
      </c>
      <c r="AE31" s="27" t="n">
        <v>92488.82948703549</v>
      </c>
      <c r="AF31" s="27" t="n">
        <v>22262.60629957044</v>
      </c>
      <c r="AG31" s="27" t="n">
        <v>5600.898609243886</v>
      </c>
      <c r="AH31" s="27" t="n">
        <v>4055.823130831779</v>
      </c>
      <c r="AI31" s="27" t="n">
        <v>3053.667454072144</v>
      </c>
      <c r="AJ31" s="27" t="n">
        <v>9805.435254872829</v>
      </c>
      <c r="AK31" s="27" t="n">
        <v>27246.16752097955</v>
      </c>
      <c r="AL31" s="27" t="n">
        <v>0</v>
      </c>
      <c r="AM31" s="28" t="n">
        <v>0</v>
      </c>
      <c r="AN31" s="28" t="n">
        <v>435914.0939542305</v>
      </c>
      <c r="AO31" s="27" t="n">
        <v>14452.75569409362</v>
      </c>
      <c r="AP31" s="28" t="n">
        <v>414429.9393106945</v>
      </c>
      <c r="AQ31" s="27" t="n">
        <v>222443.6119520883</v>
      </c>
      <c r="AR31" s="27" t="n">
        <v>0</v>
      </c>
      <c r="AS31" s="27" t="n">
        <v>0</v>
      </c>
      <c r="AT31" s="28" t="n">
        <v>191986.3273586062</v>
      </c>
      <c r="AU31" s="28" t="n">
        <v>0</v>
      </c>
      <c r="AV31" s="27" t="n">
        <v>0</v>
      </c>
      <c r="AW31" s="27" t="n">
        <v>0</v>
      </c>
      <c r="AX31" s="28" t="n">
        <v>0</v>
      </c>
      <c r="AY31" s="27" t="n">
        <v>0</v>
      </c>
      <c r="AZ31" s="27" t="n">
        <v>0</v>
      </c>
      <c r="BA31" s="27" t="n">
        <v>191986.3273586062</v>
      </c>
      <c r="BB31" s="28" t="n">
        <v>191986.3273586062</v>
      </c>
      <c r="BC31" s="27" t="n">
        <v>0</v>
      </c>
      <c r="BD31" s="27" t="n">
        <v>0</v>
      </c>
      <c r="BE31" s="27" t="n">
        <v>0</v>
      </c>
      <c r="BF31" s="28" t="n">
        <v>0</v>
      </c>
      <c r="BG31" s="27" t="n">
        <v>0</v>
      </c>
      <c r="BH31" s="27" t="n">
        <v>0</v>
      </c>
      <c r="BI31" s="27" t="n">
        <v>0</v>
      </c>
      <c r="BJ31" s="28" t="n">
        <v>0</v>
      </c>
      <c r="BK31" s="27" t="n">
        <v>0</v>
      </c>
      <c r="BL31" s="28" t="n">
        <v>0</v>
      </c>
      <c r="BM31" s="28" t="n">
        <v>191986.3273586062</v>
      </c>
      <c r="BN31" s="27" t="n">
        <v>0</v>
      </c>
      <c r="BO31" s="27" t="n">
        <v>7581312.724179099</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182356.9883610532</v>
      </c>
      <c r="W32" s="27" t="n">
        <v>91269.76978248553</v>
      </c>
      <c r="X32" s="27" t="n">
        <v>0</v>
      </c>
      <c r="Y32" s="27" t="n">
        <v>36835.33309607039</v>
      </c>
      <c r="Z32" s="27" t="n">
        <v>26981.88149287156</v>
      </c>
      <c r="AA32" s="27" t="n">
        <v>0</v>
      </c>
      <c r="AB32" s="27" t="n">
        <v>4297.455527874879</v>
      </c>
      <c r="AC32" s="27" t="n">
        <v>23155.09966566869</v>
      </c>
      <c r="AD32" s="27" t="n">
        <v>72282.38410206417</v>
      </c>
      <c r="AE32" s="27" t="n">
        <v>48661.76188218239</v>
      </c>
      <c r="AF32" s="27" t="n">
        <v>11775.8754382497</v>
      </c>
      <c r="AG32" s="27" t="n">
        <v>2962.612888949781</v>
      </c>
      <c r="AH32" s="27" t="n">
        <v>2145.340367860186</v>
      </c>
      <c r="AI32" s="27" t="n">
        <v>1550.177787857283</v>
      </c>
      <c r="AJ32" s="27" t="n">
        <v>5186.615736964841</v>
      </c>
      <c r="AK32" s="27" t="n">
        <v>27927.32170900404</v>
      </c>
      <c r="AL32" s="27" t="n">
        <v>0</v>
      </c>
      <c r="AM32" s="28" t="n">
        <v>0</v>
      </c>
      <c r="AN32" s="28" t="n">
        <v>373836.463954607</v>
      </c>
      <c r="AO32" s="27" t="n">
        <v>15227.79197644511</v>
      </c>
      <c r="AP32" s="28" t="n">
        <v>352228.9228349817</v>
      </c>
      <c r="AQ32" s="27" t="n">
        <v>155729.8264844285</v>
      </c>
      <c r="AR32" s="27" t="n">
        <v>0</v>
      </c>
      <c r="AS32" s="27" t="n">
        <v>0</v>
      </c>
      <c r="AT32" s="28" t="n">
        <v>196499.0963505532</v>
      </c>
      <c r="AU32" s="28" t="n">
        <v>0</v>
      </c>
      <c r="AV32" s="27" t="n">
        <v>0</v>
      </c>
      <c r="AW32" s="27" t="n">
        <v>0</v>
      </c>
      <c r="AX32" s="28" t="n">
        <v>0</v>
      </c>
      <c r="AY32" s="27" t="n">
        <v>0</v>
      </c>
      <c r="AZ32" s="27" t="n">
        <v>0</v>
      </c>
      <c r="BA32" s="27" t="n">
        <v>196499.0963505532</v>
      </c>
      <c r="BB32" s="28" t="n">
        <v>196499.0963505532</v>
      </c>
      <c r="BC32" s="27" t="n">
        <v>0</v>
      </c>
      <c r="BD32" s="27" t="n">
        <v>0</v>
      </c>
      <c r="BE32" s="27" t="n">
        <v>0</v>
      </c>
      <c r="BF32" s="28" t="n">
        <v>0</v>
      </c>
      <c r="BG32" s="27" t="n">
        <v>0</v>
      </c>
      <c r="BH32" s="27" t="n">
        <v>0</v>
      </c>
      <c r="BI32" s="27" t="n">
        <v>0</v>
      </c>
      <c r="BJ32" s="28" t="n">
        <v>0</v>
      </c>
      <c r="BK32" s="27" t="n">
        <v>0</v>
      </c>
      <c r="BL32" s="28" t="n">
        <v>0</v>
      </c>
      <c r="BM32" s="28" t="n">
        <v>196499.0963505532</v>
      </c>
      <c r="BN32" s="27" t="n">
        <v>0</v>
      </c>
      <c r="BO32" s="27" t="n">
        <v>7642510.896656407</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182356.9883610532</v>
      </c>
      <c r="W33" s="27" t="n">
        <v>93551.51402704764</v>
      </c>
      <c r="X33" s="27" t="n">
        <v>0</v>
      </c>
      <c r="Y33" s="27" t="n">
        <v>37756.21642347214</v>
      </c>
      <c r="Z33" s="27" t="n">
        <v>27656.42853019335</v>
      </c>
      <c r="AA33" s="27" t="n">
        <v>0</v>
      </c>
      <c r="AB33" s="27" t="n">
        <v>4404.891916071751</v>
      </c>
      <c r="AC33" s="27" t="n">
        <v>23733.97715731041</v>
      </c>
      <c r="AD33" s="27" t="n">
        <v>76130.24335954602</v>
      </c>
      <c r="AE33" s="27" t="n">
        <v>51210.48691757073</v>
      </c>
      <c r="AF33" s="27" t="n">
        <v>12456.48088350493</v>
      </c>
      <c r="AG33" s="27" t="n">
        <v>3133.841811587082</v>
      </c>
      <c r="AH33" s="27" t="n">
        <v>2269.333725632025</v>
      </c>
      <c r="AI33" s="27" t="n">
        <v>1573.715580758969</v>
      </c>
      <c r="AJ33" s="27" t="n">
        <v>5486.38444049228</v>
      </c>
      <c r="AK33" s="27" t="n">
        <v>28625.50475172913</v>
      </c>
      <c r="AL33" s="27" t="n">
        <v>0</v>
      </c>
      <c r="AM33" s="28" t="n">
        <v>0</v>
      </c>
      <c r="AN33" s="28" t="n">
        <v>380664.250499376</v>
      </c>
      <c r="AO33" s="27" t="n">
        <v>15252.76260547477</v>
      </c>
      <c r="AP33" s="28" t="n">
        <v>358160.7966813786</v>
      </c>
      <c r="AQ33" s="27" t="n">
        <v>157357.8025611761</v>
      </c>
      <c r="AR33" s="27" t="n">
        <v>0</v>
      </c>
      <c r="AS33" s="27" t="n">
        <v>0</v>
      </c>
      <c r="AT33" s="28" t="n">
        <v>200802.9941202026</v>
      </c>
      <c r="AU33" s="28" t="n">
        <v>0</v>
      </c>
      <c r="AV33" s="27" t="n">
        <v>0</v>
      </c>
      <c r="AW33" s="27" t="n">
        <v>0</v>
      </c>
      <c r="AX33" s="28" t="n">
        <v>0</v>
      </c>
      <c r="AY33" s="27" t="n">
        <v>0</v>
      </c>
      <c r="AZ33" s="27" t="n">
        <v>0</v>
      </c>
      <c r="BA33" s="27" t="n">
        <v>200802.9941202026</v>
      </c>
      <c r="BB33" s="28" t="n">
        <v>200802.9941202026</v>
      </c>
      <c r="BC33" s="27" t="n">
        <v>0</v>
      </c>
      <c r="BD33" s="27" t="n">
        <v>0</v>
      </c>
      <c r="BE33" s="27" t="n">
        <v>0</v>
      </c>
      <c r="BF33" s="28" t="n">
        <v>0</v>
      </c>
      <c r="BG33" s="27" t="n">
        <v>0</v>
      </c>
      <c r="BH33" s="27" t="n">
        <v>0</v>
      </c>
      <c r="BI33" s="27" t="n">
        <v>0</v>
      </c>
      <c r="BJ33" s="28" t="n">
        <v>0</v>
      </c>
      <c r="BK33" s="27" t="n">
        <v>0</v>
      </c>
      <c r="BL33" s="28" t="n">
        <v>0</v>
      </c>
      <c r="BM33" s="28" t="n">
        <v>200802.9941202026</v>
      </c>
      <c r="BN33" s="27" t="n">
        <v>0</v>
      </c>
      <c r="BO33" s="27" t="n">
        <v>7705446.938734698</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2026-07-03</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Patricia Pension (PV of future income)</t>
        </is>
      </c>
      <c r="B4" s="27" t="n">
        <v>66618.91815552025</v>
      </c>
      <c r="C4" s="12" t="inlineStr">
        <is>
          <t>PV through mortality</t>
        </is>
      </c>
    </row>
    <row r="5" ht="30" customHeight="1">
      <c r="A5" s="12" t="inlineStr">
        <is>
          <t xml:space="preserve">  Patricia Single Annuity (PV)</t>
        </is>
      </c>
      <c r="B5" s="27" t="n">
        <v>53198.32320054132</v>
      </c>
      <c r="C5" s="33" t="inlineStr"/>
    </row>
    <row r="6" ht="30" customHeight="1">
      <c r="A6" s="12" t="inlineStr">
        <is>
          <t xml:space="preserve">  Patricia Joint Annuity (PV)</t>
        </is>
      </c>
      <c r="B6" s="27" t="n">
        <v>336263.3497205881</v>
      </c>
      <c r="C6" s="33" t="inlineStr"/>
    </row>
    <row r="7" ht="30" customHeight="1">
      <c r="A7" s="12" t="inlineStr">
        <is>
          <t xml:space="preserve">  Matthew Single Annuity (PV)</t>
        </is>
      </c>
      <c r="B7" s="27" t="n">
        <v>91417.59968588264</v>
      </c>
      <c r="C7" s="33" t="inlineStr"/>
    </row>
    <row r="8" ht="30" customHeight="1">
      <c r="A8" s="12" t="inlineStr">
        <is>
          <t xml:space="preserve">  Matthew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41270.464</v>
      </c>
      <c r="C11" s="12" t="inlineStr">
        <is>
          <t>Tax-deferred</t>
        </is>
      </c>
    </row>
    <row r="12" ht="15" customHeight="1">
      <c r="A12" s="12" t="inlineStr">
        <is>
          <t xml:space="preserve">  Matthew's Traditional IRA</t>
        </is>
      </c>
      <c r="B12" s="27" t="n">
        <v>1411591.8891052</v>
      </c>
      <c r="C12" s="12" t="inlineStr">
        <is>
          <t>Tax-deferred</t>
        </is>
      </c>
    </row>
    <row r="13" ht="30" customHeight="1">
      <c r="A13" s="12" t="inlineStr">
        <is>
          <t xml:space="preserve">  Patricia's Traditional IRA</t>
        </is>
      </c>
      <c r="B13" s="27" t="n">
        <v>356004.4688181999</v>
      </c>
      <c r="C13" s="12" t="inlineStr">
        <is>
          <t>Tax-deferred</t>
        </is>
      </c>
    </row>
    <row r="14" ht="30" customHeight="1">
      <c r="A14" s="11" t="inlineStr">
        <is>
          <t xml:space="preserve">  Total Pre-Tax (Tax-Deferred)</t>
        </is>
      </c>
      <c r="B14" s="28" t="n">
        <v>1808866.8219234</v>
      </c>
      <c r="C14" s="34" t="inlineStr"/>
    </row>
    <row r="15" ht="15" customHeight="1">
      <c r="A15" s="10" t="inlineStr">
        <is>
          <t>Roth (Tax-Free)</t>
        </is>
      </c>
      <c r="B15" s="3" t="n"/>
      <c r="C15" s="4" t="n"/>
    </row>
    <row r="16" ht="15" customHeight="1">
      <c r="A16" s="12" t="inlineStr">
        <is>
          <t xml:space="preserve">  Matthew's Roth IRA</t>
        </is>
      </c>
      <c r="B16" s="27" t="n">
        <v>146617.2657862</v>
      </c>
      <c r="C16" s="12" t="inlineStr">
        <is>
          <t>Tax-free</t>
        </is>
      </c>
    </row>
    <row r="17" ht="15" customHeight="1">
      <c r="A17" s="12" t="inlineStr">
        <is>
          <t xml:space="preserve">  Patricia's Roth IRA</t>
        </is>
      </c>
      <c r="B17" s="27" t="n">
        <v>350884.26212164</v>
      </c>
      <c r="C17" s="12" t="inlineStr">
        <is>
          <t>Tax-free</t>
        </is>
      </c>
    </row>
    <row r="18" ht="15" customHeight="1">
      <c r="A18" s="11" t="inlineStr">
        <is>
          <t xml:space="preserve">  Total Roth (Tax-Free)</t>
        </is>
      </c>
      <c r="B18" s="28" t="n">
        <v>497501.52790784</v>
      </c>
      <c r="C18" s="34" t="inlineStr"/>
    </row>
    <row r="19" ht="15" customHeight="1">
      <c r="A19" s="10" t="inlineStr">
        <is>
          <t>Taxable / Trust</t>
        </is>
      </c>
      <c r="B19" s="3" t="n"/>
      <c r="C19" s="4" t="n"/>
    </row>
    <row r="20" ht="15" customHeight="1">
      <c r="A20" s="12" t="inlineStr">
        <is>
          <t xml:space="preserve">  Matthew's Trust</t>
        </is>
      </c>
      <c r="B20" s="27" t="n">
        <v>268070.8791706013</v>
      </c>
      <c r="C20" s="12" t="inlineStr">
        <is>
          <t>Taxable</t>
        </is>
      </c>
    </row>
    <row r="21" ht="15" customHeight="1">
      <c r="A21" s="12" t="inlineStr">
        <is>
          <t xml:space="preserve">  Patricia's Trust</t>
        </is>
      </c>
      <c r="B21" s="27" t="n">
        <v>346275.36612844</v>
      </c>
      <c r="C21" s="12" t="inlineStr">
        <is>
          <t>Taxable</t>
        </is>
      </c>
    </row>
    <row r="22" ht="15" customHeight="1">
      <c r="A22" s="11" t="inlineStr">
        <is>
          <t xml:space="preserve">  Total Taxable / Trust</t>
        </is>
      </c>
      <c r="B22" s="28" t="n">
        <v>614346.2452990413</v>
      </c>
      <c r="C22" s="34" t="inlineStr"/>
    </row>
    <row r="23" ht="15" customHeight="1">
      <c r="A23" s="10" t="inlineStr">
        <is>
          <t>Health Savings Account</t>
        </is>
      </c>
      <c r="B23" s="3" t="n"/>
      <c r="C23" s="4" t="n"/>
    </row>
    <row r="24" ht="15" customHeight="1">
      <c r="A24" s="12" t="inlineStr">
        <is>
          <t xml:space="preserve">  Matthew's HSA</t>
        </is>
      </c>
      <c r="B24" s="27" t="n">
        <v>84423.70941279999</v>
      </c>
      <c r="C24" s="12" t="inlineStr">
        <is>
          <t>Triple tax-advantaged</t>
        </is>
      </c>
    </row>
    <row r="25" ht="30" customHeight="1">
      <c r="A25" s="11" t="inlineStr">
        <is>
          <t xml:space="preserve">  Total Health Savings Account</t>
        </is>
      </c>
      <c r="B25" s="28" t="n">
        <v>84423.70941279999</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5975050.406289078</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Matthew Age</t>
        </is>
      </c>
      <c r="C2" s="39" t="inlineStr">
        <is>
          <t>Patricia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447372.89762428</v>
      </c>
      <c r="F3" s="27" t="n">
        <v>364148.5178139996</v>
      </c>
      <c r="G3" s="27" t="n">
        <v>72803.5242753599</v>
      </c>
      <c r="H3" s="27" t="n">
        <v>15734.11443240186</v>
      </c>
      <c r="I3" s="27" t="n">
        <v>0</v>
      </c>
      <c r="J3" s="27" t="n">
        <v>9180</v>
      </c>
      <c r="K3" s="27" t="n">
        <v>5335.200000000001</v>
      </c>
      <c r="L3" s="27" t="n">
        <v>103052.8387077618</v>
      </c>
      <c r="M3" s="29" t="n">
        <v>0.2303510991725504</v>
      </c>
      <c r="N3" s="29" t="n">
        <v>0.24</v>
      </c>
    </row>
    <row r="4" ht="15" customHeight="1">
      <c r="A4" s="26" t="n">
        <v>2027</v>
      </c>
      <c r="B4" s="40" t="n">
        <v>65</v>
      </c>
      <c r="C4" s="40" t="n">
        <v>66</v>
      </c>
      <c r="D4" s="41" t="inlineStr">
        <is>
          <t>MFJ</t>
        </is>
      </c>
      <c r="E4" s="27" t="n">
        <v>273359.9999999999</v>
      </c>
      <c r="F4" s="27" t="n">
        <v>234220.3199999999</v>
      </c>
      <c r="G4" s="27" t="n">
        <v>41328.91439999999</v>
      </c>
      <c r="H4" s="27" t="n">
        <v>2180.761621936541</v>
      </c>
      <c r="I4" s="27" t="n">
        <v>887.6799999999978</v>
      </c>
      <c r="J4" s="27" t="n">
        <v>0</v>
      </c>
      <c r="K4" s="27" t="n">
        <v>2167.2</v>
      </c>
      <c r="L4" s="27" t="n">
        <v>50428.13364556708</v>
      </c>
      <c r="M4" s="29" t="n">
        <v>0.1844751742960458</v>
      </c>
      <c r="N4" s="29" t="n">
        <v>0.24</v>
      </c>
    </row>
    <row r="5" ht="15" customHeight="1">
      <c r="A5" s="26" t="n">
        <v>2028</v>
      </c>
      <c r="B5" s="40" t="n">
        <v>66</v>
      </c>
      <c r="C5" s="40" t="n">
        <v>67</v>
      </c>
      <c r="D5" s="41" t="inlineStr">
        <is>
          <t>MFJ</t>
        </is>
      </c>
      <c r="E5" s="27" t="n">
        <v>278827.2</v>
      </c>
      <c r="F5" s="27" t="n">
        <v>239324.7264</v>
      </c>
      <c r="G5" s="27" t="n">
        <v>42256.292688</v>
      </c>
      <c r="H5" s="27" t="n">
        <v>1659.275417627329</v>
      </c>
      <c r="I5" s="27" t="n">
        <v>1095.433600000001</v>
      </c>
      <c r="J5" s="27" t="n">
        <v>0</v>
      </c>
      <c r="K5" s="27" t="n">
        <v>10670.4</v>
      </c>
      <c r="L5" s="27" t="n">
        <v>58813.86330676931</v>
      </c>
      <c r="M5" s="29" t="n">
        <v>0.210933019830093</v>
      </c>
      <c r="N5" s="29" t="n">
        <v>0.24</v>
      </c>
    </row>
    <row r="6" ht="15" customHeight="1">
      <c r="A6" s="26" t="n">
        <v>2029</v>
      </c>
      <c r="B6" s="40" t="n">
        <v>67</v>
      </c>
      <c r="C6" s="40" t="n">
        <v>68</v>
      </c>
      <c r="D6" s="41" t="inlineStr">
        <is>
          <t>MFJ</t>
        </is>
      </c>
      <c r="E6" s="27" t="n">
        <v>281484.7492599302</v>
      </c>
      <c r="F6" s="27" t="n">
        <v>242628.2269751292</v>
      </c>
      <c r="G6" s="27" t="n">
        <v>42745.49999307102</v>
      </c>
      <c r="H6" s="27" t="n">
        <v>1663.175480044083</v>
      </c>
      <c r="I6" s="27" t="n">
        <v>1196.420471877346</v>
      </c>
      <c r="J6" s="27" t="n">
        <v>0</v>
      </c>
      <c r="K6" s="27" t="n">
        <v>2167.2</v>
      </c>
      <c r="L6" s="27" t="n">
        <v>47830.95970428492</v>
      </c>
      <c r="M6" s="29" t="n">
        <v>0.1699238052151685</v>
      </c>
      <c r="N6" s="29" t="n">
        <v>0.24</v>
      </c>
    </row>
    <row r="7" ht="15" customHeight="1">
      <c r="A7" s="26" t="n">
        <v>2030</v>
      </c>
      <c r="B7" s="40" t="n">
        <v>68</v>
      </c>
      <c r="C7" s="40" t="n">
        <v>69</v>
      </c>
      <c r="D7" s="41" t="inlineStr">
        <is>
          <t>MFJ</t>
        </is>
      </c>
      <c r="E7" s="27" t="n">
        <v>287184.5138177453</v>
      </c>
      <c r="F7" s="27" t="n">
        <v>250529.0311515053</v>
      </c>
      <c r="G7" s="27" t="n">
        <v>44331.98750578208</v>
      </c>
      <c r="H7" s="27" t="n">
        <v>1445.045672662552</v>
      </c>
      <c r="I7" s="27" t="n">
        <v>1109.327991134888</v>
      </c>
      <c r="J7" s="27" t="n">
        <v>0</v>
      </c>
      <c r="K7" s="27" t="n">
        <v>2167.2</v>
      </c>
      <c r="L7" s="27" t="n">
        <v>49053.56116957951</v>
      </c>
      <c r="M7" s="29" t="n">
        <v>0.1708085179018746</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317426.662569388</v>
      </c>
      <c r="F12" s="27" t="n">
        <v>276956.0478255621</v>
      </c>
      <c r="G12" s="27" t="n">
        <v>49030.5173056899</v>
      </c>
      <c r="H12" s="27" t="n">
        <v>475.0310965926355</v>
      </c>
      <c r="I12" s="27" t="n">
        <v>0</v>
      </c>
      <c r="J12" s="27" t="n">
        <v>0</v>
      </c>
      <c r="K12" s="27" t="n">
        <v>2167.2</v>
      </c>
      <c r="L12" s="27" t="n">
        <v>51672.74840228253</v>
      </c>
      <c r="M12" s="29" t="n">
        <v>0.1627864149281635</v>
      </c>
      <c r="N12" s="29" t="n">
        <v>0.24</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202042.8668767607</v>
      </c>
      <c r="F14" s="27" t="n">
        <v>159937.2392972842</v>
      </c>
      <c r="G14" s="27" t="n">
        <v>22285.6371111123</v>
      </c>
      <c r="H14" s="27" t="n">
        <v>505.1458054834306</v>
      </c>
      <c r="I14" s="27" t="n">
        <v>0</v>
      </c>
      <c r="J14" s="27" t="n">
        <v>0</v>
      </c>
      <c r="K14" s="27" t="n">
        <v>2167.2</v>
      </c>
      <c r="L14" s="27" t="n">
        <v>24957.98291659573</v>
      </c>
      <c r="M14" s="29" t="n">
        <v>0.1235281566847854</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389.8333820132184</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850008.1197467344</v>
      </c>
    </row>
    <row r="36" ht="30" customHeight="1">
      <c r="A36" s="35" t="inlineStr">
        <is>
          <t>Lifetime State Tax (Il)</t>
        </is>
      </c>
      <c r="B36" s="3" t="n"/>
      <c r="C36" s="3" t="n"/>
      <c r="D36" s="3" t="n"/>
      <c r="E36" s="3" t="n"/>
      <c r="F36" s="4" t="n"/>
      <c r="G36" s="42" t="n">
        <v>35453.60055131707</v>
      </c>
    </row>
    <row r="37" ht="30" customHeight="1">
      <c r="A37" s="35" t="inlineStr">
        <is>
          <t>Lifetime NIIT</t>
        </is>
      </c>
      <c r="B37" s="3" t="n"/>
      <c r="C37" s="3" t="n"/>
      <c r="D37" s="3" t="n"/>
      <c r="E37" s="3" t="n"/>
      <c r="F37" s="4" t="n"/>
      <c r="G37" s="42" t="n">
        <v>4288.862063012233</v>
      </c>
    </row>
    <row r="38" ht="30" customHeight="1">
      <c r="A38" s="35" t="inlineStr">
        <is>
          <t>Lifetime Total Tax</t>
        </is>
      </c>
      <c r="B38" s="3" t="n"/>
      <c r="C38" s="3" t="n"/>
      <c r="D38" s="3" t="n"/>
      <c r="E38" s="3" t="n"/>
      <c r="F38" s="4" t="n"/>
      <c r="G38" s="42" t="n">
        <v>943662.8853451288</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(184 days elapsed)</t>
        </is>
      </c>
    </row>
    <row r="2" ht="36" customHeight="1">
      <c r="A2" s="44" t="inlineStr">
        <is>
          <t>Model core spending assumption (annual)</t>
        </is>
      </c>
      <c r="B2" s="45" t="n">
        <v>129059</v>
      </c>
    </row>
    <row r="3" ht="30" customHeight="1">
      <c r="A3" s="44" t="inlineStr">
        <is>
          <t>YTD core spending — actual (184 days)</t>
        </is>
      </c>
      <c r="B3" s="46" t="n">
        <v>78558.53</v>
      </c>
    </row>
    <row r="4" ht="15" customHeight="1">
      <c r="A4" s="44" t="inlineStr">
        <is>
          <t>Annualized at current pace</t>
        </is>
      </c>
      <c r="B4" s="46" t="n">
        <v>155836.21</v>
      </c>
    </row>
    <row r="5" ht="30" customHeight="1">
      <c r="A5" s="44" t="inlineStr">
        <is>
          <t>Annualized vs model (121%  OVER budget)</t>
        </is>
      </c>
      <c r="B5" s="47" t="n">
        <v>26777.20999999999</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6386.67</v>
      </c>
      <c r="D8" s="50" t="n">
        <v>0.04098320067852593</v>
      </c>
      <c r="E8" s="49" t="n">
        <v>4388.01</v>
      </c>
    </row>
    <row r="9" hidden="1" outlineLevel="1" ht="15" customHeight="1">
      <c r="A9" s="12" t="inlineStr">
        <is>
          <t xml:space="preserve">    Auto Insurance</t>
        </is>
      </c>
      <c r="B9" s="27" t="n">
        <v>1164</v>
      </c>
      <c r="C9" s="27" t="n">
        <v>2309.03</v>
      </c>
      <c r="D9" s="29" t="n">
        <v>0.01481697786351145</v>
      </c>
      <c r="E9" s="33" t="inlineStr"/>
    </row>
    <row r="10" hidden="1" outlineLevel="1" ht="15" customHeight="1">
      <c r="A10" s="12" t="inlineStr">
        <is>
          <t xml:space="preserve">    Taxi &amp; Ride Shares</t>
        </is>
      </c>
      <c r="B10" s="27" t="n">
        <v>628.74</v>
      </c>
      <c r="C10" s="27" t="n">
        <v>1247.23</v>
      </c>
      <c r="D10" s="29" t="n">
        <v>0.008003459331532807</v>
      </c>
      <c r="E10" s="33" t="inlineStr"/>
    </row>
    <row r="11" hidden="1" outlineLevel="1" ht="15" customHeight="1">
      <c r="A11" s="12" t="inlineStr">
        <is>
          <t xml:space="preserve">    Auto Fuel</t>
        </is>
      </c>
      <c r="B11" s="27" t="n">
        <v>575.6799999999999</v>
      </c>
      <c r="C11" s="27" t="n">
        <v>1141.98</v>
      </c>
      <c r="D11" s="29" t="n">
        <v>0.007328039361225318</v>
      </c>
      <c r="E11" s="33" t="inlineStr"/>
    </row>
    <row r="12" hidden="1" outlineLevel="1" ht="15" customHeight="1">
      <c r="A12" s="12" t="inlineStr">
        <is>
          <t xml:space="preserve">    Auto Maintenance</t>
        </is>
      </c>
      <c r="B12" s="27" t="n">
        <v>405.86</v>
      </c>
      <c r="C12" s="27" t="n">
        <v>805.1</v>
      </c>
      <c r="D12" s="29" t="n">
        <v>0.005166339034093434</v>
      </c>
      <c r="E12" s="33" t="inlineStr"/>
    </row>
    <row r="13" hidden="1" outlineLevel="1" ht="15" customHeight="1">
      <c r="A13" s="12" t="inlineStr">
        <is>
          <t xml:space="preserve">    Parking &amp; Tolls</t>
        </is>
      </c>
      <c r="B13" s="27" t="n">
        <v>269.8</v>
      </c>
      <c r="C13" s="27" t="n">
        <v>535.2</v>
      </c>
      <c r="D13" s="29" t="n">
        <v>0.003434381982453083</v>
      </c>
      <c r="E13" s="33" t="inlineStr"/>
    </row>
    <row r="14" hidden="1" outlineLevel="1" ht="15" customHeight="1">
      <c r="A14" s="12" t="inlineStr">
        <is>
          <t xml:space="preserve">    Car Wash</t>
        </is>
      </c>
      <c r="B14" s="27" t="n">
        <v>170</v>
      </c>
      <c r="C14" s="27" t="n">
        <v>337.23</v>
      </c>
      <c r="D14" s="29" t="n">
        <v>0.002163991612368511</v>
      </c>
      <c r="E14" s="33" t="inlineStr"/>
    </row>
    <row r="15" hidden="1" outlineLevel="1" ht="15" customHeight="1">
      <c r="A15" s="12" t="inlineStr">
        <is>
          <t xml:space="preserve">    Public Transit</t>
        </is>
      </c>
      <c r="B15" s="27" t="n">
        <v>5.5</v>
      </c>
      <c r="C15" s="27" t="n">
        <v>10.91</v>
      </c>
      <c r="D15" s="29" t="n">
        <v>7.001149334133417e-05</v>
      </c>
      <c r="E15" s="33" t="inlineStr"/>
    </row>
    <row r="16" ht="45" customHeight="1">
      <c r="A16" s="48" t="inlineStr">
        <is>
          <t>Business</t>
        </is>
      </c>
      <c r="B16" s="49" t="n">
        <v>4046.79</v>
      </c>
      <c r="C16" s="49" t="n">
        <v>8027.6</v>
      </c>
      <c r="D16" s="50" t="n">
        <v>0.05151305657068685</v>
      </c>
      <c r="E16" s="51" t="inlineStr"/>
    </row>
    <row r="17" hidden="1" outlineLevel="1" ht="15" customHeight="1">
      <c r="A17" s="12" t="inlineStr">
        <is>
          <t xml:space="preserve">    Business Services</t>
        </is>
      </c>
      <c r="B17" s="27" t="n">
        <v>1577.94</v>
      </c>
      <c r="C17" s="27" t="n">
        <v>3130.16</v>
      </c>
      <c r="D17" s="29" t="n">
        <v>0.02008617014600451</v>
      </c>
      <c r="E17" s="33" t="inlineStr"/>
    </row>
    <row r="18" hidden="1" outlineLevel="1" ht="15" customHeight="1">
      <c r="A18" s="12" t="inlineStr">
        <is>
          <t xml:space="preserve">    Business Memberships</t>
        </is>
      </c>
      <c r="B18" s="27" t="n">
        <v>1004.85</v>
      </c>
      <c r="C18" s="27" t="n">
        <v>1993.32</v>
      </c>
      <c r="D18" s="29" t="n">
        <v>0.01279109983346175</v>
      </c>
      <c r="E18" s="33" t="inlineStr"/>
    </row>
    <row r="19" hidden="1" outlineLevel="1" ht="15" customHeight="1">
      <c r="A19" s="12" t="inlineStr">
        <is>
          <t xml:space="preserve">    Business Travel &amp; Meals</t>
        </is>
      </c>
      <c r="B19" s="27" t="n">
        <v>800.37</v>
      </c>
      <c r="C19" s="27" t="n">
        <v>1587.69</v>
      </c>
      <c r="D19" s="29" t="n">
        <v>0.0101881998046552</v>
      </c>
      <c r="E19" s="33" t="inlineStr"/>
    </row>
    <row r="20" hidden="1" outlineLevel="1" ht="15" customHeight="1">
      <c r="A20" s="12" t="inlineStr">
        <is>
          <t xml:space="preserve">    Business Events</t>
        </is>
      </c>
      <c r="B20" s="27" t="n">
        <v>301.73</v>
      </c>
      <c r="C20" s="27" t="n">
        <v>598.54</v>
      </c>
      <c r="D20" s="29" t="n">
        <v>0.003840830524705592</v>
      </c>
      <c r="E20" s="33" t="inlineStr"/>
    </row>
    <row r="21" hidden="1" outlineLevel="1" ht="30" customHeight="1">
      <c r="A21" s="12" t="inlineStr">
        <is>
          <t xml:space="preserve">    Business Hardware and Software</t>
        </is>
      </c>
      <c r="B21" s="27" t="n">
        <v>162.01</v>
      </c>
      <c r="C21" s="27" t="n">
        <v>321.38</v>
      </c>
      <c r="D21" s="29" t="n">
        <v>0.002062284006587191</v>
      </c>
      <c r="E21" s="33" t="inlineStr"/>
    </row>
    <row r="22" hidden="1" outlineLevel="1" ht="15" customHeight="1">
      <c r="A22" s="12" t="inlineStr">
        <is>
          <t xml:space="preserve">    Business Auto Expenses</t>
        </is>
      </c>
      <c r="B22" s="27" t="n">
        <v>99.73999999999999</v>
      </c>
      <c r="C22" s="27" t="n">
        <v>197.85</v>
      </c>
      <c r="D22" s="29" t="n">
        <v>0.001269626608339031</v>
      </c>
      <c r="E22" s="33" t="inlineStr"/>
    </row>
    <row r="23" hidden="1" outlineLevel="1" ht="30" customHeight="1">
      <c r="A23" s="12" t="inlineStr">
        <is>
          <t xml:space="preserve">    Office Supplies &amp; Expenses</t>
        </is>
      </c>
      <c r="B23" s="27" t="n">
        <v>75.70999999999999</v>
      </c>
      <c r="C23" s="27" t="n">
        <v>150.19</v>
      </c>
      <c r="D23" s="29" t="n">
        <v>0.0009637400292495289</v>
      </c>
      <c r="E23" s="33" t="inlineStr"/>
    </row>
    <row r="24" hidden="1" outlineLevel="1" ht="15" customHeight="1">
      <c r="A24" s="12" t="inlineStr">
        <is>
          <t xml:space="preserve">    Business Taxi - Uber</t>
        </is>
      </c>
      <c r="B24" s="27" t="n">
        <v>24.44</v>
      </c>
      <c r="C24" s="27" t="n">
        <v>48.48</v>
      </c>
      <c r="D24" s="29" t="n">
        <v>0.0003111056176840376</v>
      </c>
      <c r="E24" s="33" t="inlineStr"/>
    </row>
    <row r="25" ht="45" customHeight="1">
      <c r="A25" s="48" t="inlineStr">
        <is>
          <t>Financial</t>
        </is>
      </c>
      <c r="B25" s="49" t="n">
        <v>1958.74</v>
      </c>
      <c r="C25" s="49" t="n">
        <v>3885.54</v>
      </c>
      <c r="D25" s="50" t="n">
        <v>0.02493351135770998</v>
      </c>
      <c r="E25" s="49" t="n">
        <v>3226.47</v>
      </c>
    </row>
    <row r="26" hidden="1" outlineLevel="1" ht="15" customHeight="1">
      <c r="A26" s="12" t="inlineStr">
        <is>
          <t xml:space="preserve">    Cash &amp; ATM</t>
        </is>
      </c>
      <c r="B26" s="27" t="n">
        <v>1116.26</v>
      </c>
      <c r="C26" s="27" t="n">
        <v>2214.32</v>
      </c>
      <c r="D26" s="29" t="n">
        <v>0.01420927810130867</v>
      </c>
      <c r="E26" s="33" t="inlineStr"/>
    </row>
    <row r="27" hidden="1" outlineLevel="1" ht="30" customHeight="1">
      <c r="A27" s="12" t="inlineStr">
        <is>
          <t xml:space="preserve">    Financial &amp; Legal Services</t>
        </is>
      </c>
      <c r="B27" s="27" t="n">
        <v>749.99</v>
      </c>
      <c r="C27" s="27" t="n">
        <v>1487.76</v>
      </c>
      <c r="D27" s="29" t="n">
        <v>0.009546894525648584</v>
      </c>
      <c r="E27" s="33" t="inlineStr"/>
    </row>
    <row r="28" hidden="1" outlineLevel="1" ht="15" customHeight="1">
      <c r="A28" s="12" t="inlineStr">
        <is>
          <t xml:space="preserve">    Financial Fees</t>
        </is>
      </c>
      <c r="B28" s="27" t="n">
        <v>92.48999999999999</v>
      </c>
      <c r="C28" s="27" t="n">
        <v>183.47</v>
      </c>
      <c r="D28" s="29" t="n">
        <v>0.001177338730752727</v>
      </c>
      <c r="E28" s="33" t="inlineStr"/>
    </row>
    <row r="29" ht="45" customHeight="1">
      <c r="A29" s="48" t="inlineStr">
        <is>
          <t>Food &amp; Dining</t>
        </is>
      </c>
      <c r="B29" s="49" t="n">
        <v>16116.37</v>
      </c>
      <c r="C29" s="49" t="n">
        <v>31969.97</v>
      </c>
      <c r="D29" s="50" t="n">
        <v>0.2051511147166323</v>
      </c>
      <c r="E29" s="49" t="n">
        <v>21552.85</v>
      </c>
    </row>
    <row r="30" hidden="1" outlineLevel="1" ht="15" customHeight="1">
      <c r="A30" s="12" t="inlineStr">
        <is>
          <t xml:space="preserve">    Restaurants &amp; Bars</t>
        </is>
      </c>
      <c r="B30" s="27" t="n">
        <v>7857.88</v>
      </c>
      <c r="C30" s="27" t="n">
        <v>15587.68</v>
      </c>
      <c r="D30" s="29" t="n">
        <v>0.1000258024176369</v>
      </c>
      <c r="E30" s="33" t="inlineStr"/>
    </row>
    <row r="31" hidden="1" outlineLevel="1" ht="15" customHeight="1">
      <c r="A31" s="12" t="inlineStr">
        <is>
          <t xml:space="preserve">    Groceries</t>
        </is>
      </c>
      <c r="B31" s="27" t="n">
        <v>7175.5</v>
      </c>
      <c r="C31" s="27" t="n">
        <v>14234.04</v>
      </c>
      <c r="D31" s="29" t="n">
        <v>0.09133954008558968</v>
      </c>
      <c r="E31" s="33" t="inlineStr"/>
    </row>
    <row r="32" hidden="1" outlineLevel="1" ht="15" customHeight="1">
      <c r="A32" s="12" t="inlineStr">
        <is>
          <t xml:space="preserve">    Fast Food</t>
        </is>
      </c>
      <c r="B32" s="27" t="n">
        <v>884.34</v>
      </c>
      <c r="C32" s="27" t="n">
        <v>1754.27</v>
      </c>
      <c r="D32" s="29" t="n">
        <v>0.01125708436754099</v>
      </c>
      <c r="E32" s="33" t="inlineStr"/>
    </row>
    <row r="33" hidden="1" outlineLevel="1" ht="15" customHeight="1">
      <c r="A33" s="12" t="inlineStr">
        <is>
          <t xml:space="preserve">    Coffee Shops</t>
        </is>
      </c>
      <c r="B33" s="27" t="n">
        <v>198.65</v>
      </c>
      <c r="C33" s="27" t="n">
        <v>394.06</v>
      </c>
      <c r="D33" s="29" t="n">
        <v>0.002528687845864733</v>
      </c>
      <c r="E33" s="33" t="inlineStr"/>
    </row>
    <row r="34" ht="45" customHeight="1">
      <c r="A34" s="48" t="inlineStr">
        <is>
          <t>Gifts Charity</t>
        </is>
      </c>
      <c r="B34" s="49" t="n">
        <v>42411.79</v>
      </c>
      <c r="C34" s="49" t="n">
        <v>84132.08</v>
      </c>
      <c r="D34" s="50" t="n">
        <v>0.5398750460325569</v>
      </c>
      <c r="E34" s="51" t="inlineStr"/>
    </row>
    <row r="35" hidden="1" outlineLevel="1" ht="15" customHeight="1">
      <c r="A35" s="12" t="inlineStr">
        <is>
          <t xml:space="preserve">    Gifts - Family 12</t>
        </is>
      </c>
      <c r="B35" s="27" t="n">
        <v>40868.65</v>
      </c>
      <c r="C35" s="27" t="n">
        <v>81071.14</v>
      </c>
      <c r="D35" s="29" t="n">
        <v>0.5202318576989666</v>
      </c>
      <c r="E35" s="33" t="inlineStr"/>
    </row>
    <row r="36" hidden="1" outlineLevel="1" ht="15" customHeight="1">
      <c r="A36" s="12" t="inlineStr">
        <is>
          <t xml:space="preserve">    Gifts - Other</t>
        </is>
      </c>
      <c r="B36" s="27" t="n">
        <v>813.14</v>
      </c>
      <c r="C36" s="27" t="n">
        <v>1613.03</v>
      </c>
      <c r="D36" s="29" t="n">
        <v>0.01035075376283136</v>
      </c>
      <c r="E36" s="33" t="inlineStr"/>
    </row>
    <row r="37" hidden="1" outlineLevel="1" ht="15" customHeight="1">
      <c r="A37" s="12" t="inlineStr">
        <is>
          <t xml:space="preserve">    Church</t>
        </is>
      </c>
      <c r="B37" s="27" t="n">
        <v>625</v>
      </c>
      <c r="C37" s="27" t="n">
        <v>1239.81</v>
      </c>
      <c r="D37" s="29" t="n">
        <v>0.007955851516060701</v>
      </c>
      <c r="E37" s="33" t="inlineStr"/>
    </row>
    <row r="38" hidden="1" outlineLevel="1" ht="15" customHeight="1">
      <c r="A38" s="12" t="inlineStr">
        <is>
          <t xml:space="preserve">    Donation</t>
        </is>
      </c>
      <c r="B38" s="27" t="n">
        <v>105</v>
      </c>
      <c r="C38" s="27" t="n">
        <v>208.29</v>
      </c>
      <c r="D38" s="29" t="n">
        <v>0.001336583054698198</v>
      </c>
      <c r="E38" s="33" t="inlineStr"/>
    </row>
    <row r="39" ht="45" customHeight="1">
      <c r="A39" s="48" t="inlineStr">
        <is>
          <t>Lifestyle</t>
        </is>
      </c>
      <c r="B39" s="49" t="n">
        <v>8481.84</v>
      </c>
      <c r="C39" s="49" t="n">
        <v>16825.39</v>
      </c>
      <c r="D39" s="50" t="n">
        <v>0.1079684153967749</v>
      </c>
      <c r="E39" s="49" t="n">
        <v>20907.56</v>
      </c>
    </row>
    <row r="40" hidden="1" outlineLevel="1" ht="15" customHeight="1">
      <c r="A40" s="12" t="inlineStr">
        <is>
          <t xml:space="preserve">    Cubs Tickets</t>
        </is>
      </c>
      <c r="B40" s="27" t="n">
        <v>5076.64</v>
      </c>
      <c r="C40" s="27" t="n">
        <v>10070.53</v>
      </c>
      <c r="D40" s="29" t="n">
        <v>0.06462239046479104</v>
      </c>
      <c r="E40" s="33" t="inlineStr"/>
    </row>
    <row r="41" hidden="1" outlineLevel="1" ht="15" customHeight="1">
      <c r="A41" s="12" t="inlineStr">
        <is>
          <t xml:space="preserve">    Hair/Make-up</t>
        </is>
      </c>
      <c r="B41" s="27" t="n">
        <v>1754.09</v>
      </c>
      <c r="C41" s="27" t="n">
        <v>3479.59</v>
      </c>
      <c r="D41" s="29" t="n">
        <v>0.02232844733729106</v>
      </c>
      <c r="E41" s="33" t="inlineStr"/>
    </row>
    <row r="42" hidden="1" outlineLevel="1" ht="15" customHeight="1">
      <c r="A42" s="12" t="inlineStr">
        <is>
          <t xml:space="preserve">    Electronics</t>
        </is>
      </c>
      <c r="B42" s="27" t="n">
        <v>614.58</v>
      </c>
      <c r="C42" s="27" t="n">
        <v>1219.14</v>
      </c>
      <c r="D42" s="29" t="n">
        <v>0.007823211559584937</v>
      </c>
      <c r="E42" s="33" t="inlineStr"/>
    </row>
    <row r="43" hidden="1" outlineLevel="1" ht="15" customHeight="1">
      <c r="A43" s="12" t="inlineStr">
        <is>
          <t xml:space="preserve">    Mani-Pedi</t>
        </is>
      </c>
      <c r="B43" s="27" t="n">
        <v>524.77</v>
      </c>
      <c r="C43" s="27" t="n">
        <v>1040.99</v>
      </c>
      <c r="D43" s="29" t="n">
        <v>0.006679987520133077</v>
      </c>
      <c r="E43" s="33" t="inlineStr"/>
    </row>
    <row r="44" hidden="1" outlineLevel="1" ht="15" customHeight="1">
      <c r="A44" s="12" t="inlineStr">
        <is>
          <t xml:space="preserve">    Personal</t>
        </is>
      </c>
      <c r="B44" s="27" t="n">
        <v>360</v>
      </c>
      <c r="C44" s="27" t="n">
        <v>714.13</v>
      </c>
      <c r="D44" s="29" t="n">
        <v>0.004582570473250964</v>
      </c>
      <c r="E44" s="33" t="inlineStr"/>
    </row>
    <row r="45" hidden="1" outlineLevel="1" ht="15" customHeight="1">
      <c r="A45" s="12" t="inlineStr">
        <is>
          <t xml:space="preserve">    Movie Theater</t>
        </is>
      </c>
      <c r="B45" s="27" t="n">
        <v>151.76</v>
      </c>
      <c r="C45" s="27" t="n">
        <v>301.05</v>
      </c>
      <c r="D45" s="29" t="n">
        <v>0.001931808041723795</v>
      </c>
      <c r="E45" s="33" t="inlineStr"/>
    </row>
    <row r="46" ht="45" customHeight="1">
      <c r="A46" s="48" t="inlineStr">
        <is>
          <t>Other</t>
        </is>
      </c>
      <c r="B46" s="49" t="n">
        <v>20.6</v>
      </c>
      <c r="C46" s="49" t="n">
        <v>40.86</v>
      </c>
      <c r="D46" s="50" t="n">
        <v>0.0002622248659693607</v>
      </c>
      <c r="E46" s="49" t="n">
        <v>4258.95</v>
      </c>
    </row>
    <row r="47" hidden="1" outlineLevel="1" ht="15" customHeight="1">
      <c r="A47" s="12" t="inlineStr">
        <is>
          <t xml:space="preserve">    Postage &amp; Shipping</t>
        </is>
      </c>
      <c r="B47" s="27" t="n">
        <v>20.6</v>
      </c>
      <c r="C47" s="27" t="n">
        <v>40.86</v>
      </c>
      <c r="D47" s="29" t="n">
        <v>0.0002622248659693607</v>
      </c>
      <c r="E47" s="33" t="inlineStr"/>
    </row>
    <row r="48" ht="45" customHeight="1">
      <c r="A48" s="48" t="inlineStr">
        <is>
          <t>Shopping</t>
        </is>
      </c>
      <c r="B48" s="49" t="n">
        <v>6349.61</v>
      </c>
      <c r="C48" s="49" t="n">
        <v>12595.69</v>
      </c>
      <c r="D48" s="50" t="n">
        <v>0.08082648695183069</v>
      </c>
      <c r="E48" s="49" t="n">
        <v>9163.190000000001</v>
      </c>
    </row>
    <row r="49" hidden="1" outlineLevel="1" ht="15" customHeight="1">
      <c r="A49" s="12" t="inlineStr">
        <is>
          <t xml:space="preserve">    Clothing &amp; Jewelry</t>
        </is>
      </c>
      <c r="B49" s="27" t="n">
        <v>6326.62</v>
      </c>
      <c r="C49" s="27" t="n">
        <v>12550.12</v>
      </c>
      <c r="D49" s="29" t="n">
        <v>0.08053383890966391</v>
      </c>
      <c r="E49" s="33" t="inlineStr"/>
    </row>
    <row r="50" hidden="1" outlineLevel="1" ht="15" customHeight="1">
      <c r="A50" s="12" t="inlineStr">
        <is>
          <t xml:space="preserve">    Shopping</t>
        </is>
      </c>
      <c r="B50" s="27" t="n">
        <v>22.99</v>
      </c>
      <c r="C50" s="27" t="n">
        <v>45.61</v>
      </c>
      <c r="D50" s="29" t="n">
        <v>0.0002926480421667768</v>
      </c>
      <c r="E50" s="33" t="inlineStr"/>
    </row>
    <row r="51"/>
    <row r="52" ht="15" customHeight="1">
      <c r="A52" s="11" t="inlineStr">
        <is>
          <t>TOTAL CORE SPENDING</t>
        </is>
      </c>
      <c r="B52" s="30" t="n">
        <v>78558.53</v>
      </c>
      <c r="C52" s="30" t="n">
        <v>155836.21</v>
      </c>
      <c r="D52" s="31" t="n">
        <v>1</v>
      </c>
      <c r="E52" s="30" t="n">
        <v>63497.03</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(184 days elapsed)</t>
        </is>
      </c>
    </row>
    <row r="2" ht="36" customHeight="1">
      <c r="A2" s="44" t="inlineStr">
        <is>
          <t>YTD total spending — actual (184 days)</t>
        </is>
      </c>
      <c r="B2" s="45" t="n">
        <v>178133.81</v>
      </c>
    </row>
    <row r="3" ht="15" customHeight="1">
      <c r="A3" s="44" t="inlineStr">
        <is>
          <t>Annualized at current pace</t>
        </is>
      </c>
      <c r="B3" s="46" t="n">
        <v>353363.26</v>
      </c>
    </row>
    <row r="4" ht="30" customHeight="1">
      <c r="A4" s="44" t="inlineStr">
        <is>
          <t>Total annual budget (categories with budgets set)</t>
        </is>
      </c>
      <c r="B4" s="46" t="n">
        <v>321560</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699253.55</v>
      </c>
      <c r="D7" s="59" t="inlineStr"/>
      <c r="E7" s="59" t="inlineStr"/>
      <c r="F7" s="60" t="n">
        <v>1.978851852997474</v>
      </c>
    </row>
    <row r="8" hidden="1" outlineLevel="1" ht="45" customHeight="1">
      <c r="A8" s="6" t="inlineStr">
        <is>
          <t xml:space="preserve">  Income</t>
        </is>
      </c>
      <c r="B8" s="61" t="n">
        <v>352500.42</v>
      </c>
      <c r="C8" s="61" t="n">
        <v>699253.55</v>
      </c>
      <c r="D8" s="62" t="inlineStr"/>
      <c r="E8" s="62" t="inlineStr"/>
      <c r="F8" s="63" t="n">
        <v>1.978851852997474</v>
      </c>
    </row>
    <row r="9" hidden="1" outlineLevel="2" ht="30" customHeight="1">
      <c r="A9" s="12" t="inlineStr">
        <is>
          <t xml:space="preserve">    Dividends &amp; Capital Gains</t>
        </is>
      </c>
      <c r="B9" s="27" t="n">
        <v>14994.06</v>
      </c>
      <c r="C9" s="27" t="n">
        <v>29743.65</v>
      </c>
      <c r="D9" s="64" t="inlineStr"/>
      <c r="E9" s="64" t="inlineStr"/>
      <c r="F9" s="29" t="n">
        <v>0.08417301577954235</v>
      </c>
    </row>
    <row r="10" hidden="1" outlineLevel="2" ht="15" customHeight="1">
      <c r="A10" s="12" t="inlineStr">
        <is>
          <t xml:space="preserve">    Interest</t>
        </is>
      </c>
      <c r="B10" s="27" t="n">
        <v>2.88</v>
      </c>
      <c r="C10" s="27" t="n">
        <v>5.71</v>
      </c>
      <c r="D10" s="64" t="inlineStr"/>
      <c r="E10" s="64" t="inlineStr"/>
      <c r="F10" s="29" t="n">
        <v>1.61676214077496e-05</v>
      </c>
    </row>
    <row r="11" hidden="1" outlineLevel="2" ht="15" customHeight="1">
      <c r="A11" s="12" t="inlineStr">
        <is>
          <t xml:space="preserve">    Other Income</t>
        </is>
      </c>
      <c r="B11" s="27" t="n">
        <v>6.85</v>
      </c>
      <c r="C11" s="27" t="n">
        <v>13.59</v>
      </c>
      <c r="D11" s="64" t="inlineStr"/>
      <c r="E11" s="64" t="inlineStr"/>
      <c r="F11" s="29" t="n">
        <v>3.845423841773776e-05</v>
      </c>
    </row>
    <row r="12" hidden="1" outlineLevel="2" ht="15" customHeight="1">
      <c r="A12" s="12" t="inlineStr">
        <is>
          <t xml:space="preserve">    Paychecks</t>
        </is>
      </c>
      <c r="B12" s="27" t="n">
        <v>236950</v>
      </c>
      <c r="C12" s="27" t="n">
        <v>470036.68</v>
      </c>
      <c r="D12" s="64" t="inlineStr"/>
      <c r="E12" s="64" t="inlineStr"/>
      <c r="F12" s="29" t="n">
        <v>1.330179823807732</v>
      </c>
    </row>
    <row r="13" hidden="1" outlineLevel="2" ht="15" customHeight="1">
      <c r="A13" s="12" t="inlineStr">
        <is>
          <t xml:space="preserve">    RedMane Annual Note P&amp;I</t>
        </is>
      </c>
      <c r="B13" s="27" t="n">
        <v>100546.63</v>
      </c>
      <c r="C13" s="27" t="n">
        <v>199453.91</v>
      </c>
      <c r="D13" s="64" t="inlineStr"/>
      <c r="E13" s="64" t="inlineStr"/>
      <c r="F13" s="29" t="n">
        <v>0.5644443915503744</v>
      </c>
    </row>
    <row r="14" ht="45" customHeight="1">
      <c r="A14" s="57" t="inlineStr">
        <is>
          <t>Core Expenses</t>
        </is>
      </c>
      <c r="B14" s="58" t="n">
        <v>73468.7</v>
      </c>
      <c r="C14" s="58" t="n">
        <v>145739.54</v>
      </c>
      <c r="D14" s="58" t="n">
        <v>120789</v>
      </c>
      <c r="E14" s="65" t="n">
        <v>24950.54000000001</v>
      </c>
      <c r="F14" s="60" t="n">
        <v>0.412435460735949</v>
      </c>
    </row>
    <row r="15" hidden="1" outlineLevel="1" ht="45" customHeight="1">
      <c r="A15" s="6" t="inlineStr">
        <is>
          <t xml:space="preserve">  Auto &amp; Transport</t>
        </is>
      </c>
      <c r="B15" s="61" t="n">
        <v>3219.58</v>
      </c>
      <c r="C15" s="61" t="n">
        <v>6386.67</v>
      </c>
      <c r="D15" s="61" t="n">
        <v>6315</v>
      </c>
      <c r="E15" s="66" t="n">
        <v>71.67000000000007</v>
      </c>
      <c r="F15" s="63" t="n">
        <v>0.01807394115693141</v>
      </c>
    </row>
    <row r="16" hidden="1" outlineLevel="2" ht="15" customHeight="1">
      <c r="A16" s="12" t="inlineStr">
        <is>
          <t xml:space="preserve">    Auto Fuel</t>
        </is>
      </c>
      <c r="B16" s="27" t="n">
        <v>575.6799999999999</v>
      </c>
      <c r="C16" s="27" t="n">
        <v>1141.97</v>
      </c>
      <c r="D16" s="27" t="n">
        <v>1200</v>
      </c>
      <c r="E16" s="27" t="n">
        <v>-58.02999999999997</v>
      </c>
      <c r="F16" s="29" t="n">
        <v>0.003231727879171281</v>
      </c>
    </row>
    <row r="17" hidden="1" outlineLevel="2" ht="15" customHeight="1">
      <c r="A17" s="12" t="inlineStr">
        <is>
          <t xml:space="preserve">    Auto Insurance</t>
        </is>
      </c>
      <c r="B17" s="27" t="n">
        <v>1164</v>
      </c>
      <c r="C17" s="27" t="n">
        <v>2309.02</v>
      </c>
      <c r="D17" s="27" t="n">
        <v>2400</v>
      </c>
      <c r="E17" s="27" t="n">
        <v>-90.98000000000002</v>
      </c>
      <c r="F17" s="29" t="n">
        <v>0.006534413652298798</v>
      </c>
    </row>
    <row r="18" hidden="1" outlineLevel="2" ht="15" customHeight="1">
      <c r="A18" s="12" t="inlineStr">
        <is>
          <t xml:space="preserve">    Auto Maintenance</t>
        </is>
      </c>
      <c r="B18" s="27" t="n">
        <v>405.86</v>
      </c>
      <c r="C18" s="27" t="n">
        <v>805.1</v>
      </c>
      <c r="D18" s="27" t="n">
        <v>800</v>
      </c>
      <c r="E18" s="67" t="n">
        <v>5.100000000000023</v>
      </c>
      <c r="F18" s="29" t="n">
        <v>0.002278399591857379</v>
      </c>
    </row>
    <row r="19" hidden="1" outlineLevel="2" ht="15" customHeight="1">
      <c r="A19" s="12" t="inlineStr">
        <is>
          <t xml:space="preserve">    Car Wash</t>
        </is>
      </c>
      <c r="B19" s="27" t="n">
        <v>170</v>
      </c>
      <c r="C19" s="27" t="n">
        <v>337.23</v>
      </c>
      <c r="D19" s="27" t="n">
        <v>300</v>
      </c>
      <c r="E19" s="67" t="n">
        <v>37.23000000000002</v>
      </c>
      <c r="F19" s="29" t="n">
        <v>0.0009543387636518862</v>
      </c>
    </row>
    <row r="20" hidden="1" outlineLevel="2" ht="15" customHeight="1">
      <c r="A20" s="12" t="inlineStr">
        <is>
          <t xml:space="preserve">    Parking / Tolls</t>
        </is>
      </c>
      <c r="B20" s="27" t="n">
        <v>269.8</v>
      </c>
      <c r="C20" s="27" t="n">
        <v>535.2</v>
      </c>
      <c r="D20" s="27" t="n">
        <v>600</v>
      </c>
      <c r="E20" s="27" t="n">
        <v>-64.79999999999995</v>
      </c>
      <c r="F20" s="29" t="n">
        <v>0.001514591755489876</v>
      </c>
    </row>
    <row r="21" hidden="1" outlineLevel="2" ht="15" customHeight="1">
      <c r="A21" s="12" t="inlineStr">
        <is>
          <t xml:space="preserve">    Public Transit</t>
        </is>
      </c>
      <c r="B21" s="27" t="n">
        <v>5.5</v>
      </c>
      <c r="C21" s="27" t="n">
        <v>10.91</v>
      </c>
      <c r="D21" s="27" t="n">
        <v>15</v>
      </c>
      <c r="E21" s="27" t="n">
        <v>-4.09</v>
      </c>
      <c r="F21" s="29" t="n">
        <v>3.087566588285514e-05</v>
      </c>
    </row>
    <row r="22" hidden="1" outlineLevel="2" ht="15" customHeight="1">
      <c r="A22" s="12" t="inlineStr">
        <is>
          <t xml:space="preserve">    Taxi &amp; Ride Shares</t>
        </is>
      </c>
      <c r="B22" s="27" t="n">
        <v>628.74</v>
      </c>
      <c r="C22" s="27" t="n">
        <v>1247.23</v>
      </c>
      <c r="D22" s="27" t="n">
        <v>1000</v>
      </c>
      <c r="E22" s="67" t="n">
        <v>247.23</v>
      </c>
      <c r="F22" s="29" t="n">
        <v>0.003529593848579335</v>
      </c>
    </row>
    <row r="23" hidden="1" outlineLevel="1" ht="45" customHeight="1">
      <c r="A23" s="6" t="inlineStr">
        <is>
          <t xml:space="preserve">  Financial</t>
        </is>
      </c>
      <c r="B23" s="61" t="n">
        <v>1958.74</v>
      </c>
      <c r="C23" s="61" t="n">
        <v>3885.54</v>
      </c>
      <c r="D23" s="61" t="n">
        <v>1910</v>
      </c>
      <c r="E23" s="66" t="n">
        <v>1975.54</v>
      </c>
      <c r="F23" s="63" t="n">
        <v>0.01099589123479703</v>
      </c>
    </row>
    <row r="24" hidden="1" outlineLevel="2" ht="15" customHeight="1">
      <c r="A24" s="12" t="inlineStr">
        <is>
          <t xml:space="preserve">    Cash &amp; ATM</t>
        </is>
      </c>
      <c r="B24" s="27" t="n">
        <v>1116.26</v>
      </c>
      <c r="C24" s="27" t="n">
        <v>2214.32</v>
      </c>
      <c r="D24" s="27" t="n">
        <v>1500</v>
      </c>
      <c r="E24" s="67" t="n">
        <v>714.3200000000002</v>
      </c>
      <c r="F24" s="29" t="n">
        <v>0.006266412872435615</v>
      </c>
    </row>
    <row r="25" hidden="1" outlineLevel="2" ht="30" customHeight="1">
      <c r="A25" s="12" t="inlineStr">
        <is>
          <t xml:space="preserve">    Financial &amp; Legal Services</t>
        </is>
      </c>
      <c r="B25" s="27" t="n">
        <v>749.99</v>
      </c>
      <c r="C25" s="27" t="n">
        <v>1487.75</v>
      </c>
      <c r="D25" s="27" t="n">
        <v>210</v>
      </c>
      <c r="E25" s="67" t="n">
        <v>1277.75</v>
      </c>
      <c r="F25" s="29" t="n">
        <v>0.00421026193736046</v>
      </c>
    </row>
    <row r="26" hidden="1" outlineLevel="2" ht="15" customHeight="1">
      <c r="A26" s="12" t="inlineStr">
        <is>
          <t xml:space="preserve">    Financial Fees</t>
        </is>
      </c>
      <c r="B26" s="27" t="n">
        <v>92.48999999999999</v>
      </c>
      <c r="C26" s="27" t="n">
        <v>183.47</v>
      </c>
      <c r="D26" s="27" t="n">
        <v>200</v>
      </c>
      <c r="E26" s="27" t="n">
        <v>-16.53</v>
      </c>
      <c r="F26" s="29" t="n">
        <v>0.0005192164250009585</v>
      </c>
    </row>
    <row r="27" hidden="1" outlineLevel="1" ht="45" customHeight="1">
      <c r="A27" s="6" t="inlineStr">
        <is>
          <t xml:space="preserve">  Food &amp; Dining</t>
        </is>
      </c>
      <c r="B27" s="61" t="n">
        <v>15769.65</v>
      </c>
      <c r="C27" s="61" t="n">
        <v>31282.19</v>
      </c>
      <c r="D27" s="61" t="n">
        <v>32200</v>
      </c>
      <c r="E27" s="61" t="n">
        <v>-917.8100000000013</v>
      </c>
      <c r="F27" s="63" t="n">
        <v>0.08852698990719392</v>
      </c>
    </row>
    <row r="28" hidden="1" outlineLevel="2" ht="15" customHeight="1">
      <c r="A28" s="12" t="inlineStr">
        <is>
          <t xml:space="preserve">    Coffee Shops</t>
        </is>
      </c>
      <c r="B28" s="27" t="n">
        <v>198.65</v>
      </c>
      <c r="C28" s="27" t="n">
        <v>394.06</v>
      </c>
      <c r="D28" s="27" t="n">
        <v>400</v>
      </c>
      <c r="E28" s="27" t="n">
        <v>-5.939999999999998</v>
      </c>
      <c r="F28" s="29" t="n">
        <v>0.001115172914114395</v>
      </c>
    </row>
    <row r="29" hidden="1" outlineLevel="2" ht="15" customHeight="1">
      <c r="A29" s="12" t="inlineStr">
        <is>
          <t xml:space="preserve">    Fast Food / Takeout</t>
        </is>
      </c>
      <c r="B29" s="27" t="n">
        <v>884.34</v>
      </c>
      <c r="C29" s="27" t="n">
        <v>1754.26</v>
      </c>
      <c r="D29" s="27" t="n">
        <v>1800</v>
      </c>
      <c r="E29" s="27" t="n">
        <v>-45.74000000000001</v>
      </c>
      <c r="F29" s="29" t="n">
        <v>0.004964470248517113</v>
      </c>
    </row>
    <row r="30" hidden="1" outlineLevel="2" ht="15" customHeight="1">
      <c r="A30" s="12" t="inlineStr">
        <is>
          <t xml:space="preserve">    Groceries</t>
        </is>
      </c>
      <c r="B30" s="27" t="n">
        <v>7079.89</v>
      </c>
      <c r="C30" s="27" t="n">
        <v>14044.35</v>
      </c>
      <c r="D30" s="27" t="n">
        <v>15000</v>
      </c>
      <c r="E30" s="27" t="n">
        <v>-955.6499999999996</v>
      </c>
      <c r="F30" s="29" t="n">
        <v>0.03974478511406678</v>
      </c>
    </row>
    <row r="31" hidden="1" outlineLevel="2" ht="15" customHeight="1">
      <c r="A31" s="12" t="inlineStr">
        <is>
          <t xml:space="preserve">    Restaurants &amp; Bars</t>
        </is>
      </c>
      <c r="B31" s="27" t="n">
        <v>7606.77</v>
      </c>
      <c r="C31" s="27" t="n">
        <v>15089.52</v>
      </c>
      <c r="D31" s="27" t="n">
        <v>15000</v>
      </c>
      <c r="E31" s="67" t="n">
        <v>89.52000000000044</v>
      </c>
      <c r="F31" s="29" t="n">
        <v>0.04270256163049564</v>
      </c>
    </row>
    <row r="32" hidden="1" outlineLevel="1" ht="45" customHeight="1">
      <c r="A32" s="6" t="inlineStr">
        <is>
          <t xml:space="preserve">  Gifts Charity</t>
        </is>
      </c>
      <c r="B32" s="61" t="n">
        <v>42411.79</v>
      </c>
      <c r="C32" s="61" t="n">
        <v>84132.08</v>
      </c>
      <c r="D32" s="61" t="n">
        <v>49800</v>
      </c>
      <c r="E32" s="66" t="n">
        <v>34332.08</v>
      </c>
      <c r="F32" s="63" t="n">
        <v>0.2380895013697849</v>
      </c>
    </row>
    <row r="33" hidden="1" outlineLevel="2" ht="15" customHeight="1">
      <c r="A33" s="12" t="inlineStr">
        <is>
          <t xml:space="preserve">    Charitable Donations</t>
        </is>
      </c>
      <c r="B33" s="27" t="n">
        <v>105</v>
      </c>
      <c r="C33" s="27" t="n">
        <v>208.29</v>
      </c>
      <c r="D33" s="27" t="n">
        <v>5000</v>
      </c>
      <c r="E33" s="27" t="n">
        <v>-4791.71</v>
      </c>
      <c r="F33" s="29" t="n">
        <v>0.0005894445304908709</v>
      </c>
    </row>
    <row r="34" hidden="1" outlineLevel="2" ht="15" customHeight="1">
      <c r="A34" s="12" t="inlineStr">
        <is>
          <t xml:space="preserve">    Church</t>
        </is>
      </c>
      <c r="B34" s="27" t="n">
        <v>625</v>
      </c>
      <c r="C34" s="27" t="n">
        <v>1239.81</v>
      </c>
      <c r="D34" s="27" t="n">
        <v>1300</v>
      </c>
      <c r="E34" s="27" t="n">
        <v>-60.19000000000005</v>
      </c>
      <c r="F34" s="29" t="n">
        <v>0.003508598395778993</v>
      </c>
    </row>
    <row r="35" hidden="1" outlineLevel="2" ht="15" customHeight="1">
      <c r="A35" s="12" t="inlineStr">
        <is>
          <t xml:space="preserve">    Gifts - Family 12</t>
        </is>
      </c>
      <c r="B35" s="27" t="n">
        <v>40868.65</v>
      </c>
      <c r="C35" s="27" t="n">
        <v>81070.96000000001</v>
      </c>
      <c r="D35" s="27" t="n">
        <v>42000</v>
      </c>
      <c r="E35" s="67" t="n">
        <v>39070.96000000001</v>
      </c>
      <c r="F35" s="29" t="n">
        <v>0.2294266877242451</v>
      </c>
    </row>
    <row r="36" hidden="1" outlineLevel="2" ht="15" customHeight="1">
      <c r="A36" s="12" t="inlineStr">
        <is>
          <t xml:space="preserve">    Gifts - Other</t>
        </is>
      </c>
      <c r="B36" s="27" t="n">
        <v>813.14</v>
      </c>
      <c r="C36" s="27" t="n">
        <v>1613.02</v>
      </c>
      <c r="D36" s="27" t="n">
        <v>1500</v>
      </c>
      <c r="E36" s="67" t="n">
        <v>113.02</v>
      </c>
      <c r="F36" s="29" t="n">
        <v>0.004564770719269969</v>
      </c>
    </row>
    <row r="37" hidden="1" outlineLevel="1" ht="45" customHeight="1">
      <c r="A37" s="6" t="inlineStr">
        <is>
          <t xml:space="preserve">  Lifestyle</t>
        </is>
      </c>
      <c r="B37" s="61" t="n">
        <v>5822.34</v>
      </c>
      <c r="C37" s="61" t="n">
        <v>11549.75</v>
      </c>
      <c r="D37" s="61" t="n">
        <v>14300</v>
      </c>
      <c r="E37" s="61" t="n">
        <v>-2750.25</v>
      </c>
      <c r="F37" s="63" t="n">
        <v>0.03268520445388778</v>
      </c>
    </row>
    <row r="38" hidden="1" outlineLevel="2" ht="15" customHeight="1">
      <c r="A38" s="12" t="inlineStr">
        <is>
          <t xml:space="preserve">    Cubs Tickets</t>
        </is>
      </c>
      <c r="B38" s="27" t="n">
        <v>2417.14</v>
      </c>
      <c r="C38" s="27" t="n">
        <v>4794.87</v>
      </c>
      <c r="D38" s="27" t="n">
        <v>8000</v>
      </c>
      <c r="E38" s="27" t="n">
        <v>-3205.13</v>
      </c>
      <c r="F38" s="29" t="n">
        <v>0.01356923764219718</v>
      </c>
    </row>
    <row r="39" hidden="1" outlineLevel="2" ht="15" customHeight="1">
      <c r="A39" s="12" t="inlineStr">
        <is>
          <t xml:space="preserve">    Electronics</t>
        </is>
      </c>
      <c r="B39" s="27" t="n">
        <v>614.58</v>
      </c>
      <c r="C39" s="27" t="n">
        <v>1219.14</v>
      </c>
      <c r="D39" s="27" t="n">
        <v>1000</v>
      </c>
      <c r="E39" s="67" t="n">
        <v>219.1400000000001</v>
      </c>
      <c r="F39" s="29" t="n">
        <v>0.003450103043324566</v>
      </c>
    </row>
    <row r="40" hidden="1" outlineLevel="2" ht="15" customHeight="1">
      <c r="A40" s="12" t="inlineStr">
        <is>
          <t xml:space="preserve">    Hair/Make-up</t>
        </is>
      </c>
      <c r="B40" s="27" t="n">
        <v>1754.09</v>
      </c>
      <c r="C40" s="27" t="n">
        <v>3479.58</v>
      </c>
      <c r="D40" s="27" t="n">
        <v>3500</v>
      </c>
      <c r="E40" s="27" t="n">
        <v>-20.42000000000007</v>
      </c>
      <c r="F40" s="29" t="n">
        <v>0.009847035776083158</v>
      </c>
    </row>
    <row r="41" hidden="1" outlineLevel="2" ht="15" customHeight="1">
      <c r="A41" s="12" t="inlineStr">
        <is>
          <t xml:space="preserve">    Mani-Pedi</t>
        </is>
      </c>
      <c r="B41" s="27" t="n">
        <v>524.77</v>
      </c>
      <c r="C41" s="27" t="n">
        <v>1040.98</v>
      </c>
      <c r="D41" s="27" t="n">
        <v>1000</v>
      </c>
      <c r="E41" s="67" t="n">
        <v>40.98000000000002</v>
      </c>
      <c r="F41" s="29" t="n">
        <v>0.002945931488244708</v>
      </c>
    </row>
    <row r="42" hidden="1" outlineLevel="2" ht="15" customHeight="1">
      <c r="A42" s="12" t="inlineStr">
        <is>
          <t xml:space="preserve">    Movie Theater</t>
        </is>
      </c>
      <c r="B42" s="27" t="n">
        <v>151.76</v>
      </c>
      <c r="C42" s="27" t="n">
        <v>301.05</v>
      </c>
      <c r="D42" s="27" t="n">
        <v>300</v>
      </c>
      <c r="E42" s="67" t="n">
        <v>1.050000000000011</v>
      </c>
      <c r="F42" s="29" t="n">
        <v>0.000851943828069472</v>
      </c>
    </row>
    <row r="43" hidden="1" outlineLevel="2" ht="15" customHeight="1">
      <c r="A43" s="12" t="inlineStr">
        <is>
          <t xml:space="preserve">    Personal</t>
        </is>
      </c>
      <c r="B43" s="27" t="n">
        <v>360</v>
      </c>
      <c r="C43" s="27" t="n">
        <v>714.13</v>
      </c>
      <c r="D43" s="27" t="n">
        <v>500</v>
      </c>
      <c r="E43" s="67" t="n">
        <v>214.13</v>
      </c>
      <c r="F43" s="29" t="n">
        <v>0.0020209526759687</v>
      </c>
    </row>
    <row r="44" hidden="1" outlineLevel="1" ht="60" customHeight="1">
      <c r="A44" s="6" t="inlineStr">
        <is>
          <t xml:space="preserve">  Other</t>
        </is>
      </c>
      <c r="B44" s="61" t="n">
        <v>20.6</v>
      </c>
      <c r="C44" s="61" t="n">
        <v>40.86</v>
      </c>
      <c r="D44" s="61" t="n">
        <v>6164</v>
      </c>
      <c r="E44" s="61" t="n">
        <v>-6123.14</v>
      </c>
      <c r="F44" s="63" t="n">
        <v>0.0001156434031248756</v>
      </c>
    </row>
    <row r="45" hidden="1" outlineLevel="2" ht="15" customHeight="1">
      <c r="A45" s="12" t="inlineStr">
        <is>
          <t xml:space="preserve">    Check</t>
        </is>
      </c>
      <c r="B45" s="27" t="n">
        <v>0</v>
      </c>
      <c r="C45" s="27" t="n">
        <v>0</v>
      </c>
      <c r="D45" s="27" t="n">
        <v>2305</v>
      </c>
      <c r="E45" s="27" t="n">
        <v>-2305</v>
      </c>
      <c r="F45" s="29" t="n">
        <v>0</v>
      </c>
    </row>
    <row r="46" hidden="1" outlineLevel="2" ht="15" customHeight="1">
      <c r="A46" s="12" t="inlineStr">
        <is>
          <t xml:space="preserve">    Miscellaneous</t>
        </is>
      </c>
      <c r="B46" s="27" t="n">
        <v>0</v>
      </c>
      <c r="C46" s="27" t="n">
        <v>0</v>
      </c>
      <c r="D46" s="27" t="n">
        <v>2</v>
      </c>
      <c r="E46" s="27" t="n">
        <v>-2</v>
      </c>
      <c r="F46" s="29" t="n">
        <v>0</v>
      </c>
    </row>
    <row r="47" hidden="1" outlineLevel="2" ht="15" customHeight="1">
      <c r="A47" s="12" t="inlineStr">
        <is>
          <t xml:space="preserve">    Uncategorized</t>
        </is>
      </c>
      <c r="B47" s="27" t="n">
        <v>20.6</v>
      </c>
      <c r="C47" s="27" t="n">
        <v>40.86</v>
      </c>
      <c r="D47" s="27" t="n">
        <v>3857</v>
      </c>
      <c r="E47" s="27" t="n">
        <v>-3816.14</v>
      </c>
      <c r="F47" s="29" t="n">
        <v>0.0001156434031248756</v>
      </c>
    </row>
    <row r="48" hidden="1" outlineLevel="1" ht="45" customHeight="1">
      <c r="A48" s="6" t="inlineStr">
        <is>
          <t xml:space="preserve">  Shopping</t>
        </is>
      </c>
      <c r="B48" s="61" t="n">
        <v>4266</v>
      </c>
      <c r="C48" s="61" t="n">
        <v>8462.450000000001</v>
      </c>
      <c r="D48" s="61" t="n">
        <v>10100</v>
      </c>
      <c r="E48" s="61" t="n">
        <v>-1637.549999999999</v>
      </c>
      <c r="F48" s="63" t="n">
        <v>0.0239482892102291</v>
      </c>
    </row>
    <row r="49" hidden="1" outlineLevel="2" ht="15" customHeight="1">
      <c r="A49" s="12" t="inlineStr">
        <is>
          <t xml:space="preserve">    Clothing &amp; Jewelry</t>
        </is>
      </c>
      <c r="B49" s="27" t="n">
        <v>4243.01</v>
      </c>
      <c r="C49" s="27" t="n">
        <v>8416.84</v>
      </c>
      <c r="D49" s="27" t="n">
        <v>10000</v>
      </c>
      <c r="E49" s="27" t="n">
        <v>-1583.16</v>
      </c>
      <c r="F49" s="29" t="n">
        <v>0.02381922892683876</v>
      </c>
    </row>
    <row r="50" hidden="1" outlineLevel="2" ht="15" customHeight="1">
      <c r="A50" s="12" t="inlineStr">
        <is>
          <t xml:space="preserve">    Shopping</t>
        </is>
      </c>
      <c r="B50" s="27" t="n">
        <v>22.99</v>
      </c>
      <c r="C50" s="27" t="n">
        <v>45.61</v>
      </c>
      <c r="D50" s="27" t="n">
        <v>100</v>
      </c>
      <c r="E50" s="27" t="n">
        <v>-54.39</v>
      </c>
      <c r="F50" s="29" t="n">
        <v>0.0001290602833903345</v>
      </c>
    </row>
    <row r="51" ht="45" customHeight="1">
      <c r="A51" s="57" t="inlineStr">
        <is>
          <t>Wellness</t>
        </is>
      </c>
      <c r="B51" s="58" t="n">
        <v>18388.85</v>
      </c>
      <c r="C51" s="58" t="n">
        <v>36477.88</v>
      </c>
      <c r="D51" s="58" t="n">
        <v>50364</v>
      </c>
      <c r="E51" s="58" t="n">
        <v>-13886.12</v>
      </c>
      <c r="F51" s="60" t="n">
        <v>0.1032305433763529</v>
      </c>
    </row>
    <row r="52" hidden="1" outlineLevel="1" ht="45" customHeight="1">
      <c r="A52" s="6" t="inlineStr">
        <is>
          <t xml:space="preserve">  Healthcare Premium</t>
        </is>
      </c>
      <c r="B52" s="61" t="n">
        <v>8790.610000000001</v>
      </c>
      <c r="C52" s="61" t="n">
        <v>17437.89</v>
      </c>
      <c r="D52" s="61" t="n">
        <v>23760</v>
      </c>
      <c r="E52" s="61" t="n">
        <v>-6322.110000000001</v>
      </c>
      <c r="F52" s="63" t="n">
        <v>0.04934835223027004</v>
      </c>
    </row>
    <row r="53" hidden="1" outlineLevel="2" ht="15" customHeight="1">
      <c r="A53" s="12" t="inlineStr">
        <is>
          <t xml:space="preserve">    Medicare Part B Premium</t>
        </is>
      </c>
      <c r="B53" s="27" t="n">
        <v>0</v>
      </c>
      <c r="C53" s="27" t="n">
        <v>0</v>
      </c>
      <c r="D53" s="27" t="n">
        <v>5356</v>
      </c>
      <c r="E53" s="27" t="n">
        <v>-5356</v>
      </c>
      <c r="F53" s="29" t="n">
        <v>0</v>
      </c>
    </row>
    <row r="54" hidden="1" outlineLevel="2" ht="15" customHeight="1">
      <c r="A54" s="12" t="inlineStr">
        <is>
          <t xml:space="preserve">    Medicare Part D Premium</t>
        </is>
      </c>
      <c r="B54" s="27" t="n">
        <v>0</v>
      </c>
      <c r="C54" s="27" t="n">
        <v>0</v>
      </c>
      <c r="D54" s="27" t="n">
        <v>2095</v>
      </c>
      <c r="E54" s="27" t="n">
        <v>-2095</v>
      </c>
      <c r="F54" s="29" t="n">
        <v>0</v>
      </c>
    </row>
    <row r="55" hidden="1" outlineLevel="2" ht="30" customHeight="1">
      <c r="A55" s="12" t="inlineStr">
        <is>
          <t xml:space="preserve">    Medicare Part G / Medigap Premium</t>
        </is>
      </c>
      <c r="B55" s="27" t="n">
        <v>0</v>
      </c>
      <c r="C55" s="27" t="n">
        <v>0</v>
      </c>
      <c r="D55" s="27" t="n">
        <v>4309</v>
      </c>
      <c r="E55" s="27" t="n">
        <v>-4309</v>
      </c>
      <c r="F55" s="29" t="n">
        <v>0</v>
      </c>
    </row>
    <row r="56" hidden="1" outlineLevel="2" ht="30" customHeight="1">
      <c r="A56" s="12" t="inlineStr">
        <is>
          <t xml:space="preserve">    Pre-65 Healthcare Premium</t>
        </is>
      </c>
      <c r="B56" s="27" t="n">
        <v>8790.610000000001</v>
      </c>
      <c r="C56" s="27" t="n">
        <v>17437.89</v>
      </c>
      <c r="D56" s="27" t="n">
        <v>12000</v>
      </c>
      <c r="E56" s="67" t="n">
        <v>5437.889999999999</v>
      </c>
      <c r="F56" s="29" t="n">
        <v>0.04934835223027004</v>
      </c>
    </row>
    <row r="57" hidden="1" outlineLevel="1" ht="45" customHeight="1">
      <c r="A57" s="6" t="inlineStr">
        <is>
          <t xml:space="preserve">  Wellness Budget Detail</t>
        </is>
      </c>
      <c r="B57" s="61" t="n">
        <v>9598.24</v>
      </c>
      <c r="C57" s="61" t="n">
        <v>19039.99</v>
      </c>
      <c r="D57" s="61" t="n">
        <v>26604</v>
      </c>
      <c r="E57" s="61" t="n">
        <v>-7564.009999999998</v>
      </c>
      <c r="F57" s="63" t="n">
        <v>0.05388219114608282</v>
      </c>
    </row>
    <row r="58" hidden="1" outlineLevel="2" ht="15" customHeight="1">
      <c r="A58" s="12" t="inlineStr">
        <is>
          <t xml:space="preserve">    Dentist</t>
        </is>
      </c>
      <c r="B58" s="27" t="n">
        <v>400.9</v>
      </c>
      <c r="C58" s="27" t="n">
        <v>795.26</v>
      </c>
      <c r="D58" s="27" t="n">
        <v>2900</v>
      </c>
      <c r="E58" s="27" t="n">
        <v>-2104.74</v>
      </c>
      <c r="F58" s="29" t="n">
        <v>0.002250555354988477</v>
      </c>
    </row>
    <row r="59" hidden="1" outlineLevel="2" ht="15" customHeight="1">
      <c r="A59" s="12" t="inlineStr">
        <is>
          <t xml:space="preserve">    Dermatologist</t>
        </is>
      </c>
      <c r="B59" s="27" t="n">
        <v>728</v>
      </c>
      <c r="C59" s="27" t="n">
        <v>1444.13</v>
      </c>
      <c r="D59" s="27" t="n">
        <v>1527</v>
      </c>
      <c r="E59" s="27" t="n">
        <v>-82.86999999999989</v>
      </c>
      <c r="F59" s="29" t="n">
        <v>0.004086815411403371</v>
      </c>
    </row>
    <row r="60" hidden="1" outlineLevel="2" ht="15" customHeight="1">
      <c r="A60" s="12" t="inlineStr">
        <is>
          <t xml:space="preserve">    Drugs - Rx and OTC</t>
        </is>
      </c>
      <c r="B60" s="27" t="n">
        <v>3278.39</v>
      </c>
      <c r="C60" s="27" t="n">
        <v>6503.33</v>
      </c>
      <c r="D60" s="27" t="n">
        <v>5000</v>
      </c>
      <c r="E60" s="67" t="n">
        <v>1503.33</v>
      </c>
      <c r="F60" s="29" t="n">
        <v>0.01840408623158063</v>
      </c>
    </row>
    <row r="61" hidden="1" outlineLevel="2" ht="30" customHeight="1">
      <c r="A61" s="12" t="inlineStr">
        <is>
          <t xml:space="preserve">    Exercise &amp; Health Equipment</t>
        </is>
      </c>
      <c r="B61" s="27" t="n">
        <v>102.69</v>
      </c>
      <c r="C61" s="27" t="n">
        <v>203.71</v>
      </c>
      <c r="D61" s="27" t="n">
        <v>485</v>
      </c>
      <c r="E61" s="27" t="n">
        <v>-281.29</v>
      </c>
      <c r="F61" s="29" t="n">
        <v>0.0005764767508200717</v>
      </c>
    </row>
    <row r="62" hidden="1" outlineLevel="2" ht="15" customHeight="1">
      <c r="A62" s="12" t="inlineStr">
        <is>
          <t xml:space="preserve">    Health Club</t>
        </is>
      </c>
      <c r="B62" s="27" t="n">
        <v>1616.25</v>
      </c>
      <c r="C62" s="27" t="n">
        <v>3206.15</v>
      </c>
      <c r="D62" s="27" t="n">
        <v>2668</v>
      </c>
      <c r="E62" s="67" t="n">
        <v>538.1500000000001</v>
      </c>
      <c r="F62" s="29" t="n">
        <v>0.009073235451484477</v>
      </c>
    </row>
    <row r="63" hidden="1" outlineLevel="2" ht="15" customHeight="1">
      <c r="A63" s="12" t="inlineStr">
        <is>
          <t xml:space="preserve">    Medical</t>
        </is>
      </c>
      <c r="B63" s="27" t="n">
        <v>590.45</v>
      </c>
      <c r="C63" s="27" t="n">
        <v>1171.27</v>
      </c>
      <c r="D63" s="27" t="n">
        <v>10000</v>
      </c>
      <c r="E63" s="27" t="n">
        <v>-8828.73</v>
      </c>
      <c r="F63" s="29" t="n">
        <v>0.003314643076460331</v>
      </c>
    </row>
    <row r="64" hidden="1" outlineLevel="2" ht="15" customHeight="1">
      <c r="A64" s="12" t="inlineStr">
        <is>
          <t xml:space="preserve">    Vision</t>
        </is>
      </c>
      <c r="B64" s="27" t="n">
        <v>1335</v>
      </c>
      <c r="C64" s="27" t="n">
        <v>2648.23</v>
      </c>
      <c r="D64" s="27" t="n">
        <v>2100</v>
      </c>
      <c r="E64" s="67" t="n">
        <v>548.23</v>
      </c>
      <c r="F64" s="29" t="n">
        <v>0.00749436617338393</v>
      </c>
    </row>
    <row r="65" hidden="1" outlineLevel="2" ht="15" customHeight="1">
      <c r="A65" s="12" t="inlineStr">
        <is>
          <t xml:space="preserve">    Vitamins &amp; Supplements</t>
        </is>
      </c>
      <c r="B65" s="27" t="n">
        <v>1546.56</v>
      </c>
      <c r="C65" s="27" t="n">
        <v>3067.9</v>
      </c>
      <c r="D65" s="27" t="n">
        <v>1924</v>
      </c>
      <c r="E65" s="67" t="n">
        <v>1143.9</v>
      </c>
      <c r="F65" s="29" t="n">
        <v>0.008682012695961536</v>
      </c>
    </row>
    <row r="66" ht="45" customHeight="1">
      <c r="A66" s="57" t="inlineStr">
        <is>
          <t>Housing</t>
        </is>
      </c>
      <c r="B66" s="58" t="n">
        <v>66947.95</v>
      </c>
      <c r="C66" s="58" t="n">
        <v>132804.36</v>
      </c>
      <c r="D66" s="58" t="n">
        <v>105600</v>
      </c>
      <c r="E66" s="65" t="n">
        <v>27204.35999999999</v>
      </c>
      <c r="F66" s="60" t="n">
        <v>0.3758295519531076</v>
      </c>
    </row>
    <row r="67" hidden="1" outlineLevel="1" ht="45" customHeight="1">
      <c r="A67" s="6" t="inlineStr">
        <is>
          <t xml:space="preserve">  Home Improvement</t>
        </is>
      </c>
      <c r="B67" s="61" t="n">
        <v>25689.11</v>
      </c>
      <c r="C67" s="61" t="n">
        <v>50959.38</v>
      </c>
      <c r="D67" s="61" t="n">
        <v>25000</v>
      </c>
      <c r="E67" s="66" t="n">
        <v>25959.38</v>
      </c>
      <c r="F67" s="63" t="n">
        <v>0.1442124322159841</v>
      </c>
    </row>
    <row r="68" hidden="1" outlineLevel="2" ht="15" customHeight="1">
      <c r="A68" s="12" t="inlineStr">
        <is>
          <t xml:space="preserve">    Home Improvement</t>
        </is>
      </c>
      <c r="B68" s="27" t="n">
        <v>25689.11</v>
      </c>
      <c r="C68" s="27" t="n">
        <v>50959.38</v>
      </c>
      <c r="D68" s="27" t="n">
        <v>25000</v>
      </c>
      <c r="E68" s="67" t="n">
        <v>25959.38</v>
      </c>
      <c r="F68" s="29" t="n">
        <v>0.1442124322159841</v>
      </c>
    </row>
    <row r="69" hidden="1" outlineLevel="1" ht="45" customHeight="1">
      <c r="A69" s="6" t="inlineStr">
        <is>
          <t xml:space="preserve">  Maintenance</t>
        </is>
      </c>
      <c r="B69" s="61" t="n">
        <v>2214.24</v>
      </c>
      <c r="C69" s="61" t="n">
        <v>4392.38</v>
      </c>
      <c r="D69" s="61" t="n">
        <v>2100</v>
      </c>
      <c r="E69" s="66" t="n">
        <v>2292.38</v>
      </c>
      <c r="F69" s="63" t="n">
        <v>0.01243020625899148</v>
      </c>
    </row>
    <row r="70" hidden="1" outlineLevel="2" ht="15" customHeight="1">
      <c r="A70" s="12" t="inlineStr">
        <is>
          <t xml:space="preserve">    Home Maintenance</t>
        </is>
      </c>
      <c r="B70" s="27" t="n">
        <v>2214.24</v>
      </c>
      <c r="C70" s="27" t="n">
        <v>4392.38</v>
      </c>
      <c r="D70" s="27" t="n">
        <v>2100</v>
      </c>
      <c r="E70" s="67" t="n">
        <v>2292.38</v>
      </c>
      <c r="F70" s="29" t="n">
        <v>0.01243020625899148</v>
      </c>
    </row>
    <row r="71" hidden="1" outlineLevel="1" ht="45" customHeight="1">
      <c r="A71" s="6" t="inlineStr">
        <is>
          <t xml:space="preserve">  Mortgage</t>
        </is>
      </c>
      <c r="B71" s="61" t="n">
        <v>18000</v>
      </c>
      <c r="C71" s="61" t="n">
        <v>35706.52</v>
      </c>
      <c r="D71" s="61" t="n">
        <v>36000</v>
      </c>
      <c r="E71" s="61" t="n">
        <v>-293.4800000000032</v>
      </c>
      <c r="F71" s="63" t="n">
        <v>0.101047633798435</v>
      </c>
    </row>
    <row r="72" hidden="1" outlineLevel="2" ht="15" customHeight="1">
      <c r="A72" s="12" t="inlineStr">
        <is>
          <t xml:space="preserve">    Mortgage</t>
        </is>
      </c>
      <c r="B72" s="27" t="n">
        <v>18000</v>
      </c>
      <c r="C72" s="27" t="n">
        <v>35706.52</v>
      </c>
      <c r="D72" s="27" t="n">
        <v>36000</v>
      </c>
      <c r="E72" s="27" t="n">
        <v>-293.4800000000032</v>
      </c>
      <c r="F72" s="29" t="n">
        <v>0.101047633798435</v>
      </c>
    </row>
    <row r="73" hidden="1" outlineLevel="1" ht="45" customHeight="1">
      <c r="A73" s="6" t="inlineStr">
        <is>
          <t xml:space="preserve">  Other</t>
        </is>
      </c>
      <c r="B73" s="61" t="n">
        <v>5841.79</v>
      </c>
      <c r="C73" s="61" t="n">
        <v>11588.33</v>
      </c>
      <c r="D73" s="61" t="n">
        <v>11315</v>
      </c>
      <c r="E73" s="66" t="n">
        <v>273.3299999999999</v>
      </c>
      <c r="F73" s="63" t="n">
        <v>0.03279439203596442</v>
      </c>
    </row>
    <row r="74" hidden="1" outlineLevel="2" ht="30" customHeight="1">
      <c r="A74" s="12" t="inlineStr">
        <is>
          <t xml:space="preserve">    Furniture/Home Decor/Kitchenware</t>
        </is>
      </c>
      <c r="B74" s="27" t="n">
        <v>2149.85</v>
      </c>
      <c r="C74" s="27" t="n">
        <v>4264.65</v>
      </c>
      <c r="D74" s="27" t="n">
        <v>2115</v>
      </c>
      <c r="E74" s="67" t="n">
        <v>2149.65</v>
      </c>
      <c r="F74" s="29" t="n">
        <v>0.01206873641786475</v>
      </c>
    </row>
    <row r="75" hidden="1" outlineLevel="2" ht="15" customHeight="1">
      <c r="A75" s="12" t="inlineStr">
        <is>
          <t xml:space="preserve">    Homeowners Insurance</t>
        </is>
      </c>
      <c r="B75" s="27" t="n">
        <v>0</v>
      </c>
      <c r="C75" s="27" t="n">
        <v>0</v>
      </c>
      <c r="D75" s="27" t="n">
        <v>2000</v>
      </c>
      <c r="E75" s="27" t="n">
        <v>-2000</v>
      </c>
      <c r="F75" s="29" t="n">
        <v>0</v>
      </c>
    </row>
    <row r="76" hidden="1" outlineLevel="2" ht="15" customHeight="1">
      <c r="A76" s="12" t="inlineStr">
        <is>
          <t xml:space="preserve">    House Cleaning</t>
        </is>
      </c>
      <c r="B76" s="27" t="n">
        <v>1600</v>
      </c>
      <c r="C76" s="27" t="n">
        <v>3173.91</v>
      </c>
      <c r="D76" s="27" t="n">
        <v>4800</v>
      </c>
      <c r="E76" s="27" t="n">
        <v>-1626.09</v>
      </c>
      <c r="F76" s="29" t="n">
        <v>0.008982011893194223</v>
      </c>
    </row>
    <row r="77" hidden="1" outlineLevel="2" ht="30" customHeight="1">
      <c r="A77" s="12" t="inlineStr">
        <is>
          <t xml:space="preserve">    Lawn Service/Garden/Flowers</t>
        </is>
      </c>
      <c r="B77" s="27" t="n">
        <v>2091.94</v>
      </c>
      <c r="C77" s="27" t="n">
        <v>4149.77</v>
      </c>
      <c r="D77" s="27" t="n">
        <v>2400</v>
      </c>
      <c r="E77" s="67" t="n">
        <v>1749.77</v>
      </c>
      <c r="F77" s="29" t="n">
        <v>0.01174364372490545</v>
      </c>
    </row>
    <row r="78" hidden="1" outlineLevel="1" ht="45" customHeight="1">
      <c r="A78" s="6" t="inlineStr">
        <is>
          <t xml:space="preserve">  Real Estate Taxes</t>
        </is>
      </c>
      <c r="B78" s="61" t="n">
        <v>8645.74</v>
      </c>
      <c r="C78" s="61" t="n">
        <v>17150.52</v>
      </c>
      <c r="D78" s="61" t="n">
        <v>18000</v>
      </c>
      <c r="E78" s="61" t="n">
        <v>-849.4799999999996</v>
      </c>
      <c r="F78" s="63" t="n">
        <v>0.04853508719091564</v>
      </c>
    </row>
    <row r="79" hidden="1" outlineLevel="2" ht="15" customHeight="1">
      <c r="A79" s="12" t="inlineStr">
        <is>
          <t xml:space="preserve">    Real Estate Taxes</t>
        </is>
      </c>
      <c r="B79" s="27" t="n">
        <v>8645.74</v>
      </c>
      <c r="C79" s="27" t="n">
        <v>17150.52</v>
      </c>
      <c r="D79" s="27" t="n">
        <v>18000</v>
      </c>
      <c r="E79" s="27" t="n">
        <v>-849.4799999999996</v>
      </c>
      <c r="F79" s="29" t="n">
        <v>0.04853508719091564</v>
      </c>
    </row>
    <row r="80" hidden="1" outlineLevel="1" ht="45" customHeight="1">
      <c r="A80" s="6" t="inlineStr">
        <is>
          <t xml:space="preserve">  Utilities</t>
        </is>
      </c>
      <c r="B80" s="61" t="n">
        <v>6557.07</v>
      </c>
      <c r="C80" s="61" t="n">
        <v>13007.23</v>
      </c>
      <c r="D80" s="61" t="n">
        <v>13185</v>
      </c>
      <c r="E80" s="61" t="n">
        <v>-177.7700000000004</v>
      </c>
      <c r="F80" s="63" t="n">
        <v>0.0368098004528169</v>
      </c>
    </row>
    <row r="81" hidden="1" outlineLevel="2" ht="15" customHeight="1">
      <c r="A81" s="12" t="inlineStr">
        <is>
          <t xml:space="preserve">    Dry Cleaners</t>
        </is>
      </c>
      <c r="B81" s="27" t="n">
        <v>131.34</v>
      </c>
      <c r="C81" s="27" t="n">
        <v>260.54</v>
      </c>
      <c r="D81" s="64" t="inlineStr"/>
      <c r="E81" s="64" t="inlineStr"/>
      <c r="F81" s="29" t="n">
        <v>0.0007373109012825808</v>
      </c>
    </row>
    <row r="82" hidden="1" outlineLevel="2" ht="15" customHeight="1">
      <c r="A82" s="12" t="inlineStr">
        <is>
          <t xml:space="preserve">    Garbage</t>
        </is>
      </c>
      <c r="B82" s="27" t="n">
        <v>231.8</v>
      </c>
      <c r="C82" s="27" t="n">
        <v>459.82</v>
      </c>
      <c r="D82" s="27" t="n">
        <v>475</v>
      </c>
      <c r="E82" s="27" t="n">
        <v>-15.18000000000001</v>
      </c>
      <c r="F82" s="29" t="n">
        <v>0.001301268973026513</v>
      </c>
    </row>
    <row r="83" hidden="1" outlineLevel="2" ht="15" customHeight="1">
      <c r="A83" s="12" t="inlineStr">
        <is>
          <t xml:space="preserve">    Gas &amp; Electric</t>
        </is>
      </c>
      <c r="B83" s="27" t="n">
        <v>2692.38</v>
      </c>
      <c r="C83" s="27" t="n">
        <v>5340.86</v>
      </c>
      <c r="D83" s="27" t="n">
        <v>5500</v>
      </c>
      <c r="E83" s="27" t="n">
        <v>-159.1400000000003</v>
      </c>
      <c r="F83" s="29" t="n">
        <v>0.01511436823812391</v>
      </c>
    </row>
    <row r="84" hidden="1" outlineLevel="2" ht="15" customHeight="1">
      <c r="A84" s="12" t="inlineStr">
        <is>
          <t xml:space="preserve">    Internet &amp; Cable</t>
        </is>
      </c>
      <c r="B84" s="27" t="n">
        <v>2261</v>
      </c>
      <c r="C84" s="27" t="n">
        <v>4485.14</v>
      </c>
      <c r="D84" s="27" t="n">
        <v>4510</v>
      </c>
      <c r="E84" s="27" t="n">
        <v>-24.85999999999967</v>
      </c>
      <c r="F84" s="29" t="n">
        <v>0.01269270555657009</v>
      </c>
    </row>
    <row r="85" hidden="1" outlineLevel="2" ht="15" customHeight="1">
      <c r="A85" s="12" t="inlineStr">
        <is>
          <t xml:space="preserve">    Pest Control</t>
        </is>
      </c>
      <c r="B85" s="27" t="n">
        <v>319.44</v>
      </c>
      <c r="C85" s="27" t="n">
        <v>633.67</v>
      </c>
      <c r="D85" s="27" t="n">
        <v>650</v>
      </c>
      <c r="E85" s="27" t="n">
        <v>-16.33000000000004</v>
      </c>
      <c r="F85" s="29" t="n">
        <v>0.001793258674476227</v>
      </c>
    </row>
    <row r="86" hidden="1" outlineLevel="2" ht="15" customHeight="1">
      <c r="A86" s="12" t="inlineStr">
        <is>
          <t xml:space="preserve">    Phone</t>
        </is>
      </c>
      <c r="B86" s="27" t="n">
        <v>672</v>
      </c>
      <c r="C86" s="27" t="n">
        <v>1333.04</v>
      </c>
      <c r="D86" s="27" t="n">
        <v>1350</v>
      </c>
      <c r="E86" s="27" t="n">
        <v>-16.96000000000004</v>
      </c>
      <c r="F86" s="29" t="n">
        <v>0.003772444995141574</v>
      </c>
    </row>
    <row r="87" hidden="1" outlineLevel="2" ht="15" customHeight="1">
      <c r="A87" s="12" t="inlineStr">
        <is>
          <t xml:space="preserve">    Sewer</t>
        </is>
      </c>
      <c r="B87" s="27" t="n">
        <v>93.34</v>
      </c>
      <c r="C87" s="27" t="n">
        <v>185.16</v>
      </c>
      <c r="D87" s="27" t="n">
        <v>200</v>
      </c>
      <c r="E87" s="27" t="n">
        <v>-14.84</v>
      </c>
      <c r="F87" s="29" t="n">
        <v>0.000523988118819218</v>
      </c>
    </row>
    <row r="88" hidden="1" outlineLevel="2" ht="15" customHeight="1">
      <c r="A88" s="12" t="inlineStr">
        <is>
          <t xml:space="preserve">    Water</t>
        </is>
      </c>
      <c r="B88" s="27" t="n">
        <v>155.77</v>
      </c>
      <c r="C88" s="27" t="n">
        <v>309</v>
      </c>
      <c r="D88" s="27" t="n">
        <v>500</v>
      </c>
      <c r="E88" s="27" t="n">
        <v>-191</v>
      </c>
      <c r="F88" s="29" t="n">
        <v>0.0008744549953767901</v>
      </c>
    </row>
    <row r="89" ht="45" customHeight="1">
      <c r="A89" s="57" t="inlineStr">
        <is>
          <t>Travel</t>
        </is>
      </c>
      <c r="B89" s="58" t="n">
        <v>16222.26</v>
      </c>
      <c r="C89" s="58" t="n">
        <v>32180.03</v>
      </c>
      <c r="D89" s="58" t="n">
        <v>16917</v>
      </c>
      <c r="E89" s="65" t="n">
        <v>15263.03</v>
      </c>
      <c r="F89" s="60" t="n">
        <v>0.09106783265905558</v>
      </c>
    </row>
    <row r="90" hidden="1" outlineLevel="1" ht="45" customHeight="1">
      <c r="A90" s="6" t="inlineStr">
        <is>
          <t xml:space="preserve">  Travel</t>
        </is>
      </c>
      <c r="B90" s="61" t="n">
        <v>16222.26</v>
      </c>
      <c r="C90" s="61" t="n">
        <v>32180.03</v>
      </c>
      <c r="D90" s="61" t="n">
        <v>16917</v>
      </c>
      <c r="E90" s="66" t="n">
        <v>15263.03</v>
      </c>
      <c r="F90" s="63" t="n">
        <v>0.09106783265905558</v>
      </c>
    </row>
    <row r="91" hidden="1" outlineLevel="2" ht="30" customHeight="1">
      <c r="A91" s="12" t="inlineStr">
        <is>
          <t xml:space="preserve">    Entertainment &amp; Recreation</t>
        </is>
      </c>
      <c r="B91" s="27" t="n">
        <v>8761.709999999999</v>
      </c>
      <c r="C91" s="27" t="n">
        <v>17380.57</v>
      </c>
      <c r="D91" s="27" t="n">
        <v>3270</v>
      </c>
      <c r="E91" s="67" t="n">
        <v>14110.57</v>
      </c>
      <c r="F91" s="29" t="n">
        <v>0.04918611464044922</v>
      </c>
    </row>
    <row r="92" hidden="1" outlineLevel="2" ht="15" customHeight="1">
      <c r="A92" s="12" t="inlineStr">
        <is>
          <t xml:space="preserve">    Travel &amp; Vacation</t>
        </is>
      </c>
      <c r="B92" s="27" t="n">
        <v>3722.02</v>
      </c>
      <c r="C92" s="27" t="n">
        <v>7383.35</v>
      </c>
      <c r="D92" s="27" t="n">
        <v>8127</v>
      </c>
      <c r="E92" s="27" t="n">
        <v>-743.6499999999996</v>
      </c>
      <c r="F92" s="29" t="n">
        <v>0.02089451744169173</v>
      </c>
    </row>
    <row r="93" hidden="1" outlineLevel="2" ht="15" customHeight="1">
      <c r="A93" s="12" t="inlineStr">
        <is>
          <t xml:space="preserve">    Travel - Housing</t>
        </is>
      </c>
      <c r="B93" s="27" t="n">
        <v>2248</v>
      </c>
      <c r="C93" s="27" t="n">
        <v>4459.35</v>
      </c>
      <c r="D93" s="27" t="n">
        <v>2617</v>
      </c>
      <c r="E93" s="67" t="n">
        <v>1842.35</v>
      </c>
      <c r="F93" s="29" t="n">
        <v>0.01261972670993788</v>
      </c>
    </row>
    <row r="94" hidden="1" outlineLevel="2" ht="15" customHeight="1">
      <c r="A94" s="12" t="inlineStr">
        <is>
          <t xml:space="preserve">    Travel - Insurance</t>
        </is>
      </c>
      <c r="B94" s="27" t="n">
        <v>76</v>
      </c>
      <c r="C94" s="27" t="n">
        <v>150.76</v>
      </c>
      <c r="D94" s="27" t="n">
        <v>159</v>
      </c>
      <c r="E94" s="27" t="n">
        <v>-8.240000000000009</v>
      </c>
      <c r="F94" s="29" t="n">
        <v>0.0004266455649267256</v>
      </c>
    </row>
    <row r="95" hidden="1" outlineLevel="2" ht="30" customHeight="1">
      <c r="A95" s="12" t="inlineStr">
        <is>
          <t xml:space="preserve">    Travel - Plane/Train/Bus</t>
        </is>
      </c>
      <c r="B95" s="27" t="n">
        <v>1414.53</v>
      </c>
      <c r="C95" s="27" t="n">
        <v>2806</v>
      </c>
      <c r="D95" s="27" t="n">
        <v>2744</v>
      </c>
      <c r="E95" s="67" t="n">
        <v>62</v>
      </c>
      <c r="F95" s="29" t="n">
        <v>0.007940828302050016</v>
      </c>
    </row>
    <row r="96" ht="15" customHeight="1">
      <c r="A96" s="57" t="inlineStr">
        <is>
          <t>Large Discretionary</t>
        </is>
      </c>
      <c r="B96" s="58" t="n">
        <v>0</v>
      </c>
      <c r="C96" s="58" t="n">
        <v>0</v>
      </c>
      <c r="D96" s="59" t="inlineStr"/>
      <c r="E96" s="59" t="inlineStr"/>
      <c r="F96" s="60" t="n">
        <v>0</v>
      </c>
    </row>
    <row r="97" hidden="1" outlineLevel="1" ht="15" customHeight="1">
      <c r="A97" s="6" t="inlineStr">
        <is>
          <t xml:space="preserve">  Wedding</t>
        </is>
      </c>
      <c r="B97" s="61" t="n">
        <v>0</v>
      </c>
      <c r="C97" s="61" t="n">
        <v>0</v>
      </c>
      <c r="D97" s="62" t="inlineStr"/>
      <c r="E97" s="62" t="inlineStr"/>
      <c r="F97" s="63" t="n">
        <v>0</v>
      </c>
    </row>
    <row r="98" hidden="1" outlineLevel="2" ht="15" customHeight="1">
      <c r="A98" s="12" t="inlineStr">
        <is>
          <t xml:space="preserve">    Children Weddings</t>
        </is>
      </c>
      <c r="B98" s="27" t="n">
        <v>0</v>
      </c>
      <c r="C98" s="27" t="n">
        <v>0</v>
      </c>
      <c r="D98" s="64" t="inlineStr"/>
      <c r="E98" s="64" t="inlineStr"/>
      <c r="F98" s="29" t="n">
        <v>0</v>
      </c>
    </row>
    <row r="99" hidden="1" outlineLevel="2" ht="15" customHeight="1">
      <c r="A99" s="12" t="inlineStr">
        <is>
          <t xml:space="preserve">    Weddings</t>
        </is>
      </c>
      <c r="B99" s="27" t="n">
        <v>0</v>
      </c>
      <c r="C99" s="27" t="n">
        <v>0</v>
      </c>
      <c r="D99" s="64" t="inlineStr"/>
      <c r="E99" s="64" t="inlineStr"/>
      <c r="F99" s="29" t="n">
        <v>0</v>
      </c>
    </row>
    <row r="100" ht="45" customHeight="1">
      <c r="A100" s="57" t="inlineStr">
        <is>
          <t>Business</t>
        </is>
      </c>
      <c r="B100" s="58" t="n">
        <v>3106.05</v>
      </c>
      <c r="C100" s="58" t="n">
        <v>6161.46</v>
      </c>
      <c r="D100" s="58" t="n">
        <v>27890</v>
      </c>
      <c r="E100" s="58" t="n">
        <v>-21728.54</v>
      </c>
      <c r="F100" s="60" t="n">
        <v>0.01743661127553495</v>
      </c>
    </row>
    <row r="101" hidden="1" outlineLevel="1" ht="45" customHeight="1">
      <c r="A101" s="6" t="inlineStr">
        <is>
          <t xml:space="preserve">  Business</t>
        </is>
      </c>
      <c r="B101" s="61" t="n">
        <v>3106.05</v>
      </c>
      <c r="C101" s="61" t="n">
        <v>6161.46</v>
      </c>
      <c r="D101" s="61" t="n">
        <v>27890</v>
      </c>
      <c r="E101" s="61" t="n">
        <v>-21728.54</v>
      </c>
      <c r="F101" s="63" t="n">
        <v>0.01743661127553495</v>
      </c>
    </row>
    <row r="102" hidden="1" outlineLevel="2" ht="15" customHeight="1">
      <c r="A102" s="12" t="inlineStr">
        <is>
          <t xml:space="preserve">    Business Auto Expenses</t>
        </is>
      </c>
      <c r="B102" s="27" t="n">
        <v>99.73999999999999</v>
      </c>
      <c r="C102" s="27" t="n">
        <v>197.85</v>
      </c>
      <c r="D102" s="27" t="n">
        <v>200</v>
      </c>
      <c r="E102" s="27" t="n">
        <v>-2.150000000000006</v>
      </c>
      <c r="F102" s="29" t="n">
        <v>0.0005599161663919948</v>
      </c>
    </row>
    <row r="103" hidden="1" outlineLevel="2" ht="15" customHeight="1">
      <c r="A103" s="12" t="inlineStr">
        <is>
          <t xml:space="preserve">    Business Events</t>
        </is>
      </c>
      <c r="B103" s="27" t="n">
        <v>-48.27</v>
      </c>
      <c r="C103" s="27" t="n">
        <v>-95.75</v>
      </c>
      <c r="D103" s="27" t="n">
        <v>200</v>
      </c>
      <c r="E103" s="27" t="n">
        <v>-295.75</v>
      </c>
      <c r="F103" s="29" t="n">
        <v>-0.0002709760713028032</v>
      </c>
    </row>
    <row r="104" hidden="1" outlineLevel="2" ht="30" customHeight="1">
      <c r="A104" s="12" t="inlineStr">
        <is>
          <t xml:space="preserve">    Business Hardware and Software</t>
        </is>
      </c>
      <c r="B104" s="27" t="n">
        <v>379.95</v>
      </c>
      <c r="C104" s="27" t="n">
        <v>753.71</v>
      </c>
      <c r="D104" s="27" t="n">
        <v>500</v>
      </c>
      <c r="E104" s="67" t="n">
        <v>253.71</v>
      </c>
      <c r="F104" s="29" t="n">
        <v>0.002132947136761966</v>
      </c>
    </row>
    <row r="105" hidden="1" outlineLevel="2" ht="15" customHeight="1">
      <c r="A105" s="12" t="inlineStr">
        <is>
          <t xml:space="preserve">    Business Memberships</t>
        </is>
      </c>
      <c r="B105" s="27" t="n">
        <v>495</v>
      </c>
      <c r="C105" s="27" t="n">
        <v>981.9299999999999</v>
      </c>
      <c r="D105" s="27" t="n">
        <v>2000</v>
      </c>
      <c r="E105" s="27" t="n">
        <v>-1018.07</v>
      </c>
      <c r="F105" s="29" t="n">
        <v>0.002778809929456963</v>
      </c>
    </row>
    <row r="106" hidden="1" outlineLevel="2" ht="15" customHeight="1">
      <c r="A106" s="12" t="inlineStr">
        <is>
          <t xml:space="preserve">    Business Services</t>
        </is>
      </c>
      <c r="B106" s="27" t="n">
        <v>0</v>
      </c>
      <c r="C106" s="27" t="n">
        <v>0</v>
      </c>
      <c r="D106" s="27" t="n">
        <v>21690</v>
      </c>
      <c r="E106" s="27" t="n">
        <v>-21690</v>
      </c>
      <c r="F106" s="29" t="n">
        <v>0</v>
      </c>
    </row>
    <row r="107" hidden="1" outlineLevel="2" ht="15" customHeight="1">
      <c r="A107" s="12" t="inlineStr">
        <is>
          <t xml:space="preserve">    Business Taxi - Uber</t>
        </is>
      </c>
      <c r="B107" s="27" t="n">
        <v>24.44</v>
      </c>
      <c r="C107" s="27" t="n">
        <v>48.48</v>
      </c>
      <c r="D107" s="27" t="n">
        <v>100</v>
      </c>
      <c r="E107" s="27" t="n">
        <v>-51.52</v>
      </c>
      <c r="F107" s="29" t="n">
        <v>0.0001372002316685418</v>
      </c>
    </row>
    <row r="108" hidden="1" outlineLevel="2" ht="15" customHeight="1">
      <c r="A108" s="12" t="inlineStr">
        <is>
          <t xml:space="preserve">    Business Travel &amp; Meals</t>
        </is>
      </c>
      <c r="B108" s="27" t="n">
        <v>800.37</v>
      </c>
      <c r="C108" s="27" t="n">
        <v>1587.69</v>
      </c>
      <c r="D108" s="27" t="n">
        <v>1700</v>
      </c>
      <c r="E108" s="27" t="n">
        <v>-112.3099999999999</v>
      </c>
      <c r="F108" s="29" t="n">
        <v>0.004493083036847412</v>
      </c>
    </row>
    <row r="109" hidden="1" outlineLevel="2" ht="30" customHeight="1">
      <c r="A109" s="12" t="inlineStr">
        <is>
          <t xml:space="preserve">    Office Supplies &amp; Expenses</t>
        </is>
      </c>
      <c r="B109" s="27" t="n">
        <v>1354.82</v>
      </c>
      <c r="C109" s="27" t="n">
        <v>2687.55</v>
      </c>
      <c r="D109" s="27" t="n">
        <v>1500</v>
      </c>
      <c r="E109" s="67" t="n">
        <v>1187.55</v>
      </c>
      <c r="F109" s="29" t="n">
        <v>0.007605630845710873</v>
      </c>
    </row>
    <row r="110"/>
    <row r="111" ht="30" customHeight="1">
      <c r="A111" s="11" t="inlineStr">
        <is>
          <t>TOTAL SPENDING</t>
        </is>
      </c>
      <c r="B111" s="30" t="n">
        <v>178133.81</v>
      </c>
      <c r="C111" s="30" t="n">
        <v>353363.26</v>
      </c>
      <c r="D111" s="30" t="n">
        <v>321560</v>
      </c>
      <c r="E111" s="68" t="n">
        <v>31803.26000000001</v>
      </c>
      <c r="F111"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Matthew IRA Avail</t>
        </is>
      </c>
      <c r="H13" s="71" t="inlineStr">
        <is>
          <t>Patricia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90" customHeight="1">
      <c r="A14" s="73" t="n">
        <v>2026</v>
      </c>
      <c r="B14" s="41" t="inlineStr">
        <is>
          <t>Forced</t>
        </is>
      </c>
      <c r="C14" s="12" t="inlineStr">
        <is>
          <t>Patricia IRA $125,000→Patricia Roth (forced)</t>
        </is>
      </c>
      <c r="D14" s="27" t="n">
        <v>0</v>
      </c>
      <c r="E14" s="27" t="n">
        <v>0</v>
      </c>
      <c r="F14" s="27" t="n">
        <v>0</v>
      </c>
      <c r="G14" s="27" t="n">
        <v>0</v>
      </c>
      <c r="H14" s="27" t="n">
        <v>0</v>
      </c>
      <c r="I14" s="27" t="n">
        <v>0</v>
      </c>
      <c r="J14" s="28" t="n">
        <v>125000</v>
      </c>
      <c r="K14" s="12" t="inlineStr">
        <is>
          <t>Forced action</t>
        </is>
      </c>
      <c r="L14" s="12" t="inlineStr">
        <is>
          <t>User-entered forced action</t>
        </is>
      </c>
      <c r="M14" s="27" t="n">
        <v>447372.89762428</v>
      </c>
      <c r="N14" s="27" t="n">
        <v>268000</v>
      </c>
      <c r="O14" s="74" t="inlineStr">
        <is>
          <t>★ FORCED</t>
        </is>
      </c>
    </row>
    <row r="15" ht="75" customHeight="1">
      <c r="A15" s="73" t="n">
        <v>2027</v>
      </c>
      <c r="B15" s="41" t="inlineStr">
        <is>
          <t>Voluntary</t>
        </is>
      </c>
      <c r="C15" s="12" t="inlineStr">
        <is>
          <t>Patricia IRA $224,792→Patricia Roth</t>
        </is>
      </c>
      <c r="D15" s="27" t="n">
        <v>48567.79034215234</v>
      </c>
      <c r="E15" s="27" t="n">
        <v>215050.68</v>
      </c>
      <c r="F15" s="27" t="n">
        <v>166482.8896578476</v>
      </c>
      <c r="G15" s="27" t="n">
        <v>1452862.3531052</v>
      </c>
      <c r="H15" s="27" t="n">
        <v>356004.4688181999</v>
      </c>
      <c r="I15" s="27" t="n">
        <v>349462.8419850419</v>
      </c>
      <c r="J15" s="28" t="n">
        <v>224792.2096578476</v>
      </c>
      <c r="K15" s="12" t="inlineStr">
        <is>
          <t>Tier 2</t>
        </is>
      </c>
      <c r="L15" s="12" t="inlineStr">
        <is>
          <t>IRA balance</t>
        </is>
      </c>
      <c r="M15" s="27" t="n">
        <v>273359.9999999999</v>
      </c>
      <c r="N15" s="27" t="n">
        <v>273360</v>
      </c>
      <c r="O15" s="75" t="inlineStr">
        <is>
          <t>✓ OK</t>
        </is>
      </c>
    </row>
    <row r="16" ht="90" customHeight="1">
      <c r="A16" s="73" t="n">
        <v>2028</v>
      </c>
      <c r="B16" s="41" t="inlineStr">
        <is>
          <t>Voluntary</t>
        </is>
      </c>
      <c r="C16" s="12" t="inlineStr">
        <is>
          <t>Patricia IRA $139,085→Patricia Roth + Matthew 401k $43,747→Matthew Roth + Matthew IRA $30,351→Matthew Roth</t>
        </is>
      </c>
      <c r="D16" s="27" t="n">
        <v>65644.1627454922</v>
      </c>
      <c r="E16" s="27" t="n">
        <v>219351.6936</v>
      </c>
      <c r="F16" s="27" t="n">
        <v>153707.5308545078</v>
      </c>
      <c r="G16" s="27" t="n">
        <v>1540034.087068684</v>
      </c>
      <c r="H16" s="27" t="n">
        <v>139084.9940576586</v>
      </c>
      <c r="I16" s="27" t="n">
        <v>108010.6390331598</v>
      </c>
      <c r="J16" s="28" t="n">
        <v>213183.0372545078</v>
      </c>
      <c r="K16" s="12" t="inlineStr">
        <is>
          <t>Tier 2</t>
        </is>
      </c>
      <c r="L16" s="12" t="inlineStr">
        <is>
          <t>IRA balance</t>
        </is>
      </c>
      <c r="M16" s="27" t="n">
        <v>278827.2</v>
      </c>
      <c r="N16" s="27" t="n">
        <v>278827.2</v>
      </c>
      <c r="O16" s="75" t="inlineStr">
        <is>
          <t>✓ OK</t>
        </is>
      </c>
    </row>
    <row r="17" ht="75" customHeight="1">
      <c r="A17" s="73" t="n">
        <v>2029</v>
      </c>
      <c r="B17" s="41" t="inlineStr">
        <is>
          <t>Voluntary</t>
        </is>
      </c>
      <c r="C17" s="12" t="inlineStr">
        <is>
          <t>Matthew IRA $144,599→Matthew Roth</t>
        </is>
      </c>
      <c r="D17" s="27" t="n">
        <v>139804.2621085734</v>
      </c>
      <c r="E17" s="27" t="n">
        <v>223738.727472</v>
      </c>
      <c r="F17" s="27" t="n">
        <v>83934.4653634266</v>
      </c>
      <c r="G17" s="27" t="n">
        <v>1553892.202311367</v>
      </c>
      <c r="H17" s="27" t="n">
        <v>0</v>
      </c>
      <c r="I17" s="27" t="n">
        <v>-43721.97858333985</v>
      </c>
      <c r="J17" s="28" t="n">
        <v>144599.4818914267</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Matthew IRA $155,297→Matthew Roth</t>
        </is>
      </c>
      <c r="D18" s="27" t="n">
        <v>134794.3354959987</v>
      </c>
      <c r="E18" s="27" t="n">
        <v>228213.50202144</v>
      </c>
      <c r="F18" s="27" t="n">
        <v>93419.16652544131</v>
      </c>
      <c r="G18" s="27" t="n">
        <v>1385141.730890491</v>
      </c>
      <c r="H18" s="27" t="n">
        <v>0</v>
      </c>
      <c r="I18" s="27" t="n">
        <v>-43834.93853854621</v>
      </c>
      <c r="J18" s="28" t="n">
        <v>155297.4833840013</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Matthew IRA $125,267→Matthew Roth</t>
        </is>
      </c>
      <c r="D19" s="27" t="n">
        <v>170626.4476207162</v>
      </c>
      <c r="E19" s="27" t="n">
        <v>232777.7720618688</v>
      </c>
      <c r="F19" s="27" t="n">
        <v>62151.3244411526</v>
      </c>
      <c r="G19" s="27" t="n">
        <v>1191786.159549827</v>
      </c>
      <c r="H19" s="27" t="n">
        <v>0</v>
      </c>
      <c r="I19" s="27" t="n">
        <v>-51921.79610448479</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Matthew IRA $108,908→Matthew Roth</t>
        </is>
      </c>
      <c r="D20" s="27" t="n">
        <v>192903.0383062721</v>
      </c>
      <c r="E20" s="27" t="n">
        <v>237433.3275031062</v>
      </c>
      <c r="F20" s="27" t="n">
        <v>44530.28919683411</v>
      </c>
      <c r="G20" s="27" t="n">
        <v>1031750.210528517</v>
      </c>
      <c r="H20" s="27" t="n">
        <v>0</v>
      </c>
      <c r="I20" s="27" t="n">
        <v>-135068.4682991199</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Matthew IRA $116,223→Matthew Roth</t>
        </is>
      </c>
      <c r="D21" s="27" t="n">
        <v>191624.3125698421</v>
      </c>
      <c r="E21" s="27" t="n">
        <v>242181.9940531683</v>
      </c>
      <c r="F21" s="27" t="n">
        <v>50557.68148332619</v>
      </c>
      <c r="G21" s="27" t="n">
        <v>769378.2251707938</v>
      </c>
      <c r="H21" s="27" t="n">
        <v>0</v>
      </c>
      <c r="I21" s="27" t="n">
        <v>-42433.87273025494</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Matthew IRA $123,594→Matthew Roth</t>
        </is>
      </c>
      <c r="D22" s="27" t="n">
        <v>190410.5330882793</v>
      </c>
      <c r="E22" s="27" t="n">
        <v>247025.6339342317</v>
      </c>
      <c r="F22" s="27" t="n">
        <v>56615.1008459524</v>
      </c>
      <c r="G22" s="27" t="n">
        <v>611393.9390988661</v>
      </c>
      <c r="H22" s="27" t="n">
        <v>0</v>
      </c>
      <c r="I22" s="27" t="n">
        <v>-109354.5149006441</v>
      </c>
      <c r="J22" s="28" t="n">
        <v>123594.1810203279</v>
      </c>
      <c r="K22" s="12" t="inlineStr">
        <is>
          <t>Tier 2</t>
        </is>
      </c>
      <c r="L22" s="12" t="inlineStr">
        <is>
          <t>IRA balance</t>
        </is>
      </c>
      <c r="M22" s="27" t="n">
        <v>311138.0727082647</v>
      </c>
      <c r="N22" s="27" t="n">
        <v>314004.7141086072</v>
      </c>
      <c r="O22" s="75" t="inlineStr">
        <is>
          <t>✓ OK</t>
        </is>
      </c>
    </row>
    <row r="23" ht="75" customHeight="1">
      <c r="A23" s="73" t="n">
        <v>2035</v>
      </c>
      <c r="B23" s="41" t="inlineStr">
        <is>
          <t>Voluntary</t>
        </is>
      </c>
      <c r="C23" s="12" t="inlineStr">
        <is>
          <t>Matthew IRA $125,646→Matthew Roth</t>
        </is>
      </c>
      <c r="D23" s="27" t="n">
        <v>194639.0493012519</v>
      </c>
      <c r="E23" s="27" t="n">
        <v>251966.1466129163</v>
      </c>
      <c r="F23" s="27" t="n">
        <v>57327.09731166446</v>
      </c>
      <c r="G23" s="27" t="n">
        <v>341503.4631509617</v>
      </c>
      <c r="H23" s="27" t="n">
        <v>0</v>
      </c>
      <c r="I23" s="27" t="n">
        <v>-77054.9195769548</v>
      </c>
      <c r="J23" s="28" t="n">
        <v>125645.7590895275</v>
      </c>
      <c r="K23" s="12" t="inlineStr">
        <is>
          <t>Tier 2</t>
        </is>
      </c>
      <c r="L23" s="12" t="inlineStr">
        <is>
          <t>IRA balance</t>
        </is>
      </c>
      <c r="M23" s="27" t="n">
        <v>317426.662569388</v>
      </c>
      <c r="N23" s="27" t="n">
        <v>320284.8083907794</v>
      </c>
      <c r="O23" s="75" t="inlineStr">
        <is>
          <t>✓ OK</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6"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202042.8668767607</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45" customHeight="1">
      <c r="A31" s="11" t="inlineStr">
        <is>
          <t>Total Conversions in Displayed Window: $1,462,511</t>
        </is>
      </c>
      <c r="B31" s="3" t="n"/>
      <c r="C31" s="3" t="n"/>
      <c r="D31" s="3" t="n"/>
      <c r="E31" s="3" t="n"/>
      <c r="F31" s="3" t="n"/>
      <c r="G31" s="3" t="n"/>
      <c r="H31" s="4" t="n"/>
      <c r="I31" s="11" t="inlineStr">
        <is>
          <t>Forced</t>
        </is>
      </c>
      <c r="J31" s="77" t="n">
        <v>125000</v>
      </c>
      <c r="K31" s="11" t="inlineStr">
        <is>
          <t>Voluntary</t>
        </is>
      </c>
      <c r="L31" s="77" t="n">
        <v>1337511.296351167</v>
      </c>
      <c r="M31" s="11" t="inlineStr">
        <is>
          <t>Grand Total</t>
        </is>
      </c>
      <c r="N31" s="77" t="n">
        <v>1462511.296351168</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8"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8" t="inlineStr">
        <is>
          <t>CACHE — as of 07/03/2026 11:32 AM</t>
        </is>
      </c>
      <c r="B5" s="12" t="inlineStr">
        <is>
          <t>Cached quotes were used as of 07/03/2026 11:32 AM; cache TTL is 24.0 hours. CACHE mode checks the cache before calling live providers; the cache is still valid until 07/04/2026 11:32 AM. Ticker-level source counts: cash: 1, fresh_cache_24h_from_yahoo: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9" t="n">
        <v>1357238.41112</v>
      </c>
      <c r="C9" s="80" t="n">
        <v>0.253628988303966</v>
      </c>
      <c r="D9" s="81" t="n">
        <v>1209226.55896</v>
      </c>
      <c r="E9" s="82" t="n">
        <v>0.2259698121321402</v>
      </c>
      <c r="F9" s="12" t="inlineStr">
        <is>
          <t>Liquid</t>
        </is>
      </c>
      <c r="G9" s="80" t="n">
        <v>0.35</v>
      </c>
      <c r="H9" s="12" t="inlineStr">
        <is>
          <t>Under 9.6%</t>
        </is>
      </c>
      <c r="I9" s="75" t="inlineStr">
        <is>
          <t>Under 12.4%</t>
        </is>
      </c>
    </row>
    <row r="10" ht="45" customHeight="1">
      <c r="A10" s="2" t="inlineStr">
        <is>
          <t>Real Estate Coverage (Home Equity)</t>
        </is>
      </c>
      <c r="B10" s="79" t="n">
        <v>1313000</v>
      </c>
      <c r="C10" s="80" t="n">
        <v>0.245362096235032</v>
      </c>
      <c r="D10" s="79" t="n">
        <v>1313000</v>
      </c>
      <c r="E10" s="80" t="n">
        <v>0.245362096235032</v>
      </c>
      <c r="F10" s="74"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9" t="n">
        <v>1274327.16356137</v>
      </c>
      <c r="C11" s="80" t="n">
        <v>0.2381352506783397</v>
      </c>
      <c r="D11" s="79" t="n">
        <v>1274327.16356137</v>
      </c>
      <c r="E11" s="80" t="n">
        <v>0.2381352506783397</v>
      </c>
      <c r="F11" s="74" t="inlineStr">
        <is>
          <t>Non-liquid</t>
        </is>
      </c>
      <c r="G11" s="80" t="n">
        <v>0.2</v>
      </c>
      <c r="H11" s="12" t="inlineStr">
        <is>
          <t>✓ Covered</t>
        </is>
      </c>
      <c r="I11" s="12" t="inlineStr">
        <is>
          <t>✓ Covered</t>
        </is>
      </c>
    </row>
    <row r="12" ht="45" customHeight="1">
      <c r="A12" s="12" t="inlineStr">
        <is>
          <t>International</t>
        </is>
      </c>
      <c r="B12" s="79" t="n">
        <v>910327.1116479998</v>
      </c>
      <c r="C12" s="80" t="n">
        <v>0.1701140657833475</v>
      </c>
      <c r="D12" s="81" t="n">
        <v>690987.1116479998</v>
      </c>
      <c r="E12" s="82" t="n">
        <v>0.129125701588228</v>
      </c>
      <c r="F12" s="12" t="inlineStr">
        <is>
          <t>Liquid</t>
        </is>
      </c>
      <c r="G12" s="80" t="n">
        <v>0.2</v>
      </c>
      <c r="H12" s="12" t="inlineStr">
        <is>
          <t>✓</t>
        </is>
      </c>
      <c r="I12" s="75" t="inlineStr">
        <is>
          <t>Under 7.1%</t>
        </is>
      </c>
    </row>
    <row r="13" ht="45" customHeight="1">
      <c r="A13" s="12" t="inlineStr">
        <is>
          <t>US Small Cap</t>
        </is>
      </c>
      <c r="B13" s="79" t="n">
        <v>309683.143654</v>
      </c>
      <c r="C13" s="80" t="n">
        <v>0.05787091035460776</v>
      </c>
      <c r="D13" s="81" t="n">
        <v>172747.143654</v>
      </c>
      <c r="E13" s="82" t="n">
        <v>0.0322814937437621</v>
      </c>
      <c r="F13" s="12" t="inlineStr">
        <is>
          <t>Liquid</t>
        </is>
      </c>
      <c r="G13" s="80" t="n">
        <v>0.05</v>
      </c>
      <c r="H13" s="12" t="inlineStr">
        <is>
          <t>✓</t>
        </is>
      </c>
      <c r="I13" s="75" t="inlineStr">
        <is>
          <t>✓</t>
        </is>
      </c>
    </row>
    <row r="14" ht="45" customHeight="1">
      <c r="A14" s="12" t="inlineStr">
        <is>
          <t>Commodities</t>
        </is>
      </c>
      <c r="B14" s="79" t="n">
        <v>166714.35</v>
      </c>
      <c r="C14" s="80" t="n">
        <v>0.03115413738648956</v>
      </c>
      <c r="D14" s="81" t="n">
        <v>172746.35</v>
      </c>
      <c r="E14" s="82" t="n">
        <v>0.03228134543255941</v>
      </c>
      <c r="F14" s="12" t="inlineStr">
        <is>
          <t>Liquid</t>
        </is>
      </c>
      <c r="G14" s="80" t="n">
        <v>0.05</v>
      </c>
      <c r="H14" s="12" t="inlineStr">
        <is>
          <t>✓</t>
        </is>
      </c>
      <c r="I14" s="75" t="inlineStr">
        <is>
          <t>✓</t>
        </is>
      </c>
    </row>
    <row r="15" ht="45" customHeight="1">
      <c r="A15" s="12" t="inlineStr">
        <is>
          <t>Cash</t>
        </is>
      </c>
      <c r="B15" s="79" t="n">
        <v>19984.61</v>
      </c>
      <c r="C15" s="80" t="n">
        <v>0.003734551258217504</v>
      </c>
      <c r="D15" s="81" t="n">
        <v>172746.61</v>
      </c>
      <c r="E15" s="82" t="n">
        <v>0.03228139401911312</v>
      </c>
      <c r="F15" s="12" t="inlineStr">
        <is>
          <t>Liquid</t>
        </is>
      </c>
      <c r="G15" s="80" t="n">
        <v>0.05</v>
      </c>
      <c r="H15" s="12" t="inlineStr">
        <is>
          <t>Under 4.6%</t>
        </is>
      </c>
      <c r="I15" s="75" t="inlineStr">
        <is>
          <t>✓</t>
        </is>
      </c>
    </row>
    <row r="16" ht="45" customHeight="1">
      <c r="A16" s="12" t="inlineStr">
        <is>
          <t>Bonds</t>
        </is>
      </c>
      <c r="B16" s="79" t="n">
        <v>0</v>
      </c>
      <c r="C16" s="80" t="n">
        <v>0</v>
      </c>
      <c r="D16" s="79" t="n">
        <v>0</v>
      </c>
      <c r="E16" s="80" t="n">
        <v>0</v>
      </c>
      <c r="F16" s="12" t="inlineStr">
        <is>
          <t>Liquid</t>
        </is>
      </c>
      <c r="G16" s="80" t="n">
        <v>0.15</v>
      </c>
      <c r="H16" s="12" t="inlineStr">
        <is>
          <t>✓ Covered by fixed-income coverage</t>
        </is>
      </c>
      <c r="I16" s="12" t="inlineStr">
        <is>
          <t>✓ Covered by fixed-income coverage</t>
        </is>
      </c>
    </row>
    <row r="17" ht="45" customHeight="1">
      <c r="A17" s="12" t="inlineStr">
        <is>
          <t>Emerging Markets</t>
        </is>
      </c>
      <c r="B17" s="79" t="n">
        <v>0</v>
      </c>
      <c r="C17" s="80" t="n">
        <v>0</v>
      </c>
      <c r="D17" s="81" t="n">
        <v>172747</v>
      </c>
      <c r="E17" s="82" t="n">
        <v>0.03228146689894369</v>
      </c>
      <c r="F17" s="12" t="inlineStr">
        <is>
          <t>Liquid</t>
        </is>
      </c>
      <c r="G17" s="80" t="n">
        <v>0.05</v>
      </c>
      <c r="H17" s="12" t="inlineStr">
        <is>
          <t>Under 5.0%</t>
        </is>
      </c>
      <c r="I17" s="75" t="inlineStr">
        <is>
          <t>✓</t>
        </is>
      </c>
    </row>
    <row r="18" ht="45" customHeight="1">
      <c r="A18" s="12" t="inlineStr">
        <is>
          <t>Municipal Bonds</t>
        </is>
      </c>
      <c r="B18" s="79" t="n">
        <v>0</v>
      </c>
      <c r="C18" s="80" t="n">
        <v>0</v>
      </c>
      <c r="D18" s="79" t="n">
        <v>0</v>
      </c>
      <c r="E18" s="80" t="n">
        <v>0</v>
      </c>
      <c r="F18" s="12" t="inlineStr">
        <is>
          <t>Liquid</t>
        </is>
      </c>
      <c r="G18" s="64" t="inlineStr"/>
      <c r="H18" s="12" t="inlineStr">
        <is>
          <t>✓ Covered by fixed-income coverage</t>
        </is>
      </c>
      <c r="I18" s="12" t="inlineStr">
        <is>
          <t>✓ Covered by fixed-income coverage</t>
        </is>
      </c>
    </row>
    <row r="19" ht="15" customHeight="1">
      <c r="A19" s="12" t="inlineStr">
        <is>
          <t>REITs</t>
        </is>
      </c>
      <c r="B19" s="79" t="n">
        <v>0</v>
      </c>
      <c r="C19" s="80" t="n">
        <v>0</v>
      </c>
      <c r="D19" s="79" t="n">
        <v>0</v>
      </c>
      <c r="E19" s="80" t="n">
        <v>0</v>
      </c>
      <c r="F19" s="12" t="inlineStr">
        <is>
          <t>Liquid</t>
        </is>
      </c>
      <c r="G19" s="64" t="inlineStr"/>
      <c r="H19" s="33" t="inlineStr"/>
      <c r="I19" s="33" t="inlineStr"/>
    </row>
    <row r="20" ht="45" customHeight="1">
      <c r="A20" s="12" t="inlineStr">
        <is>
          <t>Short-Term Bonds</t>
        </is>
      </c>
      <c r="B20" s="79" t="n">
        <v>0</v>
      </c>
      <c r="C20" s="80" t="n">
        <v>0</v>
      </c>
      <c r="D20" s="79" t="n">
        <v>0</v>
      </c>
      <c r="E20" s="80" t="n">
        <v>0</v>
      </c>
      <c r="F20" s="12" t="inlineStr">
        <is>
          <t>Liquid</t>
        </is>
      </c>
      <c r="G20" s="80" t="n">
        <v>0.05</v>
      </c>
      <c r="H20" s="12" t="inlineStr">
        <is>
          <t>✓ Covered by fixed-income coverage</t>
        </is>
      </c>
      <c r="I20" s="12" t="inlineStr">
        <is>
          <t>✓ Covered by fixed-income coverage</t>
        </is>
      </c>
    </row>
    <row r="21" ht="45" customHeight="1">
      <c r="A21" s="12" t="inlineStr">
        <is>
          <t>TIPS</t>
        </is>
      </c>
      <c r="B21" s="79" t="n">
        <v>0</v>
      </c>
      <c r="C21" s="80" t="n">
        <v>0</v>
      </c>
      <c r="D21" s="79" t="n">
        <v>0</v>
      </c>
      <c r="E21" s="80"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9" t="n">
        <v>0</v>
      </c>
      <c r="C22" s="80" t="n">
        <v>0</v>
      </c>
      <c r="D22" s="81" t="n">
        <v>172747</v>
      </c>
      <c r="E22" s="82" t="n">
        <v>0.03228146689894369</v>
      </c>
      <c r="F22" s="12" t="inlineStr">
        <is>
          <t>Liquid</t>
        </is>
      </c>
      <c r="G22" s="80" t="n">
        <v>0.05</v>
      </c>
      <c r="H22" s="12" t="inlineStr">
        <is>
          <t>Under 5.0%</t>
        </is>
      </c>
      <c r="I22" s="75" t="inlineStr">
        <is>
          <t>✓</t>
        </is>
      </c>
    </row>
    <row r="23" ht="30" customHeight="1">
      <c r="A23" s="2" t="inlineStr">
        <is>
          <t>TOTAL PORTFOLIO</t>
        </is>
      </c>
      <c r="B23" s="83" t="n">
        <v>5351274.789983369</v>
      </c>
      <c r="C23" s="84" t="n">
        <v>1</v>
      </c>
      <c r="D23" s="83" t="n">
        <v>5351274.789983369</v>
      </c>
      <c r="E23" s="84" t="n">
        <v>1</v>
      </c>
    </row>
    <row r="24"/>
    <row r="25" ht="30" customHeight="1">
      <c r="A25" s="2" t="inlineStr">
        <is>
          <t>Non-Liquid Coverage:</t>
        </is>
      </c>
    </row>
    <row r="26" ht="45" customHeight="1">
      <c r="A26" s="12" t="inlineStr">
        <is>
          <t>Fixed Income Coverage: selected guaranteed/bond-like assets cover 23.8%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24.5%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8"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8" t="inlineStr">
        <is>
          <t>CACHE — as of 07/03/2026 11:32 AM</t>
        </is>
      </c>
      <c r="C32" s="12" t="inlineStr">
        <is>
          <t>Cached quotes were used as of 07/03/2026 11:32 AM; cache TTL is 24.0 hours. CACHE mode checks the cache before calling live providers; the cache is still valid until 07/04/2026 11:32 AM. Ticker-level source counts: cash: 1, fresh_cache_24h_from_yahoo: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80" t="n">
        <v>0.4374999999999999</v>
      </c>
      <c r="C37" s="80" t="n">
        <v>0.612712653784277</v>
      </c>
      <c r="D37" s="87" t="n">
        <v>0.4374999999999999</v>
      </c>
      <c r="E37" s="12" t="inlineStr">
        <is>
          <t>Included in selected liquid target recommendation.</t>
        </is>
      </c>
      <c r="F37" s="4" t="n"/>
    </row>
    <row r="38" ht="45" customHeight="1">
      <c r="A38" s="12" t="inlineStr">
        <is>
          <t>US Mid Cap</t>
        </is>
      </c>
      <c r="B38" s="80" t="n">
        <v>0.0625</v>
      </c>
      <c r="C38" s="80" t="n">
        <v>0</v>
      </c>
      <c r="D38" s="87" t="n">
        <v>0.0625</v>
      </c>
      <c r="E38" s="12" t="inlineStr">
        <is>
          <t>Included in selected liquid target recommendation.</t>
        </is>
      </c>
      <c r="F38" s="4" t="n"/>
    </row>
    <row r="39" ht="45" customHeight="1">
      <c r="A39" s="12" t="inlineStr">
        <is>
          <t>US Small Cap</t>
        </is>
      </c>
      <c r="B39" s="80" t="n">
        <v>0.0625</v>
      </c>
      <c r="C39" s="80" t="n">
        <v>0</v>
      </c>
      <c r="D39" s="87" t="n">
        <v>0.0625</v>
      </c>
      <c r="E39" s="12" t="inlineStr">
        <is>
          <t>Included in selected liquid target recommendation.</t>
        </is>
      </c>
      <c r="F39" s="4" t="n"/>
    </row>
    <row r="40" ht="45" customHeight="1">
      <c r="A40" s="12" t="inlineStr">
        <is>
          <t>International</t>
        </is>
      </c>
      <c r="B40" s="80" t="n">
        <v>0.25</v>
      </c>
      <c r="C40" s="80" t="n">
        <v>0.2168060159544365</v>
      </c>
      <c r="D40" s="87" t="n">
        <v>0.25</v>
      </c>
      <c r="E40" s="12" t="inlineStr">
        <is>
          <t>Included in selected liquid target recommendation.</t>
        </is>
      </c>
      <c r="F40" s="4" t="n"/>
    </row>
    <row r="41" ht="45" customHeight="1">
      <c r="A41" s="12" t="inlineStr">
        <is>
          <t>Emerging Markets</t>
        </is>
      </c>
      <c r="B41" s="80" t="n">
        <v>0.0625</v>
      </c>
      <c r="C41" s="80" t="n">
        <v>0</v>
      </c>
      <c r="D41" s="87" t="n">
        <v>0.0625</v>
      </c>
      <c r="E41" s="12" t="inlineStr">
        <is>
          <t>Included in selected liquid target recommendation.</t>
        </is>
      </c>
      <c r="F41" s="4" t="n"/>
    </row>
    <row r="42" ht="45" customHeight="1">
      <c r="A42" s="12" t="inlineStr">
        <is>
          <t>Commodities</t>
        </is>
      </c>
      <c r="B42" s="80" t="n">
        <v>0.0625</v>
      </c>
      <c r="C42" s="80" t="n">
        <v>0.1131161822370973</v>
      </c>
      <c r="D42" s="87" t="n">
        <v>0.0625</v>
      </c>
      <c r="E42" s="12" t="inlineStr">
        <is>
          <t>Included in selected liquid target recommendation.</t>
        </is>
      </c>
      <c r="F42" s="4" t="n"/>
    </row>
    <row r="43" ht="90" customHeight="1">
      <c r="A43" s="12" t="inlineStr">
        <is>
          <t>Bonds</t>
        </is>
      </c>
      <c r="B43" s="88" t="n">
        <v>0.15</v>
      </c>
      <c r="C43" s="88" t="n">
        <v>0.0127757876522447</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0.005678127845442088</v>
      </c>
      <c r="D44" s="89" t="n">
        <v>0.05</v>
      </c>
      <c r="E44" s="12" t="inlineStr">
        <is>
          <t>Covered by Pension, Annuities, Note Receivable; initial target is shown but not counted in the 100% liquid recommendation.</t>
        </is>
      </c>
      <c r="F44" s="4" t="n"/>
    </row>
    <row r="45" ht="30" customHeight="1">
      <c r="A45" s="12" t="inlineStr">
        <is>
          <t>TIPS</t>
        </is>
      </c>
      <c r="B45" s="80" t="n">
        <v>0</v>
      </c>
      <c r="C45" s="80" t="n">
        <v>0</v>
      </c>
      <c r="D45" s="87" t="n">
        <v>0</v>
      </c>
      <c r="E45" s="12" t="inlineStr">
        <is>
          <t>No selected liquid target.</t>
        </is>
      </c>
      <c r="F45" s="4" t="n"/>
    </row>
    <row r="46" ht="30" customHeight="1">
      <c r="A46" s="12" t="inlineStr">
        <is>
          <t>Municipal Bonds</t>
        </is>
      </c>
      <c r="B46" s="80" t="n">
        <v>0</v>
      </c>
      <c r="C46" s="80" t="n">
        <v>0</v>
      </c>
      <c r="D46" s="87" t="n">
        <v>0</v>
      </c>
      <c r="E46" s="12" t="inlineStr">
        <is>
          <t>No selected liquid target.</t>
        </is>
      </c>
      <c r="F46" s="4" t="n"/>
    </row>
    <row r="47" ht="45" customHeight="1">
      <c r="A47" s="12" t="inlineStr">
        <is>
          <t>Managed Futures</t>
        </is>
      </c>
      <c r="B47" s="80" t="n">
        <v>0</v>
      </c>
      <c r="C47" s="80" t="n">
        <v>0</v>
      </c>
      <c r="D47" s="87" t="n">
        <v>0</v>
      </c>
      <c r="E47" s="12" t="inlineStr">
        <is>
          <t>Excluded from recommendation by UI selection.</t>
        </is>
      </c>
      <c r="F47" s="4" t="n"/>
    </row>
    <row r="48" ht="45" customHeight="1">
      <c r="A48" s="12" t="inlineStr">
        <is>
          <t>Private Credit</t>
        </is>
      </c>
      <c r="B48" s="80" t="n">
        <v>0</v>
      </c>
      <c r="C48" s="80" t="n">
        <v>0</v>
      </c>
      <c r="D48" s="87" t="n">
        <v>0</v>
      </c>
      <c r="E48" s="12" t="inlineStr">
        <is>
          <t>Excluded from recommendation by UI selection.</t>
        </is>
      </c>
      <c r="F48" s="4" t="n"/>
    </row>
    <row r="49" ht="30" customHeight="1">
      <c r="A49" s="12" t="inlineStr">
        <is>
          <t>REITs</t>
        </is>
      </c>
      <c r="B49" s="80" t="n">
        <v>0</v>
      </c>
      <c r="C49" s="80" t="n">
        <v>0</v>
      </c>
      <c r="D49" s="87" t="n">
        <v>0</v>
      </c>
      <c r="E49" s="12" t="inlineStr">
        <is>
          <t>No selected liquid target.</t>
        </is>
      </c>
      <c r="F49" s="4" t="n"/>
    </row>
    <row r="50" ht="45" customHeight="1">
      <c r="A50" s="12" t="inlineStr">
        <is>
          <t>Cash</t>
        </is>
      </c>
      <c r="B50" s="80" t="n">
        <v>0.0625</v>
      </c>
      <c r="C50" s="80" t="n">
        <v>0.0573651480241892</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45.0%</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4.6%</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80" t="n">
        <v>0.4374999999999999</v>
      </c>
      <c r="C66" s="79" t="n">
        <v>1357238.41112</v>
      </c>
      <c r="D66" s="80" t="n">
        <v>0.4910506979746858</v>
      </c>
      <c r="E66" s="90" t="n">
        <v>0.05355069797468587</v>
      </c>
      <c r="F66" s="12" t="inlineStr">
        <is>
          <t>Rebalance</t>
        </is>
      </c>
    </row>
    <row r="67" ht="30" customHeight="1">
      <c r="A67" s="12" t="inlineStr">
        <is>
          <t>International</t>
        </is>
      </c>
      <c r="B67" s="80" t="n">
        <v>0.25</v>
      </c>
      <c r="C67" s="79" t="n">
        <v>910327.1116479998</v>
      </c>
      <c r="D67" s="80" t="n">
        <v>0.329357583676953</v>
      </c>
      <c r="E67" s="90" t="n">
        <v>0.079357583676953</v>
      </c>
      <c r="F67" s="12" t="inlineStr">
        <is>
          <t>Rebalance</t>
        </is>
      </c>
    </row>
    <row r="68" ht="45" customHeight="1">
      <c r="A68" s="12" t="inlineStr">
        <is>
          <t>US Small Cap</t>
        </is>
      </c>
      <c r="B68" s="80" t="n">
        <v>0.0625</v>
      </c>
      <c r="C68" s="79" t="n">
        <v>309683.143654</v>
      </c>
      <c r="D68" s="80" t="n">
        <v>0.1120437813993214</v>
      </c>
      <c r="E68" s="90" t="n">
        <v>0.04954378139932143</v>
      </c>
      <c r="F68" s="12" t="inlineStr">
        <is>
          <t>Rebalance</t>
        </is>
      </c>
    </row>
    <row r="69" ht="45" customHeight="1">
      <c r="A69" s="12" t="inlineStr">
        <is>
          <t>Commodities</t>
        </is>
      </c>
      <c r="B69" s="80" t="n">
        <v>0.0625</v>
      </c>
      <c r="C69" s="79" t="n">
        <v>166714.35</v>
      </c>
      <c r="D69" s="80" t="n">
        <v>0.06031747794577998</v>
      </c>
      <c r="E69" s="80" t="n">
        <v>-0.002182522054220017</v>
      </c>
      <c r="F69" s="12" t="inlineStr">
        <is>
          <t>Hold</t>
        </is>
      </c>
    </row>
    <row r="70" ht="45" customHeight="1">
      <c r="A70" s="12" t="inlineStr">
        <is>
          <t>Cash</t>
        </is>
      </c>
      <c r="B70" s="80" t="n">
        <v>0.0625</v>
      </c>
      <c r="C70" s="79" t="n">
        <v>19984.61</v>
      </c>
      <c r="D70" s="80" t="n">
        <v>0.007230459003259253</v>
      </c>
      <c r="E70" s="90" t="n">
        <v>-0.05526954099674074</v>
      </c>
      <c r="F70" s="12" t="inlineStr">
        <is>
          <t>Rebalance</t>
        </is>
      </c>
    </row>
    <row r="71" ht="15" customHeight="1">
      <c r="A71" s="12" t="inlineStr">
        <is>
          <t>Bonds</t>
        </is>
      </c>
      <c r="B71" s="80" t="n">
        <v>0</v>
      </c>
      <c r="C71" s="79" t="n">
        <v>0</v>
      </c>
      <c r="D71" s="80" t="n">
        <v>0</v>
      </c>
      <c r="E71" s="80" t="n">
        <v>0</v>
      </c>
      <c r="F71" s="12" t="inlineStr">
        <is>
          <t>Covered</t>
        </is>
      </c>
    </row>
    <row r="72" ht="30" customHeight="1">
      <c r="A72" s="12" t="inlineStr">
        <is>
          <t>Emerging Markets</t>
        </is>
      </c>
      <c r="B72" s="80" t="n">
        <v>0.0625</v>
      </c>
      <c r="C72" s="79" t="n">
        <v>0</v>
      </c>
      <c r="D72" s="80" t="n">
        <v>0</v>
      </c>
      <c r="E72" s="90" t="n">
        <v>-0.0625</v>
      </c>
      <c r="F72" s="12" t="inlineStr">
        <is>
          <t>Rebalance</t>
        </is>
      </c>
    </row>
    <row r="73" ht="30" customHeight="1">
      <c r="A73" s="12" t="inlineStr">
        <is>
          <t>Municipal Bonds</t>
        </is>
      </c>
      <c r="B73" s="80" t="n">
        <v>0</v>
      </c>
      <c r="C73" s="79" t="n">
        <v>0</v>
      </c>
      <c r="D73" s="80" t="n">
        <v>0</v>
      </c>
      <c r="E73" s="80" t="n">
        <v>0</v>
      </c>
      <c r="F73" s="12" t="inlineStr">
        <is>
          <t>Covered</t>
        </is>
      </c>
    </row>
    <row r="74" ht="15" customHeight="1">
      <c r="A74" s="12" t="inlineStr">
        <is>
          <t>REITs</t>
        </is>
      </c>
      <c r="B74" s="80" t="n">
        <v>0</v>
      </c>
      <c r="C74" s="79" t="n">
        <v>0</v>
      </c>
      <c r="D74" s="80" t="n">
        <v>0</v>
      </c>
      <c r="E74" s="80" t="n">
        <v>0</v>
      </c>
      <c r="F74" s="12" t="inlineStr">
        <is>
          <t>Hold</t>
        </is>
      </c>
    </row>
    <row r="75" ht="30" customHeight="1">
      <c r="A75" s="12" t="inlineStr">
        <is>
          <t>Short-Term Bonds</t>
        </is>
      </c>
      <c r="B75" s="80" t="n">
        <v>0</v>
      </c>
      <c r="C75" s="79" t="n">
        <v>0</v>
      </c>
      <c r="D75" s="80" t="n">
        <v>0</v>
      </c>
      <c r="E75" s="80" t="n">
        <v>0</v>
      </c>
      <c r="F75" s="12" t="inlineStr">
        <is>
          <t>Covered</t>
        </is>
      </c>
    </row>
    <row r="76" ht="15" customHeight="1">
      <c r="A76" s="12" t="inlineStr">
        <is>
          <t>TIPS</t>
        </is>
      </c>
      <c r="B76" s="80" t="n">
        <v>0</v>
      </c>
      <c r="C76" s="79" t="n">
        <v>0</v>
      </c>
      <c r="D76" s="80" t="n">
        <v>0</v>
      </c>
      <c r="E76" s="80" t="n">
        <v>0</v>
      </c>
      <c r="F76" s="12" t="inlineStr">
        <is>
          <t>Covered</t>
        </is>
      </c>
    </row>
    <row r="77" ht="15" customHeight="1">
      <c r="A77" s="12" t="inlineStr">
        <is>
          <t>US Mid Cap</t>
        </is>
      </c>
      <c r="B77" s="80" t="n">
        <v>0.0625</v>
      </c>
      <c r="C77" s="79" t="n">
        <v>0</v>
      </c>
      <c r="D77" s="80"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80" t="n">
        <v>0.0625</v>
      </c>
      <c r="C82" s="79"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80" t="n">
        <v>0.0625</v>
      </c>
      <c r="C83" s="79"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0.0008556479093536615</v>
      </c>
      <c r="C92" s="12" t="inlineStr">
        <is>
          <t>Annual fee drag: $2,365</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Matthew 401k</t>
        </is>
      </c>
      <c r="B97" s="3" t="n"/>
      <c r="C97" s="3" t="n"/>
      <c r="D97" s="4" t="n"/>
      <c r="E97" s="93" t="n">
        <v>14934.4</v>
      </c>
      <c r="F97" s="92" t="inlineStr">
        <is>
          <t>Account Total</t>
        </is>
      </c>
      <c r="G97" s="92" t="inlineStr">
        <is>
          <t>Sources:</t>
        </is>
      </c>
      <c r="H97" s="75" t="inlineStr">
        <is>
          <t>cash, fresh_cache_24h_from_yahoo</t>
        </is>
      </c>
    </row>
    <row r="98" ht="45" customHeight="1">
      <c r="A98" s="33" t="inlineStr"/>
      <c r="B98" s="12" t="inlineStr">
        <is>
          <t>AVUV</t>
        </is>
      </c>
      <c r="C98" s="94" t="n">
        <v>88</v>
      </c>
      <c r="D98" s="79" t="n">
        <v>123.51</v>
      </c>
      <c r="E98" s="79" t="n">
        <v>10868.88</v>
      </c>
      <c r="F98" s="80" t="n">
        <v>0.003932375525534121</v>
      </c>
      <c r="G98" s="12" t="inlineStr">
        <is>
          <t>US Small Cap</t>
        </is>
      </c>
      <c r="H98" s="12" t="inlineStr">
        <is>
          <t>fresh_cache_24h_from_yahoo</t>
        </is>
      </c>
    </row>
    <row r="99" ht="45" customHeight="1">
      <c r="A99" s="33" t="inlineStr"/>
      <c r="B99" s="12" t="inlineStr">
        <is>
          <t>CASH</t>
        </is>
      </c>
      <c r="C99" s="94" t="n">
        <v>4065.52</v>
      </c>
      <c r="D99" s="79" t="n">
        <v>1</v>
      </c>
      <c r="E99" s="79" t="n">
        <v>4065.52</v>
      </c>
      <c r="F99" s="80" t="n">
        <v>0.001470910650091774</v>
      </c>
      <c r="G99" s="12" t="inlineStr">
        <is>
          <t>Cash</t>
        </is>
      </c>
      <c r="H99" s="12" t="inlineStr">
        <is>
          <t>cash</t>
        </is>
      </c>
    </row>
    <row r="100"/>
    <row r="101" ht="45" customHeight="1">
      <c r="A101" s="92" t="inlineStr">
        <is>
          <t>Matthew HSA</t>
        </is>
      </c>
      <c r="B101" s="3" t="n"/>
      <c r="C101" s="3" t="n"/>
      <c r="D101" s="4" t="n"/>
      <c r="E101" s="93" t="n">
        <v>72070.00887999999</v>
      </c>
      <c r="F101" s="92" t="inlineStr">
        <is>
          <t>Account Total</t>
        </is>
      </c>
      <c r="G101" s="92" t="inlineStr">
        <is>
          <t>Sources:</t>
        </is>
      </c>
      <c r="H101" s="75" t="inlineStr">
        <is>
          <t>cash, fresh_cache_24h_from_yahoo</t>
        </is>
      </c>
    </row>
    <row r="102" ht="45" customHeight="1">
      <c r="A102" s="33" t="inlineStr"/>
      <c r="B102" s="12" t="inlineStr">
        <is>
          <t>CASH</t>
        </is>
      </c>
      <c r="C102" s="94" t="n">
        <v>279.59</v>
      </c>
      <c r="D102" s="79" t="n">
        <v>1</v>
      </c>
      <c r="E102" s="79" t="n">
        <v>279.59</v>
      </c>
      <c r="F102" s="80" t="n">
        <v>0.0001011560412097736</v>
      </c>
      <c r="G102" s="12" t="inlineStr">
        <is>
          <t>Cash</t>
        </is>
      </c>
      <c r="H102" s="12" t="inlineStr">
        <is>
          <t>cash</t>
        </is>
      </c>
    </row>
    <row r="103" ht="45" customHeight="1">
      <c r="A103" s="33" t="inlineStr"/>
      <c r="B103" s="12" t="inlineStr">
        <is>
          <t>ITOT</t>
        </is>
      </c>
      <c r="C103" s="94" t="n">
        <v>438.388</v>
      </c>
      <c r="D103" s="79" t="n">
        <v>163.76</v>
      </c>
      <c r="E103" s="79" t="n">
        <v>71790.41888</v>
      </c>
      <c r="F103" s="80" t="n">
        <v>0.02597387092060586</v>
      </c>
      <c r="G103" s="12" t="inlineStr">
        <is>
          <t>US Large Cap</t>
        </is>
      </c>
      <c r="H103" s="12" t="inlineStr">
        <is>
          <t>fresh_cache_24h_from_yahoo</t>
        </is>
      </c>
    </row>
    <row r="104"/>
    <row r="105" ht="45" customHeight="1">
      <c r="A105" s="92" t="inlineStr">
        <is>
          <t>Matthew IRA</t>
        </is>
      </c>
      <c r="B105" s="3" t="n"/>
      <c r="C105" s="3" t="n"/>
      <c r="D105" s="4" t="n"/>
      <c r="E105" s="93" t="n">
        <v>1331690.46142</v>
      </c>
      <c r="F105" s="92" t="inlineStr">
        <is>
          <t>Account Total</t>
        </is>
      </c>
      <c r="G105" s="92" t="inlineStr">
        <is>
          <t>Sources:</t>
        </is>
      </c>
      <c r="H105" s="75" t="inlineStr">
        <is>
          <t>cash, fresh_cache_24h_from_yahoo</t>
        </is>
      </c>
    </row>
    <row r="106" ht="30" customHeight="1">
      <c r="A106" s="33" t="inlineStr"/>
      <c r="B106" s="12" t="inlineStr">
        <is>
          <t>AVUV</t>
        </is>
      </c>
      <c r="C106" s="94" t="n">
        <v>855.082</v>
      </c>
      <c r="D106" s="79" t="n">
        <v>123.51</v>
      </c>
      <c r="E106" s="79" t="n">
        <v>105611.17782</v>
      </c>
      <c r="F106" s="80" t="n">
        <v>0.0382102673764178</v>
      </c>
      <c r="G106" s="12" t="inlineStr">
        <is>
          <t>US Small Cap</t>
        </is>
      </c>
      <c r="H106" s="12" t="inlineStr">
        <is>
          <t>fresh_cache_24h_from_yahoo</t>
        </is>
      </c>
    </row>
    <row r="107" ht="45" customHeight="1">
      <c r="A107" s="33" t="inlineStr"/>
      <c r="B107" s="12" t="inlineStr">
        <is>
          <t>CASH</t>
        </is>
      </c>
      <c r="C107" s="94" t="n">
        <v>67.36</v>
      </c>
      <c r="D107" s="79" t="n">
        <v>1</v>
      </c>
      <c r="E107" s="79" t="n">
        <v>67.36</v>
      </c>
      <c r="F107" s="80" t="n">
        <v>2.437093936081531e-05</v>
      </c>
      <c r="G107" s="12" t="inlineStr">
        <is>
          <t>Cash</t>
        </is>
      </c>
      <c r="H107" s="12" t="inlineStr">
        <is>
          <t>cash</t>
        </is>
      </c>
    </row>
    <row r="108" ht="30" customHeight="1">
      <c r="A108" s="33" t="inlineStr"/>
      <c r="B108" s="12" t="inlineStr">
        <is>
          <t>ITOT</t>
        </is>
      </c>
      <c r="C108" s="94" t="n">
        <v>3930.015</v>
      </c>
      <c r="D108" s="79" t="n">
        <v>163.76</v>
      </c>
      <c r="E108" s="79" t="n">
        <v>643579.2564</v>
      </c>
      <c r="F108" s="80" t="n">
        <v>0.2328478478563392</v>
      </c>
      <c r="G108" s="12" t="inlineStr">
        <is>
          <t>US Large Cap</t>
        </is>
      </c>
      <c r="H108" s="12" t="inlineStr">
        <is>
          <t>fresh_cache_24h_from_yahoo</t>
        </is>
      </c>
    </row>
    <row r="109" ht="45" customHeight="1">
      <c r="A109" s="33" t="inlineStr"/>
      <c r="B109" s="12" t="inlineStr">
        <is>
          <t>IXUS</t>
        </is>
      </c>
      <c r="C109" s="94" t="n">
        <v>4946.01</v>
      </c>
      <c r="D109" s="79" t="n">
        <v>94.72</v>
      </c>
      <c r="E109" s="79" t="n">
        <v>468486.0672</v>
      </c>
      <c r="F109" s="80" t="n">
        <v>0.169498894523724</v>
      </c>
      <c r="G109" s="12" t="inlineStr">
        <is>
          <t>International</t>
        </is>
      </c>
      <c r="H109" s="12" t="inlineStr">
        <is>
          <t>fresh_cache_24h_from_yahoo</t>
        </is>
      </c>
    </row>
    <row r="110" ht="45" customHeight="1">
      <c r="A110" s="33" t="inlineStr"/>
      <c r="B110" s="12" t="inlineStr">
        <is>
          <t>PDBC</t>
        </is>
      </c>
      <c r="C110" s="94" t="n">
        <v>7180</v>
      </c>
      <c r="D110" s="79" t="n">
        <v>15.87</v>
      </c>
      <c r="E110" s="79" t="n">
        <v>113946.6</v>
      </c>
      <c r="F110" s="80" t="n">
        <v>0.04122603442653025</v>
      </c>
      <c r="G110" s="12" t="inlineStr">
        <is>
          <t>Commodities</t>
        </is>
      </c>
      <c r="H110" s="12" t="inlineStr">
        <is>
          <t>fresh_cache_24h_from_yahoo</t>
        </is>
      </c>
    </row>
    <row r="111"/>
    <row r="112" ht="45" customHeight="1">
      <c r="A112" s="92" t="inlineStr">
        <is>
          <t>Matthew Roth</t>
        </is>
      </c>
      <c r="B112" s="3" t="n"/>
      <c r="C112" s="3" t="n"/>
      <c r="D112" s="4" t="n"/>
      <c r="E112" s="93" t="n">
        <v>138318.17527</v>
      </c>
      <c r="F112" s="92" t="inlineStr">
        <is>
          <t>Account Total</t>
        </is>
      </c>
      <c r="G112" s="92" t="inlineStr">
        <is>
          <t>Sources:</t>
        </is>
      </c>
      <c r="H112" s="75" t="inlineStr">
        <is>
          <t>cash, fresh_cache_24h_from_yahoo</t>
        </is>
      </c>
    </row>
    <row r="113" ht="45" customHeight="1">
      <c r="A113" s="33" t="inlineStr"/>
      <c r="B113" s="12" t="inlineStr">
        <is>
          <t>AVUV</t>
        </is>
      </c>
      <c r="C113" s="94" t="n">
        <v>505.713</v>
      </c>
      <c r="D113" s="79" t="n">
        <v>123.51</v>
      </c>
      <c r="E113" s="79" t="n">
        <v>62460.61263</v>
      </c>
      <c r="F113" s="80" t="n">
        <v>0.02259833436527768</v>
      </c>
      <c r="G113" s="12" t="inlineStr">
        <is>
          <t>US Small Cap</t>
        </is>
      </c>
      <c r="H113" s="12" t="inlineStr">
        <is>
          <t>fresh_cache_24h_from_yahoo</t>
        </is>
      </c>
    </row>
    <row r="114" ht="45" customHeight="1">
      <c r="A114" s="33" t="inlineStr"/>
      <c r="B114" s="12" t="inlineStr">
        <is>
          <t>CASH</t>
        </is>
      </c>
      <c r="C114" s="94" t="n">
        <v>10.09</v>
      </c>
      <c r="D114" s="79" t="n">
        <v>1</v>
      </c>
      <c r="E114" s="79" t="n">
        <v>10.09</v>
      </c>
      <c r="F114" s="80" t="n">
        <v>3.650575685134004e-06</v>
      </c>
      <c r="G114" s="12" t="inlineStr">
        <is>
          <t>Cash</t>
        </is>
      </c>
      <c r="H114" s="12" t="inlineStr">
        <is>
          <t>cash</t>
        </is>
      </c>
    </row>
    <row r="115" ht="45" customHeight="1">
      <c r="A115" s="33" t="inlineStr"/>
      <c r="B115" s="12" t="inlineStr">
        <is>
          <t>ITOT</t>
        </is>
      </c>
      <c r="C115" s="94" t="n">
        <v>173.216</v>
      </c>
      <c r="D115" s="79" t="n">
        <v>163.76</v>
      </c>
      <c r="E115" s="79" t="n">
        <v>28365.85216</v>
      </c>
      <c r="F115" s="80" t="n">
        <v>0.01026280378428165</v>
      </c>
      <c r="G115" s="12" t="inlineStr">
        <is>
          <t>US Large Cap</t>
        </is>
      </c>
      <c r="H115" s="12" t="inlineStr">
        <is>
          <t>fresh_cache_24h_from_yahoo</t>
        </is>
      </c>
    </row>
    <row r="116" ht="45" customHeight="1">
      <c r="A116" s="33" t="inlineStr"/>
      <c r="B116" s="12" t="inlineStr">
        <is>
          <t>IXUS</t>
        </is>
      </c>
      <c r="C116" s="94" t="n">
        <v>501.284</v>
      </c>
      <c r="D116" s="79" t="n">
        <v>94.72</v>
      </c>
      <c r="E116" s="79" t="n">
        <v>47481.62048</v>
      </c>
      <c r="F116" s="80" t="n">
        <v>0.01717891468930116</v>
      </c>
      <c r="G116" s="12" t="inlineStr">
        <is>
          <t>International</t>
        </is>
      </c>
      <c r="H116" s="12" t="inlineStr">
        <is>
          <t>fresh_cache_24h_from_yahoo</t>
        </is>
      </c>
    </row>
    <row r="117"/>
    <row r="118" ht="45" customHeight="1">
      <c r="A118" s="92" t="inlineStr">
        <is>
          <t>Matthew Trust</t>
        </is>
      </c>
      <c r="B118" s="3" t="n"/>
      <c r="C118" s="3" t="n"/>
      <c r="D118" s="4" t="n"/>
      <c r="E118" s="93" t="n">
        <v>207796.24624</v>
      </c>
      <c r="F118" s="92" t="inlineStr">
        <is>
          <t>Account Total</t>
        </is>
      </c>
      <c r="G118" s="92" t="inlineStr">
        <is>
          <t>Sources:</t>
        </is>
      </c>
      <c r="H118" s="75" t="inlineStr">
        <is>
          <t>cash, fresh_cache_24h_from_yahoo</t>
        </is>
      </c>
    </row>
    <row r="119" ht="45" customHeight="1">
      <c r="A119" s="33" t="inlineStr"/>
      <c r="B119" s="12" t="inlineStr">
        <is>
          <t>CASH</t>
        </is>
      </c>
      <c r="C119" s="94" t="n">
        <v>10282.62</v>
      </c>
      <c r="D119" s="79" t="n">
        <v>1</v>
      </c>
      <c r="E119" s="79" t="n">
        <v>10282.62</v>
      </c>
      <c r="F119" s="80" t="n">
        <v>0.003720265862385789</v>
      </c>
      <c r="G119" s="12" t="inlineStr">
        <is>
          <t>Cash</t>
        </is>
      </c>
      <c r="H119" s="12" t="inlineStr">
        <is>
          <t>cash</t>
        </is>
      </c>
    </row>
    <row r="120" ht="45" customHeight="1">
      <c r="A120" s="33" t="inlineStr"/>
      <c r="B120" s="12" t="inlineStr">
        <is>
          <t>ITOT</t>
        </is>
      </c>
      <c r="C120" s="94" t="n">
        <v>647.896</v>
      </c>
      <c r="D120" s="79" t="n">
        <v>163.76</v>
      </c>
      <c r="E120" s="79" t="n">
        <v>106099.44896</v>
      </c>
      <c r="F120" s="80" t="n">
        <v>0.03838692453711519</v>
      </c>
      <c r="G120" s="12" t="inlineStr">
        <is>
          <t>US Large Cap</t>
        </is>
      </c>
      <c r="H120" s="12" t="inlineStr">
        <is>
          <t>fresh_cache_24h_from_yahoo</t>
        </is>
      </c>
    </row>
    <row r="121" ht="45" customHeight="1">
      <c r="A121" s="33" t="inlineStr"/>
      <c r="B121" s="12" t="inlineStr">
        <is>
          <t>IXUS</t>
        </is>
      </c>
      <c r="C121" s="94" t="n">
        <v>965.099</v>
      </c>
      <c r="D121" s="79" t="n">
        <v>94.72</v>
      </c>
      <c r="E121" s="79" t="n">
        <v>91414.17728</v>
      </c>
      <c r="F121" s="80" t="n">
        <v>0.03307377332555969</v>
      </c>
      <c r="G121" s="12" t="inlineStr">
        <is>
          <t>International</t>
        </is>
      </c>
      <c r="H121" s="12" t="inlineStr">
        <is>
          <t>fresh_cache_24h_from_yahoo</t>
        </is>
      </c>
    </row>
    <row r="122"/>
    <row r="123" ht="45" customHeight="1">
      <c r="A123" s="92" t="inlineStr">
        <is>
          <t>Patricia IRA</t>
        </is>
      </c>
      <c r="B123" s="3" t="n"/>
      <c r="C123" s="3" t="n"/>
      <c r="D123" s="4" t="n"/>
      <c r="E123" s="93" t="n">
        <v>460853.27247</v>
      </c>
      <c r="F123" s="92" t="inlineStr">
        <is>
          <t>Account Total</t>
        </is>
      </c>
      <c r="G123" s="92" t="inlineStr">
        <is>
          <t>Sources:</t>
        </is>
      </c>
      <c r="H123" s="75" t="inlineStr">
        <is>
          <t>cash, fresh_cache_24h_from_yahoo</t>
        </is>
      </c>
    </row>
    <row r="124" ht="45" customHeight="1">
      <c r="A124" s="33" t="inlineStr"/>
      <c r="B124" s="12" t="inlineStr">
        <is>
          <t>CASH</t>
        </is>
      </c>
      <c r="C124" s="94" t="n">
        <v>182.31</v>
      </c>
      <c r="D124" s="79" t="n">
        <v>1</v>
      </c>
      <c r="E124" s="79" t="n">
        <v>182.31</v>
      </c>
      <c r="F124" s="80" t="n">
        <v>6.596000526826365e-05</v>
      </c>
      <c r="G124" s="12" t="inlineStr">
        <is>
          <t>Cash</t>
        </is>
      </c>
      <c r="H124" s="12" t="inlineStr">
        <is>
          <t>cash</t>
        </is>
      </c>
    </row>
    <row r="125" ht="45" customHeight="1">
      <c r="A125" s="33" t="inlineStr"/>
      <c r="B125" s="12" t="inlineStr">
        <is>
          <t>PDBC</t>
        </is>
      </c>
      <c r="C125" s="94" t="n">
        <v>3325</v>
      </c>
      <c r="D125" s="79" t="n">
        <v>15.87</v>
      </c>
      <c r="E125" s="79" t="n">
        <v>52767.75</v>
      </c>
      <c r="F125" s="80" t="n">
        <v>0.01909144351924974</v>
      </c>
      <c r="G125" s="12" t="inlineStr">
        <is>
          <t>Commodities</t>
        </is>
      </c>
      <c r="H125" s="12" t="inlineStr">
        <is>
          <t>fresh_cache_24h_from_yahoo</t>
        </is>
      </c>
    </row>
    <row r="126" ht="45" customHeight="1">
      <c r="A126" s="33" t="inlineStr"/>
      <c r="B126" s="12" t="inlineStr">
        <is>
          <t>VBR</t>
        </is>
      </c>
      <c r="C126" s="94" t="n">
        <v>157.6347</v>
      </c>
      <c r="D126" s="79" t="n">
        <v>243.22</v>
      </c>
      <c r="E126" s="79" t="n">
        <v>38339.91173399999</v>
      </c>
      <c r="F126" s="80" t="n">
        <v>0.01387143206603808</v>
      </c>
      <c r="G126" s="12" t="inlineStr">
        <is>
          <t>US Small Cap</t>
        </is>
      </c>
      <c r="H126" s="12" t="inlineStr">
        <is>
          <t>fresh_cache_24h_from_yahoo</t>
        </is>
      </c>
    </row>
    <row r="127" ht="45" customHeight="1">
      <c r="A127" s="33" t="inlineStr"/>
      <c r="B127" s="12" t="inlineStr">
        <is>
          <t>VTI</t>
        </is>
      </c>
      <c r="C127" s="94" t="n">
        <v>580.1444999999999</v>
      </c>
      <c r="D127" s="79" t="n">
        <v>368.76</v>
      </c>
      <c r="E127" s="79" t="n">
        <v>213934.0858199999</v>
      </c>
      <c r="F127" s="80" t="n">
        <v>0.07740164240989723</v>
      </c>
      <c r="G127" s="12" t="inlineStr">
        <is>
          <t>US Large Cap</t>
        </is>
      </c>
      <c r="H127" s="12" t="inlineStr">
        <is>
          <t>fresh_cache_24h_from_yahoo</t>
        </is>
      </c>
    </row>
    <row r="128" ht="45" customHeight="1">
      <c r="A128" s="33" t="inlineStr"/>
      <c r="B128" s="12" t="inlineStr">
        <is>
          <t>VXUS</t>
        </is>
      </c>
      <c r="C128" s="94" t="n">
        <v>1834.3849</v>
      </c>
      <c r="D128" s="79" t="n">
        <v>84.84</v>
      </c>
      <c r="E128" s="79" t="n">
        <v>155629.214916</v>
      </c>
      <c r="F128" s="80" t="n">
        <v>0.05630686103754647</v>
      </c>
      <c r="G128" s="12" t="inlineStr">
        <is>
          <t>International</t>
        </is>
      </c>
      <c r="H128" s="12" t="inlineStr">
        <is>
          <t>fresh_cache_24h_from_yahoo</t>
        </is>
      </c>
    </row>
    <row r="129"/>
    <row r="130" ht="45" customHeight="1">
      <c r="A130" s="92" t="inlineStr">
        <is>
          <t>Patricia Roth</t>
        </is>
      </c>
      <c r="B130" s="3" t="n"/>
      <c r="C130" s="3" t="n"/>
      <c r="D130" s="4" t="n"/>
      <c r="E130" s="93" t="n">
        <v>206022.888794</v>
      </c>
      <c r="F130" s="92" t="inlineStr">
        <is>
          <t>Account Total</t>
        </is>
      </c>
      <c r="G130" s="92" t="inlineStr">
        <is>
          <t>Sources:</t>
        </is>
      </c>
      <c r="H130" s="75" t="inlineStr">
        <is>
          <t>cash, fresh_cache_24h_from_yahoo</t>
        </is>
      </c>
    </row>
    <row r="131" ht="45" customHeight="1">
      <c r="A131" s="33" t="inlineStr"/>
      <c r="B131" s="12" t="inlineStr">
        <is>
          <t>CASH</t>
        </is>
      </c>
      <c r="C131" s="94" t="n">
        <v>226.45</v>
      </c>
      <c r="D131" s="79" t="n">
        <v>1</v>
      </c>
      <c r="E131" s="79" t="n">
        <v>226.45</v>
      </c>
      <c r="F131" s="80" t="n">
        <v>8.192991713563876e-05</v>
      </c>
      <c r="G131" s="12" t="inlineStr">
        <is>
          <t>Cash</t>
        </is>
      </c>
      <c r="H131" s="12" t="inlineStr">
        <is>
          <t>cash</t>
        </is>
      </c>
    </row>
    <row r="132" ht="45" customHeight="1">
      <c r="A132" s="33" t="inlineStr"/>
      <c r="B132" s="12" t="inlineStr">
        <is>
          <t>VBR</t>
        </is>
      </c>
      <c r="C132" s="94" t="n">
        <v>379.9135</v>
      </c>
      <c r="D132" s="79" t="n">
        <v>243.22</v>
      </c>
      <c r="E132" s="79" t="n">
        <v>92402.56147</v>
      </c>
      <c r="F132" s="80" t="n">
        <v>0.03343137206605373</v>
      </c>
      <c r="G132" s="12" t="inlineStr">
        <is>
          <t>US Small Cap</t>
        </is>
      </c>
      <c r="H132" s="12" t="inlineStr">
        <is>
          <t>fresh_cache_24h_from_yahoo</t>
        </is>
      </c>
    </row>
    <row r="133" ht="45" customHeight="1">
      <c r="A133" s="33" t="inlineStr"/>
      <c r="B133" s="12" t="inlineStr">
        <is>
          <t>VTI</t>
        </is>
      </c>
      <c r="C133" s="94" t="n">
        <v>118.4525</v>
      </c>
      <c r="D133" s="79" t="n">
        <v>368.76</v>
      </c>
      <c r="E133" s="79" t="n">
        <v>43680.5439</v>
      </c>
      <c r="F133" s="80" t="n">
        <v>0.01580368002723176</v>
      </c>
      <c r="G133" s="12" t="inlineStr">
        <is>
          <t>US Large Cap</t>
        </is>
      </c>
      <c r="H133" s="12" t="inlineStr">
        <is>
          <t>fresh_cache_24h_from_yahoo</t>
        </is>
      </c>
    </row>
    <row r="134" ht="45" customHeight="1">
      <c r="A134" s="33" t="inlineStr"/>
      <c r="B134" s="12" t="inlineStr">
        <is>
          <t>VXUS</t>
        </is>
      </c>
      <c r="C134" s="94" t="n">
        <v>821.7035999999999</v>
      </c>
      <c r="D134" s="79" t="n">
        <v>84.84</v>
      </c>
      <c r="E134" s="79" t="n">
        <v>69713.333424</v>
      </c>
      <c r="F134" s="80" t="n">
        <v>0.02522237858546026</v>
      </c>
      <c r="G134" s="12" t="inlineStr">
        <is>
          <t>International</t>
        </is>
      </c>
      <c r="H134" s="12" t="inlineStr">
        <is>
          <t>fresh_cache_24h_from_yahoo</t>
        </is>
      </c>
    </row>
    <row r="135"/>
    <row r="136" ht="45" customHeight="1">
      <c r="A136" s="92" t="inlineStr">
        <is>
          <t>Patricia Trust</t>
        </is>
      </c>
      <c r="B136" s="3" t="n"/>
      <c r="C136" s="3" t="n"/>
      <c r="D136" s="4" t="n"/>
      <c r="E136" s="93" t="n">
        <v>332262.173348</v>
      </c>
      <c r="F136" s="92" t="inlineStr">
        <is>
          <t>Account Total</t>
        </is>
      </c>
      <c r="G136" s="92" t="inlineStr">
        <is>
          <t>Sources:</t>
        </is>
      </c>
      <c r="H136" s="75" t="inlineStr">
        <is>
          <t>cash, fresh_cache_24h_from_yahoo</t>
        </is>
      </c>
    </row>
    <row r="137" ht="45" customHeight="1">
      <c r="A137" s="33" t="inlineStr"/>
      <c r="B137" s="12" t="inlineStr">
        <is>
          <t>CASH</t>
        </is>
      </c>
      <c r="C137" s="94" t="n">
        <v>4870.67</v>
      </c>
      <c r="D137" s="79" t="n">
        <v>1</v>
      </c>
      <c r="E137" s="79" t="n">
        <v>4870.67</v>
      </c>
      <c r="F137" s="80" t="n">
        <v>0.001762215012122065</v>
      </c>
      <c r="G137" s="12" t="inlineStr">
        <is>
          <t>Cash</t>
        </is>
      </c>
      <c r="H137" s="12" t="inlineStr">
        <is>
          <t>cash</t>
        </is>
      </c>
    </row>
    <row r="138" ht="45" customHeight="1">
      <c r="A138" s="33" t="inlineStr"/>
      <c r="B138" s="12" t="inlineStr">
        <is>
          <t>VTI</t>
        </is>
      </c>
      <c r="C138" s="94" t="n">
        <v>677.3749999999999</v>
      </c>
      <c r="D138" s="79" t="n">
        <v>368.76</v>
      </c>
      <c r="E138" s="79" t="n">
        <v>249788.805</v>
      </c>
      <c r="F138" s="80" t="n">
        <v>0.09037392843921496</v>
      </c>
      <c r="G138" s="12" t="inlineStr">
        <is>
          <t>US Large Cap</t>
        </is>
      </c>
      <c r="H138" s="12" t="inlineStr">
        <is>
          <t>fresh_cache_24h_from_yahoo</t>
        </is>
      </c>
    </row>
    <row r="139" ht="45" customHeight="1">
      <c r="A139" s="33" t="inlineStr"/>
      <c r="B139" s="12" t="inlineStr">
        <is>
          <t>VXUS</t>
        </is>
      </c>
      <c r="C139" s="94" t="n">
        <v>914.6947</v>
      </c>
      <c r="D139" s="79" t="n">
        <v>84.84</v>
      </c>
      <c r="E139" s="79" t="n">
        <v>77602.69834800001</v>
      </c>
      <c r="F139" s="80" t="n">
        <v>0.0280767615153615</v>
      </c>
      <c r="G139" s="12" t="inlineStr">
        <is>
          <t>International</t>
        </is>
      </c>
      <c r="H139" s="12" t="inlineStr">
        <is>
          <t>fresh_cache_24h_from_yahoo</t>
        </is>
      </c>
    </row>
    <row r="140" ht="30" customHeight="1">
      <c r="A140" s="2" t="inlineStr">
        <is>
          <t>TOTAL</t>
        </is>
      </c>
      <c r="E140" s="83" t="n">
        <v>2763947.626422001</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Matthew HSA — HSA — Sells $32,432 | Security Buys $32,432 | Ending Cash After Trades $280</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Matthew HSA</t>
        </is>
      </c>
      <c r="B148" s="12" t="inlineStr">
        <is>
          <t>HSA</t>
        </is>
      </c>
      <c r="C148" s="2" t="inlineStr">
        <is>
          <t>ITOT</t>
        </is>
      </c>
      <c r="D148" s="95" t="inlineStr">
        <is>
          <t>SELL</t>
        </is>
      </c>
      <c r="E148" s="79" t="n">
        <v>32432</v>
      </c>
      <c r="F148" s="96" t="n">
        <v>198.04</v>
      </c>
      <c r="G148" s="12" t="inlineStr">
        <is>
          <t>US Large Cap</t>
        </is>
      </c>
      <c r="H148" s="79"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Matthew HSA</t>
        </is>
      </c>
      <c r="B149" s="12" t="inlineStr">
        <is>
          <t>HSA</t>
        </is>
      </c>
      <c r="C149" s="2" t="inlineStr">
        <is>
          <t>VWO</t>
        </is>
      </c>
      <c r="D149" s="92" t="inlineStr">
        <is>
          <t>BUY</t>
        </is>
      </c>
      <c r="E149" s="79" t="n">
        <v>32432</v>
      </c>
      <c r="F149" s="96" t="n">
        <v>553.63</v>
      </c>
      <c r="G149" s="12" t="inlineStr">
        <is>
          <t>Emerging Markets</t>
        </is>
      </c>
      <c r="H149" s="79"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Matthew HSA Subtotal</t>
        </is>
      </c>
      <c r="D150" s="11" t="inlineStr">
        <is>
          <t>SELL</t>
        </is>
      </c>
      <c r="E150" s="30" t="n">
        <v>32432</v>
      </c>
      <c r="F150" s="11" t="inlineStr">
        <is>
          <t>SECURITY BUY</t>
        </is>
      </c>
      <c r="G150" s="30" t="n">
        <v>32432</v>
      </c>
      <c r="H150" s="11" t="inlineStr">
        <is>
          <t>Ending Cash After Trades</t>
        </is>
      </c>
      <c r="I150" s="30" t="n">
        <v>279.5900000000001</v>
      </c>
      <c r="J150" s="97" t="inlineStr">
        <is>
          <t>Beginning cash $280; cash change $0. CASH target/hold rows are not counted as security buys.</t>
        </is>
      </c>
    </row>
    <row r="151"/>
    <row r="152" ht="15" customHeight="1">
      <c r="A152" s="10" t="inlineStr">
        <is>
          <t>Matthew IRA — Tax-deferred — Sells $152,762 | Security Buys $0 | Ending Cash After Trades $152,829</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Matthew IRA</t>
        </is>
      </c>
      <c r="B154" s="12" t="inlineStr">
        <is>
          <t>Tax-deferred</t>
        </is>
      </c>
      <c r="C154" s="2" t="inlineStr">
        <is>
          <t>ITOT</t>
        </is>
      </c>
      <c r="D154" s="95" t="inlineStr">
        <is>
          <t>SELL</t>
        </is>
      </c>
      <c r="E154" s="79" t="n">
        <v>47151</v>
      </c>
      <c r="F154" s="96" t="n">
        <v>287.93</v>
      </c>
      <c r="G154" s="12" t="inlineStr">
        <is>
          <t>US Large Cap</t>
        </is>
      </c>
      <c r="H154" s="79"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Matthew IRA</t>
        </is>
      </c>
      <c r="B155" s="12" t="inlineStr">
        <is>
          <t>Tax-deferred</t>
        </is>
      </c>
      <c r="C155" s="2" t="inlineStr">
        <is>
          <t>AVUV</t>
        </is>
      </c>
      <c r="D155" s="95" t="inlineStr">
        <is>
          <t>SELL</t>
        </is>
      </c>
      <c r="E155" s="79" t="n">
        <v>105611</v>
      </c>
      <c r="F155" s="96" t="n">
        <v>855.08</v>
      </c>
      <c r="G155" s="12" t="inlineStr">
        <is>
          <t>US Small Cap</t>
        </is>
      </c>
      <c r="H155" s="79"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Matthew IRA</t>
        </is>
      </c>
      <c r="B156" s="12" t="inlineStr">
        <is>
          <t>Tax-deferred</t>
        </is>
      </c>
      <c r="C156" s="2" t="inlineStr">
        <is>
          <t>CASH</t>
        </is>
      </c>
      <c r="D156" s="92" t="inlineStr">
        <is>
          <t>BUY</t>
        </is>
      </c>
      <c r="E156" s="79" t="n">
        <v>152762</v>
      </c>
      <c r="F156" s="96" t="n">
        <v>152762.12</v>
      </c>
      <c r="G156" s="12" t="inlineStr">
        <is>
          <t>Cash</t>
        </is>
      </c>
      <c r="H156" s="79"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Matthew IRA Subtotal</t>
        </is>
      </c>
      <c r="D157" s="11" t="inlineStr">
        <is>
          <t>SELL</t>
        </is>
      </c>
      <c r="E157" s="30" t="n">
        <v>152762</v>
      </c>
      <c r="F157" s="11" t="inlineStr">
        <is>
          <t>SECURITY BUY</t>
        </is>
      </c>
      <c r="G157" s="30" t="n">
        <v>0</v>
      </c>
      <c r="H157" s="11" t="inlineStr">
        <is>
          <t>Ending Cash After Trades</t>
        </is>
      </c>
      <c r="I157" s="30" t="n">
        <v>152829.36</v>
      </c>
      <c r="J157" s="97" t="inlineStr">
        <is>
          <t>Beginning cash $67; cash change $152,762. CASH target/hold rows are not counted as security buys.</t>
        </is>
      </c>
    </row>
    <row r="158"/>
    <row r="159" ht="15" customHeight="1">
      <c r="A159" s="10" t="inlineStr">
        <is>
          <t>Matthew Roth — Tax-free (Roth) — Sells $47,605 | Security Buys $47,605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Matthew Roth</t>
        </is>
      </c>
      <c r="B161" s="12" t="inlineStr">
        <is>
          <t>Tax-free (Roth)</t>
        </is>
      </c>
      <c r="C161" s="2" t="inlineStr">
        <is>
          <t>IXUS</t>
        </is>
      </c>
      <c r="D161" s="95" t="inlineStr">
        <is>
          <t>SELL</t>
        </is>
      </c>
      <c r="E161" s="79" t="n">
        <v>19239</v>
      </c>
      <c r="F161" s="96" t="n">
        <v>203.12</v>
      </c>
      <c r="G161" s="12" t="inlineStr">
        <is>
          <t>International</t>
        </is>
      </c>
      <c r="H161" s="79"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Matthew Roth</t>
        </is>
      </c>
      <c r="B162" s="12" t="inlineStr">
        <is>
          <t>Tax-free (Roth)</t>
        </is>
      </c>
      <c r="C162" s="2" t="inlineStr">
        <is>
          <t>ITOT</t>
        </is>
      </c>
      <c r="D162" s="95" t="inlineStr">
        <is>
          <t>SELL</t>
        </is>
      </c>
      <c r="E162" s="79" t="n">
        <v>28366</v>
      </c>
      <c r="F162" s="96" t="n">
        <v>173.22</v>
      </c>
      <c r="G162" s="12" t="inlineStr">
        <is>
          <t>US Large Cap</t>
        </is>
      </c>
      <c r="H162" s="79"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Matthew Roth</t>
        </is>
      </c>
      <c r="B163" s="12" t="inlineStr">
        <is>
          <t>Tax-free (Roth)</t>
        </is>
      </c>
      <c r="C163" s="2" t="inlineStr">
        <is>
          <t>VWO</t>
        </is>
      </c>
      <c r="D163" s="92" t="inlineStr">
        <is>
          <t>BUY</t>
        </is>
      </c>
      <c r="E163" s="79" t="n">
        <v>47605</v>
      </c>
      <c r="F163" s="96" t="n">
        <v>812.65</v>
      </c>
      <c r="G163" s="12" t="inlineStr">
        <is>
          <t>Emerging Markets</t>
        </is>
      </c>
      <c r="H163" s="79"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Matthew Roth Subtotal</t>
        </is>
      </c>
      <c r="D164" s="11" t="inlineStr">
        <is>
          <t>SELL</t>
        </is>
      </c>
      <c r="E164" s="30" t="n">
        <v>47605</v>
      </c>
      <c r="F164" s="11" t="inlineStr">
        <is>
          <t>SECURITY BUY</t>
        </is>
      </c>
      <c r="G164" s="30" t="n">
        <v>47605</v>
      </c>
      <c r="H164" s="11" t="inlineStr">
        <is>
          <t>Ending Cash After Trades</t>
        </is>
      </c>
      <c r="I164" s="30" t="n">
        <v>10.08999999999651</v>
      </c>
      <c r="J164" s="97" t="inlineStr">
        <is>
          <t>Beginning cash $10; cash change $-0. CASH target/hold rows are not counted as security buys.</t>
        </is>
      </c>
    </row>
    <row r="165"/>
    <row r="166" ht="15" customHeight="1">
      <c r="A166" s="10" t="inlineStr">
        <is>
          <t>Patricia IRA — Tax-deferred — Sells $178,779 | Security Buys $178,779 | Ending Cash After Trades $182</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Patricia IRA</t>
        </is>
      </c>
      <c r="B168" s="12" t="inlineStr">
        <is>
          <t>Tax-deferred</t>
        </is>
      </c>
      <c r="C168" s="2" t="inlineStr">
        <is>
          <t>VXUS</t>
        </is>
      </c>
      <c r="D168" s="95" t="inlineStr">
        <is>
          <t>SELL</t>
        </is>
      </c>
      <c r="E168" s="79" t="n">
        <v>147454</v>
      </c>
      <c r="F168" s="96" t="n">
        <v>1738.02</v>
      </c>
      <c r="G168" s="12" t="inlineStr">
        <is>
          <t>International</t>
        </is>
      </c>
      <c r="H168" s="79"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Patricia IRA</t>
        </is>
      </c>
      <c r="B169" s="12" t="inlineStr">
        <is>
          <t>Tax-deferred</t>
        </is>
      </c>
      <c r="C169" s="2" t="inlineStr">
        <is>
          <t>VBR</t>
        </is>
      </c>
      <c r="D169" s="95" t="inlineStr">
        <is>
          <t>SELL</t>
        </is>
      </c>
      <c r="E169" s="79" t="n">
        <v>31325</v>
      </c>
      <c r="F169" s="96" t="n">
        <v>128.79</v>
      </c>
      <c r="G169" s="12" t="inlineStr">
        <is>
          <t>US Small Cap</t>
        </is>
      </c>
      <c r="H169" s="79"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Patricia IRA</t>
        </is>
      </c>
      <c r="B170" s="12" t="inlineStr">
        <is>
          <t>Tax-deferred</t>
        </is>
      </c>
      <c r="C170" s="2" t="inlineStr">
        <is>
          <t>PDBC</t>
        </is>
      </c>
      <c r="D170" s="92" t="inlineStr">
        <is>
          <t>BUY</t>
        </is>
      </c>
      <c r="E170" s="79" t="n">
        <v>6032</v>
      </c>
      <c r="F170" s="96" t="n">
        <v>380.11</v>
      </c>
      <c r="G170" s="12" t="inlineStr">
        <is>
          <t>Commodities</t>
        </is>
      </c>
      <c r="H170" s="79"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Patricia IRA</t>
        </is>
      </c>
      <c r="B171" s="12" t="inlineStr">
        <is>
          <t>Tax-deferred</t>
        </is>
      </c>
      <c r="C171" s="2" t="inlineStr">
        <is>
          <t>VO</t>
        </is>
      </c>
      <c r="D171" s="92" t="inlineStr">
        <is>
          <t>BUY</t>
        </is>
      </c>
      <c r="E171" s="79" t="n">
        <v>172747</v>
      </c>
      <c r="F171" s="96" t="n">
        <v>2159.6</v>
      </c>
      <c r="G171" s="12" t="inlineStr">
        <is>
          <t>US Mid Cap</t>
        </is>
      </c>
      <c r="H171" s="79"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Patricia IRA Subtotal</t>
        </is>
      </c>
      <c r="D172" s="11" t="inlineStr">
        <is>
          <t>SELL</t>
        </is>
      </c>
      <c r="E172" s="30" t="n">
        <v>178779</v>
      </c>
      <c r="F172" s="11" t="inlineStr">
        <is>
          <t>SECURITY BUY</t>
        </is>
      </c>
      <c r="G172" s="30" t="n">
        <v>178779</v>
      </c>
      <c r="H172" s="11" t="inlineStr">
        <is>
          <t>Ending Cash After Trades</t>
        </is>
      </c>
      <c r="I172" s="30" t="n">
        <v>182.3099999999977</v>
      </c>
      <c r="J172" s="97" t="inlineStr">
        <is>
          <t>Beginning cash $182; cash change $-0. CASH target/hold rows are not counted as security buys.</t>
        </is>
      </c>
    </row>
    <row r="173"/>
    <row r="174" ht="15" customHeight="1">
      <c r="A174" s="10" t="inlineStr">
        <is>
          <t>Patricia Roth — Tax-free (Roth) — Sells $92,710 | Security Buys $92,710 | Ending Cash After Trades $226</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Patricia Roth</t>
        </is>
      </c>
      <c r="B176" s="12" t="inlineStr">
        <is>
          <t>Tax-free (Roth)</t>
        </is>
      </c>
      <c r="C176" s="2" t="inlineStr">
        <is>
          <t>VXUS</t>
        </is>
      </c>
      <c r="D176" s="95" t="inlineStr">
        <is>
          <t>SELL</t>
        </is>
      </c>
      <c r="E176" s="79" t="n">
        <v>52647</v>
      </c>
      <c r="F176" s="96" t="n">
        <v>620.55</v>
      </c>
      <c r="G176" s="12" t="inlineStr">
        <is>
          <t>International</t>
        </is>
      </c>
      <c r="H176" s="79"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Patricia Roth</t>
        </is>
      </c>
      <c r="B177" s="12" t="inlineStr">
        <is>
          <t>Tax-free (Roth)</t>
        </is>
      </c>
      <c r="C177" s="2" t="inlineStr">
        <is>
          <t>VTI</t>
        </is>
      </c>
      <c r="D177" s="95" t="inlineStr">
        <is>
          <t>SELL</t>
        </is>
      </c>
      <c r="E177" s="79" t="n">
        <v>40063</v>
      </c>
      <c r="F177" s="96" t="n">
        <v>108.64</v>
      </c>
      <c r="G177" s="12" t="inlineStr">
        <is>
          <t>US Large Cap</t>
        </is>
      </c>
      <c r="H177" s="79"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Patricia Roth</t>
        </is>
      </c>
      <c r="B178" s="12" t="inlineStr">
        <is>
          <t>Tax-free (Roth)</t>
        </is>
      </c>
      <c r="C178" s="2" t="inlineStr">
        <is>
          <t>VWO</t>
        </is>
      </c>
      <c r="D178" s="92" t="inlineStr">
        <is>
          <t>BUY</t>
        </is>
      </c>
      <c r="E178" s="79" t="n">
        <v>92710</v>
      </c>
      <c r="F178" s="96" t="n">
        <v>1582.63</v>
      </c>
      <c r="G178" s="12" t="inlineStr">
        <is>
          <t>Emerging Markets</t>
        </is>
      </c>
      <c r="H178" s="79"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Patricia Roth Subtotal</t>
        </is>
      </c>
      <c r="D179" s="11" t="inlineStr">
        <is>
          <t>SELL</t>
        </is>
      </c>
      <c r="E179" s="30" t="n">
        <v>92710</v>
      </c>
      <c r="F179" s="11" t="inlineStr">
        <is>
          <t>SECURITY BUY</t>
        </is>
      </c>
      <c r="G179" s="30" t="n">
        <v>92710</v>
      </c>
      <c r="H179" s="11" t="inlineStr">
        <is>
          <t>Ending Cash After Trades</t>
        </is>
      </c>
      <c r="I179" s="30" t="n">
        <v>226.4499999999971</v>
      </c>
      <c r="J179" s="97" t="inlineStr">
        <is>
          <t>Beginning cash $226; cash change $-0. CASH target/hold rows are not counted as security buys.</t>
        </is>
      </c>
    </row>
    <row r="180"/>
    <row r="181" ht="15" customHeight="1">
      <c r="A181" s="2" t="inlineStr">
        <is>
          <t>Grand Total</t>
        </is>
      </c>
      <c r="D181" s="2" t="inlineStr">
        <is>
          <t>SELL</t>
        </is>
      </c>
      <c r="E181" s="83" t="n">
        <v>504288</v>
      </c>
    </row>
    <row r="182" ht="30" customHeight="1">
      <c r="D182" s="2" t="inlineStr">
        <is>
          <t>SECURITY BUY</t>
        </is>
      </c>
      <c r="E182" s="83" t="n">
        <v>351526</v>
      </c>
    </row>
    <row r="183" ht="90" customHeight="1">
      <c r="D183" s="2" t="inlineStr">
        <is>
          <t>Cash Change</t>
        </is>
      </c>
      <c r="E183" s="83" t="n">
        <v>152762</v>
      </c>
      <c r="G183" s="12" t="inlineStr">
        <is>
          <t>Change in cash = sells minus non-cash security buys; CASH target/hold rows are not counted as buys.</t>
        </is>
      </c>
    </row>
    <row r="184" ht="90" customHeight="1">
      <c r="D184" s="2" t="inlineStr">
        <is>
          <t>Ending Cash After Trades</t>
        </is>
      </c>
      <c r="E184" s="93" t="n">
        <v>172746.61</v>
      </c>
      <c r="G184" s="12" t="inlineStr">
        <is>
          <t>This should reconcile to the Cash row in Total Portfolio Mix after trades. No cross-account transfers are assumed. Includes $19,219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18.2%;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Matthew Trust</t>
        </is>
      </c>
      <c r="B200" s="2" t="inlineStr">
        <is>
          <t>ITOT</t>
        </is>
      </c>
      <c r="C200" s="79" t="n">
        <v>106099</v>
      </c>
      <c r="D200" s="12" t="inlineStr">
        <is>
          <t>US Large Cap</t>
        </is>
      </c>
      <c r="E200" s="79" t="n">
        <v>2137</v>
      </c>
      <c r="F200" s="80" t="n">
        <v>0.02014134935514561</v>
      </c>
      <c r="G200" s="12" t="inlineStr">
        <is>
          <t>Deferred: estimated tax drag 2.0% exceeds 1.5%; use contributions, dividends, tax-advantaged accounts, or staged sales first. Taxable gain sale allowed only when low-drag or drift threshold is large.</t>
        </is>
      </c>
      <c r="H200" s="3" t="n"/>
      <c r="I200" s="3" t="n"/>
      <c r="J200" s="4" t="n"/>
    </row>
    <row r="201" ht="60" customHeight="1">
      <c r="A201" s="12" t="inlineStr">
        <is>
          <t>Matthew Trust</t>
        </is>
      </c>
      <c r="B201" s="2" t="inlineStr">
        <is>
          <t>IXUS</t>
        </is>
      </c>
      <c r="C201" s="79" t="n">
        <v>91414</v>
      </c>
      <c r="D201" s="12" t="inlineStr">
        <is>
          <t>International</t>
        </is>
      </c>
      <c r="E201" s="79" t="n">
        <v>1470</v>
      </c>
      <c r="F201" s="80" t="n">
        <v>0.01608456183652696</v>
      </c>
      <c r="G201" s="12" t="inlineStr">
        <is>
          <t>Deferred: estimated tax drag 1.6% exceeds 1.5%; use contributions, dividends, tax-advantaged accounts, or staged sales first. Taxable gain sale allowed only when low-drag or drift threshold is large.</t>
        </is>
      </c>
      <c r="H201" s="3" t="n"/>
      <c r="I201" s="3" t="n"/>
      <c r="J201" s="4" t="n"/>
    </row>
    <row r="202" ht="60" customHeight="1">
      <c r="A202" s="12" t="inlineStr">
        <is>
          <t>Patricia Trust</t>
        </is>
      </c>
      <c r="B202" s="2" t="inlineStr">
        <is>
          <t>VTI</t>
        </is>
      </c>
      <c r="C202" s="79" t="n">
        <v>148011</v>
      </c>
      <c r="D202" s="12" t="inlineStr">
        <is>
          <t>US Large Cap</t>
        </is>
      </c>
      <c r="E202" s="79" t="n">
        <v>4709</v>
      </c>
      <c r="F202" s="80" t="n">
        <v>0.01885028341541567</v>
      </c>
      <c r="G202" s="12" t="inlineStr">
        <is>
          <t>Deferred: estimated tax drag 1.9% exceeds 1.5%; use contributions, dividends, tax-advantaged accounts, or staged sales first. Taxable gain sale allowed only when low-drag or drift threshold is large.</t>
        </is>
      </c>
      <c r="H202" s="3" t="n"/>
      <c r="I202" s="3" t="n"/>
      <c r="J202" s="4" t="n"/>
    </row>
    <row r="203" ht="60" customHeight="1">
      <c r="A203" s="12" t="inlineStr">
        <is>
          <t>Patricia Trust</t>
        </is>
      </c>
      <c r="B203" s="2" t="inlineStr">
        <is>
          <t>VXUS</t>
        </is>
      </c>
      <c r="C203" s="79" t="n">
        <v>77603</v>
      </c>
      <c r="D203" s="12" t="inlineStr">
        <is>
          <t>International</t>
        </is>
      </c>
      <c r="E203" s="79" t="n">
        <v>1536</v>
      </c>
      <c r="F203" s="80" t="n">
        <v>0.01979602783608095</v>
      </c>
      <c r="G203" s="12" t="inlineStr">
        <is>
          <t>Deferred: estimated tax drag 2.0%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Matthew 401k  —  Total: $14,934</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9" t="n">
        <v>10868.88</v>
      </c>
      <c r="C213" s="80" t="n">
        <v>0.7277748017998714</v>
      </c>
      <c r="D213" s="99" t="inlineStr"/>
      <c r="E213" s="79" t="n">
        <v>10868.88</v>
      </c>
      <c r="F213" s="80" t="n">
        <v>0.7277748017998714</v>
      </c>
      <c r="G213" s="33" t="inlineStr"/>
      <c r="H213" s="80" t="n">
        <v>0.06666666666666667</v>
      </c>
      <c r="I213" s="100" t="n">
        <v>0.6611081351332048</v>
      </c>
      <c r="J213" s="12" t="inlineStr">
        <is>
          <t>Over +66.1%</t>
        </is>
      </c>
    </row>
    <row r="214" ht="30" customHeight="1">
      <c r="A214" s="12" t="inlineStr">
        <is>
          <t>Cash</t>
        </is>
      </c>
      <c r="B214" s="79" t="n">
        <v>4065.52</v>
      </c>
      <c r="C214" s="80" t="n">
        <v>0.2722251982001285</v>
      </c>
      <c r="D214" s="99" t="inlineStr"/>
      <c r="E214" s="79" t="n">
        <v>4065.52</v>
      </c>
      <c r="F214" s="80" t="n">
        <v>0.2722251982001285</v>
      </c>
      <c r="G214" s="33" t="inlineStr"/>
      <c r="H214" s="64" t="inlineStr"/>
      <c r="I214" s="64" t="inlineStr"/>
      <c r="J214" s="33" t="inlineStr"/>
    </row>
    <row r="215"/>
    <row r="216" ht="15" customHeight="1">
      <c r="A216" s="10" t="inlineStr">
        <is>
          <t>Matthew HSA  —  Total: $72,070</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9" t="n">
        <v>71790.41888</v>
      </c>
      <c r="C218" s="80" t="n">
        <v>0.9961205776945924</v>
      </c>
      <c r="D218" s="41" t="inlineStr">
        <is>
          <t>→</t>
        </is>
      </c>
      <c r="E218" s="81" t="n">
        <v>39358.41888</v>
      </c>
      <c r="F218" s="82" t="n">
        <v>0.5461136954420756</v>
      </c>
      <c r="G218" s="33" t="inlineStr"/>
      <c r="H218" s="80" t="n">
        <v>0.4666666666666666</v>
      </c>
      <c r="I218" s="100" t="n">
        <v>0.07944702877540893</v>
      </c>
      <c r="J218" s="12" t="inlineStr">
        <is>
          <t>Over +7.9%</t>
        </is>
      </c>
    </row>
    <row r="219" ht="45" customHeight="1">
      <c r="A219" s="12" t="inlineStr">
        <is>
          <t>Cash</t>
        </is>
      </c>
      <c r="B219" s="79" t="n">
        <v>279.59</v>
      </c>
      <c r="C219" s="80" t="n">
        <v>0.003879422305407658</v>
      </c>
      <c r="D219" s="99" t="inlineStr"/>
      <c r="E219" s="79" t="n">
        <v>279.5900000000001</v>
      </c>
      <c r="F219" s="80" t="n">
        <v>0.003879422305407661</v>
      </c>
      <c r="G219" s="33" t="inlineStr"/>
      <c r="H219" s="64" t="inlineStr"/>
      <c r="I219" s="64" t="inlineStr"/>
      <c r="J219" s="33" t="inlineStr"/>
    </row>
    <row r="220" ht="45" customHeight="1">
      <c r="A220" s="12" t="inlineStr">
        <is>
          <t>Emerging Markets</t>
        </is>
      </c>
      <c r="B220" s="79" t="n">
        <v>0</v>
      </c>
      <c r="C220" s="80" t="n">
        <v>0</v>
      </c>
      <c r="D220" s="41" t="inlineStr">
        <is>
          <t>→</t>
        </is>
      </c>
      <c r="E220" s="81" t="n">
        <v>32432</v>
      </c>
      <c r="F220" s="82" t="n">
        <v>0.4500068822525168</v>
      </c>
      <c r="G220" s="33" t="inlineStr"/>
      <c r="H220" s="80" t="n">
        <v>0.06666666666666667</v>
      </c>
      <c r="I220" s="100" t="n">
        <v>0.3833402155858502</v>
      </c>
      <c r="J220" s="12" t="inlineStr">
        <is>
          <t>Over +38.3%</t>
        </is>
      </c>
    </row>
    <row r="221"/>
    <row r="222" ht="15" customHeight="1">
      <c r="A222" s="10" t="inlineStr">
        <is>
          <t>Matthew IRA  —  Total: $1,331,690</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30" customHeight="1">
      <c r="A224" s="12" t="inlineStr">
        <is>
          <t>US Large Cap</t>
        </is>
      </c>
      <c r="B224" s="79" t="n">
        <v>643579.2564</v>
      </c>
      <c r="C224" s="80" t="n">
        <v>0.4832799175521182</v>
      </c>
      <c r="D224" s="41" t="inlineStr">
        <is>
          <t>→</t>
        </is>
      </c>
      <c r="E224" s="81" t="n">
        <v>596428.2564</v>
      </c>
      <c r="F224" s="82" t="n">
        <v>0.4478730408296385</v>
      </c>
      <c r="G224" s="33" t="inlineStr"/>
      <c r="H224" s="80" t="n">
        <v>0.4666666666666666</v>
      </c>
      <c r="I224" s="101" t="n">
        <v>-0.01879362583702809</v>
      </c>
      <c r="J224" s="12" t="inlineStr">
        <is>
          <t>✓ On target</t>
        </is>
      </c>
    </row>
    <row r="225" ht="30" customHeight="1">
      <c r="A225" s="12" t="inlineStr">
        <is>
          <t>International</t>
        </is>
      </c>
      <c r="B225" s="79" t="n">
        <v>468486.0672</v>
      </c>
      <c r="C225" s="80" t="n">
        <v>0.3517980197143161</v>
      </c>
      <c r="D225" s="99" t="inlineStr"/>
      <c r="E225" s="79" t="n">
        <v>468486.0672</v>
      </c>
      <c r="F225" s="80" t="n">
        <v>0.3517980197143161</v>
      </c>
      <c r="G225" s="33" t="inlineStr"/>
      <c r="H225" s="80" t="n">
        <v>0.2666666666666667</v>
      </c>
      <c r="I225" s="100" t="n">
        <v>0.08513135304764946</v>
      </c>
      <c r="J225" s="12" t="inlineStr">
        <is>
          <t>Over +8.5%</t>
        </is>
      </c>
    </row>
    <row r="226" ht="45" customHeight="1">
      <c r="A226" s="12" t="inlineStr">
        <is>
          <t>US Small Cap</t>
        </is>
      </c>
      <c r="B226" s="79" t="n">
        <v>105611.17782</v>
      </c>
      <c r="C226" s="80" t="n">
        <v>0.07930610068903347</v>
      </c>
      <c r="D226" s="41" t="inlineStr">
        <is>
          <t>→</t>
        </is>
      </c>
      <c r="E226" s="81" t="n">
        <v>0.1778199999971548</v>
      </c>
      <c r="F226" s="82" t="n">
        <v>1.335295289323788e-07</v>
      </c>
      <c r="G226" s="33" t="inlineStr"/>
      <c r="H226" s="80" t="n">
        <v>0.06666666666666667</v>
      </c>
      <c r="I226" s="100" t="n">
        <v>-0.06666653313713773</v>
      </c>
      <c r="J226" s="12" t="inlineStr">
        <is>
          <t>Under -6.7%</t>
        </is>
      </c>
    </row>
    <row r="227" ht="30" customHeight="1">
      <c r="A227" s="12" t="inlineStr">
        <is>
          <t>Commodities</t>
        </is>
      </c>
      <c r="B227" s="79" t="n">
        <v>113946.6</v>
      </c>
      <c r="C227" s="80" t="n">
        <v>0.08556537971932091</v>
      </c>
      <c r="D227" s="99" t="inlineStr"/>
      <c r="E227" s="79" t="n">
        <v>113946.6</v>
      </c>
      <c r="F227" s="80" t="n">
        <v>0.08556537971932091</v>
      </c>
      <c r="G227" s="33" t="inlineStr"/>
      <c r="H227" s="80" t="n">
        <v>0.06666666666666667</v>
      </c>
      <c r="I227" s="101" t="n">
        <v>0.01889871305265424</v>
      </c>
      <c r="J227" s="12" t="inlineStr">
        <is>
          <t>✓ On target</t>
        </is>
      </c>
    </row>
    <row r="228" ht="45" customHeight="1">
      <c r="A228" s="12" t="inlineStr">
        <is>
          <t>Cash</t>
        </is>
      </c>
      <c r="B228" s="79" t="n">
        <v>67.36</v>
      </c>
      <c r="C228" s="80" t="n">
        <v>5.058232521105023e-05</v>
      </c>
      <c r="D228" s="41" t="inlineStr">
        <is>
          <t>→</t>
        </is>
      </c>
      <c r="E228" s="81" t="n">
        <v>152829.36</v>
      </c>
      <c r="F228" s="82" t="n">
        <v>0.1147634262071952</v>
      </c>
      <c r="G228" s="33" t="inlineStr"/>
      <c r="H228" s="64" t="inlineStr"/>
      <c r="I228" s="64" t="inlineStr"/>
      <c r="J228" s="33" t="inlineStr"/>
    </row>
    <row r="229"/>
    <row r="230" ht="15" customHeight="1">
      <c r="A230" s="10" t="inlineStr">
        <is>
          <t>Matthew Roth  —  Total: $138,318</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9" t="n">
        <v>28365.85216</v>
      </c>
      <c r="C232" s="80" t="n">
        <v>0.205076824536105</v>
      </c>
      <c r="D232" s="41" t="inlineStr">
        <is>
          <t>→</t>
        </is>
      </c>
      <c r="E232" s="81" t="n">
        <v>0</v>
      </c>
      <c r="F232" s="82" t="n">
        <v>0</v>
      </c>
      <c r="G232" s="33" t="inlineStr"/>
      <c r="H232" s="80" t="n">
        <v>0.4666666666666666</v>
      </c>
      <c r="I232" s="100" t="n">
        <v>-0.4666666666666666</v>
      </c>
      <c r="J232" s="12" t="inlineStr">
        <is>
          <t>Under -46.7%</t>
        </is>
      </c>
    </row>
    <row r="233" ht="30" customHeight="1">
      <c r="A233" s="12" t="inlineStr">
        <is>
          <t>International</t>
        </is>
      </c>
      <c r="B233" s="79" t="n">
        <v>47481.62048</v>
      </c>
      <c r="C233" s="80" t="n">
        <v>0.3432782451569715</v>
      </c>
      <c r="D233" s="41" t="inlineStr">
        <is>
          <t>→</t>
        </is>
      </c>
      <c r="E233" s="81" t="n">
        <v>28242.62048</v>
      </c>
      <c r="F233" s="82" t="n">
        <v>0.204185895489655</v>
      </c>
      <c r="G233" s="33" t="inlineStr"/>
      <c r="H233" s="80" t="n">
        <v>0.2666666666666667</v>
      </c>
      <c r="I233" s="100" t="n">
        <v>-0.06248077117701167</v>
      </c>
      <c r="J233" s="12" t="inlineStr">
        <is>
          <t>Under -6.2%</t>
        </is>
      </c>
    </row>
    <row r="234" ht="30" customHeight="1">
      <c r="A234" s="12" t="inlineStr">
        <is>
          <t>US Small Cap</t>
        </is>
      </c>
      <c r="B234" s="79" t="n">
        <v>62460.61263</v>
      </c>
      <c r="C234" s="80" t="n">
        <v>0.4515719825545383</v>
      </c>
      <c r="D234" s="99" t="inlineStr"/>
      <c r="E234" s="79" t="n">
        <v>62460.61263</v>
      </c>
      <c r="F234" s="80" t="n">
        <v>0.4515719825545383</v>
      </c>
      <c r="G234" s="33" t="inlineStr"/>
      <c r="H234" s="80" t="n">
        <v>0.06666666666666667</v>
      </c>
      <c r="I234" s="100" t="n">
        <v>0.3849053158878716</v>
      </c>
      <c r="J234" s="12" t="inlineStr">
        <is>
          <t>Over +38.5%</t>
        </is>
      </c>
    </row>
    <row r="235" ht="45" customHeight="1">
      <c r="A235" s="12" t="inlineStr">
        <is>
          <t>Cash</t>
        </is>
      </c>
      <c r="B235" s="79" t="n">
        <v>10.09</v>
      </c>
      <c r="C235" s="80" t="n">
        <v>7.294775238542663e-05</v>
      </c>
      <c r="D235" s="99" t="inlineStr"/>
      <c r="E235" s="79" t="n">
        <v>10.08999999999651</v>
      </c>
      <c r="F235" s="80" t="n">
        <v>7.294775238540138e-05</v>
      </c>
      <c r="G235" s="33" t="inlineStr"/>
      <c r="H235" s="64" t="inlineStr"/>
      <c r="I235" s="64" t="inlineStr"/>
      <c r="J235" s="33" t="inlineStr"/>
    </row>
    <row r="236" ht="30" customHeight="1">
      <c r="A236" s="12" t="inlineStr">
        <is>
          <t>Emerging Markets</t>
        </is>
      </c>
      <c r="B236" s="79" t="n">
        <v>0</v>
      </c>
      <c r="C236" s="80" t="n">
        <v>0</v>
      </c>
      <c r="D236" s="41" t="inlineStr">
        <is>
          <t>→</t>
        </is>
      </c>
      <c r="E236" s="81" t="n">
        <v>47605</v>
      </c>
      <c r="F236" s="82" t="n">
        <v>0.3441702430434326</v>
      </c>
      <c r="G236" s="33" t="inlineStr"/>
      <c r="H236" s="80" t="n">
        <v>0.06666666666666667</v>
      </c>
      <c r="I236" s="100" t="n">
        <v>0.2775035763767659</v>
      </c>
      <c r="J236" s="12" t="inlineStr">
        <is>
          <t>Over +27.8%</t>
        </is>
      </c>
    </row>
    <row r="237"/>
    <row r="238" ht="15" customHeight="1">
      <c r="A238" s="10" t="inlineStr">
        <is>
          <t>Matthew Trust  —  Total: $207,796</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9" t="n">
        <v>106099.44896</v>
      </c>
      <c r="C240" s="80" t="n">
        <v>0.510593674716614</v>
      </c>
      <c r="D240" s="99" t="inlineStr"/>
      <c r="E240" s="79" t="n">
        <v>106099.44896</v>
      </c>
      <c r="F240" s="80" t="n">
        <v>0.510593674716614</v>
      </c>
      <c r="G240" s="33" t="inlineStr"/>
      <c r="H240" s="80" t="n">
        <v>0.4666666666666666</v>
      </c>
      <c r="I240" s="100" t="n">
        <v>0.04392700804994737</v>
      </c>
      <c r="J240" s="12" t="inlineStr">
        <is>
          <t>Over +4.4%</t>
        </is>
      </c>
    </row>
    <row r="241" ht="30" customHeight="1">
      <c r="A241" s="12" t="inlineStr">
        <is>
          <t>International</t>
        </is>
      </c>
      <c r="B241" s="79" t="n">
        <v>91414.17728</v>
      </c>
      <c r="C241" s="80" t="n">
        <v>0.4399221782592679</v>
      </c>
      <c r="D241" s="99" t="inlineStr"/>
      <c r="E241" s="79" t="n">
        <v>91414.17728</v>
      </c>
      <c r="F241" s="80" t="n">
        <v>0.4399221782592679</v>
      </c>
      <c r="G241" s="33" t="inlineStr"/>
      <c r="H241" s="80" t="n">
        <v>0.2666666666666667</v>
      </c>
      <c r="I241" s="100" t="n">
        <v>0.1732555115926012</v>
      </c>
      <c r="J241" s="12" t="inlineStr">
        <is>
          <t>Over +17.3%</t>
        </is>
      </c>
    </row>
    <row r="242" ht="45" customHeight="1">
      <c r="A242" s="12" t="inlineStr">
        <is>
          <t>Cash</t>
        </is>
      </c>
      <c r="B242" s="79" t="n">
        <v>10282.62</v>
      </c>
      <c r="C242" s="80" t="n">
        <v>0.04948414702411806</v>
      </c>
      <c r="D242" s="99" t="inlineStr"/>
      <c r="E242" s="79" t="n">
        <v>10282.62</v>
      </c>
      <c r="F242" s="80" t="n">
        <v>0.04948414702411806</v>
      </c>
      <c r="G242" s="33" t="inlineStr"/>
      <c r="H242" s="64" t="inlineStr"/>
      <c r="I242" s="64" t="inlineStr"/>
      <c r="J242" s="33" t="inlineStr"/>
    </row>
    <row r="243"/>
    <row r="244" ht="15" customHeight="1">
      <c r="A244" s="10" t="inlineStr">
        <is>
          <t>Patricia IRA  —  Total: $460,853</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45" customHeight="1">
      <c r="A246" s="12" t="inlineStr">
        <is>
          <t>US Large Cap</t>
        </is>
      </c>
      <c r="B246" s="79" t="n">
        <v>213934.0858199999</v>
      </c>
      <c r="C246" s="80" t="n">
        <v>0.4642130122531057</v>
      </c>
      <c r="D246" s="99" t="inlineStr"/>
      <c r="E246" s="79" t="n">
        <v>213934.0858199999</v>
      </c>
      <c r="F246" s="80" t="n">
        <v>0.4642130122531057</v>
      </c>
      <c r="G246" s="33" t="inlineStr"/>
      <c r="H246" s="80" t="n">
        <v>0.4666666666666666</v>
      </c>
      <c r="I246" s="101" t="n">
        <v>-0.00245365441356088</v>
      </c>
      <c r="J246" s="12" t="inlineStr">
        <is>
          <t>✓ On target</t>
        </is>
      </c>
    </row>
    <row r="247" ht="45" customHeight="1">
      <c r="A247" s="12" t="inlineStr">
        <is>
          <t>International</t>
        </is>
      </c>
      <c r="B247" s="79" t="n">
        <v>155629.214916</v>
      </c>
      <c r="C247" s="80" t="n">
        <v>0.3376979707269649</v>
      </c>
      <c r="D247" s="41" t="inlineStr">
        <is>
          <t>→</t>
        </is>
      </c>
      <c r="E247" s="81" t="n">
        <v>8175.214915999997</v>
      </c>
      <c r="F247" s="82" t="n">
        <v>0.01773930099743878</v>
      </c>
      <c r="G247" s="33" t="inlineStr"/>
      <c r="H247" s="80" t="n">
        <v>0.2666666666666667</v>
      </c>
      <c r="I247" s="100" t="n">
        <v>-0.2489273656692279</v>
      </c>
      <c r="J247" s="12" t="inlineStr">
        <is>
          <t>Under -24.9%</t>
        </is>
      </c>
    </row>
    <row r="248" ht="45" customHeight="1">
      <c r="A248" s="12" t="inlineStr">
        <is>
          <t>US Small Cap</t>
        </is>
      </c>
      <c r="B248" s="79" t="n">
        <v>38339.91173399999</v>
      </c>
      <c r="C248" s="80" t="n">
        <v>0.08319331558288066</v>
      </c>
      <c r="D248" s="41" t="inlineStr">
        <is>
          <t>→</t>
        </is>
      </c>
      <c r="E248" s="81" t="n">
        <v>7014.911733999994</v>
      </c>
      <c r="F248" s="82" t="n">
        <v>0.01522157301043499</v>
      </c>
      <c r="G248" s="33" t="inlineStr"/>
      <c r="H248" s="80" t="n">
        <v>0.06666666666666667</v>
      </c>
      <c r="I248" s="100" t="n">
        <v>-0.05144509365623168</v>
      </c>
      <c r="J248" s="12" t="inlineStr">
        <is>
          <t>Under -5.1%</t>
        </is>
      </c>
    </row>
    <row r="249" ht="45" customHeight="1">
      <c r="A249" s="12" t="inlineStr">
        <is>
          <t>Commodities</t>
        </is>
      </c>
      <c r="B249" s="79" t="n">
        <v>52767.75</v>
      </c>
      <c r="C249" s="80" t="n">
        <v>0.1145001091501092</v>
      </c>
      <c r="D249" s="41" t="inlineStr">
        <is>
          <t>→</t>
        </is>
      </c>
      <c r="E249" s="81" t="n">
        <v>58799.75</v>
      </c>
      <c r="F249" s="82" t="n">
        <v>0.1275888737533651</v>
      </c>
      <c r="G249" s="33" t="inlineStr"/>
      <c r="H249" s="80" t="n">
        <v>0.06666666666666667</v>
      </c>
      <c r="I249" s="100" t="n">
        <v>0.06092220708669847</v>
      </c>
      <c r="J249" s="12" t="inlineStr">
        <is>
          <t>Over +6.1%</t>
        </is>
      </c>
    </row>
    <row r="250" ht="45" customHeight="1">
      <c r="A250" s="12" t="inlineStr">
        <is>
          <t>Cash</t>
        </is>
      </c>
      <c r="B250" s="79" t="n">
        <v>182.31</v>
      </c>
      <c r="C250" s="80" t="n">
        <v>0.0003955922869395873</v>
      </c>
      <c r="D250" s="99" t="inlineStr"/>
      <c r="E250" s="79" t="n">
        <v>182.3099999999977</v>
      </c>
      <c r="F250" s="80" t="n">
        <v>0.0003955922869395822</v>
      </c>
      <c r="G250" s="33" t="inlineStr"/>
      <c r="H250" s="64" t="inlineStr"/>
      <c r="I250" s="64" t="inlineStr"/>
      <c r="J250" s="33" t="inlineStr"/>
    </row>
    <row r="251" ht="30" customHeight="1">
      <c r="A251" s="12" t="inlineStr">
        <is>
          <t>US Mid Cap</t>
        </is>
      </c>
      <c r="B251" s="79" t="n">
        <v>0</v>
      </c>
      <c r="C251" s="80" t="n">
        <v>0</v>
      </c>
      <c r="D251" s="41" t="inlineStr">
        <is>
          <t>→</t>
        </is>
      </c>
      <c r="E251" s="81" t="n">
        <v>172747</v>
      </c>
      <c r="F251" s="82" t="n">
        <v>0.3748416476987158</v>
      </c>
      <c r="G251" s="33" t="inlineStr"/>
      <c r="H251" s="80" t="n">
        <v>0.06666666666666667</v>
      </c>
      <c r="I251" s="100" t="n">
        <v>0.3081749810320492</v>
      </c>
      <c r="J251" s="12" t="inlineStr">
        <is>
          <t>Over +30.8%</t>
        </is>
      </c>
    </row>
    <row r="252"/>
    <row r="253" ht="15" customHeight="1">
      <c r="A253" s="10" t="inlineStr">
        <is>
          <t>Patricia Roth  —  Total: $206,023</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9" t="n">
        <v>43680.5439</v>
      </c>
      <c r="C255" s="80" t="n">
        <v>0.2120179177939578</v>
      </c>
      <c r="D255" s="41" t="inlineStr">
        <is>
          <t>→</t>
        </is>
      </c>
      <c r="E255" s="81" t="n">
        <v>3617.543900000004</v>
      </c>
      <c r="F255" s="82" t="n">
        <v>0.01755894173300883</v>
      </c>
      <c r="G255" s="33" t="inlineStr"/>
      <c r="H255" s="80" t="n">
        <v>0.4666666666666666</v>
      </c>
      <c r="I255" s="100" t="n">
        <v>-0.4491077249336578</v>
      </c>
      <c r="J255" s="12" t="inlineStr">
        <is>
          <t>Under -44.9%</t>
        </is>
      </c>
    </row>
    <row r="256" ht="45" customHeight="1">
      <c r="A256" s="12" t="inlineStr">
        <is>
          <t>International</t>
        </is>
      </c>
      <c r="B256" s="79" t="n">
        <v>69713.333424</v>
      </c>
      <c r="C256" s="80" t="n">
        <v>0.3383766426734535</v>
      </c>
      <c r="D256" s="41" t="inlineStr">
        <is>
          <t>→</t>
        </is>
      </c>
      <c r="E256" s="81" t="n">
        <v>17066.333424</v>
      </c>
      <c r="F256" s="82" t="n">
        <v>0.08283707467602996</v>
      </c>
      <c r="G256" s="33" t="inlineStr"/>
      <c r="H256" s="80" t="n">
        <v>0.2666666666666667</v>
      </c>
      <c r="I256" s="100" t="n">
        <v>-0.1838295919906367</v>
      </c>
      <c r="J256" s="12" t="inlineStr">
        <is>
          <t>Under -18.4%</t>
        </is>
      </c>
    </row>
    <row r="257" ht="30" customHeight="1">
      <c r="A257" s="12" t="inlineStr">
        <is>
          <t>US Small Cap</t>
        </is>
      </c>
      <c r="B257" s="79" t="n">
        <v>92402.56147</v>
      </c>
      <c r="C257" s="80" t="n">
        <v>0.4485062898151685</v>
      </c>
      <c r="D257" s="99" t="inlineStr"/>
      <c r="E257" s="79" t="n">
        <v>92402.56147</v>
      </c>
      <c r="F257" s="80" t="n">
        <v>0.4485062898151685</v>
      </c>
      <c r="G257" s="33" t="inlineStr"/>
      <c r="H257" s="80" t="n">
        <v>0.06666666666666667</v>
      </c>
      <c r="I257" s="100" t="n">
        <v>0.3818396231485018</v>
      </c>
      <c r="J257" s="12" t="inlineStr">
        <is>
          <t>Over +38.2%</t>
        </is>
      </c>
    </row>
    <row r="258" ht="45" customHeight="1">
      <c r="A258" s="12" t="inlineStr">
        <is>
          <t>Cash</t>
        </is>
      </c>
      <c r="B258" s="79" t="n">
        <v>226.45</v>
      </c>
      <c r="C258" s="80" t="n">
        <v>0.001099149717420111</v>
      </c>
      <c r="D258" s="99" t="inlineStr"/>
      <c r="E258" s="79" t="n">
        <v>226.4499999999971</v>
      </c>
      <c r="F258" s="80" t="n">
        <v>0.001099149717420096</v>
      </c>
      <c r="G258" s="33" t="inlineStr"/>
      <c r="H258" s="64" t="inlineStr"/>
      <c r="I258" s="64" t="inlineStr"/>
      <c r="J258" s="33" t="inlineStr"/>
    </row>
    <row r="259" ht="45" customHeight="1">
      <c r="A259" s="12" t="inlineStr">
        <is>
          <t>Emerging Markets</t>
        </is>
      </c>
      <c r="B259" s="79" t="n">
        <v>0</v>
      </c>
      <c r="C259" s="80" t="n">
        <v>0</v>
      </c>
      <c r="D259" s="41" t="inlineStr">
        <is>
          <t>→</t>
        </is>
      </c>
      <c r="E259" s="81" t="n">
        <v>92710</v>
      </c>
      <c r="F259" s="82" t="n">
        <v>0.4499985440583725</v>
      </c>
      <c r="G259" s="33" t="inlineStr"/>
      <c r="H259" s="80" t="n">
        <v>0.06666666666666667</v>
      </c>
      <c r="I259" s="100" t="n">
        <v>0.3833318773917059</v>
      </c>
      <c r="J259" s="12" t="inlineStr">
        <is>
          <t>Over +38.3%</t>
        </is>
      </c>
    </row>
    <row r="260"/>
    <row r="261" ht="15" customHeight="1">
      <c r="A261" s="10" t="inlineStr">
        <is>
          <t>Patricia Trust  —  Total: $332,262</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9" t="n">
        <v>249788.805</v>
      </c>
      <c r="C263" s="80" t="n">
        <v>0.7517822521987171</v>
      </c>
      <c r="D263" s="99" t="inlineStr"/>
      <c r="E263" s="79" t="n">
        <v>249788.805</v>
      </c>
      <c r="F263" s="80" t="n">
        <v>0.7517822521987171</v>
      </c>
      <c r="G263" s="33" t="inlineStr"/>
      <c r="H263" s="80" t="n">
        <v>0.4666666666666666</v>
      </c>
      <c r="I263" s="100" t="n">
        <v>0.2851155855320505</v>
      </c>
      <c r="J263" s="12" t="inlineStr">
        <is>
          <t>Over +28.5%</t>
        </is>
      </c>
    </row>
    <row r="264" ht="45" customHeight="1">
      <c r="A264" s="12" t="inlineStr">
        <is>
          <t>International</t>
        </is>
      </c>
      <c r="B264" s="79" t="n">
        <v>77602.69834800001</v>
      </c>
      <c r="C264" s="80" t="n">
        <v>0.2335586310233443</v>
      </c>
      <c r="D264" s="99" t="inlineStr"/>
      <c r="E264" s="79" t="n">
        <v>77602.69834800001</v>
      </c>
      <c r="F264" s="80" t="n">
        <v>0.2335586310233443</v>
      </c>
      <c r="G264" s="33" t="inlineStr"/>
      <c r="H264" s="80" t="n">
        <v>0.2666666666666667</v>
      </c>
      <c r="I264" s="100" t="n">
        <v>-0.03310803564332232</v>
      </c>
      <c r="J264" s="12" t="inlineStr">
        <is>
          <t>Under -3.3%</t>
        </is>
      </c>
    </row>
    <row r="265" ht="45" customHeight="1">
      <c r="A265" s="12" t="inlineStr">
        <is>
          <t>Cash</t>
        </is>
      </c>
      <c r="B265" s="79" t="n">
        <v>4870.67</v>
      </c>
      <c r="C265" s="80" t="n">
        <v>0.01465911677793857</v>
      </c>
      <c r="D265" s="99" t="inlineStr"/>
      <c r="E265" s="79" t="n">
        <v>4870.67</v>
      </c>
      <c r="F265" s="80" t="n">
        <v>0.01465911677793857</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9" t="n">
        <v>1357238.41112</v>
      </c>
      <c r="C270" s="80" t="n">
        <v>0.4910506979746858</v>
      </c>
      <c r="D270" s="41" t="inlineStr">
        <is>
          <t>→</t>
        </is>
      </c>
      <c r="E270" s="81" t="n">
        <v>1209226.55896</v>
      </c>
      <c r="F270" s="82" t="n">
        <v>0.4374998091137399</v>
      </c>
      <c r="G270" s="33" t="inlineStr"/>
      <c r="H270" s="80" t="n">
        <v>0.4666666666666666</v>
      </c>
      <c r="I270" s="100" t="n">
        <v>-0.02916685755292675</v>
      </c>
      <c r="J270" s="12" t="inlineStr">
        <is>
          <t>Under -2.9%</t>
        </is>
      </c>
    </row>
    <row r="271" ht="30" customHeight="1">
      <c r="A271" s="2" t="inlineStr">
        <is>
          <t>International</t>
        </is>
      </c>
      <c r="B271" s="79" t="n">
        <v>910327.1116479998</v>
      </c>
      <c r="C271" s="80" t="n">
        <v>0.329357583676953</v>
      </c>
      <c r="D271" s="41" t="inlineStr">
        <is>
          <t>→</t>
        </is>
      </c>
      <c r="E271" s="81" t="n">
        <v>690987.1116479998</v>
      </c>
      <c r="F271" s="82" t="n">
        <v>0.2500000741846545</v>
      </c>
      <c r="G271" s="33" t="inlineStr"/>
      <c r="H271" s="80" t="n">
        <v>0.2666666666666667</v>
      </c>
      <c r="I271" s="101" t="n">
        <v>-0.01666659248201219</v>
      </c>
      <c r="J271" s="12" t="inlineStr">
        <is>
          <t>✓ On target</t>
        </is>
      </c>
    </row>
    <row r="272" ht="45" customHeight="1">
      <c r="A272" s="2" t="inlineStr">
        <is>
          <t>US Small Cap</t>
        </is>
      </c>
      <c r="B272" s="79" t="n">
        <v>309683.143654</v>
      </c>
      <c r="C272" s="80" t="n">
        <v>0.1120437813993214</v>
      </c>
      <c r="D272" s="41" t="inlineStr">
        <is>
          <t>→</t>
        </is>
      </c>
      <c r="E272" s="81" t="n">
        <v>172747.143654</v>
      </c>
      <c r="F272" s="82" t="n">
        <v>0.06250015087211527</v>
      </c>
      <c r="G272" s="33" t="inlineStr"/>
      <c r="H272" s="80" t="n">
        <v>0.06666666666666667</v>
      </c>
      <c r="I272" s="101" t="n">
        <v>-0.004166515794551393</v>
      </c>
      <c r="J272" s="12" t="inlineStr">
        <is>
          <t>✓ On target</t>
        </is>
      </c>
    </row>
    <row r="273" ht="45" customHeight="1">
      <c r="A273" s="2" t="inlineStr">
        <is>
          <t>Commodities</t>
        </is>
      </c>
      <c r="B273" s="79" t="n">
        <v>166714.35</v>
      </c>
      <c r="C273" s="80" t="n">
        <v>0.06031747794577998</v>
      </c>
      <c r="D273" s="41" t="inlineStr">
        <is>
          <t>→</t>
        </is>
      </c>
      <c r="E273" s="81" t="n">
        <v>172746.35</v>
      </c>
      <c r="F273" s="82" t="n">
        <v>0.06249986372702164</v>
      </c>
      <c r="G273" s="33" t="inlineStr"/>
      <c r="H273" s="80" t="n">
        <v>0.06666666666666667</v>
      </c>
      <c r="I273" s="101" t="n">
        <v>-0.004166802939645026</v>
      </c>
      <c r="J273" s="12" t="inlineStr">
        <is>
          <t>✓ On target</t>
        </is>
      </c>
    </row>
    <row r="274" ht="45" customHeight="1">
      <c r="A274" s="2" t="inlineStr">
        <is>
          <t>Cash</t>
        </is>
      </c>
      <c r="B274" s="79" t="n">
        <v>19984.61</v>
      </c>
      <c r="C274" s="80" t="n">
        <v>0.007230459003259253</v>
      </c>
      <c r="D274" s="41" t="inlineStr">
        <is>
          <t>→</t>
        </is>
      </c>
      <c r="E274" s="81" t="n">
        <v>172746.61</v>
      </c>
      <c r="F274" s="82" t="n">
        <v>0.06249995779537427</v>
      </c>
      <c r="G274" s="33" t="inlineStr"/>
      <c r="H274" s="64" t="inlineStr"/>
      <c r="I274" s="64" t="inlineStr"/>
      <c r="J274" s="33" t="inlineStr"/>
    </row>
    <row r="275" ht="45" customHeight="1">
      <c r="A275" s="2" t="inlineStr">
        <is>
          <t>Emerging Markets</t>
        </is>
      </c>
      <c r="B275" s="79" t="n">
        <v>0</v>
      </c>
      <c r="C275" s="80" t="n">
        <v>0</v>
      </c>
      <c r="D275" s="41" t="inlineStr">
        <is>
          <t>→</t>
        </is>
      </c>
      <c r="E275" s="81" t="n">
        <v>172747</v>
      </c>
      <c r="F275" s="82" t="n">
        <v>0.06250009889790324</v>
      </c>
      <c r="G275" s="33" t="inlineStr"/>
      <c r="H275" s="80" t="n">
        <v>0.06666666666666667</v>
      </c>
      <c r="I275" s="101" t="n">
        <v>-0.004166567768763424</v>
      </c>
      <c r="J275" s="12" t="inlineStr">
        <is>
          <t>✓ On target</t>
        </is>
      </c>
    </row>
    <row r="276" ht="45" customHeight="1">
      <c r="A276" s="2" t="inlineStr">
        <is>
          <t>US Mid Cap</t>
        </is>
      </c>
      <c r="B276" s="79" t="n">
        <v>0</v>
      </c>
      <c r="C276" s="80" t="n">
        <v>0</v>
      </c>
      <c r="D276" s="41" t="inlineStr">
        <is>
          <t>→</t>
        </is>
      </c>
      <c r="E276" s="81" t="n">
        <v>172747</v>
      </c>
      <c r="F276" s="82" t="n">
        <v>0.06250009889790324</v>
      </c>
      <c r="G276" s="33" t="inlineStr"/>
      <c r="H276" s="80" t="n">
        <v>0.06666666666666667</v>
      </c>
      <c r="I276" s="101" t="n">
        <v>-0.004166567768763424</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1807478.13389</v>
      </c>
      <c r="C303" s="104" t="inlineStr">
        <is>
          <t>67%</t>
        </is>
      </c>
    </row>
    <row r="304" ht="30" customHeight="1">
      <c r="A304" s="12" t="inlineStr">
        <is>
          <t>Tax-Free (Roth)</t>
        </is>
      </c>
      <c r="B304" s="103" t="n">
        <v>344341.064064</v>
      </c>
      <c r="C304" s="104" t="inlineStr">
        <is>
          <t>13%</t>
        </is>
      </c>
    </row>
    <row r="305" ht="30" customHeight="1">
      <c r="A305" s="12" t="inlineStr">
        <is>
          <t>Taxable (Trust)</t>
        </is>
      </c>
      <c r="B305" s="103" t="n">
        <v>540058.419588</v>
      </c>
      <c r="C305" s="104" t="inlineStr">
        <is>
          <t>20%</t>
        </is>
      </c>
    </row>
    <row r="306" ht="30" customHeight="1">
      <c r="A306" s="2" t="inlineStr">
        <is>
          <t>Total Investable</t>
        </is>
      </c>
      <c r="B306" s="105" t="n">
        <v>2691877.617542</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9" t="n">
        <v>777.6841242067201</v>
      </c>
      <c r="C310" s="79" t="n">
        <v>1652.57876393928</v>
      </c>
      <c r="D310" s="79" t="n">
        <v>2430.262888146</v>
      </c>
    </row>
    <row r="311" ht="60" customHeight="1">
      <c r="A311" s="2" t="inlineStr">
        <is>
          <t>Optimized (bonds→IRA, equities→Roth/taxable)</t>
        </is>
      </c>
      <c r="B311" s="83" t="n">
        <v>0</v>
      </c>
      <c r="C311" s="83" t="n">
        <v>1944.210310516798</v>
      </c>
      <c r="D311" s="83" t="n">
        <v>1944.210310516798</v>
      </c>
    </row>
    <row r="312"/>
    <row r="313" ht="15" customHeight="1">
      <c r="A313" s="20" t="inlineStr">
        <is>
          <t>Estimated Savings</t>
        </is>
      </c>
      <c r="B313" s="3" t="n"/>
      <c r="C313" s="4" t="n"/>
    </row>
    <row r="314" ht="30" customHeight="1">
      <c r="A314" s="2" t="inlineStr">
        <is>
          <t>Annual tax drag reduction</t>
        </is>
      </c>
      <c r="B314" s="105" t="n">
        <v>486.0525776292016</v>
      </c>
    </row>
    <row r="315" ht="45" customHeight="1">
      <c r="A315" s="2" t="inlineStr">
        <is>
          <t>Compounded over 30 years (at 6.0%)</t>
        </is>
      </c>
      <c r="B315" s="106" t="n">
        <v>40732.02130415339</v>
      </c>
    </row>
    <row r="316"/>
    <row r="317" ht="15" customHeight="1">
      <c r="A317" s="13" t="inlineStr">
        <is>
          <t>Placement Recommendations</t>
        </is>
      </c>
      <c r="B317" s="3" t="n"/>
      <c r="C317" s="3" t="n"/>
      <c r="D317" s="3" t="n"/>
      <c r="E317" s="4" t="n"/>
    </row>
    <row r="318" ht="30" customHeight="1">
      <c r="A318" s="12" t="inlineStr">
        <is>
          <t>• Hold all bond/income assets ($403,782) inside the IRA — ordinary-income yield is sheltered from annual tax.</t>
        </is>
      </c>
      <c r="B318" s="3" t="n"/>
      <c r="C318" s="3" t="n"/>
      <c r="D318" s="3" t="n"/>
      <c r="E318" s="3" t="n"/>
      <c r="F318" s="3" t="n"/>
      <c r="G318" s="4" t="n"/>
    </row>
    <row r="319" ht="30" customHeight="1">
      <c r="A319" s="12" t="inlineStr">
        <is>
          <t>• Hold the highest-growth equities ($344,341)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2683952.530154292</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1462511.296351167</v>
      </c>
      <c r="C9" s="107" t="inlineStr">
        <is>
          <t>Exempt in IL (retirement distribution)</t>
        </is>
      </c>
    </row>
    <row r="10" ht="30" customHeight="1">
      <c r="A10" s="2" t="inlineStr">
        <is>
          <t>Total AGI</t>
        </is>
      </c>
      <c r="B10" s="105" t="n">
        <v>7048059.593456606</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183119.5917803014</v>
      </c>
      <c r="F14" s="105" t="n">
        <v>296435.7550987758</v>
      </c>
      <c r="G14" s="105" t="n">
        <v>1845177.851270269</v>
      </c>
      <c r="H14" s="2" t="inlineStr">
        <is>
          <t>Baseline</t>
        </is>
      </c>
      <c r="I14" s="2" t="inlineStr">
        <is>
          <t>Exempt</t>
        </is>
      </c>
    </row>
    <row r="15" ht="30" customHeight="1">
      <c r="A15" s="12" t="inlineStr">
        <is>
          <t>New York</t>
        </is>
      </c>
      <c r="B15" s="12" t="inlineStr">
        <is>
          <t>6.9%</t>
        </is>
      </c>
      <c r="C15" s="103" t="n">
        <v>226638.1954199333</v>
      </c>
      <c r="D15" s="108" t="n">
        <v>1030988.053870389</v>
      </c>
      <c r="E15" s="108" t="n">
        <v>167423.6267705613</v>
      </c>
      <c r="F15" s="108" t="n">
        <v>61235.75509877585</v>
      </c>
      <c r="G15" s="109" t="n">
        <v>1486285.63115966</v>
      </c>
      <c r="H15" s="109" t="n">
        <v>-358892.2201106085</v>
      </c>
      <c r="I15" s="110" t="n">
        <v>4146463.826505459</v>
      </c>
    </row>
    <row r="16" ht="15" customHeight="1">
      <c r="A16" s="12" t="inlineStr">
        <is>
          <t>Texas</t>
        </is>
      </c>
      <c r="B16" s="12" t="inlineStr">
        <is>
          <t>None</t>
        </is>
      </c>
      <c r="C16" s="103" t="n">
        <v>0</v>
      </c>
      <c r="D16" s="108" t="n">
        <v>1104630.057718274</v>
      </c>
      <c r="E16" s="108" t="n">
        <v>171609.2174398254</v>
      </c>
      <c r="F16" s="108" t="n">
        <v>0</v>
      </c>
      <c r="G16" s="109" t="n">
        <v>1276239.2751581</v>
      </c>
      <c r="H16" s="109" t="n">
        <v>-568938.5761121688</v>
      </c>
      <c r="I16" s="75" t="inlineStr">
        <is>
          <t>Exempt</t>
        </is>
      </c>
    </row>
    <row r="17" ht="30" customHeight="1">
      <c r="A17" s="12" t="inlineStr">
        <is>
          <t>North Carolina</t>
        </is>
      </c>
      <c r="B17" s="12" t="inlineStr">
        <is>
          <t>4.5%</t>
        </is>
      </c>
      <c r="C17" s="103" t="n">
        <v>217435.9644429927</v>
      </c>
      <c r="D17" s="108" t="n">
        <v>521630.8605891851</v>
      </c>
      <c r="E17" s="108" t="n">
        <v>146495.6734242412</v>
      </c>
      <c r="F17" s="108" t="n">
        <v>0</v>
      </c>
      <c r="G17" s="109" t="n">
        <v>885562.498456419</v>
      </c>
      <c r="H17" s="109" t="n">
        <v>-959615.3528138497</v>
      </c>
      <c r="I17" s="110" t="n">
        <v>4146463.826505459</v>
      </c>
    </row>
    <row r="18" ht="30" customHeight="1">
      <c r="A18" s="12" t="inlineStr">
        <is>
          <t>California</t>
        </is>
      </c>
      <c r="B18" s="12" t="inlineStr">
        <is>
          <t>9.3%</t>
        </is>
      </c>
      <c r="C18" s="103" t="n">
        <v>251514.0143142914</v>
      </c>
      <c r="D18" s="108" t="n">
        <v>447988.8567413002</v>
      </c>
      <c r="E18" s="108" t="n">
        <v>183119.5917803014</v>
      </c>
      <c r="F18" s="108" t="n">
        <v>0</v>
      </c>
      <c r="G18" s="109" t="n">
        <v>882622.462835893</v>
      </c>
      <c r="H18" s="109" t="n">
        <v>-962555.3884343756</v>
      </c>
      <c r="I18" s="110" t="n">
        <v>4146463.826505459</v>
      </c>
    </row>
    <row r="19" ht="30" customHeight="1">
      <c r="A19" s="12" t="inlineStr">
        <is>
          <t>Indiana</t>
        </is>
      </c>
      <c r="B19" s="12" t="inlineStr">
        <is>
          <t>3.0%</t>
        </is>
      </c>
      <c r="C19" s="103" t="n">
        <v>147373.2647891394</v>
      </c>
      <c r="D19" s="108" t="n">
        <v>533904.5278971659</v>
      </c>
      <c r="E19" s="108" t="n">
        <v>146495.6734242412</v>
      </c>
      <c r="F19" s="108" t="n">
        <v>0</v>
      </c>
      <c r="G19" s="109" t="n">
        <v>827773.4661105464</v>
      </c>
      <c r="H19" s="109" t="n">
        <v>-1017404.385159722</v>
      </c>
      <c r="I19" s="110" t="n">
        <v>4146463.826505459</v>
      </c>
    </row>
    <row r="20" ht="30" customHeight="1">
      <c r="A20" s="12" t="inlineStr">
        <is>
          <t>Arizona</t>
        </is>
      </c>
      <c r="B20" s="12" t="inlineStr">
        <is>
          <t>2.5%</t>
        </is>
      </c>
      <c r="C20" s="103" t="n">
        <v>120797.7580238848</v>
      </c>
      <c r="D20" s="108" t="n">
        <v>386620.520201396</v>
      </c>
      <c r="E20" s="108" t="n">
        <v>175794.8081090894</v>
      </c>
      <c r="F20" s="108" t="n">
        <v>0</v>
      </c>
      <c r="G20" s="109" t="n">
        <v>683213.0863343703</v>
      </c>
      <c r="H20" s="109" t="n">
        <v>-1161964.764935898</v>
      </c>
      <c r="I20" s="110" t="n">
        <v>4146463.826505459</v>
      </c>
    </row>
    <row r="21" ht="30" customHeight="1">
      <c r="A21" s="12" t="inlineStr">
        <is>
          <t>Colorado</t>
        </is>
      </c>
      <c r="B21" s="12" t="inlineStr">
        <is>
          <t>4.4%</t>
        </is>
      </c>
      <c r="C21" s="103" t="n">
        <v>179868.0541220372</v>
      </c>
      <c r="D21" s="108" t="n">
        <v>337525.8509694727</v>
      </c>
      <c r="E21" s="108" t="n">
        <v>161145.2407666653</v>
      </c>
      <c r="F21" s="108" t="n">
        <v>0</v>
      </c>
      <c r="G21" s="109" t="n">
        <v>678539.1458581751</v>
      </c>
      <c r="H21" s="109" t="n">
        <v>-1166638.705412094</v>
      </c>
      <c r="I21" s="110" t="n">
        <v>3402463.826505459</v>
      </c>
    </row>
    <row r="22" ht="15" customHeight="1">
      <c r="A22" s="12" t="inlineStr">
        <is>
          <t>Florida</t>
        </is>
      </c>
      <c r="B22" s="12" t="inlineStr">
        <is>
          <t>None</t>
        </is>
      </c>
      <c r="C22" s="103" t="n">
        <v>0</v>
      </c>
      <c r="D22" s="108" t="n">
        <v>509357.1932812044</v>
      </c>
      <c r="E22" s="108" t="n">
        <v>147960.6301584836</v>
      </c>
      <c r="F22" s="108" t="n">
        <v>0</v>
      </c>
      <c r="G22" s="109" t="n">
        <v>657317.823439688</v>
      </c>
      <c r="H22" s="109" t="n">
        <v>-1187860.027830581</v>
      </c>
      <c r="I22" s="75" t="inlineStr">
        <is>
          <t>Exempt</t>
        </is>
      </c>
    </row>
    <row r="23" ht="15" customHeight="1">
      <c r="A23" s="12" t="inlineStr">
        <is>
          <t>Tennessee</t>
        </is>
      </c>
      <c r="B23" s="12" t="inlineStr">
        <is>
          <t>None</t>
        </is>
      </c>
      <c r="C23" s="103" t="n">
        <v>0</v>
      </c>
      <c r="D23" s="108" t="n">
        <v>435715.1894333194</v>
      </c>
      <c r="E23" s="108" t="n">
        <v>199861.9544573576</v>
      </c>
      <c r="F23" s="108" t="n">
        <v>0</v>
      </c>
      <c r="G23" s="109" t="n">
        <v>635577.143890677</v>
      </c>
      <c r="H23" s="109" t="n">
        <v>-1209600.707379592</v>
      </c>
      <c r="I23" s="75" t="inlineStr">
        <is>
          <t>Exempt</t>
        </is>
      </c>
    </row>
    <row r="24" ht="15" customHeight="1">
      <c r="A24" s="12" t="inlineStr">
        <is>
          <t>Nevada</t>
        </is>
      </c>
      <c r="B24" s="12" t="inlineStr">
        <is>
          <t>None</t>
        </is>
      </c>
      <c r="C24" s="103" t="n">
        <v>0</v>
      </c>
      <c r="D24" s="108" t="n">
        <v>337525.8509694727</v>
      </c>
      <c r="E24" s="108" t="n">
        <v>172237.056040215</v>
      </c>
      <c r="F24" s="108" t="n">
        <v>0</v>
      </c>
      <c r="G24" s="109" t="n">
        <v>509762.9070096877</v>
      </c>
      <c r="H24" s="109" t="n">
        <v>-1335414.944260581</v>
      </c>
      <c r="I24" s="75" t="inlineStr">
        <is>
          <t>Exempt</t>
        </is>
      </c>
    </row>
    <row r="25"/>
    <row r="26"/>
    <row r="27" ht="30" customHeight="1">
      <c r="A27" s="2" t="inlineStr">
        <is>
          <t>Illinois exempts $2,683,953 of retirement income (38% of AGI) from state tax. Moving to a state that taxes retirement income (e.g. North Carolina) would add ~$120,778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Matthew Claim Age</t>
        </is>
      </c>
      <c r="B4" s="12" t="n">
        <v>62</v>
      </c>
      <c r="C4" s="12" t="inlineStr">
        <is>
          <t>Highest score from the 62–70 × 62–70 projection sweep.</t>
        </is>
      </c>
      <c r="D4" s="3" t="n"/>
      <c r="E4" s="3" t="n"/>
      <c r="F4" s="3" t="n"/>
      <c r="G4" s="3" t="n"/>
      <c r="H4" s="3" t="n"/>
      <c r="I4" s="3" t="n"/>
      <c r="J4" s="4" t="n"/>
    </row>
    <row r="5" ht="45" customHeight="1">
      <c r="A5" s="11" t="inlineStr">
        <is>
          <t>Recommended Patricia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Matthew 70 / Patricia 70</t>
        </is>
      </c>
      <c r="C6" s="12" t="inlineStr">
        <is>
          <t>Current row shown below for comparison.</t>
        </is>
      </c>
      <c r="D6" s="3" t="n"/>
      <c r="E6" s="3" t="n"/>
      <c r="F6" s="3" t="n"/>
      <c r="G6" s="3" t="n"/>
      <c r="H6" s="3" t="n"/>
      <c r="I6" s="3" t="n"/>
      <c r="J6" s="4" t="n"/>
    </row>
    <row r="7" ht="45" customHeight="1">
      <c r="A7" s="11" t="inlineStr">
        <is>
          <t>Best vs Current Terminal NW</t>
        </is>
      </c>
      <c r="B7" s="103" t="n">
        <v>3715714.722319683</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715307.9661800091</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13590003.01678572</v>
      </c>
      <c r="E12" s="111" t="n">
        <v>11461394.26621597</v>
      </c>
      <c r="F12" s="111" t="n">
        <v>3755947.327481267</v>
      </c>
      <c r="G12" s="111" t="n">
        <v>3861406.753164189</v>
      </c>
      <c r="H12" s="111" t="n">
        <v>1143284.257048528</v>
      </c>
      <c r="I12" s="111" t="n">
        <v>1652075.202594436</v>
      </c>
      <c r="J12" s="111" t="n">
        <v>80722.8</v>
      </c>
    </row>
    <row r="13" ht="15" customHeight="1">
      <c r="A13" s="12" t="n">
        <v>2</v>
      </c>
      <c r="B13" s="12" t="n">
        <v>62</v>
      </c>
      <c r="C13" s="12" t="n">
        <v>63</v>
      </c>
      <c r="D13" s="108" t="n">
        <v>13493438.61683244</v>
      </c>
      <c r="E13" s="108" t="n">
        <v>11375553.36039453</v>
      </c>
      <c r="F13" s="108" t="n">
        <v>3670106.421659832</v>
      </c>
      <c r="G13" s="108" t="n">
        <v>3828424.589535601</v>
      </c>
      <c r="H13" s="108" t="n">
        <v>1110302.09341994</v>
      </c>
      <c r="I13" s="108" t="n">
        <v>1631130.533097688</v>
      </c>
      <c r="J13" s="108" t="n">
        <v>79408.8</v>
      </c>
    </row>
    <row r="14" ht="15" customHeight="1">
      <c r="A14" s="12" t="n">
        <v>3</v>
      </c>
      <c r="B14" s="12" t="n">
        <v>63</v>
      </c>
      <c r="C14" s="12" t="n">
        <v>62</v>
      </c>
      <c r="D14" s="108" t="n">
        <v>13467318.71085811</v>
      </c>
      <c r="E14" s="108" t="n">
        <v>11354541.72991515</v>
      </c>
      <c r="F14" s="108" t="n">
        <v>3649094.791180448</v>
      </c>
      <c r="G14" s="108" t="n">
        <v>3818675.058887597</v>
      </c>
      <c r="H14" s="108" t="n">
        <v>1100552.562771935</v>
      </c>
      <c r="I14" s="108" t="n">
        <v>1626489.277944636</v>
      </c>
      <c r="J14" s="108" t="n">
        <v>79408.8</v>
      </c>
    </row>
    <row r="15" ht="15" customHeight="1">
      <c r="A15" s="12" t="n">
        <v>4</v>
      </c>
      <c r="B15" s="12" t="n">
        <v>62</v>
      </c>
      <c r="C15" s="12" t="n">
        <v>64</v>
      </c>
      <c r="D15" s="108" t="n">
        <v>13393741.32326918</v>
      </c>
      <c r="E15" s="108" t="n">
        <v>11288245.04160341</v>
      </c>
      <c r="F15" s="108" t="n">
        <v>3582798.102868711</v>
      </c>
      <c r="G15" s="108" t="n">
        <v>3796089.134997769</v>
      </c>
      <c r="H15" s="108" t="n">
        <v>1077966.638882108</v>
      </c>
      <c r="I15" s="108" t="n">
        <v>1611184.053332001</v>
      </c>
      <c r="J15" s="108" t="n">
        <v>79408.8</v>
      </c>
    </row>
    <row r="16" ht="15" customHeight="1">
      <c r="A16" s="12" t="n">
        <v>5</v>
      </c>
      <c r="B16" s="12" t="n">
        <v>63</v>
      </c>
      <c r="C16" s="12" t="n">
        <v>63</v>
      </c>
      <c r="D16" s="108" t="n">
        <v>13364178.30335023</v>
      </c>
      <c r="E16" s="108" t="n">
        <v>11264610.80615146</v>
      </c>
      <c r="F16" s="108" t="n">
        <v>3559163.867416759</v>
      </c>
      <c r="G16" s="108" t="n">
        <v>3785692.895259009</v>
      </c>
      <c r="H16" s="108" t="n">
        <v>1067570.399143348</v>
      </c>
      <c r="I16" s="108" t="n">
        <v>1606716.598060236</v>
      </c>
      <c r="J16" s="108" t="n">
        <v>79408.8</v>
      </c>
    </row>
    <row r="17" ht="15" customHeight="1">
      <c r="A17" s="12" t="n">
        <v>6</v>
      </c>
      <c r="B17" s="12" t="n">
        <v>64</v>
      </c>
      <c r="C17" s="12" t="n">
        <v>62</v>
      </c>
      <c r="D17" s="108" t="n">
        <v>13339110.22254919</v>
      </c>
      <c r="E17" s="108" t="n">
        <v>11244812.09942459</v>
      </c>
      <c r="F17" s="108" t="n">
        <v>3539365.160689895</v>
      </c>
      <c r="G17" s="108" t="n">
        <v>3776781.240969369</v>
      </c>
      <c r="H17" s="108" t="n">
        <v>1058658.744853708</v>
      </c>
      <c r="I17" s="108" t="n">
        <v>1603074.317844776</v>
      </c>
      <c r="J17" s="108" t="n">
        <v>79408.8</v>
      </c>
    </row>
    <row r="18" ht="15" customHeight="1">
      <c r="A18" s="12" t="n">
        <v>7</v>
      </c>
      <c r="B18" s="12" t="n">
        <v>62</v>
      </c>
      <c r="C18" s="12" t="n">
        <v>65</v>
      </c>
      <c r="D18" s="108" t="n">
        <v>13292184.08510898</v>
      </c>
      <c r="E18" s="108" t="n">
        <v>11199610.91969909</v>
      </c>
      <c r="F18" s="108" t="n">
        <v>3494163.980964388</v>
      </c>
      <c r="G18" s="108" t="n">
        <v>3764387.708980287</v>
      </c>
      <c r="H18" s="108" t="n">
        <v>1046265.212864626</v>
      </c>
      <c r="I18" s="108" t="n">
        <v>1592405.743570387</v>
      </c>
      <c r="J18" s="108" t="n">
        <v>79408.8</v>
      </c>
    </row>
    <row r="19" ht="15" customHeight="1">
      <c r="A19" s="12" t="n">
        <v>8</v>
      </c>
      <c r="B19" s="12" t="n">
        <v>63</v>
      </c>
      <c r="C19" s="12" t="n">
        <v>64</v>
      </c>
      <c r="D19" s="108" t="n">
        <v>13262570.39148803</v>
      </c>
      <c r="E19" s="108" t="n">
        <v>11175467.77686226</v>
      </c>
      <c r="F19" s="108" t="n">
        <v>3470020.83812756</v>
      </c>
      <c r="G19" s="108" t="n">
        <v>3753357.440721177</v>
      </c>
      <c r="H19" s="108" t="n">
        <v>1035234.944605516</v>
      </c>
      <c r="I19" s="108" t="n">
        <v>1586846.026095404</v>
      </c>
      <c r="J19" s="108" t="n">
        <v>79408.8</v>
      </c>
    </row>
    <row r="20" ht="15" customHeight="1">
      <c r="A20" s="12" t="n">
        <v>9</v>
      </c>
      <c r="B20" s="12" t="n">
        <v>64</v>
      </c>
      <c r="C20" s="12" t="n">
        <v>63</v>
      </c>
      <c r="D20" s="108" t="n">
        <v>13236270.53756539</v>
      </c>
      <c r="E20" s="108" t="n">
        <v>11153935.59327332</v>
      </c>
      <c r="F20" s="108" t="n">
        <v>3448488.654538625</v>
      </c>
      <c r="G20" s="108" t="n">
        <v>3743799.077340781</v>
      </c>
      <c r="H20" s="108" t="n">
        <v>1025676.58122512</v>
      </c>
      <c r="I20" s="108" t="n">
        <v>1582055.333048716</v>
      </c>
      <c r="J20" s="108" t="n">
        <v>79408.8</v>
      </c>
    </row>
    <row r="21" ht="15" customHeight="1">
      <c r="A21" s="12" t="n">
        <v>10</v>
      </c>
      <c r="B21" s="12" t="n">
        <v>63</v>
      </c>
      <c r="C21" s="12" t="n">
        <v>65</v>
      </c>
      <c r="D21" s="108" t="n">
        <v>13167137.49384842</v>
      </c>
      <c r="E21" s="108" t="n">
        <v>11090380.97995762</v>
      </c>
      <c r="F21" s="108" t="n">
        <v>3384934.04122292</v>
      </c>
      <c r="G21" s="108" t="n">
        <v>3721656.014703695</v>
      </c>
      <c r="H21" s="108" t="n">
        <v>1003533.518588034</v>
      </c>
      <c r="I21" s="108" t="n">
        <v>1565490.700812893</v>
      </c>
      <c r="J21" s="108" t="n">
        <v>79408.8</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13590003.01678572</v>
      </c>
      <c r="D26" s="111" t="n">
        <v>11461394.26621597</v>
      </c>
      <c r="E26" s="111" t="n">
        <v>3755947.327481267</v>
      </c>
      <c r="F26" s="111" t="n">
        <v>3861406.753164189</v>
      </c>
      <c r="G26" s="111" t="n">
        <v>1143284.257048528</v>
      </c>
      <c r="H26" s="111" t="n">
        <v>1652075.202594436</v>
      </c>
      <c r="I26" s="111" t="n">
        <v>80722.8</v>
      </c>
      <c r="J26" s="75" t="n">
        <v>2</v>
      </c>
    </row>
    <row r="27" ht="30" customHeight="1">
      <c r="A27" s="12" t="n">
        <v>62</v>
      </c>
      <c r="B27" s="12" t="n">
        <v>63</v>
      </c>
      <c r="C27" s="103" t="n">
        <v>13493438.61683244</v>
      </c>
      <c r="D27" s="108" t="n">
        <v>11375553.36039453</v>
      </c>
      <c r="E27" s="108" t="n">
        <v>3670106.421659832</v>
      </c>
      <c r="F27" s="108" t="n">
        <v>3828424.589535601</v>
      </c>
      <c r="G27" s="108" t="n">
        <v>1110302.09341994</v>
      </c>
      <c r="H27" s="108" t="n">
        <v>1631130.533097688</v>
      </c>
      <c r="I27" s="108" t="n">
        <v>79408.8</v>
      </c>
      <c r="J27" s="33" t="n">
        <v>2</v>
      </c>
    </row>
    <row r="28" ht="30" customHeight="1">
      <c r="A28" s="12" t="n">
        <v>62</v>
      </c>
      <c r="B28" s="12" t="n">
        <v>64</v>
      </c>
      <c r="C28" s="103" t="n">
        <v>13393741.32326918</v>
      </c>
      <c r="D28" s="108" t="n">
        <v>11288245.04160341</v>
      </c>
      <c r="E28" s="108" t="n">
        <v>3582798.102868711</v>
      </c>
      <c r="F28" s="108" t="n">
        <v>3796089.134997769</v>
      </c>
      <c r="G28" s="108" t="n">
        <v>1077966.638882108</v>
      </c>
      <c r="H28" s="108" t="n">
        <v>1611184.053332001</v>
      </c>
      <c r="I28" s="108" t="n">
        <v>79408.8</v>
      </c>
      <c r="J28" s="33" t="n">
        <v>2</v>
      </c>
    </row>
    <row r="29" ht="30" customHeight="1">
      <c r="A29" s="12" t="n">
        <v>62</v>
      </c>
      <c r="B29" s="12" t="n">
        <v>65</v>
      </c>
      <c r="C29" s="103" t="n">
        <v>13292184.08510898</v>
      </c>
      <c r="D29" s="108" t="n">
        <v>11199610.91969909</v>
      </c>
      <c r="E29" s="108" t="n">
        <v>3494163.980964388</v>
      </c>
      <c r="F29" s="108" t="n">
        <v>3764387.708980287</v>
      </c>
      <c r="G29" s="108" t="n">
        <v>1046265.212864626</v>
      </c>
      <c r="H29" s="108" t="n">
        <v>1592405.743570387</v>
      </c>
      <c r="I29" s="108" t="n">
        <v>79408.8</v>
      </c>
      <c r="J29" s="33" t="n">
        <v>2</v>
      </c>
    </row>
    <row r="30" ht="30" customHeight="1">
      <c r="A30" s="12" t="n">
        <v>62</v>
      </c>
      <c r="B30" s="12" t="n">
        <v>66</v>
      </c>
      <c r="C30" s="103" t="n">
        <v>13003820.95827308</v>
      </c>
      <c r="D30" s="108" t="n">
        <v>10930538.10281682</v>
      </c>
      <c r="E30" s="108" t="n">
        <v>3225091.16408212</v>
      </c>
      <c r="F30" s="108" t="n">
        <v>3684201.997198442</v>
      </c>
      <c r="G30" s="108" t="n">
        <v>966079.5010827812</v>
      </c>
      <c r="H30" s="108" t="n">
        <v>1531510.341742183</v>
      </c>
      <c r="I30" s="108" t="n">
        <v>79408.8</v>
      </c>
      <c r="J30" s="33" t="n">
        <v>3</v>
      </c>
    </row>
    <row r="31" ht="30" customHeight="1">
      <c r="A31" s="12" t="n">
        <v>62</v>
      </c>
      <c r="B31" s="12" t="n">
        <v>67</v>
      </c>
      <c r="C31" s="103" t="n">
        <v>12697638.8061828</v>
      </c>
      <c r="D31" s="108" t="n">
        <v>10621065.9660818</v>
      </c>
      <c r="E31" s="108" t="n">
        <v>2915619.027347098</v>
      </c>
      <c r="F31" s="108" t="n">
        <v>3605588.554275065</v>
      </c>
      <c r="G31" s="108" t="n">
        <v>887466.058159404</v>
      </c>
      <c r="H31" s="108" t="n">
        <v>1454366.11417406</v>
      </c>
      <c r="I31" s="108" t="n">
        <v>74649.59999999999</v>
      </c>
      <c r="J31" s="33" t="n">
        <v>4</v>
      </c>
    </row>
    <row r="32" ht="30" customHeight="1">
      <c r="A32" s="12" t="n">
        <v>62</v>
      </c>
      <c r="B32" s="12" t="n">
        <v>68</v>
      </c>
      <c r="C32" s="103" t="n">
        <v>12470688.69335135</v>
      </c>
      <c r="D32" s="108" t="n">
        <v>10366792.24428289</v>
      </c>
      <c r="E32" s="108" t="n">
        <v>2661345.305548196</v>
      </c>
      <c r="F32" s="108" t="n">
        <v>3528516.551409009</v>
      </c>
      <c r="G32" s="108" t="n">
        <v>810394.0552933477</v>
      </c>
      <c r="H32" s="108" t="n">
        <v>1361922.502340549</v>
      </c>
      <c r="I32" s="108" t="n">
        <v>62697.6</v>
      </c>
      <c r="J32" s="33" t="n">
        <v>5</v>
      </c>
    </row>
    <row r="33" ht="30" customHeight="1">
      <c r="A33" s="12" t="n">
        <v>62</v>
      </c>
      <c r="B33" s="12" t="n">
        <v>69</v>
      </c>
      <c r="C33" s="103" t="n">
        <v>12335141.64228828</v>
      </c>
      <c r="D33" s="108" t="n">
        <v>10170905.46546195</v>
      </c>
      <c r="E33" s="108" t="n">
        <v>2465458.526727256</v>
      </c>
      <c r="F33" s="108" t="n">
        <v>3452955.764285424</v>
      </c>
      <c r="G33" s="108" t="n">
        <v>734833.268169763</v>
      </c>
      <c r="H33" s="108" t="n">
        <v>1243391.987459104</v>
      </c>
      <c r="I33" s="108" t="n">
        <v>45327.6</v>
      </c>
      <c r="J33" s="33" t="n">
        <v>6</v>
      </c>
    </row>
    <row r="34" ht="30" customHeight="1">
      <c r="A34" s="12" t="n">
        <v>62</v>
      </c>
      <c r="B34" s="12" t="n">
        <v>70</v>
      </c>
      <c r="C34" s="103" t="n">
        <v>12092020.00994294</v>
      </c>
      <c r="D34" s="108" t="n">
        <v>9926891.499195397</v>
      </c>
      <c r="E34" s="108" t="n">
        <v>2221444.560460699</v>
      </c>
      <c r="F34" s="108" t="n">
        <v>3378876.561223086</v>
      </c>
      <c r="G34" s="108" t="n">
        <v>660754.0651074252</v>
      </c>
      <c r="H34" s="108" t="n">
        <v>1169504.050475542</v>
      </c>
      <c r="I34" s="108" t="n">
        <v>44244</v>
      </c>
      <c r="J34" s="33" t="n">
        <v>7</v>
      </c>
    </row>
    <row r="35" ht="30" customHeight="1">
      <c r="A35" s="12" t="n">
        <v>63</v>
      </c>
      <c r="B35" s="12" t="n">
        <v>62</v>
      </c>
      <c r="C35" s="103" t="n">
        <v>13467318.71085811</v>
      </c>
      <c r="D35" s="108" t="n">
        <v>11354541.72991515</v>
      </c>
      <c r="E35" s="108" t="n">
        <v>3649094.791180448</v>
      </c>
      <c r="F35" s="108" t="n">
        <v>3818675.058887597</v>
      </c>
      <c r="G35" s="108" t="n">
        <v>1100552.562771935</v>
      </c>
      <c r="H35" s="108" t="n">
        <v>1626489.277944636</v>
      </c>
      <c r="I35" s="108" t="n">
        <v>79408.8</v>
      </c>
      <c r="J35" s="33" t="n">
        <v>2</v>
      </c>
    </row>
    <row r="36" ht="30" customHeight="1">
      <c r="A36" s="12" t="n">
        <v>63</v>
      </c>
      <c r="B36" s="12" t="n">
        <v>63</v>
      </c>
      <c r="C36" s="103" t="n">
        <v>13364178.30335023</v>
      </c>
      <c r="D36" s="108" t="n">
        <v>11264610.80615146</v>
      </c>
      <c r="E36" s="108" t="n">
        <v>3559163.867416759</v>
      </c>
      <c r="F36" s="108" t="n">
        <v>3785692.895259009</v>
      </c>
      <c r="G36" s="108" t="n">
        <v>1067570.399143348</v>
      </c>
      <c r="H36" s="108" t="n">
        <v>1606716.598060236</v>
      </c>
      <c r="I36" s="108" t="n">
        <v>79408.8</v>
      </c>
      <c r="J36" s="33" t="n">
        <v>2</v>
      </c>
    </row>
    <row r="37" ht="30" customHeight="1">
      <c r="A37" s="12" t="n">
        <v>63</v>
      </c>
      <c r="B37" s="12" t="n">
        <v>64</v>
      </c>
      <c r="C37" s="103" t="n">
        <v>13262570.39148803</v>
      </c>
      <c r="D37" s="108" t="n">
        <v>11175467.77686226</v>
      </c>
      <c r="E37" s="108" t="n">
        <v>3470020.83812756</v>
      </c>
      <c r="F37" s="108" t="n">
        <v>3753357.440721177</v>
      </c>
      <c r="G37" s="108" t="n">
        <v>1035234.944605516</v>
      </c>
      <c r="H37" s="108" t="n">
        <v>1586846.026095404</v>
      </c>
      <c r="I37" s="108" t="n">
        <v>79408.8</v>
      </c>
      <c r="J37" s="33" t="n">
        <v>2</v>
      </c>
    </row>
    <row r="38" ht="30" customHeight="1">
      <c r="A38" s="12" t="n">
        <v>63</v>
      </c>
      <c r="B38" s="12" t="n">
        <v>65</v>
      </c>
      <c r="C38" s="103" t="n">
        <v>13167137.49384842</v>
      </c>
      <c r="D38" s="108" t="n">
        <v>11090380.97995762</v>
      </c>
      <c r="E38" s="108" t="n">
        <v>3384934.04122292</v>
      </c>
      <c r="F38" s="108" t="n">
        <v>3721656.014703695</v>
      </c>
      <c r="G38" s="108" t="n">
        <v>1003533.518588034</v>
      </c>
      <c r="H38" s="108" t="n">
        <v>1565490.700812893</v>
      </c>
      <c r="I38" s="108" t="n">
        <v>79408.8</v>
      </c>
      <c r="J38" s="33" t="n">
        <v>2</v>
      </c>
    </row>
    <row r="39" ht="30" customHeight="1">
      <c r="A39" s="12" t="n">
        <v>63</v>
      </c>
      <c r="B39" s="12" t="n">
        <v>66</v>
      </c>
      <c r="C39" s="103" t="n">
        <v>12882361.24324764</v>
      </c>
      <c r="D39" s="108" t="n">
        <v>10823982.94994017</v>
      </c>
      <c r="E39" s="108" t="n">
        <v>3118536.011205471</v>
      </c>
      <c r="F39" s="108" t="n">
        <v>3641470.30292185</v>
      </c>
      <c r="G39" s="108" t="n">
        <v>923347.806806189</v>
      </c>
      <c r="H39" s="108" t="n">
        <v>1505850.409614384</v>
      </c>
      <c r="I39" s="108" t="n">
        <v>77241.60000000001</v>
      </c>
      <c r="J39" s="33" t="n">
        <v>3</v>
      </c>
    </row>
    <row r="40" ht="30" customHeight="1">
      <c r="A40" s="12" t="n">
        <v>63</v>
      </c>
      <c r="B40" s="12" t="n">
        <v>67</v>
      </c>
      <c r="C40" s="103" t="n">
        <v>12585313.23191278</v>
      </c>
      <c r="D40" s="108" t="n">
        <v>10516549.39892466</v>
      </c>
      <c r="E40" s="108" t="n">
        <v>2811102.460189962</v>
      </c>
      <c r="F40" s="108" t="n">
        <v>3562856.859998473</v>
      </c>
      <c r="G40" s="108" t="n">
        <v>844734.3638828117</v>
      </c>
      <c r="H40" s="108" t="n">
        <v>1423777.827010352</v>
      </c>
      <c r="I40" s="108" t="n">
        <v>70315.2</v>
      </c>
      <c r="J40" s="33" t="n">
        <v>4</v>
      </c>
    </row>
    <row r="41" ht="30" customHeight="1">
      <c r="A41" s="12" t="n">
        <v>63</v>
      </c>
      <c r="B41" s="12" t="n">
        <v>68</v>
      </c>
      <c r="C41" s="103" t="n">
        <v>12384263.60859497</v>
      </c>
      <c r="D41" s="108" t="n">
        <v>10282842.36951668</v>
      </c>
      <c r="E41" s="108" t="n">
        <v>2577395.43078198</v>
      </c>
      <c r="F41" s="108" t="n">
        <v>3485784.857132417</v>
      </c>
      <c r="G41" s="108" t="n">
        <v>767662.3610167555</v>
      </c>
      <c r="H41" s="108" t="n">
        <v>1326000.418054122</v>
      </c>
      <c r="I41" s="108" t="n">
        <v>58363.2</v>
      </c>
      <c r="J41" s="33" t="n">
        <v>5</v>
      </c>
    </row>
    <row r="42" ht="30" customHeight="1">
      <c r="A42" s="12" t="n">
        <v>63</v>
      </c>
      <c r="B42" s="12" t="n">
        <v>69</v>
      </c>
      <c r="C42" s="103" t="n">
        <v>12203753.82574451</v>
      </c>
      <c r="D42" s="108" t="n">
        <v>10057745.97768051</v>
      </c>
      <c r="E42" s="108" t="n">
        <v>2352299.038945814</v>
      </c>
      <c r="F42" s="108" t="n">
        <v>3410224.070008832</v>
      </c>
      <c r="G42" s="108" t="n">
        <v>692101.5738931708</v>
      </c>
      <c r="H42" s="108" t="n">
        <v>1218888.621944833</v>
      </c>
      <c r="I42" s="108" t="n">
        <v>45327.6</v>
      </c>
      <c r="J42" s="33" t="n">
        <v>6</v>
      </c>
    </row>
    <row r="43" ht="30" customHeight="1">
      <c r="A43" s="12" t="n">
        <v>63</v>
      </c>
      <c r="B43" s="12" t="n">
        <v>70</v>
      </c>
      <c r="C43" s="103" t="n">
        <v>11987389.40285731</v>
      </c>
      <c r="D43" s="108" t="n">
        <v>9845332.82739291</v>
      </c>
      <c r="E43" s="108" t="n">
        <v>2139885.888658212</v>
      </c>
      <c r="F43" s="108" t="n">
        <v>3336144.866946495</v>
      </c>
      <c r="G43" s="108" t="n">
        <v>618022.3708308334</v>
      </c>
      <c r="H43" s="108" t="n">
        <v>1149844.29148209</v>
      </c>
      <c r="I43" s="108" t="n">
        <v>44244</v>
      </c>
      <c r="J43" s="33" t="n">
        <v>7</v>
      </c>
    </row>
    <row r="44" ht="30" customHeight="1">
      <c r="A44" s="12" t="n">
        <v>64</v>
      </c>
      <c r="B44" s="12" t="n">
        <v>62</v>
      </c>
      <c r="C44" s="103" t="n">
        <v>13339110.22254919</v>
      </c>
      <c r="D44" s="108" t="n">
        <v>11244812.09942459</v>
      </c>
      <c r="E44" s="108" t="n">
        <v>3539365.160689895</v>
      </c>
      <c r="F44" s="108" t="n">
        <v>3776781.240969369</v>
      </c>
      <c r="G44" s="108" t="n">
        <v>1058658.744853708</v>
      </c>
      <c r="H44" s="108" t="n">
        <v>1603074.317844776</v>
      </c>
      <c r="I44" s="108" t="n">
        <v>79408.8</v>
      </c>
      <c r="J44" s="33" t="n">
        <v>2</v>
      </c>
    </row>
    <row r="45" ht="30" customHeight="1">
      <c r="A45" s="12" t="n">
        <v>64</v>
      </c>
      <c r="B45" s="12" t="n">
        <v>63</v>
      </c>
      <c r="C45" s="103" t="n">
        <v>13236270.53756539</v>
      </c>
      <c r="D45" s="108" t="n">
        <v>11153935.59327332</v>
      </c>
      <c r="E45" s="108" t="n">
        <v>3448488.654538625</v>
      </c>
      <c r="F45" s="108" t="n">
        <v>3743799.077340781</v>
      </c>
      <c r="G45" s="108" t="n">
        <v>1025676.58122512</v>
      </c>
      <c r="H45" s="108" t="n">
        <v>1582055.333048716</v>
      </c>
      <c r="I45" s="108" t="n">
        <v>79408.8</v>
      </c>
      <c r="J45" s="33" t="n">
        <v>2</v>
      </c>
    </row>
    <row r="46" ht="30" customHeight="1">
      <c r="A46" s="12" t="n">
        <v>64</v>
      </c>
      <c r="B46" s="12" t="n">
        <v>64</v>
      </c>
      <c r="C46" s="103" t="n">
        <v>13139406.59430628</v>
      </c>
      <c r="D46" s="108" t="n">
        <v>11067716.94042828</v>
      </c>
      <c r="E46" s="108" t="n">
        <v>3362270.001693578</v>
      </c>
      <c r="F46" s="108" t="n">
        <v>3711463.62280295</v>
      </c>
      <c r="G46" s="108" t="n">
        <v>993341.1266872883</v>
      </c>
      <c r="H46" s="108" t="n">
        <v>1560365.168924946</v>
      </c>
      <c r="I46" s="108" t="n">
        <v>79408.8</v>
      </c>
      <c r="J46" s="33" t="n">
        <v>2</v>
      </c>
    </row>
    <row r="47" ht="30" customHeight="1">
      <c r="A47" s="12" t="n">
        <v>64</v>
      </c>
      <c r="B47" s="12" t="n">
        <v>65</v>
      </c>
      <c r="C47" s="103" t="n">
        <v>13052383.49974002</v>
      </c>
      <c r="D47" s="108" t="n">
        <v>10988796.55781101</v>
      </c>
      <c r="E47" s="108" t="n">
        <v>3283349.619076307</v>
      </c>
      <c r="F47" s="108" t="n">
        <v>3679762.196785468</v>
      </c>
      <c r="G47" s="108" t="n">
        <v>961639.7006698065</v>
      </c>
      <c r="H47" s="108" t="n">
        <v>1538933.65485645</v>
      </c>
      <c r="I47" s="108" t="n">
        <v>77241.60000000001</v>
      </c>
      <c r="J47" s="33" t="n">
        <v>2</v>
      </c>
    </row>
    <row r="48" ht="30" customHeight="1">
      <c r="A48" s="12" t="n">
        <v>64</v>
      </c>
      <c r="B48" s="12" t="n">
        <v>66</v>
      </c>
      <c r="C48" s="103" t="n">
        <v>12762778.30649183</v>
      </c>
      <c r="D48" s="108" t="n">
        <v>10716114.90431507</v>
      </c>
      <c r="E48" s="108" t="n">
        <v>3010667.965580371</v>
      </c>
      <c r="F48" s="108" t="n">
        <v>3599576.485003623</v>
      </c>
      <c r="G48" s="108" t="n">
        <v>881453.9888879615</v>
      </c>
      <c r="H48" s="108" t="n">
        <v>1476967.48282686</v>
      </c>
      <c r="I48" s="108" t="n">
        <v>75945.59999999999</v>
      </c>
      <c r="J48" s="33" t="n">
        <v>3</v>
      </c>
    </row>
    <row r="49" ht="30" customHeight="1">
      <c r="A49" s="12" t="n">
        <v>64</v>
      </c>
      <c r="B49" s="12" t="n">
        <v>67</v>
      </c>
      <c r="C49" s="103" t="n">
        <v>12483120.52828589</v>
      </c>
      <c r="D49" s="108" t="n">
        <v>10426096.91467971</v>
      </c>
      <c r="E49" s="108" t="n">
        <v>2720649.975945008</v>
      </c>
      <c r="F49" s="108" t="n">
        <v>3520963.042080245</v>
      </c>
      <c r="G49" s="108" t="n">
        <v>802840.5459645842</v>
      </c>
      <c r="H49" s="108" t="n">
        <v>1395791.428474059</v>
      </c>
      <c r="I49" s="108" t="n">
        <v>68148</v>
      </c>
      <c r="J49" s="33" t="n">
        <v>4</v>
      </c>
    </row>
    <row r="50" ht="30" customHeight="1">
      <c r="A50" s="12" t="n">
        <v>64</v>
      </c>
      <c r="B50" s="12" t="n">
        <v>68</v>
      </c>
      <c r="C50" s="103" t="n">
        <v>12303926.33019563</v>
      </c>
      <c r="D50" s="108" t="n">
        <v>10202625.03288698</v>
      </c>
      <c r="E50" s="108" t="n">
        <v>2497178.094152284</v>
      </c>
      <c r="F50" s="108" t="n">
        <v>3443891.039214189</v>
      </c>
      <c r="G50" s="108" t="n">
        <v>725768.5430985279</v>
      </c>
      <c r="H50" s="108" t="n">
        <v>1290202.541905542</v>
      </c>
      <c r="I50" s="108" t="n">
        <v>52387.2</v>
      </c>
      <c r="J50" s="33" t="n">
        <v>5</v>
      </c>
    </row>
    <row r="51" ht="30" customHeight="1">
      <c r="A51" s="12" t="n">
        <v>64</v>
      </c>
      <c r="B51" s="12" t="n">
        <v>69</v>
      </c>
      <c r="C51" s="103" t="n">
        <v>12108725.77728858</v>
      </c>
      <c r="D51" s="108" t="n">
        <v>9979223.409119977</v>
      </c>
      <c r="E51" s="108" t="n">
        <v>2273776.470385279</v>
      </c>
      <c r="F51" s="108" t="n">
        <v>3368330.252090605</v>
      </c>
      <c r="G51" s="108" t="n">
        <v>650207.7559749437</v>
      </c>
      <c r="H51" s="108" t="n">
        <v>1194583.883922005</v>
      </c>
      <c r="I51" s="108" t="n">
        <v>44244</v>
      </c>
      <c r="J51" s="33" t="n">
        <v>6</v>
      </c>
    </row>
    <row r="52" ht="30" customHeight="1">
      <c r="A52" s="12" t="n">
        <v>64</v>
      </c>
      <c r="B52" s="12" t="n">
        <v>70</v>
      </c>
      <c r="C52" s="103" t="n">
        <v>11851834.87680108</v>
      </c>
      <c r="D52" s="108" t="n">
        <v>9734079.816356763</v>
      </c>
      <c r="E52" s="108" t="n">
        <v>2028632.877622065</v>
      </c>
      <c r="F52" s="108" t="n">
        <v>3294251.049028267</v>
      </c>
      <c r="G52" s="108" t="n">
        <v>576128.5529126055</v>
      </c>
      <c r="H52" s="108" t="n">
        <v>1132251.988583946</v>
      </c>
      <c r="I52" s="108" t="n">
        <v>44244</v>
      </c>
      <c r="J52" s="33" t="n">
        <v>7</v>
      </c>
    </row>
    <row r="53" ht="30" customHeight="1">
      <c r="A53" s="12" t="n">
        <v>65</v>
      </c>
      <c r="B53" s="12" t="n">
        <v>62</v>
      </c>
      <c r="C53" s="103" t="n">
        <v>12975836.98730556</v>
      </c>
      <c r="D53" s="108" t="n">
        <v>10908067.38418617</v>
      </c>
      <c r="E53" s="108" t="n">
        <v>3202620.445451473</v>
      </c>
      <c r="F53" s="108" t="n">
        <v>3675944.16457895</v>
      </c>
      <c r="G53" s="108" t="n">
        <v>957821.6684632888</v>
      </c>
      <c r="H53" s="108" t="n">
        <v>1528765.761459562</v>
      </c>
      <c r="I53" s="108" t="n">
        <v>79408.8</v>
      </c>
      <c r="J53" s="33" t="n">
        <v>3</v>
      </c>
    </row>
    <row r="54" ht="30" customHeight="1">
      <c r="A54" s="12" t="n">
        <v>65</v>
      </c>
      <c r="B54" s="12" t="n">
        <v>63</v>
      </c>
      <c r="C54" s="103" t="n">
        <v>12886033.23031901</v>
      </c>
      <c r="D54" s="108" t="n">
        <v>10826537.39598432</v>
      </c>
      <c r="E54" s="108" t="n">
        <v>3121090.45724962</v>
      </c>
      <c r="F54" s="108" t="n">
        <v>3642962.000950362</v>
      </c>
      <c r="G54" s="108" t="n">
        <v>924839.5048347008</v>
      </c>
      <c r="H54" s="108" t="n">
        <v>1506224.566615673</v>
      </c>
      <c r="I54" s="108" t="n">
        <v>77241.60000000001</v>
      </c>
      <c r="J54" s="33" t="n">
        <v>3</v>
      </c>
    </row>
    <row r="55" ht="30" customHeight="1">
      <c r="A55" s="12" t="n">
        <v>65</v>
      </c>
      <c r="B55" s="12" t="n">
        <v>64</v>
      </c>
      <c r="C55" s="103" t="n">
        <v>12783068.26366933</v>
      </c>
      <c r="D55" s="108" t="n">
        <v>10735457.68672144</v>
      </c>
      <c r="E55" s="108" t="n">
        <v>3030010.747986746</v>
      </c>
      <c r="F55" s="108" t="n">
        <v>3610626.54641253</v>
      </c>
      <c r="G55" s="108" t="n">
        <v>892504.0502968691</v>
      </c>
      <c r="H55" s="108" t="n">
        <v>1485774.369464643</v>
      </c>
      <c r="I55" s="108" t="n">
        <v>77241.60000000001</v>
      </c>
      <c r="J55" s="33" t="n">
        <v>3</v>
      </c>
    </row>
    <row r="56" ht="30" customHeight="1">
      <c r="A56" s="12" t="n">
        <v>65</v>
      </c>
      <c r="B56" s="12" t="n">
        <v>65</v>
      </c>
      <c r="C56" s="103" t="n">
        <v>12687834.50569681</v>
      </c>
      <c r="D56" s="108" t="n">
        <v>10649287.29193537</v>
      </c>
      <c r="E56" s="108" t="n">
        <v>2943840.353200677</v>
      </c>
      <c r="F56" s="108" t="n">
        <v>3578925.120395049</v>
      </c>
      <c r="G56" s="108" t="n">
        <v>860802.6242793873</v>
      </c>
      <c r="H56" s="108" t="n">
        <v>1464432.306633617</v>
      </c>
      <c r="I56" s="108" t="n">
        <v>75945.59999999999</v>
      </c>
      <c r="J56" s="33" t="n">
        <v>3</v>
      </c>
    </row>
    <row r="57" ht="30" customHeight="1">
      <c r="A57" s="12" t="n">
        <v>65</v>
      </c>
      <c r="B57" s="12" t="n">
        <v>66</v>
      </c>
      <c r="C57" s="103" t="n">
        <v>12386308.56297654</v>
      </c>
      <c r="D57" s="108" t="n">
        <v>10353012.79833163</v>
      </c>
      <c r="E57" s="108" t="n">
        <v>2647565.859596928</v>
      </c>
      <c r="F57" s="108" t="n">
        <v>3498739.408613204</v>
      </c>
      <c r="G57" s="108" t="n">
        <v>780616.9124975423</v>
      </c>
      <c r="H57" s="108" t="n">
        <v>1397295.643968286</v>
      </c>
      <c r="I57" s="108" t="n">
        <v>68148</v>
      </c>
      <c r="J57" s="33" t="n">
        <v>2</v>
      </c>
    </row>
    <row r="58" ht="30" customHeight="1">
      <c r="A58" s="12" t="n">
        <v>65</v>
      </c>
      <c r="B58" s="12" t="n">
        <v>67</v>
      </c>
      <c r="C58" s="103" t="n">
        <v>12198128.00954514</v>
      </c>
      <c r="D58" s="108" t="n">
        <v>10110358.83914997</v>
      </c>
      <c r="E58" s="108" t="n">
        <v>2404911.900415276</v>
      </c>
      <c r="F58" s="108" t="n">
        <v>3420125.965689826</v>
      </c>
      <c r="G58" s="108" t="n">
        <v>702003.4695741651</v>
      </c>
      <c r="H58" s="108" t="n">
        <v>1276686.39529466</v>
      </c>
      <c r="I58" s="108" t="n">
        <v>55670.4</v>
      </c>
      <c r="J58" s="33" t="n">
        <v>3</v>
      </c>
    </row>
    <row r="59" ht="30" customHeight="1">
      <c r="A59" s="12" t="n">
        <v>65</v>
      </c>
      <c r="B59" s="12" t="n">
        <v>68</v>
      </c>
      <c r="C59" s="103" t="n">
        <v>11984661.99595109</v>
      </c>
      <c r="D59" s="108" t="n">
        <v>9873996.060565449</v>
      </c>
      <c r="E59" s="108" t="n">
        <v>2168549.121830751</v>
      </c>
      <c r="F59" s="108" t="n">
        <v>3343053.96282377</v>
      </c>
      <c r="G59" s="108" t="n">
        <v>624931.4667081088</v>
      </c>
      <c r="H59" s="108" t="n">
        <v>1188144.027438127</v>
      </c>
      <c r="I59" s="108" t="n">
        <v>44244</v>
      </c>
      <c r="J59" s="33" t="n">
        <v>4</v>
      </c>
    </row>
    <row r="60" ht="30" customHeight="1">
      <c r="A60" s="12" t="n">
        <v>65</v>
      </c>
      <c r="B60" s="12" t="n">
        <v>69</v>
      </c>
      <c r="C60" s="103" t="n">
        <v>11717653.53679413</v>
      </c>
      <c r="D60" s="108" t="n">
        <v>9613403.204947583</v>
      </c>
      <c r="E60" s="108" t="n">
        <v>1907956.266212885</v>
      </c>
      <c r="F60" s="108" t="n">
        <v>3267493.175700185</v>
      </c>
      <c r="G60" s="108" t="n">
        <v>549370.6795845241</v>
      </c>
      <c r="H60" s="108" t="n">
        <v>1118998.843853641</v>
      </c>
      <c r="I60" s="108" t="n">
        <v>44244</v>
      </c>
      <c r="J60" s="33" t="n">
        <v>5</v>
      </c>
    </row>
    <row r="61" ht="30" customHeight="1">
      <c r="A61" s="12" t="n">
        <v>65</v>
      </c>
      <c r="B61" s="12" t="n">
        <v>70</v>
      </c>
      <c r="C61" s="103" t="n">
        <v>11446402.53628577</v>
      </c>
      <c r="D61" s="108" t="n">
        <v>9368492.69597454</v>
      </c>
      <c r="E61" s="108" t="n">
        <v>1663045.757239842</v>
      </c>
      <c r="F61" s="108" t="n">
        <v>3193413.972637848</v>
      </c>
      <c r="G61" s="108" t="n">
        <v>475291.4765221863</v>
      </c>
      <c r="H61" s="108" t="n">
        <v>1071260.132326612</v>
      </c>
      <c r="I61" s="108" t="n">
        <v>44244</v>
      </c>
      <c r="J61" s="33" t="n">
        <v>6</v>
      </c>
    </row>
    <row r="62" ht="30" customHeight="1">
      <c r="A62" s="12" t="n">
        <v>66</v>
      </c>
      <c r="B62" s="12" t="n">
        <v>62</v>
      </c>
      <c r="C62" s="103" t="n">
        <v>12601105.01958634</v>
      </c>
      <c r="D62" s="108" t="n">
        <v>10529795.13482905</v>
      </c>
      <c r="E62" s="108" t="n">
        <v>2824348.196094348</v>
      </c>
      <c r="F62" s="108" t="n">
        <v>3577084.285764813</v>
      </c>
      <c r="G62" s="108" t="n">
        <v>858961.7896491522</v>
      </c>
      <c r="H62" s="108" t="n">
        <v>1433292.001007523</v>
      </c>
      <c r="I62" s="108" t="n">
        <v>72482.39999999999</v>
      </c>
      <c r="J62" s="33" t="n">
        <v>4</v>
      </c>
    </row>
    <row r="63" ht="30" customHeight="1">
      <c r="A63" s="12" t="n">
        <v>66</v>
      </c>
      <c r="B63" s="12" t="n">
        <v>63</v>
      </c>
      <c r="C63" s="103" t="n">
        <v>12509706.7785398</v>
      </c>
      <c r="D63" s="108" t="n">
        <v>10445202.73122595</v>
      </c>
      <c r="E63" s="108" t="n">
        <v>2739755.792491254</v>
      </c>
      <c r="F63" s="108" t="n">
        <v>3544102.122136225</v>
      </c>
      <c r="G63" s="108" t="n">
        <v>825979.6260205642</v>
      </c>
      <c r="H63" s="108" t="n">
        <v>1409282.874822379</v>
      </c>
      <c r="I63" s="108" t="n">
        <v>70315.2</v>
      </c>
      <c r="J63" s="33" t="n">
        <v>4</v>
      </c>
    </row>
    <row r="64" ht="30" customHeight="1">
      <c r="A64" s="12" t="n">
        <v>66</v>
      </c>
      <c r="B64" s="12" t="n">
        <v>64</v>
      </c>
      <c r="C64" s="103" t="n">
        <v>12445619.03575306</v>
      </c>
      <c r="D64" s="108" t="n">
        <v>10381195.96017722</v>
      </c>
      <c r="E64" s="108" t="n">
        <v>2675749.021442522</v>
      </c>
      <c r="F64" s="108" t="n">
        <v>3511766.667598394</v>
      </c>
      <c r="G64" s="108" t="n">
        <v>793644.1714827325</v>
      </c>
      <c r="H64" s="108" t="n">
        <v>1381362.792022552</v>
      </c>
      <c r="I64" s="108" t="n">
        <v>65980.8</v>
      </c>
      <c r="J64" s="33" t="n">
        <v>4</v>
      </c>
    </row>
    <row r="65" ht="30" customHeight="1">
      <c r="A65" s="12" t="n">
        <v>66</v>
      </c>
      <c r="B65" s="12" t="n">
        <v>65</v>
      </c>
      <c r="C65" s="103" t="n">
        <v>12376248.84936353</v>
      </c>
      <c r="D65" s="108" t="n">
        <v>10311562.20956268</v>
      </c>
      <c r="E65" s="108" t="n">
        <v>2606115.270827978</v>
      </c>
      <c r="F65" s="108" t="n">
        <v>3480065.241580912</v>
      </c>
      <c r="G65" s="108" t="n">
        <v>761942.7454652512</v>
      </c>
      <c r="H65" s="108" t="n">
        <v>1351565.001780056</v>
      </c>
      <c r="I65" s="108" t="n">
        <v>63813.6</v>
      </c>
      <c r="J65" s="33" t="n">
        <v>4</v>
      </c>
    </row>
    <row r="66" ht="30" customHeight="1">
      <c r="A66" s="12" t="n">
        <v>66</v>
      </c>
      <c r="B66" s="12" t="n">
        <v>66</v>
      </c>
      <c r="C66" s="103" t="n">
        <v>12138219.39606507</v>
      </c>
      <c r="D66" s="108" t="n">
        <v>10042755.12571229</v>
      </c>
      <c r="E66" s="108" t="n">
        <v>2337308.186977596</v>
      </c>
      <c r="F66" s="108" t="n">
        <v>3399879.529799067</v>
      </c>
      <c r="G66" s="108" t="n">
        <v>681757.0336834057</v>
      </c>
      <c r="H66" s="108" t="n">
        <v>1252553.659446291</v>
      </c>
      <c r="I66" s="108" t="n">
        <v>51861.6</v>
      </c>
      <c r="J66" s="33" t="n">
        <v>3</v>
      </c>
    </row>
    <row r="67" ht="30" customHeight="1">
      <c r="A67" s="12" t="n">
        <v>66</v>
      </c>
      <c r="B67" s="12" t="n">
        <v>67</v>
      </c>
      <c r="C67" s="103" t="n">
        <v>11940978.78324348</v>
      </c>
      <c r="D67" s="108" t="n">
        <v>9820464.433410663</v>
      </c>
      <c r="E67" s="108" t="n">
        <v>2115017.494675965</v>
      </c>
      <c r="F67" s="108" t="n">
        <v>3321266.08687569</v>
      </c>
      <c r="G67" s="108" t="n">
        <v>603143.5907600285</v>
      </c>
      <c r="H67" s="108" t="n">
        <v>1159790.937042878</v>
      </c>
      <c r="I67" s="108" t="n">
        <v>40960.8</v>
      </c>
      <c r="J67" s="33" t="n">
        <v>2</v>
      </c>
    </row>
    <row r="68" ht="30" customHeight="1">
      <c r="A68" s="12" t="n">
        <v>66</v>
      </c>
      <c r="B68" s="12" t="n">
        <v>68</v>
      </c>
      <c r="C68" s="103" t="n">
        <v>11680573.57240987</v>
      </c>
      <c r="D68" s="108" t="n">
        <v>9572759.190106973</v>
      </c>
      <c r="E68" s="108" t="n">
        <v>1867312.251372275</v>
      </c>
      <c r="F68" s="108" t="n">
        <v>3244194.084009633</v>
      </c>
      <c r="G68" s="108" t="n">
        <v>526071.5878939722</v>
      </c>
      <c r="H68" s="108" t="n">
        <v>1098702.101706733</v>
      </c>
      <c r="I68" s="108" t="n">
        <v>37677.6</v>
      </c>
      <c r="J68" s="33" t="n">
        <v>3</v>
      </c>
    </row>
    <row r="69" ht="30" customHeight="1">
      <c r="A69" s="12" t="n">
        <v>66</v>
      </c>
      <c r="B69" s="12" t="n">
        <v>69</v>
      </c>
      <c r="C69" s="103" t="n">
        <v>11360221.73753347</v>
      </c>
      <c r="D69" s="108" t="n">
        <v>9278923.941250663</v>
      </c>
      <c r="E69" s="108" t="n">
        <v>1573477.002515965</v>
      </c>
      <c r="F69" s="108" t="n">
        <v>3168633.296886049</v>
      </c>
      <c r="G69" s="108" t="n">
        <v>450510.8007703875</v>
      </c>
      <c r="H69" s="108" t="n">
        <v>1049657.900603238</v>
      </c>
      <c r="I69" s="108" t="n">
        <v>37677.6</v>
      </c>
      <c r="J69" s="33" t="n">
        <v>4</v>
      </c>
    </row>
    <row r="70" ht="30" customHeight="1">
      <c r="A70" s="12" t="n">
        <v>66</v>
      </c>
      <c r="B70" s="12" t="n">
        <v>70</v>
      </c>
      <c r="C70" s="103" t="n">
        <v>11055692.7416319</v>
      </c>
      <c r="D70" s="108" t="n">
        <v>9013973.605382554</v>
      </c>
      <c r="E70" s="108" t="n">
        <v>1308526.666647856</v>
      </c>
      <c r="F70" s="108" t="n">
        <v>3094554.093823711</v>
      </c>
      <c r="G70" s="108" t="n">
        <v>376431.5977080502</v>
      </c>
      <c r="H70" s="108" t="n">
        <v>1015157.35757437</v>
      </c>
      <c r="I70" s="108" t="n">
        <v>37677.6</v>
      </c>
      <c r="J70" s="33" t="n">
        <v>5</v>
      </c>
    </row>
    <row r="71" ht="30" customHeight="1">
      <c r="A71" s="12" t="n">
        <v>67</v>
      </c>
      <c r="B71" s="12" t="n">
        <v>62</v>
      </c>
      <c r="C71" s="103" t="n">
        <v>12357659.05851681</v>
      </c>
      <c r="D71" s="108" t="n">
        <v>10231525.13473604</v>
      </c>
      <c r="E71" s="108" t="n">
        <v>2526078.196001339</v>
      </c>
      <c r="F71" s="108" t="n">
        <v>3480162.835947033</v>
      </c>
      <c r="G71" s="108" t="n">
        <v>762040.3398313713</v>
      </c>
      <c r="H71" s="108" t="n">
        <v>1299474.512166264</v>
      </c>
      <c r="I71" s="108" t="n">
        <v>54554.4</v>
      </c>
      <c r="J71" s="33" t="n">
        <v>5</v>
      </c>
    </row>
    <row r="72" ht="30" customHeight="1">
      <c r="A72" s="12" t="n">
        <v>67</v>
      </c>
      <c r="B72" s="12" t="n">
        <v>63</v>
      </c>
      <c r="C72" s="103" t="n">
        <v>12298062.82420515</v>
      </c>
      <c r="D72" s="108" t="n">
        <v>10176354.46952923</v>
      </c>
      <c r="E72" s="108" t="n">
        <v>2470907.530794532</v>
      </c>
      <c r="F72" s="108" t="n">
        <v>3447180.672318445</v>
      </c>
      <c r="G72" s="108" t="n">
        <v>729058.1762027834</v>
      </c>
      <c r="H72" s="108" t="n">
        <v>1273085.11764253</v>
      </c>
      <c r="I72" s="108" t="n">
        <v>52387.2</v>
      </c>
      <c r="J72" s="33" t="n">
        <v>5</v>
      </c>
    </row>
    <row r="73" ht="30" customHeight="1">
      <c r="A73" s="12" t="n">
        <v>67</v>
      </c>
      <c r="B73" s="12" t="n">
        <v>64</v>
      </c>
      <c r="C73" s="103" t="n">
        <v>12242210.56516627</v>
      </c>
      <c r="D73" s="108" t="n">
        <v>10123168.99170298</v>
      </c>
      <c r="E73" s="108" t="n">
        <v>2417722.052968285</v>
      </c>
      <c r="F73" s="108" t="n">
        <v>3414845.217780613</v>
      </c>
      <c r="G73" s="108" t="n">
        <v>696722.7216649521</v>
      </c>
      <c r="H73" s="108" t="n">
        <v>1247225.244317331</v>
      </c>
      <c r="I73" s="108" t="n">
        <v>48578.4</v>
      </c>
      <c r="J73" s="33" t="n">
        <v>5</v>
      </c>
    </row>
    <row r="74" ht="30" customHeight="1">
      <c r="A74" s="12" t="n">
        <v>67</v>
      </c>
      <c r="B74" s="12" t="n">
        <v>65</v>
      </c>
      <c r="C74" s="103" t="n">
        <v>12158334.51133073</v>
      </c>
      <c r="D74" s="108" t="n">
        <v>10044375.08735327</v>
      </c>
      <c r="E74" s="108" t="n">
        <v>2338928.148618576</v>
      </c>
      <c r="F74" s="108" t="n">
        <v>3383143.791763131</v>
      </c>
      <c r="G74" s="108" t="n">
        <v>665021.2956474698</v>
      </c>
      <c r="H74" s="108" t="n">
        <v>1223856.767785679</v>
      </c>
      <c r="I74" s="108" t="n">
        <v>45327.6</v>
      </c>
      <c r="J74" s="33" t="n">
        <v>5</v>
      </c>
    </row>
    <row r="75" ht="30" customHeight="1">
      <c r="A75" s="12" t="n">
        <v>67</v>
      </c>
      <c r="B75" s="12" t="n">
        <v>66</v>
      </c>
      <c r="C75" s="103" t="n">
        <v>11853776.94096955</v>
      </c>
      <c r="D75" s="108" t="n">
        <v>9749242.818495359</v>
      </c>
      <c r="E75" s="108" t="n">
        <v>2043795.879760661</v>
      </c>
      <c r="F75" s="108" t="n">
        <v>3302958.079981287</v>
      </c>
      <c r="G75" s="108" t="n">
        <v>584835.5838656253</v>
      </c>
      <c r="H75" s="108" t="n">
        <v>1154179.957507099</v>
      </c>
      <c r="I75" s="108" t="n">
        <v>44244</v>
      </c>
      <c r="J75" s="33" t="n">
        <v>4</v>
      </c>
    </row>
    <row r="76" ht="30" customHeight="1">
      <c r="A76" s="12" t="n">
        <v>67</v>
      </c>
      <c r="B76" s="12" t="n">
        <v>67</v>
      </c>
      <c r="C76" s="103" t="n">
        <v>11598738.20065697</v>
      </c>
      <c r="D76" s="108" t="n">
        <v>9497556.799179003</v>
      </c>
      <c r="E76" s="108" t="n">
        <v>1792109.860444305</v>
      </c>
      <c r="F76" s="108" t="n">
        <v>3224344.637057909</v>
      </c>
      <c r="G76" s="108" t="n">
        <v>506222.1409422476</v>
      </c>
      <c r="H76" s="108" t="n">
        <v>1085485.635579937</v>
      </c>
      <c r="I76" s="108" t="n">
        <v>37677.6</v>
      </c>
      <c r="J76" s="33" t="n">
        <v>3</v>
      </c>
    </row>
    <row r="77" ht="30" customHeight="1">
      <c r="A77" s="12" t="n">
        <v>67</v>
      </c>
      <c r="B77" s="12" t="n">
        <v>68</v>
      </c>
      <c r="C77" s="103" t="n">
        <v>11256254.47827434</v>
      </c>
      <c r="D77" s="108" t="n">
        <v>9182989.595691662</v>
      </c>
      <c r="E77" s="108" t="n">
        <v>1477542.656956964</v>
      </c>
      <c r="F77" s="108" t="n">
        <v>3147272.634191853</v>
      </c>
      <c r="G77" s="108" t="n">
        <v>429150.1380761913</v>
      </c>
      <c r="H77" s="108" t="n">
        <v>1036330.151609175</v>
      </c>
      <c r="I77" s="108" t="n">
        <v>37677.6</v>
      </c>
      <c r="J77" s="33" t="n">
        <v>2</v>
      </c>
    </row>
    <row r="78" ht="30" customHeight="1">
      <c r="A78" s="12" t="n">
        <v>67</v>
      </c>
      <c r="B78" s="12" t="n">
        <v>69</v>
      </c>
      <c r="C78" s="103" t="n">
        <v>10948699.42541269</v>
      </c>
      <c r="D78" s="108" t="n">
        <v>8917585.145796321</v>
      </c>
      <c r="E78" s="108" t="n">
        <v>1212138.207061623</v>
      </c>
      <c r="F78" s="108" t="n">
        <v>3071711.847068268</v>
      </c>
      <c r="G78" s="108" t="n">
        <v>353589.3509526071</v>
      </c>
      <c r="H78" s="108" t="n">
        <v>1002919.967451904</v>
      </c>
      <c r="I78" s="108" t="n">
        <v>37677.6</v>
      </c>
      <c r="J78" s="33" t="n">
        <v>3</v>
      </c>
    </row>
    <row r="79" ht="30" customHeight="1">
      <c r="A79" s="12" t="n">
        <v>67</v>
      </c>
      <c r="B79" s="12" t="n">
        <v>70</v>
      </c>
      <c r="C79" s="103" t="n">
        <v>10653588.69311706</v>
      </c>
      <c r="D79" s="108" t="n">
        <v>8672695.492715199</v>
      </c>
      <c r="E79" s="108" t="n">
        <v>967248.5539805004</v>
      </c>
      <c r="F79" s="108" t="n">
        <v>2997632.644005931</v>
      </c>
      <c r="G79" s="108" t="n">
        <v>279510.1478902693</v>
      </c>
      <c r="H79" s="108" t="n">
        <v>979061.843604065</v>
      </c>
      <c r="I79" s="108" t="n">
        <v>37677.6</v>
      </c>
      <c r="J79" s="33" t="n">
        <v>4</v>
      </c>
    </row>
    <row r="80" ht="30" customHeight="1">
      <c r="A80" s="12" t="n">
        <v>68</v>
      </c>
      <c r="B80" s="12" t="n">
        <v>62</v>
      </c>
      <c r="C80" s="103" t="n">
        <v>12106469.46370053</v>
      </c>
      <c r="D80" s="108" t="n">
        <v>9947077.481753681</v>
      </c>
      <c r="E80" s="108" t="n">
        <v>2241630.543018983</v>
      </c>
      <c r="F80" s="108" t="n">
        <v>3385141.806713914</v>
      </c>
      <c r="G80" s="108" t="n">
        <v>667019.3105982528</v>
      </c>
      <c r="H80" s="108" t="n">
        <v>1181505.82476707</v>
      </c>
      <c r="I80" s="108" t="n">
        <v>44244</v>
      </c>
      <c r="J80" s="33" t="n">
        <v>6</v>
      </c>
    </row>
    <row r="81" ht="30" customHeight="1">
      <c r="A81" s="12" t="n">
        <v>68</v>
      </c>
      <c r="B81" s="12" t="n">
        <v>63</v>
      </c>
      <c r="C81" s="103" t="n">
        <v>12028895.21372745</v>
      </c>
      <c r="D81" s="108" t="n">
        <v>9884676.565383969</v>
      </c>
      <c r="E81" s="108" t="n">
        <v>2179229.626649271</v>
      </c>
      <c r="F81" s="108" t="n">
        <v>3352159.643085326</v>
      </c>
      <c r="G81" s="108" t="n">
        <v>634037.1469696648</v>
      </c>
      <c r="H81" s="108" t="n">
        <v>1163696.994741842</v>
      </c>
      <c r="I81" s="108" t="n">
        <v>44244</v>
      </c>
      <c r="J81" s="33" t="n">
        <v>6</v>
      </c>
    </row>
    <row r="82" ht="30" customHeight="1">
      <c r="A82" s="12" t="n">
        <v>68</v>
      </c>
      <c r="B82" s="12" t="n">
        <v>64</v>
      </c>
      <c r="C82" s="103" t="n">
        <v>11923918.69666202</v>
      </c>
      <c r="D82" s="108" t="n">
        <v>9795879.916684624</v>
      </c>
      <c r="E82" s="108" t="n">
        <v>2090432.977949926</v>
      </c>
      <c r="F82" s="108" t="n">
        <v>3319824.188547494</v>
      </c>
      <c r="G82" s="108" t="n">
        <v>601701.6924318331</v>
      </c>
      <c r="H82" s="108" t="n">
        <v>1147541.408570101</v>
      </c>
      <c r="I82" s="108" t="n">
        <v>44244</v>
      </c>
      <c r="J82" s="33" t="n">
        <v>6</v>
      </c>
    </row>
    <row r="83" ht="30" customHeight="1">
      <c r="A83" s="12" t="n">
        <v>68</v>
      </c>
      <c r="B83" s="12" t="n">
        <v>65</v>
      </c>
      <c r="C83" s="103" t="n">
        <v>11846971.64041255</v>
      </c>
      <c r="D83" s="108" t="n">
        <v>9736068.715890102</v>
      </c>
      <c r="E83" s="108" t="n">
        <v>2030621.777155404</v>
      </c>
      <c r="F83" s="108" t="n">
        <v>3288122.762530013</v>
      </c>
      <c r="G83" s="108" t="n">
        <v>570000.2664143518</v>
      </c>
      <c r="H83" s="108" t="n">
        <v>1132975.838007566</v>
      </c>
      <c r="I83" s="108" t="n">
        <v>44244</v>
      </c>
      <c r="J83" s="33" t="n">
        <v>6</v>
      </c>
    </row>
    <row r="84" ht="30" customHeight="1">
      <c r="A84" s="12" t="n">
        <v>68</v>
      </c>
      <c r="B84" s="12" t="n">
        <v>66</v>
      </c>
      <c r="C84" s="103" t="n">
        <v>11530853.22716557</v>
      </c>
      <c r="D84" s="108" t="n">
        <v>9448526.622635491</v>
      </c>
      <c r="E84" s="108" t="n">
        <v>1743079.683900793</v>
      </c>
      <c r="F84" s="108" t="n">
        <v>3207937.050748168</v>
      </c>
      <c r="G84" s="108" t="n">
        <v>489814.5546325068</v>
      </c>
      <c r="H84" s="108" t="n">
        <v>1081366.446218087</v>
      </c>
      <c r="I84" s="108" t="n">
        <v>44244</v>
      </c>
      <c r="J84" s="33" t="n">
        <v>5</v>
      </c>
    </row>
    <row r="85" ht="30" customHeight="1">
      <c r="A85" s="12" t="n">
        <v>68</v>
      </c>
      <c r="B85" s="12" t="n">
        <v>67</v>
      </c>
      <c r="C85" s="103" t="n">
        <v>11200504.65258271</v>
      </c>
      <c r="D85" s="108" t="n">
        <v>9139543.782823782</v>
      </c>
      <c r="E85" s="108" t="n">
        <v>1434096.844089084</v>
      </c>
      <c r="F85" s="108" t="n">
        <v>3129323.60782479</v>
      </c>
      <c r="G85" s="108" t="n">
        <v>411201.1117091291</v>
      </c>
      <c r="H85" s="108" t="n">
        <v>1030685.138065863</v>
      </c>
      <c r="I85" s="108" t="n">
        <v>37677.6</v>
      </c>
      <c r="J85" s="33" t="n">
        <v>4</v>
      </c>
    </row>
    <row r="86" ht="30" customHeight="1">
      <c r="A86" s="12" t="n">
        <v>68</v>
      </c>
      <c r="B86" s="12" t="n">
        <v>68</v>
      </c>
      <c r="C86" s="103" t="n">
        <v>10874464.80854549</v>
      </c>
      <c r="D86" s="108" t="n">
        <v>8856512.176084168</v>
      </c>
      <c r="E86" s="108" t="n">
        <v>1151065.23734947</v>
      </c>
      <c r="F86" s="108" t="n">
        <v>3052251.604958734</v>
      </c>
      <c r="G86" s="108" t="n">
        <v>334129.1088430728</v>
      </c>
      <c r="H86" s="108" t="n">
        <v>996621.3724974145</v>
      </c>
      <c r="I86" s="108" t="n">
        <v>37677.6</v>
      </c>
      <c r="J86" s="33" t="n">
        <v>3</v>
      </c>
    </row>
    <row r="87" ht="30" customHeight="1">
      <c r="A87" s="12" t="n">
        <v>68</v>
      </c>
      <c r="B87" s="12" t="n">
        <v>69</v>
      </c>
      <c r="C87" s="103" t="n">
        <v>10552372.65230368</v>
      </c>
      <c r="D87" s="108" t="n">
        <v>8587655.217224624</v>
      </c>
      <c r="E87" s="108" t="n">
        <v>882208.2784899259</v>
      </c>
      <c r="F87" s="108" t="n">
        <v>2976690.81783515</v>
      </c>
      <c r="G87" s="108" t="n">
        <v>258568.3217194886</v>
      </c>
      <c r="H87" s="108" t="n">
        <v>974295.782756098</v>
      </c>
      <c r="I87" s="108" t="n">
        <v>37677.6</v>
      </c>
      <c r="J87" s="33" t="n">
        <v>2</v>
      </c>
    </row>
    <row r="88" ht="30" customHeight="1">
      <c r="A88" s="12" t="n">
        <v>68</v>
      </c>
      <c r="B88" s="12" t="n">
        <v>70</v>
      </c>
      <c r="C88" s="103" t="n">
        <v>10251473.54391422</v>
      </c>
      <c r="D88" s="108" t="n">
        <v>8344015.392579688</v>
      </c>
      <c r="E88" s="108" t="n">
        <v>638568.4538449896</v>
      </c>
      <c r="F88" s="108" t="n">
        <v>2902611.614772812</v>
      </c>
      <c r="G88" s="108" t="n">
        <v>184489.1186571508</v>
      </c>
      <c r="H88" s="108" t="n">
        <v>957475.863438276</v>
      </c>
      <c r="I88" s="108" t="n">
        <v>37677.6</v>
      </c>
      <c r="J88" s="33" t="n">
        <v>3</v>
      </c>
    </row>
    <row r="89" ht="30" customHeight="1">
      <c r="A89" s="12" t="n">
        <v>69</v>
      </c>
      <c r="B89" s="12" t="n">
        <v>62</v>
      </c>
      <c r="C89" s="103" t="n">
        <v>11806586.78112912</v>
      </c>
      <c r="D89" s="108" t="n">
        <v>9667826.612805508</v>
      </c>
      <c r="E89" s="108" t="n">
        <v>1962379.67407081</v>
      </c>
      <c r="F89" s="108" t="n">
        <v>3292103.233900905</v>
      </c>
      <c r="G89" s="108" t="n">
        <v>573980.7377852439</v>
      </c>
      <c r="H89" s="108" t="n">
        <v>1109099.06557729</v>
      </c>
      <c r="I89" s="108" t="n">
        <v>44244</v>
      </c>
      <c r="J89" s="33" t="n">
        <v>7</v>
      </c>
    </row>
    <row r="90" ht="30" customHeight="1">
      <c r="A90" s="12" t="n">
        <v>69</v>
      </c>
      <c r="B90" s="12" t="n">
        <v>63</v>
      </c>
      <c r="C90" s="103" t="n">
        <v>11725939.95886947</v>
      </c>
      <c r="D90" s="108" t="n">
        <v>9607447.205791192</v>
      </c>
      <c r="E90" s="108" t="n">
        <v>1902000.267056494</v>
      </c>
      <c r="F90" s="108" t="n">
        <v>3259001.771288151</v>
      </c>
      <c r="G90" s="108" t="n">
        <v>540879.2751724902</v>
      </c>
      <c r="H90" s="108" t="n">
        <v>1096265.018209876</v>
      </c>
      <c r="I90" s="108" t="n">
        <v>44244</v>
      </c>
      <c r="J90" s="33" t="n">
        <v>7</v>
      </c>
    </row>
    <row r="91" ht="30" customHeight="1">
      <c r="A91" s="12" t="n">
        <v>69</v>
      </c>
      <c r="B91" s="12" t="n">
        <v>64</v>
      </c>
      <c r="C91" s="103" t="n">
        <v>11618552.23664246</v>
      </c>
      <c r="D91" s="108" t="n">
        <v>9520182.33927306</v>
      </c>
      <c r="E91" s="108" t="n">
        <v>1814735.400538362</v>
      </c>
      <c r="F91" s="108" t="n">
        <v>3226666.31675032</v>
      </c>
      <c r="G91" s="108" t="n">
        <v>508543.8206346589</v>
      </c>
      <c r="H91" s="108" t="n">
        <v>1084052.419380924</v>
      </c>
      <c r="I91" s="108" t="n">
        <v>44244</v>
      </c>
      <c r="J91" s="33" t="n">
        <v>7</v>
      </c>
    </row>
    <row r="92" ht="30" customHeight="1">
      <c r="A92" s="12" t="n">
        <v>69</v>
      </c>
      <c r="B92" s="12" t="n">
        <v>65</v>
      </c>
      <c r="C92" s="103" t="n">
        <v>11502438.79326274</v>
      </c>
      <c r="D92" s="108" t="n">
        <v>9425497.192790773</v>
      </c>
      <c r="E92" s="108" t="n">
        <v>1720050.254056075</v>
      </c>
      <c r="F92" s="108" t="n">
        <v>3194964.890732838</v>
      </c>
      <c r="G92" s="108" t="n">
        <v>476842.3946171771</v>
      </c>
      <c r="H92" s="108" t="n">
        <v>1073779.290260868</v>
      </c>
      <c r="I92" s="108" t="n">
        <v>44244</v>
      </c>
      <c r="J92" s="33" t="n">
        <v>7</v>
      </c>
    </row>
    <row r="93" ht="30" customHeight="1">
      <c r="A93" s="12" t="n">
        <v>69</v>
      </c>
      <c r="B93" s="12" t="n">
        <v>66</v>
      </c>
      <c r="C93" s="103" t="n">
        <v>11130522.47644269</v>
      </c>
      <c r="D93" s="108" t="n">
        <v>9093584.906491516</v>
      </c>
      <c r="E93" s="108" t="n">
        <v>1388137.967756818</v>
      </c>
      <c r="F93" s="108" t="n">
        <v>3114779.178950993</v>
      </c>
      <c r="G93" s="108" t="n">
        <v>396656.6828353321</v>
      </c>
      <c r="H93" s="108" t="n">
        <v>1033597.608999819</v>
      </c>
      <c r="I93" s="108" t="n">
        <v>44244</v>
      </c>
      <c r="J93" s="33" t="n">
        <v>6</v>
      </c>
    </row>
    <row r="94" ht="30" customHeight="1">
      <c r="A94" s="12" t="n">
        <v>69</v>
      </c>
      <c r="B94" s="12" t="n">
        <v>67</v>
      </c>
      <c r="C94" s="103" t="n">
        <v>10834469.08957327</v>
      </c>
      <c r="D94" s="108" t="n">
        <v>8830966.235638781</v>
      </c>
      <c r="E94" s="108" t="n">
        <v>1125519.296904082</v>
      </c>
      <c r="F94" s="108" t="n">
        <v>3036165.736027616</v>
      </c>
      <c r="G94" s="108" t="n">
        <v>318043.2399119544</v>
      </c>
      <c r="H94" s="108" t="n">
        <v>994985.2820931282</v>
      </c>
      <c r="I94" s="108" t="n">
        <v>37677.6</v>
      </c>
      <c r="J94" s="33" t="n">
        <v>5</v>
      </c>
    </row>
    <row r="95" ht="30" customHeight="1">
      <c r="A95" s="12" t="n">
        <v>69</v>
      </c>
      <c r="B95" s="12" t="n">
        <v>68</v>
      </c>
      <c r="C95" s="103" t="n">
        <v>10507472.0795558</v>
      </c>
      <c r="D95" s="108" t="n">
        <v>8555649.308484739</v>
      </c>
      <c r="E95" s="108" t="n">
        <v>850202.3697500406</v>
      </c>
      <c r="F95" s="108" t="n">
        <v>2959093.73316156</v>
      </c>
      <c r="G95" s="108" t="n">
        <v>240971.2370458986</v>
      </c>
      <c r="H95" s="108" t="n">
        <v>969593.3620905011</v>
      </c>
      <c r="I95" s="108" t="n">
        <v>37677.6</v>
      </c>
      <c r="J95" s="33" t="n">
        <v>4</v>
      </c>
    </row>
    <row r="96" ht="30" customHeight="1">
      <c r="A96" s="12" t="n">
        <v>69</v>
      </c>
      <c r="B96" s="12" t="n">
        <v>69</v>
      </c>
      <c r="C96" s="103" t="n">
        <v>10176552.00628693</v>
      </c>
      <c r="D96" s="108" t="n">
        <v>8285277.214777268</v>
      </c>
      <c r="E96" s="108" t="n">
        <v>579830.2760425694</v>
      </c>
      <c r="F96" s="108" t="n">
        <v>2883532.946037975</v>
      </c>
      <c r="G96" s="108" t="n">
        <v>165410.4499223139</v>
      </c>
      <c r="H96" s="108" t="n">
        <v>954580.5545283109</v>
      </c>
      <c r="I96" s="108" t="n">
        <v>37677.6</v>
      </c>
      <c r="J96" s="33" t="n">
        <v>3</v>
      </c>
    </row>
    <row r="97" ht="30" customHeight="1">
      <c r="A97" s="12" t="n">
        <v>69</v>
      </c>
      <c r="B97" s="12" t="n">
        <v>70</v>
      </c>
      <c r="C97" s="103" t="n">
        <v>9862587.007399702</v>
      </c>
      <c r="D97" s="108" t="n">
        <v>8034971.515381616</v>
      </c>
      <c r="E97" s="108" t="n">
        <v>329524.5766469175</v>
      </c>
      <c r="F97" s="108" t="n">
        <v>2809453.742975637</v>
      </c>
      <c r="G97" s="108" t="n">
        <v>91331.24685997609</v>
      </c>
      <c r="H97" s="108" t="n">
        <v>944160.6509575509</v>
      </c>
      <c r="I97" s="108" t="n">
        <v>37677.6</v>
      </c>
      <c r="J97" s="33" t="n">
        <v>2</v>
      </c>
    </row>
    <row r="98" ht="30" customHeight="1">
      <c r="A98" s="12" t="n">
        <v>70</v>
      </c>
      <c r="B98" s="12" t="n">
        <v>62</v>
      </c>
      <c r="C98" s="103" t="n">
        <v>11449036.57839335</v>
      </c>
      <c r="D98" s="108" t="n">
        <v>9352563.821935946</v>
      </c>
      <c r="E98" s="108" t="n">
        <v>1647116.883201248</v>
      </c>
      <c r="F98" s="108" t="n">
        <v>3202359.136392723</v>
      </c>
      <c r="G98" s="108" t="n">
        <v>484236.6402770616</v>
      </c>
      <c r="H98" s="108" t="n">
        <v>1061642.379935316</v>
      </c>
      <c r="I98" s="108" t="n">
        <v>44244</v>
      </c>
      <c r="J98" s="33" t="n">
        <v>8</v>
      </c>
    </row>
    <row r="99" ht="30" customHeight="1">
      <c r="A99" s="12" t="n">
        <v>70</v>
      </c>
      <c r="B99" s="12" t="n">
        <v>63</v>
      </c>
      <c r="C99" s="103" t="n">
        <v>11343418.21669398</v>
      </c>
      <c r="D99" s="108" t="n">
        <v>9271491.04357693</v>
      </c>
      <c r="E99" s="108" t="n">
        <v>1566044.104842232</v>
      </c>
      <c r="F99" s="108" t="n">
        <v>3167787.484216573</v>
      </c>
      <c r="G99" s="108" t="n">
        <v>449664.988100912</v>
      </c>
      <c r="H99" s="108" t="n">
        <v>1051616.311099519</v>
      </c>
      <c r="I99" s="108" t="n">
        <v>44244</v>
      </c>
      <c r="J99" s="33" t="n">
        <v>8</v>
      </c>
    </row>
    <row r="100" ht="30" customHeight="1">
      <c r="A100" s="12" t="n">
        <v>70</v>
      </c>
      <c r="B100" s="12" t="n">
        <v>64</v>
      </c>
      <c r="C100" s="103" t="n">
        <v>11242290.87863083</v>
      </c>
      <c r="D100" s="108" t="n">
        <v>9193256.140619198</v>
      </c>
      <c r="E100" s="108" t="n">
        <v>1487809.2018845</v>
      </c>
      <c r="F100" s="108" t="n">
        <v>3135335.069890344</v>
      </c>
      <c r="G100" s="108" t="n">
        <v>417212.5737746828</v>
      </c>
      <c r="H100" s="108" t="n">
        <v>1042056.331878716</v>
      </c>
      <c r="I100" s="108" t="n">
        <v>44244</v>
      </c>
      <c r="J100" s="33" t="n">
        <v>8</v>
      </c>
    </row>
    <row r="101" ht="30" customHeight="1">
      <c r="A101" s="12" t="n">
        <v>70</v>
      </c>
      <c r="B101" s="12" t="n">
        <v>65</v>
      </c>
      <c r="C101" s="103" t="n">
        <v>11140799.9725708</v>
      </c>
      <c r="D101" s="108" t="n">
        <v>9115305.544460161</v>
      </c>
      <c r="E101" s="108" t="n">
        <v>1409858.605725463</v>
      </c>
      <c r="F101" s="108" t="n">
        <v>3103633.643872862</v>
      </c>
      <c r="G101" s="108" t="n">
        <v>385511.147757201</v>
      </c>
      <c r="H101" s="108" t="n">
        <v>1033895.21576222</v>
      </c>
      <c r="I101" s="108" t="n">
        <v>44244</v>
      </c>
      <c r="J101" s="33" t="n">
        <v>8</v>
      </c>
    </row>
    <row r="102" ht="30" customHeight="1">
      <c r="A102" s="12" t="n">
        <v>70</v>
      </c>
      <c r="B102" s="12" t="n">
        <v>66</v>
      </c>
      <c r="C102" s="103" t="n">
        <v>10782061.20400759</v>
      </c>
      <c r="D102" s="108" t="n">
        <v>8804431.37687362</v>
      </c>
      <c r="E102" s="108" t="n">
        <v>1098984.438138922</v>
      </c>
      <c r="F102" s="108" t="n">
        <v>3023447.932091017</v>
      </c>
      <c r="G102" s="108" t="n">
        <v>305325.435975356</v>
      </c>
      <c r="H102" s="108" t="n">
        <v>1001574.104957044</v>
      </c>
      <c r="I102" s="108" t="n">
        <v>44244</v>
      </c>
      <c r="J102" s="33" t="n">
        <v>7</v>
      </c>
    </row>
    <row r="103" ht="30" customHeight="1">
      <c r="A103" s="12" t="n">
        <v>70</v>
      </c>
      <c r="B103" s="12" t="n">
        <v>67</v>
      </c>
      <c r="C103" s="103" t="n">
        <v>10482383.63578792</v>
      </c>
      <c r="D103" s="108" t="n">
        <v>8545666.561498314</v>
      </c>
      <c r="E103" s="108" t="n">
        <v>840219.622763616</v>
      </c>
      <c r="F103" s="108" t="n">
        <v>2944834.48916764</v>
      </c>
      <c r="G103" s="108" t="n">
        <v>226711.9930519788</v>
      </c>
      <c r="H103" s="108" t="n">
        <v>970439.8148780398</v>
      </c>
      <c r="I103" s="108" t="n">
        <v>37677.6</v>
      </c>
      <c r="J103" s="33" t="n">
        <v>6</v>
      </c>
    </row>
    <row r="104" ht="30" customHeight="1">
      <c r="A104" s="12" t="n">
        <v>70</v>
      </c>
      <c r="B104" s="12" t="n">
        <v>68</v>
      </c>
      <c r="C104" s="103" t="n">
        <v>10143738.60311098</v>
      </c>
      <c r="D104" s="108" t="n">
        <v>8266357.336999402</v>
      </c>
      <c r="E104" s="108" t="n">
        <v>560910.3982647043</v>
      </c>
      <c r="F104" s="108" t="n">
        <v>2867762.486301584</v>
      </c>
      <c r="G104" s="108" t="n">
        <v>149639.9901859225</v>
      </c>
      <c r="H104" s="108" t="n">
        <v>952703.6201900018</v>
      </c>
      <c r="I104" s="108" t="n">
        <v>37677.6</v>
      </c>
      <c r="J104" s="33" t="n">
        <v>5</v>
      </c>
    </row>
    <row r="105" ht="30" customHeight="1">
      <c r="A105" s="12" t="n">
        <v>70</v>
      </c>
      <c r="B105" s="12" t="n">
        <v>69</v>
      </c>
      <c r="C105" s="103" t="n">
        <v>9809515.236074748</v>
      </c>
      <c r="D105" s="108" t="n">
        <v>7997419.152403586</v>
      </c>
      <c r="E105" s="108" t="n">
        <v>291972.2136688875</v>
      </c>
      <c r="F105" s="108" t="n">
        <v>2792201.699177999</v>
      </c>
      <c r="G105" s="108" t="n">
        <v>74079.20306233782</v>
      </c>
      <c r="H105" s="108" t="n">
        <v>942428.0155068384</v>
      </c>
      <c r="I105" s="108" t="n">
        <v>37677.6</v>
      </c>
      <c r="J105" s="33" t="n">
        <v>4</v>
      </c>
    </row>
    <row r="106" ht="30" customHeight="1">
      <c r="A106" s="112" t="n">
        <v>70</v>
      </c>
      <c r="B106" s="112" t="n">
        <v>70</v>
      </c>
      <c r="C106" s="113" t="n">
        <v>9489357.203597516</v>
      </c>
      <c r="D106" s="113" t="n">
        <v>7745679.543896282</v>
      </c>
      <c r="E106" s="113" t="n">
        <v>40232.60516158398</v>
      </c>
      <c r="F106" s="113" t="n">
        <v>2718122.496115661</v>
      </c>
      <c r="G106" s="113" t="n">
        <v>0</v>
      </c>
      <c r="H106" s="113" t="n">
        <v>936767.2364144272</v>
      </c>
      <c r="I106" s="113" t="n">
        <v>37677.6</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6"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Matthew);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7581312.724179099</v>
      </c>
    </row>
    <row r="5" ht="30" customHeight="1">
      <c r="A5" s="11" t="inlineStr">
        <is>
          <t>At Second Death (2056)</t>
        </is>
      </c>
      <c r="B5" s="105" t="n">
        <v>7705446.938734698</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7705446.938734698</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3705446.938734698</v>
      </c>
    </row>
    <row r="16" ht="45" customHeight="1">
      <c r="A16" s="2" t="inlineStr">
        <is>
          <t>Est. IL Estate Tax (cliff/interrelated calc)</t>
        </is>
      </c>
      <c r="B16" s="116" t="n">
        <v>652553.4342188521</v>
      </c>
    </row>
    <row r="17" ht="90" customHeight="1">
      <c r="A17" s="117" t="inlineStr">
        <is>
          <t>⚠ ACTION REQUIRED</t>
        </is>
      </c>
      <c r="B17" s="76"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7705446.938734698</v>
      </c>
    </row>
    <row r="7" ht="30" customHeight="1">
      <c r="A7" s="121" t="inlineStr">
        <is>
          <t>Monte Carlo success</t>
        </is>
      </c>
      <c r="B7" s="70" t="n">
        <v>0.6875</v>
      </c>
    </row>
    <row r="8" ht="30" customHeight="1">
      <c r="A8" s="121" t="inlineStr">
        <is>
          <t>Core annual spending</t>
        </is>
      </c>
      <c r="B8" s="103" t="n">
        <v>129059</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6.4" customWidth="1" min="1" max="1"/>
    <col width="10.6" customWidth="1" min="2" max="2"/>
    <col width="20.9" customWidth="1" min="3" max="3"/>
    <col width="9.4" customWidth="1" min="4" max="4"/>
    <col width="9.4" customWidth="1" min="5" max="5"/>
    <col width="9.4" customWidth="1" min="6" max="6"/>
    <col width="16.4" customWidth="1" min="7" max="7"/>
    <col width="9.4" customWidth="1" min="8" max="8"/>
    <col width="9.4" customWidth="1" min="9" max="9"/>
    <col width="6.5" customWidth="1" min="10" max="10"/>
  </cols>
  <sheetData>
    <row r="1" ht="18" customHeight="1">
      <c r="A1" s="9" t="inlineStr">
        <is>
          <t>MARKET-LUCK STRESS TEST — Monte Carlo  ·  16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16</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7.1% across simulated years</t>
        </is>
      </c>
      <c r="E10" s="3" t="n"/>
      <c r="F10" s="3" t="n"/>
      <c r="G10" s="3" t="n"/>
      <c r="H10" s="3" t="n"/>
      <c r="I10" s="3" t="n"/>
      <c r="J10" s="4" t="n"/>
    </row>
    <row r="11" ht="15" customHeight="1">
      <c r="A11" s="11" t="inlineStr">
        <is>
          <t>Sampled Geometric Mean Return</t>
        </is>
      </c>
      <c r="B11" s="3" t="n"/>
      <c r="C11" s="4" t="n"/>
      <c r="D11" s="12" t="inlineStr">
        <is>
          <t>6.3%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2.6%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13; mean event cost $149,588</t>
        </is>
      </c>
      <c r="E16" s="3" t="n"/>
      <c r="F16" s="3" t="n"/>
      <c r="G16" s="3" t="n"/>
      <c r="H16" s="3" t="n"/>
      <c r="I16" s="3" t="n"/>
      <c r="J16" s="4" t="n"/>
    </row>
    <row r="17" ht="15" customHeight="1">
      <c r="A17" s="11" t="inlineStr">
        <is>
          <t>Starting Liquid Assets</t>
        </is>
      </c>
      <c r="B17" s="3" t="n"/>
      <c r="C17" s="4" t="n"/>
      <c r="D17" s="12" t="inlineStr">
        <is>
          <t>$2,845,760</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44.4%–85.8% (SE 11.6%)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3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0.6875</v>
      </c>
      <c r="G28" s="4" t="n"/>
      <c r="H28" s="127" t="inlineStr">
        <is>
          <t>Review</t>
        </is>
      </c>
      <c r="I28" s="3" t="n"/>
      <c r="J28" s="4" t="n"/>
    </row>
    <row r="29" ht="15" customHeight="1">
      <c r="A29" s="11" t="inlineStr">
        <is>
          <t>Success Rate CI Low (95%)</t>
        </is>
      </c>
      <c r="B29" s="3" t="n"/>
      <c r="C29" s="3" t="n"/>
      <c r="D29" s="3" t="n"/>
      <c r="E29" s="4" t="n"/>
      <c r="F29" s="84" t="n">
        <v>0.4440393186673406</v>
      </c>
      <c r="G29" s="4" t="n"/>
      <c r="H29" s="127" t="inlineStr">
        <is>
          <t>Review</t>
        </is>
      </c>
      <c r="I29" s="3" t="n"/>
      <c r="J29" s="4" t="n"/>
    </row>
    <row r="30" ht="15" customHeight="1">
      <c r="A30" s="11" t="inlineStr">
        <is>
          <t>Success Rate CI High (95%)</t>
        </is>
      </c>
      <c r="B30" s="3" t="n"/>
      <c r="C30" s="3" t="n"/>
      <c r="D30" s="3" t="n"/>
      <c r="E30" s="4" t="n"/>
      <c r="F30" s="84" t="n">
        <v>0.8583556494803894</v>
      </c>
      <c r="G30" s="4" t="n"/>
      <c r="H30" s="128" t="inlineStr">
        <is>
          <t>On Track</t>
        </is>
      </c>
      <c r="I30" s="3" t="n"/>
      <c r="J30" s="4" t="n"/>
    </row>
    <row r="31" ht="15" customHeight="1">
      <c r="A31" s="11" t="inlineStr">
        <is>
          <t>Median Terminal Liquid Assets (P50)</t>
        </is>
      </c>
      <c r="B31" s="3" t="n"/>
      <c r="C31" s="3" t="n"/>
      <c r="D31" s="3" t="n"/>
      <c r="E31" s="4" t="n"/>
      <c r="F31" s="83" t="n">
        <v>7167702.157571957</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12122956.59114947</v>
      </c>
      <c r="G34" s="4" t="n"/>
      <c r="H34" s="128" t="inlineStr">
        <is>
          <t>On Track</t>
        </is>
      </c>
      <c r="I34" s="3" t="n"/>
      <c r="J34" s="4" t="n"/>
    </row>
    <row r="35" ht="15" customHeight="1">
      <c r="A35" s="11" t="inlineStr">
        <is>
          <t>P90 Terminal Liquid Assets</t>
        </is>
      </c>
      <c r="B35" s="3" t="n"/>
      <c r="C35" s="3" t="n"/>
      <c r="D35" s="3" t="n"/>
      <c r="E35" s="4" t="n"/>
      <c r="F35" s="83" t="n">
        <v>20803642.43364478</v>
      </c>
      <c r="G35" s="4" t="n"/>
      <c r="H35" s="128" t="inlineStr">
        <is>
          <t>On Track</t>
        </is>
      </c>
      <c r="I35" s="3" t="n"/>
      <c r="J35" s="4" t="n"/>
    </row>
    <row r="36" ht="15" customHeight="1">
      <c r="A36" s="11" t="inlineStr">
        <is>
          <t>Mean Terminal Liquid Assets</t>
        </is>
      </c>
      <c r="B36" s="3" t="n"/>
      <c r="C36" s="3" t="n"/>
      <c r="D36" s="3" t="n"/>
      <c r="E36" s="4" t="n"/>
      <c r="F36" s="83" t="n">
        <v>8649657.804621384</v>
      </c>
      <c r="G36" s="4" t="n"/>
      <c r="H36" s="128" t="inlineStr">
        <is>
          <t>On Track</t>
        </is>
      </c>
      <c r="I36" s="3" t="n"/>
      <c r="J36" s="4" t="n"/>
    </row>
    <row r="37" ht="15" customHeight="1">
      <c r="A37" s="11" t="inlineStr">
        <is>
          <t>Median Terminal Total Net Worth</t>
        </is>
      </c>
      <c r="B37" s="3" t="n"/>
      <c r="C37" s="3" t="n"/>
      <c r="D37" s="3" t="n"/>
      <c r="E37" s="4" t="n"/>
      <c r="F37" s="83" t="n">
        <v>10588564.49601932</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7705446.938734698</v>
      </c>
      <c r="D41" s="4" t="n"/>
      <c r="E41" s="79" t="n">
        <v>3390274.137803575</v>
      </c>
      <c r="F41" s="83" t="n">
        <v>10588564.49601932</v>
      </c>
      <c r="G41" s="79" t="n">
        <v>24225511.44024338</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4315172.800931123</v>
      </c>
      <c r="D42" s="4" t="n"/>
      <c r="E42" s="79" t="n">
        <v>0</v>
      </c>
      <c r="F42" s="83" t="n">
        <v>7167702.157571957</v>
      </c>
      <c r="G42" s="79" t="n">
        <v>20803642.43364478</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9" t="n">
        <v>0</v>
      </c>
      <c r="C47" s="3" t="n"/>
      <c r="D47" s="4" t="n"/>
      <c r="E47" s="27" t="n">
        <v>-7167702.157571957</v>
      </c>
      <c r="F47" s="4" t="n"/>
      <c r="G47" s="12" t="inlineStr">
        <is>
          <t>Catastrophic — total portfolio loss</t>
        </is>
      </c>
      <c r="H47" s="3" t="n"/>
      <c r="I47" s="3" t="n"/>
      <c r="J47" s="4" t="n"/>
    </row>
    <row r="48" ht="15" customHeight="1">
      <c r="A48" s="41" t="inlineStr">
        <is>
          <t>P5</t>
        </is>
      </c>
      <c r="B48" s="79" t="n">
        <v>0</v>
      </c>
      <c r="C48" s="3" t="n"/>
      <c r="D48" s="4" t="n"/>
      <c r="E48" s="27" t="n">
        <v>-7167702.157571957</v>
      </c>
      <c r="F48" s="4" t="n"/>
      <c r="G48" s="12" t="inlineStr">
        <is>
          <t>Very bad luck — significant shortfall</t>
        </is>
      </c>
      <c r="H48" s="3" t="n"/>
      <c r="I48" s="3" t="n"/>
      <c r="J48" s="4" t="n"/>
    </row>
    <row r="49" ht="15" customHeight="1">
      <c r="A49" s="41" t="inlineStr">
        <is>
          <t>P10</t>
        </is>
      </c>
      <c r="B49" s="79" t="n">
        <v>0</v>
      </c>
      <c r="C49" s="3" t="n"/>
      <c r="D49" s="4" t="n"/>
      <c r="E49" s="27" t="n">
        <v>-7167702.157571957</v>
      </c>
      <c r="F49" s="4" t="n"/>
      <c r="G49" s="12" t="inlineStr">
        <is>
          <t>Poor sequence — stress-test floor</t>
        </is>
      </c>
      <c r="H49" s="3" t="n"/>
      <c r="I49" s="3" t="n"/>
      <c r="J49" s="4" t="n"/>
    </row>
    <row r="50" ht="15" customHeight="1">
      <c r="A50" s="130" t="inlineStr">
        <is>
          <t>P25</t>
        </is>
      </c>
      <c r="B50" s="131" t="n">
        <v>0</v>
      </c>
      <c r="C50" s="3" t="n"/>
      <c r="D50" s="4" t="n"/>
      <c r="E50" s="131" t="n">
        <v>-7167702.157571957</v>
      </c>
      <c r="F50" s="4" t="n"/>
      <c r="G50" s="97" t="inlineStr">
        <is>
          <t>1-in-4 downside scenario</t>
        </is>
      </c>
      <c r="H50" s="3" t="n"/>
      <c r="I50" s="3" t="n"/>
      <c r="J50" s="4" t="n"/>
    </row>
    <row r="51" ht="15" customHeight="1">
      <c r="A51" s="132" t="inlineStr">
        <is>
          <t>P50</t>
        </is>
      </c>
      <c r="B51" s="133" t="n">
        <v>7167702.157571957</v>
      </c>
      <c r="C51" s="3" t="n"/>
      <c r="D51" s="4" t="n"/>
      <c r="E51" s="134" t="n">
        <v>0</v>
      </c>
      <c r="F51" s="4" t="n"/>
      <c r="G51" s="19" t="inlineStr">
        <is>
          <t>Base case — median outcome</t>
        </is>
      </c>
      <c r="H51" s="3" t="n"/>
      <c r="I51" s="3" t="n"/>
      <c r="J51" s="4" t="n"/>
    </row>
    <row r="52" ht="15" customHeight="1">
      <c r="A52" s="130" t="inlineStr">
        <is>
          <t>P75</t>
        </is>
      </c>
      <c r="B52" s="131" t="n">
        <v>12122956.59114947</v>
      </c>
      <c r="C52" s="3" t="n"/>
      <c r="D52" s="4" t="n"/>
      <c r="E52" s="131" t="n">
        <v>4955254.433577514</v>
      </c>
      <c r="F52" s="4" t="n"/>
      <c r="G52" s="97" t="inlineStr">
        <is>
          <t>3-in-4 scenarios end above this</t>
        </is>
      </c>
      <c r="H52" s="3" t="n"/>
      <c r="I52" s="3" t="n"/>
      <c r="J52" s="4" t="n"/>
    </row>
    <row r="53" ht="15" customHeight="1">
      <c r="A53" s="41" t="inlineStr">
        <is>
          <t>P90</t>
        </is>
      </c>
      <c r="B53" s="79" t="n">
        <v>20803642.43364478</v>
      </c>
      <c r="C53" s="3" t="n"/>
      <c r="D53" s="4" t="n"/>
      <c r="E53" s="27" t="n">
        <v>13635940.27607283</v>
      </c>
      <c r="F53" s="4" t="n"/>
      <c r="G53" s="12" t="inlineStr">
        <is>
          <t>Good sequence — upside scenario</t>
        </is>
      </c>
      <c r="H53" s="3" t="n"/>
      <c r="I53" s="3" t="n"/>
      <c r="J53" s="4" t="n"/>
    </row>
    <row r="54" ht="15" customHeight="1">
      <c r="A54" s="41" t="inlineStr">
        <is>
          <t>P95</t>
        </is>
      </c>
      <c r="B54" s="79" t="n">
        <v>24096836.75126405</v>
      </c>
      <c r="C54" s="3" t="n"/>
      <c r="D54" s="4" t="n"/>
      <c r="E54" s="27" t="n">
        <v>16929134.59369209</v>
      </c>
      <c r="F54" s="4" t="n"/>
      <c r="G54" s="12" t="inlineStr">
        <is>
          <t>Very good luck</t>
        </is>
      </c>
      <c r="H54" s="3" t="n"/>
      <c r="I54" s="3" t="n"/>
      <c r="J54" s="4" t="n"/>
    </row>
    <row r="55" ht="15" customHeight="1">
      <c r="A55" s="41" t="inlineStr">
        <is>
          <t>P99</t>
        </is>
      </c>
      <c r="B55" s="79" t="n">
        <v>29240986.39680826</v>
      </c>
      <c r="C55" s="3" t="n"/>
      <c r="D55" s="4" t="n"/>
      <c r="E55" s="27" t="n">
        <v>22073284.23923631</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30" customHeight="1">
      <c r="A59" s="135" t="n">
        <v>2026</v>
      </c>
      <c r="B59" s="135" t="n">
        <v>64</v>
      </c>
      <c r="C59" s="135" t="n">
        <v>65</v>
      </c>
      <c r="D59" s="108" t="n">
        <v>2868257.142254535</v>
      </c>
      <c r="E59" s="108" t="n">
        <v>2934866.663937712</v>
      </c>
      <c r="F59" s="136" t="n">
        <v>3092273.266461567</v>
      </c>
      <c r="G59" s="103" t="n">
        <v>3222846.808504612</v>
      </c>
      <c r="H59" s="108" t="n">
        <v>3318263.118792619</v>
      </c>
      <c r="I59" s="108" t="n">
        <v>3052841.028802089</v>
      </c>
      <c r="J59" s="137" t="n">
        <v>1</v>
      </c>
    </row>
    <row r="60" ht="30" customHeight="1">
      <c r="A60" s="135" t="n">
        <v>2027</v>
      </c>
      <c r="B60" s="135" t="n">
        <v>65</v>
      </c>
      <c r="C60" s="135" t="n">
        <v>66</v>
      </c>
      <c r="D60" s="108" t="n">
        <v>2314859.416972035</v>
      </c>
      <c r="E60" s="108" t="n">
        <v>2723908.910213753</v>
      </c>
      <c r="F60" s="136" t="n">
        <v>3024774.941975362</v>
      </c>
      <c r="G60" s="103" t="n">
        <v>3257130.27404054</v>
      </c>
      <c r="H60" s="108" t="n">
        <v>3557483.072020822</v>
      </c>
      <c r="I60" s="108" t="n">
        <v>2954895.749342707</v>
      </c>
      <c r="J60" s="137" t="n">
        <v>1</v>
      </c>
    </row>
    <row r="61" ht="30" customHeight="1">
      <c r="A61" s="135" t="n">
        <v>2028</v>
      </c>
      <c r="B61" s="135" t="n">
        <v>66</v>
      </c>
      <c r="C61" s="135" t="n">
        <v>67</v>
      </c>
      <c r="D61" s="108" t="n">
        <v>2121407.934116579</v>
      </c>
      <c r="E61" s="108" t="n">
        <v>2471105.040547166</v>
      </c>
      <c r="F61" s="136" t="n">
        <v>2956700.942195565</v>
      </c>
      <c r="G61" s="103" t="n">
        <v>3248375.218417769</v>
      </c>
      <c r="H61" s="108" t="n">
        <v>3800660.238003997</v>
      </c>
      <c r="I61" s="108" t="n">
        <v>2927981.227286454</v>
      </c>
      <c r="J61" s="137" t="n">
        <v>1</v>
      </c>
    </row>
    <row r="62" ht="30" customHeight="1">
      <c r="A62" s="135" t="n">
        <v>2029</v>
      </c>
      <c r="B62" s="135" t="n">
        <v>67</v>
      </c>
      <c r="C62" s="135" t="n">
        <v>68</v>
      </c>
      <c r="D62" s="108" t="n">
        <v>1852333.079956415</v>
      </c>
      <c r="E62" s="108" t="n">
        <v>2451273.382254696</v>
      </c>
      <c r="F62" s="136" t="n">
        <v>3230764.070557364</v>
      </c>
      <c r="G62" s="103" t="n">
        <v>3605224.046955033</v>
      </c>
      <c r="H62" s="108" t="n">
        <v>4122277.242788295</v>
      </c>
      <c r="I62" s="108" t="n">
        <v>3053488.853983185</v>
      </c>
      <c r="J62" s="137" t="n">
        <v>1</v>
      </c>
    </row>
    <row r="63" ht="30" customHeight="1">
      <c r="A63" s="135" t="n">
        <v>2030</v>
      </c>
      <c r="B63" s="135" t="n">
        <v>68</v>
      </c>
      <c r="C63" s="135" t="n">
        <v>69</v>
      </c>
      <c r="D63" s="108" t="n">
        <v>1722025.409014765</v>
      </c>
      <c r="E63" s="108" t="n">
        <v>2385994.991700028</v>
      </c>
      <c r="F63" s="136" t="n">
        <v>3339540.568242931</v>
      </c>
      <c r="G63" s="103" t="n">
        <v>3914453.513973602</v>
      </c>
      <c r="H63" s="108" t="n">
        <v>4669209.232608842</v>
      </c>
      <c r="I63" s="108" t="n">
        <v>3170190.061463588</v>
      </c>
      <c r="J63" s="137" t="n">
        <v>1</v>
      </c>
    </row>
    <row r="64" ht="30" customHeight="1">
      <c r="A64" s="135" t="n">
        <v>2031</v>
      </c>
      <c r="B64" s="135" t="n">
        <v>69</v>
      </c>
      <c r="C64" s="135" t="n">
        <v>70</v>
      </c>
      <c r="D64" s="108" t="n">
        <v>1635961.88063598</v>
      </c>
      <c r="E64" s="108" t="n">
        <v>2578701.276020532</v>
      </c>
      <c r="F64" s="136" t="n">
        <v>3537925.357615114</v>
      </c>
      <c r="G64" s="103" t="n">
        <v>4405557.303959875</v>
      </c>
      <c r="H64" s="108" t="n">
        <v>4789763.960154014</v>
      </c>
      <c r="I64" s="108" t="n">
        <v>3407342.4585391</v>
      </c>
      <c r="J64" s="137" t="n">
        <v>1</v>
      </c>
    </row>
    <row r="65" ht="30" customHeight="1">
      <c r="A65" s="135" t="n">
        <v>2032</v>
      </c>
      <c r="B65" s="135" t="n">
        <v>70</v>
      </c>
      <c r="C65" s="135" t="n">
        <v>71</v>
      </c>
      <c r="D65" s="108" t="n">
        <v>1349901.654403911</v>
      </c>
      <c r="E65" s="108" t="n">
        <v>2327723.781218381</v>
      </c>
      <c r="F65" s="136" t="n">
        <v>3555967.932113202</v>
      </c>
      <c r="G65" s="103" t="n">
        <v>4448541.945095436</v>
      </c>
      <c r="H65" s="108" t="n">
        <v>5348310.236715343</v>
      </c>
      <c r="I65" s="108" t="n">
        <v>3442033.01441312</v>
      </c>
      <c r="J65" s="137" t="n">
        <v>1</v>
      </c>
    </row>
    <row r="66" ht="30" customHeight="1">
      <c r="A66" s="135" t="n">
        <v>2033</v>
      </c>
      <c r="B66" s="135" t="n">
        <v>71</v>
      </c>
      <c r="C66" s="135" t="n">
        <v>72</v>
      </c>
      <c r="D66" s="108" t="n">
        <v>1597640.827985819</v>
      </c>
      <c r="E66" s="108" t="n">
        <v>2341969.284118208</v>
      </c>
      <c r="F66" s="136" t="n">
        <v>3706628.765107639</v>
      </c>
      <c r="G66" s="103" t="n">
        <v>4712354.612656403</v>
      </c>
      <c r="H66" s="108" t="n">
        <v>6152269.117541447</v>
      </c>
      <c r="I66" s="108" t="n">
        <v>3717746.258859277</v>
      </c>
      <c r="J66" s="137" t="n">
        <v>1</v>
      </c>
    </row>
    <row r="67" ht="30" customHeight="1">
      <c r="A67" s="135" t="n">
        <v>2034</v>
      </c>
      <c r="B67" s="135" t="n">
        <v>72</v>
      </c>
      <c r="C67" s="135" t="n">
        <v>73</v>
      </c>
      <c r="D67" s="108" t="n">
        <v>1424138.966383475</v>
      </c>
      <c r="E67" s="108" t="n">
        <v>2464144.602008084</v>
      </c>
      <c r="F67" s="136" t="n">
        <v>3606709.380925722</v>
      </c>
      <c r="G67" s="103" t="n">
        <v>4549832.636550292</v>
      </c>
      <c r="H67" s="108" t="n">
        <v>6062776.982662595</v>
      </c>
      <c r="I67" s="108" t="n">
        <v>3792285.678590898</v>
      </c>
      <c r="J67" s="137" t="n">
        <v>1</v>
      </c>
    </row>
    <row r="68" ht="30" customHeight="1">
      <c r="A68" s="135" t="n">
        <v>2035</v>
      </c>
      <c r="B68" s="135" t="n">
        <v>73</v>
      </c>
      <c r="C68" s="135" t="n">
        <v>74</v>
      </c>
      <c r="D68" s="108" t="n">
        <v>1218135.832014936</v>
      </c>
      <c r="E68" s="108" t="n">
        <v>2296415.089503442</v>
      </c>
      <c r="F68" s="136" t="n">
        <v>3824174.390271748</v>
      </c>
      <c r="G68" s="103" t="n">
        <v>4347937.011691941</v>
      </c>
      <c r="H68" s="108" t="n">
        <v>6150886.610568399</v>
      </c>
      <c r="I68" s="108" t="n">
        <v>3660210.955523273</v>
      </c>
      <c r="J68" s="137" t="n">
        <v>1</v>
      </c>
    </row>
    <row r="69" ht="30" customHeight="1">
      <c r="A69" s="135" t="n">
        <v>2036</v>
      </c>
      <c r="B69" s="135" t="n">
        <v>74</v>
      </c>
      <c r="C69" s="135" t="n">
        <v>75</v>
      </c>
      <c r="D69" s="108" t="n">
        <v>1159130.160093491</v>
      </c>
      <c r="E69" s="108" t="n">
        <v>1996743.147731441</v>
      </c>
      <c r="F69" s="136" t="n">
        <v>3948451.93491855</v>
      </c>
      <c r="G69" s="103" t="n">
        <v>4792124.728062909</v>
      </c>
      <c r="H69" s="108" t="n">
        <v>7473687.892763751</v>
      </c>
      <c r="I69" s="108" t="n">
        <v>3826549.16510944</v>
      </c>
      <c r="J69" s="137" t="n">
        <v>1</v>
      </c>
    </row>
    <row r="70" ht="30" customHeight="1">
      <c r="A70" s="135" t="n">
        <v>2037</v>
      </c>
      <c r="B70" s="135" t="n">
        <v>75</v>
      </c>
      <c r="C70" s="135" t="n">
        <v>76</v>
      </c>
      <c r="D70" s="108" t="n">
        <v>1000385.665731</v>
      </c>
      <c r="E70" s="108" t="n">
        <v>1731550.967786498</v>
      </c>
      <c r="F70" s="136" t="n">
        <v>3750503.041885327</v>
      </c>
      <c r="G70" s="103" t="n">
        <v>5036296.578520648</v>
      </c>
      <c r="H70" s="108" t="n">
        <v>7347024.869719072</v>
      </c>
      <c r="I70" s="108" t="n">
        <v>3876240.007686176</v>
      </c>
      <c r="J70" s="137" t="n">
        <v>1</v>
      </c>
    </row>
    <row r="71" ht="30" customHeight="1">
      <c r="A71" s="135" t="n">
        <v>2038</v>
      </c>
      <c r="B71" s="135" t="n">
        <v>76</v>
      </c>
      <c r="C71" s="135" t="n">
        <v>77</v>
      </c>
      <c r="D71" s="108" t="n">
        <v>947195.3546986508</v>
      </c>
      <c r="E71" s="108" t="n">
        <v>1834282.111790955</v>
      </c>
      <c r="F71" s="136" t="n">
        <v>3605535.495086477</v>
      </c>
      <c r="G71" s="103" t="n">
        <v>5549023.481961751</v>
      </c>
      <c r="H71" s="108" t="n">
        <v>7610870.843617279</v>
      </c>
      <c r="I71" s="108" t="n">
        <v>3953978.215374245</v>
      </c>
      <c r="J71" s="137" t="n">
        <v>1</v>
      </c>
    </row>
    <row r="72" ht="30" customHeight="1">
      <c r="A72" s="135" t="n">
        <v>2039</v>
      </c>
      <c r="B72" s="135" t="n">
        <v>77</v>
      </c>
      <c r="C72" s="135" t="n">
        <v>78</v>
      </c>
      <c r="D72" s="108" t="n">
        <v>918746.3825389587</v>
      </c>
      <c r="E72" s="108" t="n">
        <v>1788956.434982979</v>
      </c>
      <c r="F72" s="136" t="n">
        <v>3449950.807560332</v>
      </c>
      <c r="G72" s="103" t="n">
        <v>5824475.367977625</v>
      </c>
      <c r="H72" s="108" t="n">
        <v>8235667.295637701</v>
      </c>
      <c r="I72" s="108" t="n">
        <v>4180947.969592669</v>
      </c>
      <c r="J72" s="137" t="n">
        <v>1</v>
      </c>
    </row>
    <row r="73" ht="30" customHeight="1">
      <c r="A73" s="135" t="n">
        <v>2040</v>
      </c>
      <c r="B73" s="135" t="n">
        <v>78</v>
      </c>
      <c r="C73" s="135" t="n">
        <v>79</v>
      </c>
      <c r="D73" s="108" t="n">
        <v>828659.2874807125</v>
      </c>
      <c r="E73" s="108" t="n">
        <v>1666857.881682135</v>
      </c>
      <c r="F73" s="136" t="n">
        <v>3422393.43949228</v>
      </c>
      <c r="G73" s="103" t="n">
        <v>6349597.367345938</v>
      </c>
      <c r="H73" s="108" t="n">
        <v>8280529.065235129</v>
      </c>
      <c r="I73" s="108" t="n">
        <v>4137482.803111497</v>
      </c>
      <c r="J73" s="137" t="n">
        <v>0.9375</v>
      </c>
    </row>
    <row r="74" ht="30" customHeight="1">
      <c r="A74" s="135" t="n">
        <v>2041</v>
      </c>
      <c r="B74" s="135" t="n">
        <v>79</v>
      </c>
      <c r="C74" s="135" t="n">
        <v>80</v>
      </c>
      <c r="D74" s="108" t="n">
        <v>841324.6344989876</v>
      </c>
      <c r="E74" s="108" t="n">
        <v>1569781.060878884</v>
      </c>
      <c r="F74" s="136" t="n">
        <v>3409531.387294789</v>
      </c>
      <c r="G74" s="103" t="n">
        <v>7036387.977613123</v>
      </c>
      <c r="H74" s="108" t="n">
        <v>9413576.308030166</v>
      </c>
      <c r="I74" s="108" t="n">
        <v>4431798.20346552</v>
      </c>
      <c r="J74" s="137" t="n">
        <v>0.9375</v>
      </c>
    </row>
    <row r="75" ht="30" customHeight="1">
      <c r="A75" s="135" t="n">
        <v>2042</v>
      </c>
      <c r="B75" s="135" t="n">
        <v>80</v>
      </c>
      <c r="C75" s="135" t="n">
        <v>81</v>
      </c>
      <c r="D75" s="108" t="n">
        <v>767396.4671497374</v>
      </c>
      <c r="E75" s="108" t="n">
        <v>1381447.604415578</v>
      </c>
      <c r="F75" s="136" t="n">
        <v>3782265.017097044</v>
      </c>
      <c r="G75" s="103" t="n">
        <v>6522654.301269919</v>
      </c>
      <c r="H75" s="108" t="n">
        <v>9306747.199337523</v>
      </c>
      <c r="I75" s="108" t="n">
        <v>4438952.452707889</v>
      </c>
      <c r="J75" s="137" t="n">
        <v>0.9375</v>
      </c>
    </row>
    <row r="76" ht="30" customHeight="1">
      <c r="A76" s="135" t="n">
        <v>2043</v>
      </c>
      <c r="B76" s="135" t="n">
        <v>81</v>
      </c>
      <c r="C76" s="135" t="n">
        <v>82</v>
      </c>
      <c r="D76" s="108" t="n">
        <v>676240.8949779671</v>
      </c>
      <c r="E76" s="108" t="n">
        <v>1289131.343059576</v>
      </c>
      <c r="F76" s="136" t="n">
        <v>3929815.605733324</v>
      </c>
      <c r="G76" s="103" t="n">
        <v>7113475.247877784</v>
      </c>
      <c r="H76" s="108" t="n">
        <v>8540893.060712546</v>
      </c>
      <c r="I76" s="108" t="n">
        <v>4433702.075641229</v>
      </c>
      <c r="J76" s="137" t="n">
        <v>0.9375</v>
      </c>
    </row>
    <row r="77" ht="30" customHeight="1">
      <c r="A77" s="135" t="n">
        <v>2044</v>
      </c>
      <c r="B77" s="135" t="n">
        <v>82</v>
      </c>
      <c r="C77" s="135" t="n">
        <v>83</v>
      </c>
      <c r="D77" s="108" t="n">
        <v>590886.6299617668</v>
      </c>
      <c r="E77" s="108" t="n">
        <v>1336646.313609501</v>
      </c>
      <c r="F77" s="136" t="n">
        <v>4453305.015768834</v>
      </c>
      <c r="G77" s="103" t="n">
        <v>6350750.580277932</v>
      </c>
      <c r="H77" s="108" t="n">
        <v>8933582.012524612</v>
      </c>
      <c r="I77" s="108" t="n">
        <v>4441001.885232261</v>
      </c>
      <c r="J77" s="137" t="n">
        <v>0.9375</v>
      </c>
    </row>
    <row r="78" ht="30" customHeight="1">
      <c r="A78" s="135" t="n">
        <v>2045</v>
      </c>
      <c r="B78" s="135" t="n">
        <v>83</v>
      </c>
      <c r="C78" s="135" t="n">
        <v>84</v>
      </c>
      <c r="D78" s="108" t="n">
        <v>502208.1831884845</v>
      </c>
      <c r="E78" s="108" t="n">
        <v>1185965.422741477</v>
      </c>
      <c r="F78" s="136" t="n">
        <v>4384629.387465597</v>
      </c>
      <c r="G78" s="103" t="n">
        <v>6469594.804994628</v>
      </c>
      <c r="H78" s="108" t="n">
        <v>8628215.180018447</v>
      </c>
      <c r="I78" s="108" t="n">
        <v>4482130.588706334</v>
      </c>
      <c r="J78" s="137" t="n">
        <v>0.9375</v>
      </c>
    </row>
    <row r="79" ht="30" customHeight="1">
      <c r="A79" s="138" t="n">
        <v>2046</v>
      </c>
      <c r="B79" s="138" t="n">
        <v>84</v>
      </c>
      <c r="C79" s="138" t="n">
        <v>85</v>
      </c>
      <c r="D79" s="139" t="n">
        <v>410106.5052338595</v>
      </c>
      <c r="E79" s="139" t="n">
        <v>1103689.970185458</v>
      </c>
      <c r="F79" s="77" t="n">
        <v>4882297.054122483</v>
      </c>
      <c r="G79" s="139" t="n">
        <v>6999107.926930611</v>
      </c>
      <c r="H79" s="139" t="n">
        <v>9976496.985747762</v>
      </c>
      <c r="I79" s="139" t="n">
        <v>4923622.489624766</v>
      </c>
      <c r="J79" s="140" t="n">
        <v>0.875</v>
      </c>
    </row>
    <row r="80" ht="30" customHeight="1">
      <c r="A80" s="138" t="n">
        <v>2047</v>
      </c>
      <c r="B80" s="138" t="n">
        <v>85</v>
      </c>
      <c r="C80" s="138" t="n">
        <v>86</v>
      </c>
      <c r="D80" s="139" t="n">
        <v>344618.064806885</v>
      </c>
      <c r="E80" s="139" t="n">
        <v>1107062.334637608</v>
      </c>
      <c r="F80" s="77" t="n">
        <v>5057152.035012566</v>
      </c>
      <c r="G80" s="139" t="n">
        <v>8059903.155171148</v>
      </c>
      <c r="H80" s="139" t="n">
        <v>10723003.19903083</v>
      </c>
      <c r="I80" s="139" t="n">
        <v>5333725.915058619</v>
      </c>
      <c r="J80" s="140" t="n">
        <v>0.875</v>
      </c>
    </row>
    <row r="81" ht="30" customHeight="1">
      <c r="A81" s="138" t="n">
        <v>2048</v>
      </c>
      <c r="B81" s="138" t="n">
        <v>86</v>
      </c>
      <c r="C81" s="138" t="n">
        <v>87</v>
      </c>
      <c r="D81" s="139" t="n">
        <v>320585.0174497939</v>
      </c>
      <c r="E81" s="139" t="n">
        <v>1025893.541153789</v>
      </c>
      <c r="F81" s="77" t="n">
        <v>5467771.566423114</v>
      </c>
      <c r="G81" s="139" t="n">
        <v>9201572.238893395</v>
      </c>
      <c r="H81" s="139" t="n">
        <v>10992270.9305212</v>
      </c>
      <c r="I81" s="139" t="n">
        <v>5548223.283486173</v>
      </c>
      <c r="J81" s="140" t="n">
        <v>0.875</v>
      </c>
    </row>
    <row r="82" ht="30" customHeight="1">
      <c r="A82" s="138" t="n">
        <v>2049</v>
      </c>
      <c r="B82" s="138" t="n">
        <v>87</v>
      </c>
      <c r="C82" s="138" t="n">
        <v>88</v>
      </c>
      <c r="D82" s="139" t="n">
        <v>209751.1231979211</v>
      </c>
      <c r="E82" s="139" t="n">
        <v>912811.9284636334</v>
      </c>
      <c r="F82" s="77" t="n">
        <v>5548432.220777629</v>
      </c>
      <c r="G82" s="139" t="n">
        <v>9747241.888149424</v>
      </c>
      <c r="H82" s="139" t="n">
        <v>12385483.2072877</v>
      </c>
      <c r="I82" s="139" t="n">
        <v>5711225.636811535</v>
      </c>
      <c r="J82" s="140" t="n">
        <v>0.875</v>
      </c>
    </row>
    <row r="83" ht="30" customHeight="1">
      <c r="A83" s="138" t="n">
        <v>2050</v>
      </c>
      <c r="B83" s="138" t="n">
        <v>88</v>
      </c>
      <c r="C83" s="138" t="n">
        <v>89</v>
      </c>
      <c r="D83" s="139" t="n">
        <v>93767.73062504896</v>
      </c>
      <c r="E83" s="139" t="n">
        <v>796752.978226145</v>
      </c>
      <c r="F83" s="77" t="n">
        <v>5894402.027268849</v>
      </c>
      <c r="G83" s="139" t="n">
        <v>10230637.10628811</v>
      </c>
      <c r="H83" s="139" t="n">
        <v>11300220.01412191</v>
      </c>
      <c r="I83" s="139" t="n">
        <v>6061199.68932113</v>
      </c>
      <c r="J83" s="140" t="n">
        <v>0.875</v>
      </c>
    </row>
    <row r="84" ht="30" customHeight="1">
      <c r="A84" s="138" t="n">
        <v>2051</v>
      </c>
      <c r="B84" s="138" t="n">
        <v>89</v>
      </c>
      <c r="C84" s="138" t="n">
        <v>90</v>
      </c>
      <c r="D84" s="139" t="n">
        <v>0</v>
      </c>
      <c r="E84" s="139" t="n">
        <v>574379.1083101422</v>
      </c>
      <c r="F84" s="77" t="n">
        <v>6103286.86550805</v>
      </c>
      <c r="G84" s="139" t="n">
        <v>10186380.35873502</v>
      </c>
      <c r="H84" s="139" t="n">
        <v>12470820.49135838</v>
      </c>
      <c r="I84" s="139" t="n">
        <v>6384397.91249813</v>
      </c>
      <c r="J84" s="140" t="n">
        <v>0.8125</v>
      </c>
    </row>
    <row r="85" ht="30" customHeight="1">
      <c r="A85" s="138" t="n">
        <v>2052</v>
      </c>
      <c r="B85" s="138" t="n">
        <v>90</v>
      </c>
      <c r="C85" s="138" t="n">
        <v>91</v>
      </c>
      <c r="D85" s="139" t="n">
        <v>0</v>
      </c>
      <c r="E85" s="139" t="n">
        <v>318771.5419995249</v>
      </c>
      <c r="F85" s="77" t="n">
        <v>6458305.916241247</v>
      </c>
      <c r="G85" s="139" t="n">
        <v>9911871.311104737</v>
      </c>
      <c r="H85" s="139" t="n">
        <v>12489519.76472006</v>
      </c>
      <c r="I85" s="139" t="n">
        <v>6395787.863095809</v>
      </c>
      <c r="J85" s="140" t="n">
        <v>0.8125</v>
      </c>
    </row>
    <row r="86" ht="30" customHeight="1">
      <c r="A86" s="138" t="n">
        <v>2053</v>
      </c>
      <c r="B86" s="138" t="n">
        <v>91</v>
      </c>
      <c r="C86" s="138" t="n">
        <v>92</v>
      </c>
      <c r="D86" s="139" t="n">
        <v>0</v>
      </c>
      <c r="E86" s="139" t="n">
        <v>106907.8312998796</v>
      </c>
      <c r="F86" s="77" t="n">
        <v>6463665.395657601</v>
      </c>
      <c r="G86" s="139" t="n">
        <v>12369708.50663973</v>
      </c>
      <c r="H86" s="139" t="n">
        <v>13230947.19665554</v>
      </c>
      <c r="I86" s="139" t="n">
        <v>6945581.002819078</v>
      </c>
      <c r="J86" s="140" t="n">
        <v>0.8125</v>
      </c>
    </row>
    <row r="87" ht="30" customHeight="1">
      <c r="A87" s="141" t="n">
        <v>2054</v>
      </c>
      <c r="B87" s="141" t="n">
        <v>92</v>
      </c>
      <c r="C87" s="141" t="n">
        <v>93</v>
      </c>
      <c r="D87" s="142" t="n">
        <v>0</v>
      </c>
      <c r="E87" s="142" t="n">
        <v>0</v>
      </c>
      <c r="F87" s="116" t="n">
        <v>6636321.416197451</v>
      </c>
      <c r="G87" s="142" t="n">
        <v>13129834.53689887</v>
      </c>
      <c r="H87" s="142" t="n">
        <v>15581220.66685529</v>
      </c>
      <c r="I87" s="142" t="n">
        <v>7487813.056597545</v>
      </c>
      <c r="J87" s="143" t="n">
        <v>0.6875</v>
      </c>
    </row>
    <row r="88" ht="30" customHeight="1">
      <c r="A88" s="141" t="n">
        <v>2055</v>
      </c>
      <c r="B88" s="141" t="n">
        <v>93</v>
      </c>
      <c r="C88" s="141" t="n">
        <v>94</v>
      </c>
      <c r="D88" s="142" t="n">
        <v>0</v>
      </c>
      <c r="E88" s="142" t="n">
        <v>0</v>
      </c>
      <c r="F88" s="116" t="n">
        <v>6844881.590857996</v>
      </c>
      <c r="G88" s="142" t="n">
        <v>12258530.36917819</v>
      </c>
      <c r="H88" s="142" t="n">
        <v>17431419.24501911</v>
      </c>
      <c r="I88" s="142" t="n">
        <v>7899433.441611882</v>
      </c>
      <c r="J88" s="143" t="n">
        <v>0.6875</v>
      </c>
    </row>
    <row r="89" ht="30" customHeight="1">
      <c r="A89" s="141" t="n">
        <v>2056</v>
      </c>
      <c r="B89" s="141" t="n">
        <v>94</v>
      </c>
      <c r="C89" s="141" t="n">
        <v>95</v>
      </c>
      <c r="D89" s="142" t="n">
        <v>0</v>
      </c>
      <c r="E89" s="142" t="n">
        <v>0</v>
      </c>
      <c r="F89" s="116" t="n">
        <v>7167702.157571957</v>
      </c>
      <c r="G89" s="142" t="n">
        <v>12122956.59114947</v>
      </c>
      <c r="H89" s="142" t="n">
        <v>20803642.43364478</v>
      </c>
      <c r="I89" s="142" t="n">
        <v>8649657.804621384</v>
      </c>
      <c r="J89" s="143" t="n">
        <v>0.6875</v>
      </c>
    </row>
    <row r="90"/>
    <row r="91" ht="15" customHeight="1">
      <c r="A91" s="1" t="inlineStr">
        <is>
          <t>E.  Sequence-of-Returns Risk — Quintiles by First-5-Year Avg Return</t>
        </is>
      </c>
    </row>
    <row r="92" ht="30"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-0.03472069946840308</v>
      </c>
      <c r="C93" s="144" t="n">
        <v>0</v>
      </c>
      <c r="D93" s="145" t="n">
        <v>0</v>
      </c>
      <c r="E93" s="144" t="n">
        <v>0</v>
      </c>
      <c r="F93" s="144" t="n">
        <v>0</v>
      </c>
      <c r="G93" s="146" t="n">
        <v>0</v>
      </c>
      <c r="H93" s="76" t="inlineStr">
        <is>
          <t>Retire into a bear market: portfolio may not recover</t>
        </is>
      </c>
      <c r="I93" s="3" t="n"/>
      <c r="J93" s="4" t="n"/>
    </row>
    <row r="94" ht="30" customHeight="1">
      <c r="A94" s="147" t="inlineStr">
        <is>
          <t>Q2</t>
        </is>
      </c>
      <c r="B94" s="148" t="n">
        <v>0.04447826989695589</v>
      </c>
      <c r="C94" s="149" t="n">
        <v>0</v>
      </c>
      <c r="D94" s="150" t="n">
        <v>0</v>
      </c>
      <c r="E94" s="149" t="n">
        <v>1931473.170048203</v>
      </c>
      <c r="F94" s="149" t="n">
        <v>804780.4875200846</v>
      </c>
      <c r="G94" s="151" t="n">
        <v>0.3333333333333333</v>
      </c>
      <c r="H94" s="74" t="inlineStr">
        <is>
          <t>Below-avg early returns: monitor spending levels</t>
        </is>
      </c>
      <c r="I94" s="3" t="n"/>
      <c r="J94" s="4" t="n"/>
    </row>
    <row r="95" ht="30" customHeight="1">
      <c r="A95" s="118" t="inlineStr">
        <is>
          <t>Q3 — Middle 20%</t>
        </is>
      </c>
      <c r="B95" s="152" t="n">
        <v>0.09500277248619693</v>
      </c>
      <c r="C95" s="153" t="n">
        <v>6147220.217534091</v>
      </c>
      <c r="D95" s="154" t="n">
        <v>7335286.180722713</v>
      </c>
      <c r="E95" s="153" t="n">
        <v>9278019.824858161</v>
      </c>
      <c r="F95" s="153" t="n">
        <v>7649731.047783892</v>
      </c>
      <c r="G95" s="155" t="n">
        <v>1</v>
      </c>
      <c r="H95" s="112" t="inlineStr">
        <is>
          <t>Middle outcome: plan as modeled</t>
        </is>
      </c>
      <c r="I95" s="3" t="n"/>
      <c r="J95" s="4" t="n"/>
    </row>
    <row r="96" ht="30" customHeight="1">
      <c r="A96" s="92" t="inlineStr">
        <is>
          <t>Q4</t>
        </is>
      </c>
      <c r="B96" s="82" t="n">
        <v>0.1232819867766737</v>
      </c>
      <c r="C96" s="81" t="n">
        <v>9447198.750589408</v>
      </c>
      <c r="D96" s="93" t="n">
        <v>19200716.65692182</v>
      </c>
      <c r="E96" s="81" t="n">
        <v>19563218.37271952</v>
      </c>
      <c r="F96" s="81" t="n">
        <v>15287793.24419902</v>
      </c>
      <c r="G96" s="156" t="n">
        <v>1</v>
      </c>
      <c r="H96" s="75" t="inlineStr">
        <is>
          <t>Above-avg early returns: strong buffer builds fast</t>
        </is>
      </c>
      <c r="I96" s="3" t="n"/>
      <c r="J96" s="4" t="n"/>
    </row>
    <row r="97" ht="30" customHeight="1">
      <c r="A97" s="119" t="inlineStr">
        <is>
          <t>Q5 — Best 20%</t>
        </is>
      </c>
      <c r="B97" s="157" t="n">
        <v>0.1603843853249111</v>
      </c>
      <c r="C97" s="158" t="n">
        <v>7333380.15700621</v>
      </c>
      <c r="D97" s="159" t="n">
        <v>7360560.620480603</v>
      </c>
      <c r="E97" s="158" t="n">
        <v>19034864.97659262</v>
      </c>
      <c r="F97" s="158" t="n">
        <v>12213528.90907961</v>
      </c>
      <c r="G97" s="160" t="n">
        <v>1</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3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30" customHeight="1">
      <c r="A103" s="130" t="inlineStr">
        <is>
          <t>μ=4%</t>
        </is>
      </c>
      <c r="B103" s="162" t="n">
        <v>0.3333333333333333</v>
      </c>
      <c r="C103" s="157" t="n">
        <v>1</v>
      </c>
      <c r="D103" s="162" t="n">
        <v>0</v>
      </c>
      <c r="E103" s="162" t="n">
        <v>0.3333333333333333</v>
      </c>
      <c r="F103" s="162" t="n">
        <v>0.6666666666666666</v>
      </c>
      <c r="G103" s="156" t="n">
        <v>1</v>
      </c>
    </row>
    <row r="104" ht="30" customHeight="1">
      <c r="A104" s="130" t="inlineStr">
        <is>
          <t>μ=5%</t>
        </is>
      </c>
      <c r="B104" s="162" t="n">
        <v>0.3333333333333333</v>
      </c>
      <c r="C104" s="157" t="n">
        <v>1</v>
      </c>
      <c r="D104" s="162" t="n">
        <v>0.6666666666666666</v>
      </c>
      <c r="E104" s="162" t="n">
        <v>0.6666666666666666</v>
      </c>
      <c r="F104" s="162" t="n">
        <v>0.6666666666666666</v>
      </c>
      <c r="G104" s="156" t="n">
        <v>1</v>
      </c>
    </row>
    <row r="105" ht="30" customHeight="1">
      <c r="A105" s="163" t="inlineStr">
        <is>
          <t>μ=6%</t>
        </is>
      </c>
      <c r="B105" s="162" t="n">
        <v>0.6666666666666666</v>
      </c>
      <c r="C105" s="162" t="n">
        <v>0.6666666666666666</v>
      </c>
      <c r="D105" s="164" t="n">
        <v>0.6666666666666666</v>
      </c>
      <c r="E105" s="162" t="n">
        <v>0</v>
      </c>
      <c r="F105" s="162" t="n">
        <v>0.3333333333333333</v>
      </c>
      <c r="G105" s="156" t="n">
        <v>0.6666666666666666</v>
      </c>
    </row>
    <row r="106" ht="30" customHeight="1">
      <c r="A106" s="130" t="inlineStr">
        <is>
          <t>μ=7%</t>
        </is>
      </c>
      <c r="B106" s="157" t="n">
        <v>1</v>
      </c>
      <c r="C106" s="162" t="n">
        <v>0.6666666666666666</v>
      </c>
      <c r="D106" s="162" t="n">
        <v>0.6666666666666666</v>
      </c>
      <c r="E106" s="162" t="n">
        <v>0.3333333333333333</v>
      </c>
      <c r="F106" s="162" t="n">
        <v>0.6666666666666666</v>
      </c>
      <c r="G106" s="156" t="n">
        <v>1</v>
      </c>
    </row>
    <row r="107" ht="30" customHeight="1">
      <c r="A107" s="130" t="inlineStr">
        <is>
          <t>μ=8%</t>
        </is>
      </c>
      <c r="B107" s="157" t="n">
        <v>1</v>
      </c>
      <c r="C107" s="157" t="n">
        <v>1</v>
      </c>
      <c r="D107" s="162" t="n">
        <v>0.6666666666666666</v>
      </c>
      <c r="E107" s="162" t="n">
        <v>0.6666666666666666</v>
      </c>
      <c r="F107" s="162" t="n">
        <v>0.6666666666666666</v>
      </c>
      <c r="G107" s="156" t="n">
        <v>1</v>
      </c>
    </row>
    <row r="108"/>
    <row r="109" ht="15" customHeight="1">
      <c r="A109" s="165" t="inlineStr"/>
      <c r="B109" s="112" t="inlineStr">
        <is>
          <t>Base case (μ=6%, σ=12%)</t>
        </is>
      </c>
      <c r="C109" s="3" t="n"/>
      <c r="D109" s="3" t="n"/>
      <c r="E109" s="3" t="n"/>
      <c r="F109" s="4" t="n"/>
    </row>
    <row r="110" ht="15" customHeight="1">
      <c r="A110" s="166" t="inlineStr"/>
      <c r="B110" s="112" t="inlineStr">
        <is>
          <t>Success ≥ 90%  — plan highly resilient</t>
        </is>
      </c>
      <c r="C110" s="3" t="n"/>
      <c r="D110" s="3" t="n"/>
      <c r="E110" s="3" t="n"/>
      <c r="F110" s="4" t="n"/>
    </row>
    <row r="111" ht="15" customHeight="1">
      <c r="A111" s="167" t="inlineStr"/>
      <c r="B111" s="112" t="inlineStr">
        <is>
          <t>Success 70–89%  — monitor; consider adjustments</t>
        </is>
      </c>
      <c r="C111" s="3" t="n"/>
      <c r="D111" s="3" t="n"/>
      <c r="E111" s="3" t="n"/>
      <c r="F111" s="4" t="n"/>
    </row>
    <row r="112" ht="15" customHeight="1">
      <c r="A112" s="168"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69% liquid-funding success rate — marginal by institutional planning standards. Median terminal liquid assets of $7,167,702 and median total net worth of $10,588,564 are shown separately so illiquid wealth does not mask spending shortfalls. The sampled arithmetic/geometric returns were 7.1%/6.3%;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Patricia pension + joint annuities provide deterministic income starting in the configured income year. This income floor reduces spending pressure, but it does not by itself guarantee liquid funding success. In Q1 (worst first-5-year return paths), funded-plan success is 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33%–100% across the tested volatility levels. At μ=5%, success ranges from 33%–100%.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45" customHeight="1">
      <c r="A4" s="5" t="inlineStr">
        <is>
          <t>Scenario</t>
        </is>
      </c>
      <c r="B4" s="5" t="inlineStr">
        <is>
          <t>Matthew Death</t>
        </is>
      </c>
      <c r="C4" s="5" t="inlineStr">
        <is>
          <t>Patricia Death</t>
        </is>
      </c>
      <c r="D4" s="5" t="inlineStr">
        <is>
          <t>Plan End</t>
        </is>
      </c>
      <c r="E4" s="5" t="inlineStr">
        <is>
          <t>Terminal NW</t>
        </is>
      </c>
      <c r="F4" s="5" t="inlineStr">
        <is>
          <t>Δ vs Base</t>
        </is>
      </c>
      <c r="G4" s="5" t="inlineStr">
        <is>
          <t>Lifetime Tax</t>
        </is>
      </c>
      <c r="H4" s="5" t="inlineStr">
        <is>
          <t>Δ Tax</t>
        </is>
      </c>
      <c r="I4" s="5" t="inlineStr">
        <is>
          <t>Description</t>
        </is>
      </c>
    </row>
    <row r="5" ht="45" customHeight="1">
      <c r="A5" s="11" t="inlineStr">
        <is>
          <t>BASE PLAN</t>
        </is>
      </c>
      <c r="B5" s="138" t="n">
        <v>2054</v>
      </c>
      <c r="C5" s="138" t="n">
        <v>2056</v>
      </c>
      <c r="D5" s="138" t="n">
        <v>2056</v>
      </c>
      <c r="E5" s="77" t="n">
        <v>7705446.938734698</v>
      </c>
      <c r="F5" s="97" t="inlineStr">
        <is>
          <t>Baseline</t>
        </is>
      </c>
      <c r="G5" s="139" t="n">
        <v>943662.8853451287</v>
      </c>
      <c r="H5" s="97" t="inlineStr">
        <is>
          <t>Baseline</t>
        </is>
      </c>
      <c r="I5" s="97" t="inlineStr">
        <is>
          <t>Matthew dies 2054 (age 92), Patricia dies 2056 (age 95)</t>
        </is>
      </c>
    </row>
    <row r="6" ht="90" customHeight="1">
      <c r="A6" s="2" t="inlineStr">
        <is>
          <t>Matthew dies at 65 (before SS &amp; annuities)</t>
        </is>
      </c>
      <c r="B6" s="135" t="n">
        <v>2027</v>
      </c>
      <c r="C6" s="169" t="n">
        <v>2056</v>
      </c>
      <c r="D6" s="169" t="n">
        <v>2056</v>
      </c>
      <c r="E6" s="136" t="n">
        <v>7494702.708046298</v>
      </c>
      <c r="F6" s="108" t="n">
        <v>-210744.2306883996</v>
      </c>
      <c r="G6" s="108" t="n">
        <v>842267.5367896333</v>
      </c>
      <c r="H6" s="108" t="n">
        <v>-101395.3485554954</v>
      </c>
      <c r="I6" s="12" t="inlineStr">
        <is>
          <t>Matthew dies 2027. No SS claimed yet. Joint annuity income continues to Patricia at 100%. Matthew single annuity stops. Patricia files Single.</t>
        </is>
      </c>
    </row>
    <row r="7" ht="90" customHeight="1">
      <c r="A7" s="2" t="inlineStr">
        <is>
          <t>Matthew dies at 72 (early retirement)</t>
        </is>
      </c>
      <c r="B7" s="135" t="n">
        <v>2034</v>
      </c>
      <c r="C7" s="169" t="n">
        <v>2056</v>
      </c>
      <c r="D7" s="169" t="n">
        <v>2056</v>
      </c>
      <c r="E7" s="170" t="n">
        <v>6595675.523839813</v>
      </c>
      <c r="F7" s="171" t="n">
        <v>-1109771.414894885</v>
      </c>
      <c r="G7" s="108" t="n">
        <v>953670.2683225272</v>
      </c>
      <c r="H7" s="108" t="n">
        <v>10007.38297739846</v>
      </c>
      <c r="I7" s="12" t="inlineStr">
        <is>
          <t>Matthew dies 2034. SS claimed but only a few years of benefits. Joint annuities continue. Patricia survives as Single filer.</t>
        </is>
      </c>
    </row>
    <row r="8" ht="90" customHeight="1">
      <c r="A8" s="2" t="inlineStr">
        <is>
          <t>Patricia dies at 65 (pension &amp; annuities lost early)</t>
        </is>
      </c>
      <c r="B8" s="135" t="n">
        <v>2054</v>
      </c>
      <c r="C8" s="169" t="n">
        <v>2026</v>
      </c>
      <c r="D8" s="169" t="n">
        <v>2054</v>
      </c>
      <c r="E8" s="170" t="n">
        <v>6207735.318280307</v>
      </c>
      <c r="F8" s="171" t="n">
        <v>-1497711.620454391</v>
      </c>
      <c r="G8" s="108" t="n">
        <v>849536.0413374688</v>
      </c>
      <c r="H8" s="108" t="n">
        <v>-94126.84400765994</v>
      </c>
      <c r="I8" s="12" t="inlineStr">
        <is>
          <t>Patricia dies 2026: pension/single-life income stops immediately. Joint annuities continue to Matthew. Matthew files Single.</t>
        </is>
      </c>
    </row>
    <row r="9" ht="90" customHeight="1">
      <c r="A9" s="2" t="inlineStr">
        <is>
          <t>Patricia dies at 72 (early retirement)</t>
        </is>
      </c>
      <c r="B9" s="135" t="n">
        <v>2054</v>
      </c>
      <c r="C9" s="169" t="n">
        <v>2033</v>
      </c>
      <c r="D9" s="169" t="n">
        <v>2054</v>
      </c>
      <c r="E9" s="170" t="n">
        <v>6489147.890734719</v>
      </c>
      <c r="F9" s="171" t="n">
        <v>-1216299.047999979</v>
      </c>
      <c r="G9" s="108" t="n">
        <v>972986.3499174225</v>
      </c>
      <c r="H9" s="108" t="n">
        <v>29323.4645722938</v>
      </c>
      <c r="I9" s="12" t="inlineStr">
        <is>
          <t>Patricia dies 2033. Pension stops. Patricia single annuity stops. Joint annuities continue. Matthew survives as Single filer.</t>
        </is>
      </c>
    </row>
    <row r="10" ht="75" customHeight="1">
      <c r="A10" s="2" t="inlineStr">
        <is>
          <t>Both die at 75 (shortened plan)</t>
        </is>
      </c>
      <c r="B10" s="135" t="n">
        <v>2037</v>
      </c>
      <c r="C10" s="169" t="n">
        <v>2036</v>
      </c>
      <c r="D10" s="169" t="n">
        <v>2037</v>
      </c>
      <c r="E10" s="170" t="n">
        <v>5507208.618381609</v>
      </c>
      <c r="F10" s="171" t="n">
        <v>-2198238.320353089</v>
      </c>
      <c r="G10" s="108" t="n">
        <v>606203.4653654961</v>
      </c>
      <c r="H10" s="108" t="n">
        <v>-337459.4199796326</v>
      </c>
      <c r="I10" s="12" t="inlineStr">
        <is>
          <t>Both die by 2037. Plan horizon is sharply shortened.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(Patricia)</t>
        </is>
      </c>
      <c r="B15" s="12" t="inlineStr">
        <is>
          <t>$4,512/yr — STOPS at Patricia's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2763947.626422</v>
      </c>
      <c r="E26" s="103" t="n">
        <v>0</v>
      </c>
      <c r="F26" s="75" t="inlineStr">
        <is>
          <t>Gap Covered</t>
        </is>
      </c>
    </row>
    <row r="27" ht="30" customHeight="1">
      <c r="A27" s="12" t="inlineStr">
        <is>
          <t>Mortgage Payoff</t>
        </is>
      </c>
      <c r="B27" s="103" t="n">
        <v>290769.34</v>
      </c>
      <c r="C27" s="103" t="n">
        <v>0</v>
      </c>
      <c r="D27" s="103" t="n">
        <v>2763947.626422</v>
      </c>
      <c r="E27" s="103" t="n">
        <v>0</v>
      </c>
      <c r="F27" s="75" t="inlineStr">
        <is>
          <t>Gap Covered</t>
        </is>
      </c>
    </row>
    <row r="28" ht="30" customHeight="1">
      <c r="A28" s="12" t="inlineStr">
        <is>
          <t>Estate Liquidity</t>
        </is>
      </c>
      <c r="B28" s="103" t="n">
        <v>500000</v>
      </c>
      <c r="C28" s="103" t="n">
        <v>1362852</v>
      </c>
      <c r="D28" s="103" t="n">
        <v>2763947.626422</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insured=Matthew.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Matthew or Patricia</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Matthew</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6" t="inlineStr">
        <is>
          <t>NO</t>
        </is>
      </c>
    </row>
    <row r="56" ht="30" customHeight="1">
      <c r="A56" s="12" t="inlineStr">
        <is>
          <t>Catastrophic (Both)</t>
        </is>
      </c>
      <c r="B56" s="103" t="n">
        <v>200000</v>
      </c>
      <c r="C56" s="12" t="n">
        <v>7</v>
      </c>
      <c r="D56" s="103" t="n">
        <v>1653378.76775925</v>
      </c>
      <c r="E56" s="12" t="inlineStr">
        <is>
          <t>Full portfolio drawdown</t>
        </is>
      </c>
      <c r="F56" s="76"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2"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2"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2026-07-03</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07/03/2026 11:32 AM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3" t="inlineStr">
        <is>
          <t>2026–2056</t>
        </is>
      </c>
      <c r="C4" s="12" t="inlineStr">
        <is>
          <t>text</t>
        </is>
      </c>
      <c r="D4" s="12" t="inlineStr">
        <is>
          <t>Sets the years included in every income, tax, spending, and terminal-net-worth calculation.</t>
        </is>
      </c>
    </row>
    <row r="5" ht="90" customHeight="1">
      <c r="A5" s="97" t="inlineStr">
        <is>
          <t>Social Security income</t>
        </is>
      </c>
      <c r="B5" s="173" t="inlineStr">
        <is>
          <t>Claim ages Matthew/Patricia: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3"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3"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3"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3"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3"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3"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4" t="n">
        <v>0.025</v>
      </c>
      <c r="C15" s="12" t="inlineStr">
        <is>
          <t>decimal</t>
        </is>
      </c>
      <c r="D15" s="12" t="inlineStr">
        <is>
          <t>2.50% annual</t>
        </is>
      </c>
    </row>
    <row r="16" ht="15" customHeight="1">
      <c r="A16" s="97" t="inlineStr">
        <is>
          <t>SS COLA</t>
        </is>
      </c>
      <c r="B16" s="174" t="n">
        <v>0.02</v>
      </c>
      <c r="C16" s="12" t="inlineStr">
        <is>
          <t>decimal</t>
        </is>
      </c>
      <c r="D16" s="12" t="inlineStr">
        <is>
          <t>2.00% annual</t>
        </is>
      </c>
    </row>
    <row r="17" ht="30" customHeight="1">
      <c r="A17" s="97" t="inlineStr">
        <is>
          <t>Medicare Inflation</t>
        </is>
      </c>
      <c r="B17" s="174" t="n">
        <v>0.055</v>
      </c>
      <c r="C17" s="12" t="inlineStr">
        <is>
          <t>decimal</t>
        </is>
      </c>
      <c r="D17" s="12" t="inlineStr">
        <is>
          <t>5.50% annual</t>
        </is>
      </c>
    </row>
    <row r="18" ht="90" customHeight="1">
      <c r="A18" s="97" t="inlineStr">
        <is>
          <t>Portfolio Nominal Return</t>
        </is>
      </c>
      <c r="B18" s="174"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4" t="n">
        <v>0.02</v>
      </c>
      <c r="C19" s="12" t="inlineStr">
        <is>
          <t>decimal</t>
        </is>
      </c>
      <c r="D19" s="12" t="inlineStr">
        <is>
          <t>2.00%/yr</t>
        </is>
      </c>
    </row>
    <row r="20" ht="30" customHeight="1">
      <c r="A20" s="97" t="inlineStr">
        <is>
          <t>SS Taxable Fraction</t>
        </is>
      </c>
      <c r="B20" s="174" t="n">
        <v>0.85</v>
      </c>
      <c r="C20" s="12" t="inlineStr">
        <is>
          <t>decimal</t>
        </is>
      </c>
      <c r="D20" s="12" t="inlineStr">
        <is>
          <t>85%</t>
        </is>
      </c>
    </row>
    <row r="21" ht="90" customHeight="1">
      <c r="A21" s="97" t="inlineStr">
        <is>
          <t>Roth Conversion Target Bracket</t>
        </is>
      </c>
      <c r="B21" s="174" t="n">
        <v>0.22</v>
      </c>
      <c r="C21" s="12" t="inlineStr">
        <is>
          <t>decimal</t>
        </is>
      </c>
      <c r="D21" s="12" t="inlineStr">
        <is>
          <t>Configured target bracket used when the selected strategy fills bracket headroom.</t>
        </is>
      </c>
    </row>
    <row r="22" ht="90" customHeight="1">
      <c r="A22" s="97" t="inlineStr">
        <is>
          <t>Roth Legacy Objective Mode</t>
        </is>
      </c>
      <c r="B22" s="173"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4" t="n">
        <v>0.1</v>
      </c>
      <c r="C23" s="12" t="inlineStr">
        <is>
          <t>decimal</t>
        </is>
      </c>
      <c r="D23" s="12" t="inlineStr">
        <is>
          <t>Additional ordinary-tax-rate stress used only in the Roth conversion objective.</t>
        </is>
      </c>
    </row>
    <row r="24" ht="75" customHeight="1">
      <c r="A24" s="97" t="inlineStr">
        <is>
          <t>Heir Ordinary Tax Assumption</t>
        </is>
      </c>
      <c r="B24" s="174"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3"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5" t="n">
        <v>30</v>
      </c>
      <c r="C29" s="12" t="inlineStr">
        <is>
          <t>years</t>
        </is>
      </c>
      <c r="D29" s="12" t="inlineStr">
        <is>
          <t>Supported horizons: 1, 3, 5, 10, 20, 25, 30 years. 30 is the long-term baseline.</t>
        </is>
      </c>
    </row>
    <row r="30" ht="90" customHeight="1">
      <c r="A30" s="97" t="inlineStr">
        <is>
          <t>Capital Market Preset</t>
        </is>
      </c>
      <c r="B30" s="173" t="inlineStr">
        <is>
          <t>BASELINE</t>
        </is>
      </c>
      <c r="C30" s="12" t="inlineStr">
        <is>
          <t>text</t>
        </is>
      </c>
      <c r="D30" s="12" t="inlineStr">
        <is>
          <t>CONSERVATIVE, BASELINE, or AGGRESSIVE. These are planning assumptions, not live forecasts.</t>
        </is>
      </c>
    </row>
    <row r="31" ht="90" customHeight="1">
      <c r="A31" s="97" t="inlineStr">
        <is>
          <t>Correlation Mode</t>
        </is>
      </c>
      <c r="B31" s="173" t="inlineStr">
        <is>
          <t>PRESET</t>
        </is>
      </c>
      <c r="C31" s="12" t="inlineStr">
        <is>
          <t>text</t>
        </is>
      </c>
      <c r="D31" s="12" t="inlineStr">
        <is>
          <t>PRESET, ADVANCED, or CUSTOM_FILE. Pairwise correlations affect diversification benefit.</t>
        </is>
      </c>
    </row>
    <row r="32" ht="75" customHeight="1">
      <c r="A32" s="97" t="inlineStr">
        <is>
          <t>Correlation Preset</t>
        </is>
      </c>
      <c r="B32" s="173" t="inlineStr">
        <is>
          <t>MODERATE</t>
        </is>
      </c>
      <c r="C32" s="12" t="inlineStr">
        <is>
          <t>text</t>
        </is>
      </c>
      <c r="D32" s="12" t="inlineStr">
        <is>
          <t>LOW, MODERATE, HIGH, or STRESS. Stress assumes weaker diversification.</t>
        </is>
      </c>
    </row>
    <row r="33" ht="90" customHeight="1">
      <c r="A33" s="97" t="inlineStr">
        <is>
          <t>Workbook Pricing Source</t>
        </is>
      </c>
      <c r="B33" s="173" t="inlineStr">
        <is>
          <t>CACHE — as of 07/03/2026 11:32 AM</t>
        </is>
      </c>
      <c r="C33" s="12" t="inlineStr">
        <is>
          <t>text</t>
        </is>
      </c>
      <c r="D33" s="12" t="inlineStr">
        <is>
          <t>Cached quotes were used as of 07/03/2026 11:32 AM; cache TTL is 24.0 hours. CACHE mode checks the cache before calling live providers; the cache is still valid until 07/04/2026 11:32 AM. Ticker-level source counts: cash: 1, fresh_cache_24h_from_yahoo: 7.</t>
        </is>
      </c>
    </row>
    <row r="34" ht="90" customHeight="1">
      <c r="A34" s="97" t="inlineStr">
        <is>
          <t>Asset Allocation Recommendation Source</t>
        </is>
      </c>
      <c r="B34" s="173"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3"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3"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4"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4"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4"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4"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4"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4"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4"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4"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4"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4"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4"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4"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4"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4"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4"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4"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4"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3"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4"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3"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4"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3"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4"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3"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4"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3"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4"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3"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4"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3"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4"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3"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4"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3"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4"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3"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4"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3"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4"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3"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4"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3"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4"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3"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4" t="n">
        <v>0.612712653784277</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4" t="n">
        <v>0.2168060159544365</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4" t="n">
        <v>0.1131161822370973</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4" t="n">
        <v>0.0573651480241892</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3"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3"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4" t="n">
        <v>0.2</v>
      </c>
      <c r="C90" s="12" t="inlineStr">
        <is>
          <t>decimal</t>
        </is>
      </c>
      <c r="D90" s="12" t="inlineStr">
        <is>
          <t>Addresses unintended consequence: excessive turnover and noisy small improvements.</t>
        </is>
      </c>
    </row>
    <row r="91" ht="60" customHeight="1">
      <c r="A91" s="97" t="inlineStr">
        <is>
          <t>Minimum Trade Amount</t>
        </is>
      </c>
      <c r="B91" s="176" t="n">
        <v>500</v>
      </c>
      <c r="C91" s="12" t="inlineStr">
        <is>
          <t>USD</t>
        </is>
      </c>
      <c r="D91" s="12" t="inlineStr">
        <is>
          <t>Addresses false precision and operational burden.</t>
        </is>
      </c>
    </row>
    <row r="92" ht="90" customHeight="1">
      <c r="A92" s="97" t="inlineStr">
        <is>
          <t>Taxable Gain Policy</t>
        </is>
      </c>
      <c r="B92" s="173"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6" t="n">
        <v>2500</v>
      </c>
      <c r="C93" s="12" t="inlineStr">
        <is>
          <t>USD</t>
        </is>
      </c>
      <c r="D93" s="12" t="inlineStr">
        <is>
          <t>Limits estimated tax cost from taxable gain sales in one workbook cycle.</t>
        </is>
      </c>
    </row>
    <row r="94" ht="75" customHeight="1">
      <c r="A94" s="97" t="inlineStr">
        <is>
          <t>Max Tax Cost</t>
        </is>
      </c>
      <c r="B94" s="173" t="n">
        <v>25</v>
      </c>
      <c r="C94" s="12" t="inlineStr">
        <is>
          <t>bps</t>
        </is>
      </c>
      <c r="D94" s="12" t="inlineStr">
        <is>
          <t>Basis-point tax-drag limit for taxable sales before deferral.</t>
        </is>
      </c>
    </row>
    <row r="95" ht="90" customHeight="1">
      <c r="A95" s="97" t="inlineStr">
        <is>
          <t>Asset Location Strength</t>
        </is>
      </c>
      <c r="B95" s="173"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4" t="n">
        <v>0.45</v>
      </c>
      <c r="C96" s="12" t="inlineStr">
        <is>
          <t>decimal</t>
        </is>
      </c>
      <c r="D96" s="12" t="inlineStr">
        <is>
          <t>Reduces account-level concentration risk.</t>
        </is>
      </c>
    </row>
    <row r="97" ht="75" customHeight="1">
      <c r="A97" s="97" t="inlineStr">
        <is>
          <t>Max Roth High-Growth Tilt</t>
        </is>
      </c>
      <c r="B97" s="174" t="n">
        <v>0.85</v>
      </c>
      <c r="C97" s="12" t="inlineStr">
        <is>
          <t>decimal</t>
        </is>
      </c>
      <c r="D97" s="12" t="inlineStr">
        <is>
          <t>Limits unintended high-volatility concentration in Roth accounts.</t>
        </is>
      </c>
    </row>
    <row r="98" ht="90" customHeight="1">
      <c r="A98" s="97" t="inlineStr">
        <is>
          <t>Annuity calibration dependency</t>
        </is>
      </c>
      <c r="B98" s="173"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4" t="n">
        <v>0.85</v>
      </c>
      <c r="C99" s="12" t="inlineStr">
        <is>
          <t>decimal</t>
        </is>
      </c>
      <c r="D99" s="12" t="inlineStr">
        <is>
          <t>Limits unintended bond-heavy pre-tax allocation and future RMD concentration risk.</t>
        </is>
      </c>
    </row>
    <row r="100" ht="90" customHeight="1">
      <c r="A100" s="97" t="inlineStr">
        <is>
          <t>Wash-Sale Policy</t>
        </is>
      </c>
      <c r="B100" s="173"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3"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6" t="n">
        <v>23200</v>
      </c>
      <c r="C105" s="12" t="inlineStr">
        <is>
          <t>USD</t>
        </is>
      </c>
      <c r="D105" s="12" t="inlineStr">
        <is>
          <t>inflates at bracket inflator</t>
        </is>
      </c>
    </row>
    <row r="106" ht="30" customHeight="1">
      <c r="A106" s="97" t="inlineStr">
        <is>
          <t>12% bracket top</t>
        </is>
      </c>
      <c r="B106" s="176" t="n">
        <v>94300</v>
      </c>
      <c r="C106" s="12" t="inlineStr">
        <is>
          <t>USD</t>
        </is>
      </c>
      <c r="D106" s="33" t="inlineStr"/>
    </row>
    <row r="107" ht="30" customHeight="1">
      <c r="A107" s="97" t="inlineStr">
        <is>
          <t>22% bracket top</t>
        </is>
      </c>
      <c r="B107" s="176" t="n">
        <v>201050</v>
      </c>
      <c r="C107" s="12" t="inlineStr">
        <is>
          <t>USD</t>
        </is>
      </c>
      <c r="D107" s="33" t="inlineStr"/>
    </row>
    <row r="108" ht="30" customHeight="1">
      <c r="A108" s="97" t="inlineStr">
        <is>
          <t>24% bracket top</t>
        </is>
      </c>
      <c r="B108" s="176" t="n">
        <v>383900</v>
      </c>
      <c r="C108" s="12" t="inlineStr">
        <is>
          <t>USD</t>
        </is>
      </c>
      <c r="D108" s="33" t="inlineStr"/>
    </row>
    <row r="109" ht="30" customHeight="1">
      <c r="A109" s="97" t="inlineStr">
        <is>
          <t>32% bracket top</t>
        </is>
      </c>
      <c r="B109" s="176" t="n">
        <v>487450</v>
      </c>
      <c r="C109" s="12" t="inlineStr">
        <is>
          <t>USD</t>
        </is>
      </c>
      <c r="D109" s="33" t="inlineStr"/>
    </row>
    <row r="110" ht="30" customHeight="1">
      <c r="A110" s="97" t="inlineStr">
        <is>
          <t>35% bracket top</t>
        </is>
      </c>
      <c r="B110" s="176" t="n">
        <v>731200</v>
      </c>
      <c r="C110" s="12" t="inlineStr">
        <is>
          <t>USD</t>
        </is>
      </c>
      <c r="D110" s="33" t="inlineStr"/>
    </row>
    <row r="111" ht="15" customHeight="1">
      <c r="A111" s="97" t="inlineStr">
        <is>
          <t>37%+</t>
        </is>
      </c>
      <c r="B111" s="173"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6" t="n">
        <v>40000</v>
      </c>
      <c r="C115" s="12" t="inlineStr">
        <is>
          <t>USD</t>
        </is>
      </c>
      <c r="D115" s="12" t="inlineStr">
        <is>
          <t>Phase-down: max(cap - 0.30×max(MAGI-500K,0), 10000)</t>
        </is>
      </c>
    </row>
    <row r="116" ht="45" customHeight="1">
      <c r="A116" s="97" t="inlineStr">
        <is>
          <t>Reference-Year SALT Cap</t>
        </is>
      </c>
      <c r="B116" s="176" t="n">
        <v>40400</v>
      </c>
      <c r="C116" s="12" t="inlineStr">
        <is>
          <t>USD</t>
        </is>
      </c>
      <c r="D116" s="33" t="inlineStr"/>
    </row>
    <row r="117" ht="30" customHeight="1">
      <c r="A117" s="97" t="inlineStr">
        <is>
          <t>2027 SALT Cap</t>
        </is>
      </c>
      <c r="B117" s="176" t="n">
        <v>40804</v>
      </c>
      <c r="C117" s="12" t="inlineStr">
        <is>
          <t>USD</t>
        </is>
      </c>
      <c r="D117" s="33" t="inlineStr"/>
    </row>
    <row r="118" ht="45" customHeight="1">
      <c r="A118" s="97" t="inlineStr">
        <is>
          <t>Reference-Year + 2 SALT Cap</t>
        </is>
      </c>
      <c r="B118" s="176" t="n">
        <v>41212</v>
      </c>
      <c r="C118" s="12" t="inlineStr">
        <is>
          <t>USD</t>
        </is>
      </c>
      <c r="D118" s="33" t="inlineStr"/>
    </row>
    <row r="119" ht="45" customHeight="1">
      <c r="A119" s="97" t="inlineStr">
        <is>
          <t>Reference-Year + 3 SALT Cap</t>
        </is>
      </c>
      <c r="B119" s="176" t="n">
        <v>41624</v>
      </c>
      <c r="C119" s="12" t="inlineStr">
        <is>
          <t>USD</t>
        </is>
      </c>
      <c r="D119" s="33" t="inlineStr"/>
    </row>
    <row r="120" ht="45" customHeight="1">
      <c r="A120" s="97" t="inlineStr">
        <is>
          <t>Post-Schedule SALT Cap</t>
        </is>
      </c>
      <c r="B120" s="176"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6" t="n">
        <v>500000</v>
      </c>
      <c r="C124" s="12" t="inlineStr">
        <is>
          <t>USD</t>
        </is>
      </c>
      <c r="D124" s="12" t="inlineStr">
        <is>
          <t>Home sale gain exclusion</t>
        </is>
      </c>
    </row>
    <row r="125" ht="45" customHeight="1">
      <c r="A125" s="97" t="inlineStr">
        <is>
          <t>QCD Annual Limit (per person)</t>
        </is>
      </c>
      <c r="B125" s="176" t="n">
        <v>108000</v>
      </c>
      <c r="C125" s="12" t="inlineStr">
        <is>
          <t>USD</t>
        </is>
      </c>
      <c r="D125" s="12" t="inlineStr">
        <is>
          <t>2025, indexed</t>
        </is>
      </c>
    </row>
    <row r="126" ht="45" customHeight="1">
      <c r="A126" s="97" t="inlineStr">
        <is>
          <t>Federal Estate Exemption (MFJ)</t>
        </is>
      </c>
      <c r="B126" s="176" t="n">
        <v>30000000</v>
      </c>
      <c r="C126" s="12" t="inlineStr">
        <is>
          <t>USD</t>
        </is>
      </c>
      <c r="D126" s="12" t="inlineStr">
        <is>
          <t>Indexed from the tax reference year</t>
        </is>
      </c>
    </row>
    <row r="127" ht="45" customHeight="1">
      <c r="A127" s="97" t="inlineStr">
        <is>
          <t>IL State Estate Exemption</t>
        </is>
      </c>
      <c r="B127" s="176" t="n">
        <v>4000000</v>
      </c>
      <c r="C127" s="12" t="inlineStr">
        <is>
          <t>USD</t>
        </is>
      </c>
      <c r="D127" s="12" t="inlineStr">
        <is>
          <t>With CST doubling, cliff structure</t>
        </is>
      </c>
    </row>
    <row r="128" ht="45" customHeight="1">
      <c r="A128" s="97" t="inlineStr">
        <is>
          <t>Annual Gift-Tax Exclusion</t>
        </is>
      </c>
      <c r="B128" s="176" t="n">
        <v>19000</v>
      </c>
      <c r="C128" s="12" t="inlineStr">
        <is>
          <t>USD</t>
        </is>
      </c>
      <c r="D128" s="12" t="inlineStr">
        <is>
          <t>tax reference year, per donee</t>
        </is>
      </c>
    </row>
    <row r="129" ht="30" customHeight="1">
      <c r="A129" s="97" t="inlineStr">
        <is>
          <t>RMD Start Age</t>
        </is>
      </c>
      <c r="B129" s="175" t="n">
        <v>75</v>
      </c>
      <c r="C129" s="12" t="inlineStr">
        <is>
          <t>years</t>
        </is>
      </c>
      <c r="D129" s="12" t="inlineStr">
        <is>
          <t>SECURE 2.0 §107 — born 1960+</t>
        </is>
      </c>
    </row>
    <row r="130" ht="45" customHeight="1">
      <c r="A130" s="97" t="inlineStr">
        <is>
          <t>NIIT Rate</t>
        </is>
      </c>
      <c r="B130" s="174" t="n">
        <v>0.038</v>
      </c>
      <c r="C130" s="12" t="inlineStr">
        <is>
          <t>decimal</t>
        </is>
      </c>
      <c r="D130" s="12" t="inlineStr">
        <is>
          <t>3.8% on NII above MAGI threshold</t>
        </is>
      </c>
    </row>
    <row r="131" ht="45" customHeight="1">
      <c r="A131" s="97" t="inlineStr">
        <is>
          <t>NIIT MAGI Threshold (MFJ)</t>
        </is>
      </c>
      <c r="B131" s="176" t="n">
        <v>250000</v>
      </c>
      <c r="C131" s="12" t="inlineStr">
        <is>
          <t>USD</t>
        </is>
      </c>
      <c r="D131" s="12" t="inlineStr">
        <is>
          <t>NOT indexed</t>
        </is>
      </c>
    </row>
    <row r="132" ht="60" customHeight="1">
      <c r="A132" s="97" t="inlineStr">
        <is>
          <t>Standard Deduction MFJ — Reference Year</t>
        </is>
      </c>
      <c r="B132" s="176" t="n">
        <v>31500</v>
      </c>
      <c r="C132" s="12" t="inlineStr">
        <is>
          <t>USD</t>
        </is>
      </c>
      <c r="D132" s="12" t="inlineStr">
        <is>
          <t>+ $1,650/spouse age 65+</t>
        </is>
      </c>
    </row>
    <row r="133" ht="60" customHeight="1">
      <c r="A133" s="97" t="inlineStr">
        <is>
          <t>IRMAA Tier 2 Threshold (MFJ)</t>
        </is>
      </c>
      <c r="B133" s="176"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Roll Forward by Account and Year</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7"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7" t="inlineStr">
        <is>
          <t>Calculated Ending</t>
        </is>
      </c>
      <c r="O4" s="177" t="inlineStr">
        <is>
          <t>Reported Ending</t>
        </is>
      </c>
      <c r="P4" s="177" t="inlineStr">
        <is>
          <t>Foot Delta</t>
        </is>
      </c>
      <c r="Q4" s="23" t="inlineStr">
        <is>
          <t>Notes</t>
        </is>
      </c>
    </row>
    <row r="5" ht="45" customHeight="1">
      <c r="A5" s="26" t="n">
        <v>2026</v>
      </c>
      <c r="B5" s="12" t="inlineStr">
        <is>
          <t>Business 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 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Matthew HSA</t>
        </is>
      </c>
      <c r="C7" s="12" t="inlineStr">
        <is>
          <t>Matthew</t>
        </is>
      </c>
      <c r="D7" s="41" t="inlineStr">
        <is>
          <t>hsa</t>
        </is>
      </c>
      <c r="E7" s="12" t="inlineStr">
        <is>
          <t>hsa</t>
        </is>
      </c>
      <c r="F7" s="27" t="n">
        <v>72070.00887999999</v>
      </c>
      <c r="G7" s="27" t="n">
        <v>7575</v>
      </c>
      <c r="H7" s="27" t="n">
        <v>0</v>
      </c>
      <c r="I7" s="27" t="n">
        <v>0</v>
      </c>
      <c r="J7" s="27" t="n">
        <v>0</v>
      </c>
      <c r="K7" s="27" t="n">
        <v>0</v>
      </c>
      <c r="L7" s="27" t="n">
        <v>0</v>
      </c>
      <c r="M7" s="27" t="n">
        <v>4778.7005328</v>
      </c>
      <c r="N7" s="27" t="n">
        <v>84423.70941279999</v>
      </c>
      <c r="O7" s="27" t="n">
        <v>84423.70941279999</v>
      </c>
      <c r="P7" s="27" t="n">
        <v>0</v>
      </c>
      <c r="Q7" s="12" t="inlineStr">
        <is>
          <t>deposit</t>
        </is>
      </c>
    </row>
    <row r="8" ht="30" customHeight="1">
      <c r="A8" s="26" t="n">
        <v>2026</v>
      </c>
      <c r="B8" s="12" t="inlineStr">
        <is>
          <t>Matthew 401k</t>
        </is>
      </c>
      <c r="C8" s="12" t="inlineStr">
        <is>
          <t>Matthew</t>
        </is>
      </c>
      <c r="D8" s="41" t="inlineStr">
        <is>
          <t>pre_tax</t>
        </is>
      </c>
      <c r="E8" s="12" t="inlineStr">
        <is>
          <t>401k</t>
        </is>
      </c>
      <c r="F8" s="27" t="n">
        <v>14934.4</v>
      </c>
      <c r="G8" s="27" t="n">
        <v>24000</v>
      </c>
      <c r="H8" s="27" t="n">
        <v>0</v>
      </c>
      <c r="I8" s="27" t="n">
        <v>0</v>
      </c>
      <c r="J8" s="27" t="n">
        <v>0</v>
      </c>
      <c r="K8" s="27" t="n">
        <v>0</v>
      </c>
      <c r="L8" s="27" t="n">
        <v>0</v>
      </c>
      <c r="M8" s="27" t="n">
        <v>2336.064</v>
      </c>
      <c r="N8" s="27" t="n">
        <v>41270.464</v>
      </c>
      <c r="O8" s="27" t="n">
        <v>41270.464</v>
      </c>
      <c r="P8" s="27" t="n">
        <v>0</v>
      </c>
      <c r="Q8" s="12" t="inlineStr">
        <is>
          <t>deposit</t>
        </is>
      </c>
    </row>
    <row r="9" ht="30" customHeight="1">
      <c r="A9" s="26" t="n">
        <v>2026</v>
      </c>
      <c r="B9" s="12" t="inlineStr">
        <is>
          <t>Matthew IRA</t>
        </is>
      </c>
      <c r="C9" s="12" t="inlineStr">
        <is>
          <t>Matthew</t>
        </is>
      </c>
      <c r="D9" s="41" t="inlineStr">
        <is>
          <t>pre_tax</t>
        </is>
      </c>
      <c r="E9" s="12" t="inlineStr">
        <is>
          <t>traditional_ira</t>
        </is>
      </c>
      <c r="F9" s="27" t="n">
        <v>1331690.46142</v>
      </c>
      <c r="G9" s="27" t="n">
        <v>0</v>
      </c>
      <c r="H9" s="27" t="n">
        <v>0</v>
      </c>
      <c r="I9" s="27" t="n">
        <v>0</v>
      </c>
      <c r="J9" s="27" t="n">
        <v>0</v>
      </c>
      <c r="K9" s="27" t="n">
        <v>0</v>
      </c>
      <c r="L9" s="27" t="n">
        <v>0</v>
      </c>
      <c r="M9" s="27" t="n">
        <v>79901.42768520002</v>
      </c>
      <c r="N9" s="27" t="n">
        <v>1411591.8891052</v>
      </c>
      <c r="O9" s="27" t="n">
        <v>1411591.8891052</v>
      </c>
      <c r="P9" s="27" t="n">
        <v>0</v>
      </c>
      <c r="Q9" s="33" t="inlineStr"/>
    </row>
    <row r="10" ht="30" customHeight="1">
      <c r="A10" s="26" t="n">
        <v>2026</v>
      </c>
      <c r="B10" s="12" t="inlineStr">
        <is>
          <t>Matthew Roth</t>
        </is>
      </c>
      <c r="C10" s="12" t="inlineStr">
        <is>
          <t>Matthew</t>
        </is>
      </c>
      <c r="D10" s="41" t="inlineStr">
        <is>
          <t>roth</t>
        </is>
      </c>
      <c r="E10" s="12" t="inlineStr">
        <is>
          <t>roth_ira</t>
        </is>
      </c>
      <c r="F10" s="27" t="n">
        <v>138318.17527</v>
      </c>
      <c r="G10" s="27" t="n">
        <v>0</v>
      </c>
      <c r="H10" s="27" t="n">
        <v>0</v>
      </c>
      <c r="I10" s="27" t="n">
        <v>0</v>
      </c>
      <c r="J10" s="27" t="n">
        <v>0</v>
      </c>
      <c r="K10" s="27" t="n">
        <v>0</v>
      </c>
      <c r="L10" s="27" t="n">
        <v>0</v>
      </c>
      <c r="M10" s="27" t="n">
        <v>8299.090516199998</v>
      </c>
      <c r="N10" s="27" t="n">
        <v>146617.2657862</v>
      </c>
      <c r="O10" s="27" t="n">
        <v>146617.2657862</v>
      </c>
      <c r="P10" s="27" t="n">
        <v>0</v>
      </c>
      <c r="Q10" s="33" t="inlineStr"/>
    </row>
    <row r="11" ht="30" customHeight="1">
      <c r="A11" s="26" t="n">
        <v>2026</v>
      </c>
      <c r="B11" s="12" t="inlineStr">
        <is>
          <t>Matthew Trust</t>
        </is>
      </c>
      <c r="C11" s="12" t="inlineStr">
        <is>
          <t>Matthew</t>
        </is>
      </c>
      <c r="D11" s="41" t="inlineStr">
        <is>
          <t>taxable</t>
        </is>
      </c>
      <c r="E11" s="12" t="inlineStr">
        <is>
          <t>trust</t>
        </is>
      </c>
      <c r="F11" s="27" t="n">
        <v>207796.24624</v>
      </c>
      <c r="G11" s="27" t="n">
        <v>50295.67891651823</v>
      </c>
      <c r="H11" s="27" t="n">
        <v>0</v>
      </c>
      <c r="I11" s="27" t="n">
        <v>0</v>
      </c>
      <c r="J11" s="27" t="n">
        <v>0</v>
      </c>
      <c r="K11" s="27" t="n">
        <v>0</v>
      </c>
      <c r="L11" s="27" t="n">
        <v>0</v>
      </c>
      <c r="M11" s="27" t="n">
        <v>9978.954014083007</v>
      </c>
      <c r="N11" s="27" t="n">
        <v>268070.8791706013</v>
      </c>
      <c r="O11" s="27" t="n">
        <v>268070.8791706013</v>
      </c>
      <c r="P11" s="27" t="n">
        <v>0</v>
      </c>
      <c r="Q11" s="12" t="inlineStr">
        <is>
          <t>deposit</t>
        </is>
      </c>
    </row>
    <row r="12" ht="30" customHeight="1">
      <c r="A12" s="26" t="n">
        <v>2026</v>
      </c>
      <c r="B12" s="12" t="inlineStr">
        <is>
          <t>Patricia IRA</t>
        </is>
      </c>
      <c r="C12" s="12" t="inlineStr">
        <is>
          <t>Patricia</t>
        </is>
      </c>
      <c r="D12" s="41" t="inlineStr">
        <is>
          <t>pre_tax</t>
        </is>
      </c>
      <c r="E12" s="12" t="inlineStr">
        <is>
          <t>traditional_ira</t>
        </is>
      </c>
      <c r="F12" s="27" t="n">
        <v>460853.2724699999</v>
      </c>
      <c r="G12" s="27" t="n">
        <v>0</v>
      </c>
      <c r="H12" s="27" t="n">
        <v>0</v>
      </c>
      <c r="I12" s="27" t="n">
        <v>0</v>
      </c>
      <c r="J12" s="27" t="n">
        <v>0</v>
      </c>
      <c r="K12" s="27" t="n">
        <v>125000</v>
      </c>
      <c r="L12" s="27" t="n">
        <v>0</v>
      </c>
      <c r="M12" s="27" t="n">
        <v>20151.1963482</v>
      </c>
      <c r="N12" s="27" t="n">
        <v>356004.4688181999</v>
      </c>
      <c r="O12" s="27" t="n">
        <v>356004.4688181999</v>
      </c>
      <c r="P12" s="27" t="n">
        <v>0</v>
      </c>
      <c r="Q12" s="12" t="inlineStr">
        <is>
          <t>Roth conversion</t>
        </is>
      </c>
    </row>
    <row r="13" ht="30" customHeight="1">
      <c r="A13" s="26" t="n">
        <v>2026</v>
      </c>
      <c r="B13" s="12" t="inlineStr">
        <is>
          <t>Patricia Roth</t>
        </is>
      </c>
      <c r="C13" s="12" t="inlineStr">
        <is>
          <t>Patricia</t>
        </is>
      </c>
      <c r="D13" s="41" t="inlineStr">
        <is>
          <t>roth</t>
        </is>
      </c>
      <c r="E13" s="12" t="inlineStr">
        <is>
          <t>roth_ira</t>
        </is>
      </c>
      <c r="F13" s="27" t="n">
        <v>206022.888794</v>
      </c>
      <c r="G13" s="27" t="n">
        <v>0</v>
      </c>
      <c r="H13" s="27" t="n">
        <v>0</v>
      </c>
      <c r="I13" s="27" t="n">
        <v>0</v>
      </c>
      <c r="J13" s="27" t="n">
        <v>125000</v>
      </c>
      <c r="K13" s="27" t="n">
        <v>0</v>
      </c>
      <c r="L13" s="27" t="n">
        <v>0</v>
      </c>
      <c r="M13" s="27" t="n">
        <v>19861.37332764</v>
      </c>
      <c r="N13" s="27" t="n">
        <v>350884.26212164</v>
      </c>
      <c r="O13" s="27" t="n">
        <v>350884.26212164</v>
      </c>
      <c r="P13" s="27" t="n">
        <v>0</v>
      </c>
      <c r="Q13" s="12" t="inlineStr">
        <is>
          <t>Roth conversion</t>
        </is>
      </c>
    </row>
    <row r="14" ht="30" customHeight="1">
      <c r="A14" s="26" t="n">
        <v>2026</v>
      </c>
      <c r="B14" s="12" t="inlineStr">
        <is>
          <t>Patricia Trust</t>
        </is>
      </c>
      <c r="C14" s="12" t="inlineStr">
        <is>
          <t>Patricia</t>
        </is>
      </c>
      <c r="D14" s="41" t="inlineStr">
        <is>
          <t>taxable</t>
        </is>
      </c>
      <c r="E14" s="12" t="inlineStr">
        <is>
          <t>trust</t>
        </is>
      </c>
      <c r="F14" s="27" t="n">
        <v>332262.173348</v>
      </c>
      <c r="G14" s="27" t="n">
        <v>0</v>
      </c>
      <c r="H14" s="27" t="n">
        <v>0</v>
      </c>
      <c r="I14" s="27" t="n">
        <v>0</v>
      </c>
      <c r="J14" s="27" t="n">
        <v>0</v>
      </c>
      <c r="K14" s="27" t="n">
        <v>0</v>
      </c>
      <c r="L14" s="27" t="n">
        <v>0</v>
      </c>
      <c r="M14" s="27" t="n">
        <v>14013.19278044</v>
      </c>
      <c r="N14" s="27" t="n">
        <v>346275.36612844</v>
      </c>
      <c r="O14" s="27" t="n">
        <v>346275.36612844</v>
      </c>
      <c r="P14" s="27" t="n">
        <v>0</v>
      </c>
      <c r="Q14" s="33" t="inlineStr"/>
    </row>
    <row r="15" ht="45" customHeight="1">
      <c r="A15" s="26" t="n">
        <v>2027</v>
      </c>
      <c r="B15" s="12" t="inlineStr">
        <is>
          <t>Business 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 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Matthew HSA</t>
        </is>
      </c>
      <c r="C17" s="12" t="inlineStr">
        <is>
          <t>Matthew</t>
        </is>
      </c>
      <c r="D17" s="41" t="inlineStr">
        <is>
          <t>hsa</t>
        </is>
      </c>
      <c r="E17" s="12" t="inlineStr">
        <is>
          <t>hsa</t>
        </is>
      </c>
      <c r="F17" s="27" t="n">
        <v>84423.70941279999</v>
      </c>
      <c r="G17" s="27" t="n">
        <v>0</v>
      </c>
      <c r="H17" s="27" t="n">
        <v>0</v>
      </c>
      <c r="I17" s="27" t="n">
        <v>0</v>
      </c>
      <c r="J17" s="27" t="n">
        <v>0</v>
      </c>
      <c r="K17" s="27" t="n">
        <v>0</v>
      </c>
      <c r="L17" s="27" t="n">
        <v>0</v>
      </c>
      <c r="M17" s="27" t="n">
        <v>5065.422564767999</v>
      </c>
      <c r="N17" s="27" t="n">
        <v>89489.13197756799</v>
      </c>
      <c r="O17" s="27" t="n">
        <v>89489.13197756799</v>
      </c>
      <c r="P17" s="27" t="n">
        <v>0</v>
      </c>
      <c r="Q17" s="33" t="inlineStr"/>
    </row>
    <row r="18" ht="30" customHeight="1">
      <c r="A18" s="26" t="n">
        <v>2027</v>
      </c>
      <c r="B18" s="12" t="inlineStr">
        <is>
          <t>Matthew 401k</t>
        </is>
      </c>
      <c r="C18" s="12" t="inlineStr">
        <is>
          <t>Matthew</t>
        </is>
      </c>
      <c r="D18" s="41" t="inlineStr">
        <is>
          <t>pre_tax</t>
        </is>
      </c>
      <c r="E18" s="12" t="inlineStr">
        <is>
          <t>401k</t>
        </is>
      </c>
      <c r="F18" s="27" t="n">
        <v>41270.464</v>
      </c>
      <c r="G18" s="27" t="n">
        <v>0</v>
      </c>
      <c r="H18" s="27" t="n">
        <v>0</v>
      </c>
      <c r="I18" s="27" t="n">
        <v>0</v>
      </c>
      <c r="J18" s="27" t="n">
        <v>0</v>
      </c>
      <c r="K18" s="27" t="n">
        <v>0</v>
      </c>
      <c r="L18" s="27" t="n">
        <v>0.0001935602978801493</v>
      </c>
      <c r="M18" s="27" t="n">
        <v>2476.227828386382</v>
      </c>
      <c r="N18" s="27" t="n">
        <v>43746.69163482609</v>
      </c>
      <c r="O18" s="27" t="n">
        <v>43746.69163482609</v>
      </c>
      <c r="P18" s="27" t="n">
        <v>0</v>
      </c>
      <c r="Q18" s="12" t="inlineStr">
        <is>
          <t>withdrawal</t>
        </is>
      </c>
    </row>
    <row r="19" ht="30" customHeight="1">
      <c r="A19" s="26" t="n">
        <v>2027</v>
      </c>
      <c r="B19" s="12" t="inlineStr">
        <is>
          <t>Matthew IRA</t>
        </is>
      </c>
      <c r="C19" s="12" t="inlineStr">
        <is>
          <t>Matthew</t>
        </is>
      </c>
      <c r="D19" s="41" t="inlineStr">
        <is>
          <t>pre_tax</t>
        </is>
      </c>
      <c r="E19" s="12" t="inlineStr">
        <is>
          <t>traditional_ira</t>
        </is>
      </c>
      <c r="F19" s="27" t="n">
        <v>1411591.8891052</v>
      </c>
      <c r="G19" s="27" t="n">
        <v>0</v>
      </c>
      <c r="H19" s="27" t="n">
        <v>0</v>
      </c>
      <c r="I19" s="27" t="n">
        <v>0</v>
      </c>
      <c r="J19" s="27" t="n">
        <v>0</v>
      </c>
      <c r="K19" s="27" t="n">
        <v>0</v>
      </c>
      <c r="L19" s="27" t="n">
        <v>0.006620428269001415</v>
      </c>
      <c r="M19" s="27" t="n">
        <v>84695.51294908632</v>
      </c>
      <c r="N19" s="27" t="n">
        <v>1496287.395433858</v>
      </c>
      <c r="O19" s="27" t="n">
        <v>1496287.395433858</v>
      </c>
      <c r="P19" s="27" t="n">
        <v>0</v>
      </c>
      <c r="Q19" s="12" t="inlineStr">
        <is>
          <t>withdrawal</t>
        </is>
      </c>
    </row>
    <row r="20" ht="30" customHeight="1">
      <c r="A20" s="26" t="n">
        <v>2027</v>
      </c>
      <c r="B20" s="12" t="inlineStr">
        <is>
          <t>Matthew Roth</t>
        </is>
      </c>
      <c r="C20" s="12" t="inlineStr">
        <is>
          <t>Matthew</t>
        </is>
      </c>
      <c r="D20" s="41" t="inlineStr">
        <is>
          <t>roth</t>
        </is>
      </c>
      <c r="E20" s="12" t="inlineStr">
        <is>
          <t>roth_ira</t>
        </is>
      </c>
      <c r="F20" s="27" t="n">
        <v>146617.2657862</v>
      </c>
      <c r="G20" s="27" t="n">
        <v>0</v>
      </c>
      <c r="H20" s="27" t="n">
        <v>0</v>
      </c>
      <c r="I20" s="27" t="n">
        <v>0</v>
      </c>
      <c r="J20" s="27" t="n">
        <v>0</v>
      </c>
      <c r="K20" s="27" t="n">
        <v>0</v>
      </c>
      <c r="L20" s="27" t="n">
        <v>0</v>
      </c>
      <c r="M20" s="27" t="n">
        <v>8797.035947171998</v>
      </c>
      <c r="N20" s="27" t="n">
        <v>155414.301733372</v>
      </c>
      <c r="O20" s="27" t="n">
        <v>155414.301733372</v>
      </c>
      <c r="P20" s="27" t="n">
        <v>0</v>
      </c>
      <c r="Q20" s="33" t="inlineStr"/>
    </row>
    <row r="21" ht="30" customHeight="1">
      <c r="A21" s="26" t="n">
        <v>2027</v>
      </c>
      <c r="B21" s="12" t="inlineStr">
        <is>
          <t>Matthew Trust</t>
        </is>
      </c>
      <c r="C21" s="12" t="inlineStr">
        <is>
          <t>Matthew</t>
        </is>
      </c>
      <c r="D21" s="41" t="inlineStr">
        <is>
          <t>taxable</t>
        </is>
      </c>
      <c r="E21" s="12" t="inlineStr">
        <is>
          <t>trust</t>
        </is>
      </c>
      <c r="F21" s="27" t="n">
        <v>268070.8791706013</v>
      </c>
      <c r="G21" s="27" t="n">
        <v>0</v>
      </c>
      <c r="H21" s="27" t="n">
        <v>0</v>
      </c>
      <c r="I21" s="27" t="n">
        <v>0</v>
      </c>
      <c r="J21" s="27" t="n">
        <v>0</v>
      </c>
      <c r="K21" s="27" t="n">
        <v>0</v>
      </c>
      <c r="L21" s="27" t="n">
        <v>136546.6404775929</v>
      </c>
      <c r="M21" s="27" t="n">
        <v>5085.297918014543</v>
      </c>
      <c r="N21" s="27" t="n">
        <v>136609.5366110229</v>
      </c>
      <c r="O21" s="27" t="n">
        <v>136609.5366110229</v>
      </c>
      <c r="P21" s="27" t="n">
        <v>0</v>
      </c>
      <c r="Q21" s="12" t="inlineStr">
        <is>
          <t>withdrawal</t>
        </is>
      </c>
    </row>
    <row r="22" ht="60" customHeight="1">
      <c r="A22" s="26" t="n">
        <v>2027</v>
      </c>
      <c r="B22" s="12" t="inlineStr">
        <is>
          <t>Patricia IRA</t>
        </is>
      </c>
      <c r="C22" s="12" t="inlineStr">
        <is>
          <t>Patricia</t>
        </is>
      </c>
      <c r="D22" s="41" t="inlineStr">
        <is>
          <t>pre_tax</t>
        </is>
      </c>
      <c r="E22" s="12" t="inlineStr">
        <is>
          <t>traditional_ira</t>
        </is>
      </c>
      <c r="F22" s="27" t="n">
        <v>356004.4688181999</v>
      </c>
      <c r="G22" s="27" t="n">
        <v>0</v>
      </c>
      <c r="H22" s="27" t="n">
        <v>0</v>
      </c>
      <c r="I22" s="27" t="n">
        <v>0</v>
      </c>
      <c r="J22" s="27" t="n">
        <v>0</v>
      </c>
      <c r="K22" s="27" t="n">
        <v>224792.2096578476</v>
      </c>
      <c r="L22" s="27" t="n">
        <v>0.0006153912873042844</v>
      </c>
      <c r="M22" s="27" t="n">
        <v>7872.735512697655</v>
      </c>
      <c r="N22" s="27" t="n">
        <v>139084.9940576586</v>
      </c>
      <c r="O22" s="27" t="n">
        <v>139084.9940576586</v>
      </c>
      <c r="P22" s="27" t="n">
        <v>0</v>
      </c>
      <c r="Q22" s="12" t="inlineStr">
        <is>
          <t>Roth conversion; withdrawal</t>
        </is>
      </c>
    </row>
    <row r="23" ht="30" customHeight="1">
      <c r="A23" s="26" t="n">
        <v>2027</v>
      </c>
      <c r="B23" s="12" t="inlineStr">
        <is>
          <t>Patricia Roth</t>
        </is>
      </c>
      <c r="C23" s="12" t="inlineStr">
        <is>
          <t>Patricia</t>
        </is>
      </c>
      <c r="D23" s="41" t="inlineStr">
        <is>
          <t>roth</t>
        </is>
      </c>
      <c r="E23" s="12" t="inlineStr">
        <is>
          <t>roth_ira</t>
        </is>
      </c>
      <c r="F23" s="27" t="n">
        <v>350884.26212164</v>
      </c>
      <c r="G23" s="27" t="n">
        <v>0</v>
      </c>
      <c r="H23" s="27" t="n">
        <v>0</v>
      </c>
      <c r="I23" s="27" t="n">
        <v>0</v>
      </c>
      <c r="J23" s="27" t="n">
        <v>224792.2096578476</v>
      </c>
      <c r="K23" s="27" t="n">
        <v>0</v>
      </c>
      <c r="L23" s="27" t="n">
        <v>0</v>
      </c>
      <c r="M23" s="27" t="n">
        <v>34540.58830676926</v>
      </c>
      <c r="N23" s="27" t="n">
        <v>610217.0600862569</v>
      </c>
      <c r="O23" s="27" t="n">
        <v>610217.0600862569</v>
      </c>
      <c r="P23" s="27" t="n">
        <v>0</v>
      </c>
      <c r="Q23" s="12" t="inlineStr">
        <is>
          <t>Roth conversion</t>
        </is>
      </c>
    </row>
    <row r="24" ht="30" customHeight="1">
      <c r="A24" s="26" t="n">
        <v>2027</v>
      </c>
      <c r="B24" s="12" t="inlineStr">
        <is>
          <t>Patricia Trust</t>
        </is>
      </c>
      <c r="C24" s="12" t="inlineStr">
        <is>
          <t>Patricia</t>
        </is>
      </c>
      <c r="D24" s="41" t="inlineStr">
        <is>
          <t>taxable</t>
        </is>
      </c>
      <c r="E24" s="12" t="inlineStr">
        <is>
          <t>trust</t>
        </is>
      </c>
      <c r="F24" s="27" t="n">
        <v>346275.36612844</v>
      </c>
      <c r="G24" s="27" t="n">
        <v>0</v>
      </c>
      <c r="H24" s="27" t="n">
        <v>0</v>
      </c>
      <c r="I24" s="27" t="n">
        <v>0</v>
      </c>
      <c r="J24" s="27" t="n">
        <v>0</v>
      </c>
      <c r="K24" s="27" t="n">
        <v>0</v>
      </c>
      <c r="L24" s="27" t="n">
        <v>176381.4781794931</v>
      </c>
      <c r="M24" s="27" t="n">
        <v>7165.292937374315</v>
      </c>
      <c r="N24" s="27" t="n">
        <v>177059.1808863212</v>
      </c>
      <c r="O24" s="27" t="n">
        <v>177059.1808863212</v>
      </c>
      <c r="P24" s="27" t="n">
        <v>0</v>
      </c>
      <c r="Q24" s="12" t="inlineStr">
        <is>
          <t>withdrawal</t>
        </is>
      </c>
    </row>
    <row r="25" ht="45" customHeight="1">
      <c r="A25" s="26" t="n">
        <v>2028</v>
      </c>
      <c r="B25" s="12" t="inlineStr">
        <is>
          <t>Business 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 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Matthew HSA</t>
        </is>
      </c>
      <c r="C27" s="12" t="inlineStr">
        <is>
          <t>Matthew</t>
        </is>
      </c>
      <c r="D27" s="41" t="inlineStr">
        <is>
          <t>hsa</t>
        </is>
      </c>
      <c r="E27" s="12" t="inlineStr">
        <is>
          <t>hsa</t>
        </is>
      </c>
      <c r="F27" s="27" t="n">
        <v>89489.13197756799</v>
      </c>
      <c r="G27" s="27" t="n">
        <v>0</v>
      </c>
      <c r="H27" s="27" t="n">
        <v>0</v>
      </c>
      <c r="I27" s="27" t="n">
        <v>0</v>
      </c>
      <c r="J27" s="27" t="n">
        <v>0</v>
      </c>
      <c r="K27" s="27" t="n">
        <v>0</v>
      </c>
      <c r="L27" s="27" t="n">
        <v>0</v>
      </c>
      <c r="M27" s="27" t="n">
        <v>5369.347918654079</v>
      </c>
      <c r="N27" s="27" t="n">
        <v>94858.47989622207</v>
      </c>
      <c r="O27" s="27" t="n">
        <v>94858.47989622207</v>
      </c>
      <c r="P27" s="27" t="n">
        <v>0</v>
      </c>
      <c r="Q27" s="33" t="inlineStr"/>
    </row>
    <row r="28" ht="30" customHeight="1">
      <c r="A28" s="26" t="n">
        <v>2028</v>
      </c>
      <c r="B28" s="12" t="inlineStr">
        <is>
          <t>Matthew 401k</t>
        </is>
      </c>
      <c r="C28" s="12" t="inlineStr">
        <is>
          <t>Matthew</t>
        </is>
      </c>
      <c r="D28" s="41" t="inlineStr">
        <is>
          <t>pre_tax</t>
        </is>
      </c>
      <c r="E28" s="12" t="inlineStr">
        <is>
          <t>401k</t>
        </is>
      </c>
      <c r="F28" s="27" t="n">
        <v>43746.69163482609</v>
      </c>
      <c r="G28" s="27" t="n">
        <v>0</v>
      </c>
      <c r="H28" s="27" t="n">
        <v>0</v>
      </c>
      <c r="I28" s="27" t="n">
        <v>0</v>
      </c>
      <c r="J28" s="27" t="n">
        <v>0</v>
      </c>
      <c r="K28" s="27" t="n">
        <v>43746.69163482609</v>
      </c>
      <c r="L28" s="27" t="n">
        <v>0</v>
      </c>
      <c r="M28" s="27" t="n">
        <v>0</v>
      </c>
      <c r="N28" s="27" t="n">
        <v>0</v>
      </c>
      <c r="O28" s="27" t="n">
        <v>0</v>
      </c>
      <c r="P28" s="27" t="n">
        <v>0</v>
      </c>
      <c r="Q28" s="12" t="inlineStr">
        <is>
          <t>Roth conversion</t>
        </is>
      </c>
    </row>
    <row r="29" ht="60" customHeight="1">
      <c r="A29" s="26" t="n">
        <v>2028</v>
      </c>
      <c r="B29" s="12" t="inlineStr">
        <is>
          <t>Matthew IRA</t>
        </is>
      </c>
      <c r="C29" s="12" t="inlineStr">
        <is>
          <t>Matthew</t>
        </is>
      </c>
      <c r="D29" s="41" t="inlineStr">
        <is>
          <t>pre_tax</t>
        </is>
      </c>
      <c r="E29" s="12" t="inlineStr">
        <is>
          <t>traditional_ira</t>
        </is>
      </c>
      <c r="F29" s="27" t="n">
        <v>1496287.395433858</v>
      </c>
      <c r="G29" s="27" t="n">
        <v>0</v>
      </c>
      <c r="H29" s="27" t="n">
        <v>0</v>
      </c>
      <c r="I29" s="27" t="n">
        <v>0</v>
      </c>
      <c r="J29" s="27" t="n">
        <v>0</v>
      </c>
      <c r="K29" s="27" t="n">
        <v>30351.35156202315</v>
      </c>
      <c r="L29" s="27" t="n">
        <v>0.003955451609272059</v>
      </c>
      <c r="M29" s="27" t="n">
        <v>87956.16239498301</v>
      </c>
      <c r="N29" s="27" t="n">
        <v>1553892.202311367</v>
      </c>
      <c r="O29" s="27" t="n">
        <v>1553892.202311367</v>
      </c>
      <c r="P29" s="27" t="n">
        <v>0</v>
      </c>
      <c r="Q29" s="12" t="inlineStr">
        <is>
          <t>Roth conversion; withdrawal</t>
        </is>
      </c>
    </row>
    <row r="30" ht="30" customHeight="1">
      <c r="A30" s="26" t="n">
        <v>2028</v>
      </c>
      <c r="B30" s="12" t="inlineStr">
        <is>
          <t>Matthew Roth</t>
        </is>
      </c>
      <c r="C30" s="12" t="inlineStr">
        <is>
          <t>Matthew</t>
        </is>
      </c>
      <c r="D30" s="41" t="inlineStr">
        <is>
          <t>roth</t>
        </is>
      </c>
      <c r="E30" s="12" t="inlineStr">
        <is>
          <t>roth_ira</t>
        </is>
      </c>
      <c r="F30" s="27" t="n">
        <v>155414.301733372</v>
      </c>
      <c r="G30" s="27" t="n">
        <v>0</v>
      </c>
      <c r="H30" s="27" t="n">
        <v>0</v>
      </c>
      <c r="I30" s="27" t="n">
        <v>0</v>
      </c>
      <c r="J30" s="27" t="n">
        <v>74098.04319684923</v>
      </c>
      <c r="K30" s="27" t="n">
        <v>0</v>
      </c>
      <c r="L30" s="27" t="n">
        <v>0</v>
      </c>
      <c r="M30" s="27" t="n">
        <v>13770.74069581327</v>
      </c>
      <c r="N30" s="27" t="n">
        <v>243283.0856260345</v>
      </c>
      <c r="O30" s="27" t="n">
        <v>243283.0856260345</v>
      </c>
      <c r="P30" s="27" t="n">
        <v>0</v>
      </c>
      <c r="Q30" s="12" t="inlineStr">
        <is>
          <t>Roth conversion</t>
        </is>
      </c>
    </row>
    <row r="31" ht="30" customHeight="1">
      <c r="A31" s="26" t="n">
        <v>2028</v>
      </c>
      <c r="B31" s="12" t="inlineStr">
        <is>
          <t>Matthew Trust</t>
        </is>
      </c>
      <c r="C31" s="12" t="inlineStr">
        <is>
          <t>Matthew</t>
        </is>
      </c>
      <c r="D31" s="41" t="inlineStr">
        <is>
          <t>taxable</t>
        </is>
      </c>
      <c r="E31" s="12" t="inlineStr">
        <is>
          <t>trust</t>
        </is>
      </c>
      <c r="F31" s="27" t="n">
        <v>136609.5366110229</v>
      </c>
      <c r="G31" s="27" t="n">
        <v>0</v>
      </c>
      <c r="H31" s="27" t="n">
        <v>0</v>
      </c>
      <c r="I31" s="27" t="n">
        <v>0</v>
      </c>
      <c r="J31" s="27" t="n">
        <v>0</v>
      </c>
      <c r="K31" s="27" t="n">
        <v>0</v>
      </c>
      <c r="L31" s="27" t="n">
        <v>113658.7358163926</v>
      </c>
      <c r="M31" s="27" t="n">
        <v>887.3775712940458</v>
      </c>
      <c r="N31" s="27" t="n">
        <v>23838.17836592437</v>
      </c>
      <c r="O31" s="27" t="n">
        <v>23838.17836592437</v>
      </c>
      <c r="P31" s="27" t="n">
        <v>3.637978807091713e-12</v>
      </c>
      <c r="Q31" s="12" t="inlineStr">
        <is>
          <t>withdrawal</t>
        </is>
      </c>
    </row>
    <row r="32" ht="30" customHeight="1">
      <c r="A32" s="26" t="n">
        <v>2028</v>
      </c>
      <c r="B32" s="12" t="inlineStr">
        <is>
          <t>Patricia IRA</t>
        </is>
      </c>
      <c r="C32" s="12" t="inlineStr">
        <is>
          <t>Patricia</t>
        </is>
      </c>
      <c r="D32" s="41" t="inlineStr">
        <is>
          <t>pre_tax</t>
        </is>
      </c>
      <c r="E32" s="12" t="inlineStr">
        <is>
          <t>traditional_ira</t>
        </is>
      </c>
      <c r="F32" s="27" t="n">
        <v>139084.9940576586</v>
      </c>
      <c r="G32" s="27" t="n">
        <v>0</v>
      </c>
      <c r="H32" s="27" t="n">
        <v>0</v>
      </c>
      <c r="I32" s="27" t="n">
        <v>0</v>
      </c>
      <c r="J32" s="27" t="n">
        <v>0</v>
      </c>
      <c r="K32" s="27" t="n">
        <v>139084.9940576586</v>
      </c>
      <c r="L32" s="27" t="n">
        <v>0</v>
      </c>
      <c r="M32" s="27" t="n">
        <v>0</v>
      </c>
      <c r="N32" s="27" t="n">
        <v>0</v>
      </c>
      <c r="O32" s="27" t="n">
        <v>0</v>
      </c>
      <c r="P32" s="27" t="n">
        <v>0</v>
      </c>
      <c r="Q32" s="12" t="inlineStr">
        <is>
          <t>Roth conversion</t>
        </is>
      </c>
    </row>
    <row r="33" ht="30" customHeight="1">
      <c r="A33" s="26" t="n">
        <v>2028</v>
      </c>
      <c r="B33" s="12" t="inlineStr">
        <is>
          <t>Patricia Roth</t>
        </is>
      </c>
      <c r="C33" s="12" t="inlineStr">
        <is>
          <t>Patricia</t>
        </is>
      </c>
      <c r="D33" s="41" t="inlineStr">
        <is>
          <t>roth</t>
        </is>
      </c>
      <c r="E33" s="12" t="inlineStr">
        <is>
          <t>roth_ira</t>
        </is>
      </c>
      <c r="F33" s="27" t="n">
        <v>610217.0600862569</v>
      </c>
      <c r="G33" s="27" t="n">
        <v>0</v>
      </c>
      <c r="H33" s="27" t="n">
        <v>0</v>
      </c>
      <c r="I33" s="27" t="n">
        <v>0</v>
      </c>
      <c r="J33" s="27" t="n">
        <v>139084.9940576586</v>
      </c>
      <c r="K33" s="27" t="n">
        <v>0</v>
      </c>
      <c r="L33" s="27" t="n">
        <v>0</v>
      </c>
      <c r="M33" s="27" t="n">
        <v>44958.12324863493</v>
      </c>
      <c r="N33" s="27" t="n">
        <v>794260.1773925505</v>
      </c>
      <c r="O33" s="27" t="n">
        <v>794260.1773925505</v>
      </c>
      <c r="P33" s="27" t="n">
        <v>0</v>
      </c>
      <c r="Q33" s="12" t="inlineStr">
        <is>
          <t>Roth conversion</t>
        </is>
      </c>
    </row>
    <row r="34" ht="30" customHeight="1">
      <c r="A34" s="26" t="n">
        <v>2028</v>
      </c>
      <c r="B34" s="12" t="inlineStr">
        <is>
          <t>Patricia Trust</t>
        </is>
      </c>
      <c r="C34" s="12" t="inlineStr">
        <is>
          <t>Patricia</t>
        </is>
      </c>
      <c r="D34" s="41" t="inlineStr">
        <is>
          <t>taxable</t>
        </is>
      </c>
      <c r="E34" s="12" t="inlineStr">
        <is>
          <t>trust</t>
        </is>
      </c>
      <c r="F34" s="27" t="n">
        <v>177059.1808863212</v>
      </c>
      <c r="G34" s="27" t="n">
        <v>0</v>
      </c>
      <c r="H34" s="27" t="n">
        <v>0</v>
      </c>
      <c r="I34" s="27" t="n">
        <v>0</v>
      </c>
      <c r="J34" s="27" t="n">
        <v>0</v>
      </c>
      <c r="K34" s="27" t="n">
        <v>0</v>
      </c>
      <c r="L34" s="27" t="n">
        <v>147312.7218162413</v>
      </c>
      <c r="M34" s="27" t="n">
        <v>1254.560100189048</v>
      </c>
      <c r="N34" s="27" t="n">
        <v>31001.01917026895</v>
      </c>
      <c r="O34" s="27" t="n">
        <v>31001.01917026895</v>
      </c>
      <c r="P34" s="27" t="n">
        <v>3.637978807091713e-12</v>
      </c>
      <c r="Q34" s="12" t="inlineStr">
        <is>
          <t>withdrawal</t>
        </is>
      </c>
    </row>
    <row r="35" ht="45" customHeight="1">
      <c r="A35" s="26" t="n">
        <v>2029</v>
      </c>
      <c r="B35" s="12" t="inlineStr">
        <is>
          <t>Business 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 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Matthew HSA</t>
        </is>
      </c>
      <c r="C37" s="12" t="inlineStr">
        <is>
          <t>Matthew</t>
        </is>
      </c>
      <c r="D37" s="41" t="inlineStr">
        <is>
          <t>hsa</t>
        </is>
      </c>
      <c r="E37" s="12" t="inlineStr">
        <is>
          <t>hsa</t>
        </is>
      </c>
      <c r="F37" s="27" t="n">
        <v>94858.47989622207</v>
      </c>
      <c r="G37" s="27" t="n">
        <v>0</v>
      </c>
      <c r="H37" s="27" t="n">
        <v>0</v>
      </c>
      <c r="I37" s="27" t="n">
        <v>0</v>
      </c>
      <c r="J37" s="27" t="n">
        <v>0</v>
      </c>
      <c r="K37" s="27" t="n">
        <v>0</v>
      </c>
      <c r="L37" s="27" t="n">
        <v>0</v>
      </c>
      <c r="M37" s="27" t="n">
        <v>5691.508793773324</v>
      </c>
      <c r="N37" s="27" t="n">
        <v>100549.9886899954</v>
      </c>
      <c r="O37" s="27" t="n">
        <v>100549.9886899954</v>
      </c>
      <c r="P37" s="27" t="n">
        <v>0</v>
      </c>
      <c r="Q37" s="33" t="inlineStr"/>
    </row>
    <row r="38" ht="30" customHeight="1">
      <c r="A38" s="26" t="n">
        <v>2029</v>
      </c>
      <c r="B38" s="12" t="inlineStr">
        <is>
          <t>Matthew 401k</t>
        </is>
      </c>
      <c r="C38" s="12" t="inlineStr">
        <is>
          <t>Matthew</t>
        </is>
      </c>
      <c r="D38" s="41" t="inlineStr">
        <is>
          <t>pre_tax</t>
        </is>
      </c>
      <c r="E38" s="12" t="inlineStr">
        <is>
          <t>401k</t>
        </is>
      </c>
      <c r="F38" s="27" t="n">
        <v>0</v>
      </c>
      <c r="G38" s="27" t="n">
        <v>0</v>
      </c>
      <c r="H38" s="27" t="n">
        <v>0</v>
      </c>
      <c r="I38" s="27" t="n">
        <v>0</v>
      </c>
      <c r="J38" s="27" t="n">
        <v>0</v>
      </c>
      <c r="K38" s="27" t="n">
        <v>0</v>
      </c>
      <c r="L38" s="27" t="n">
        <v>0</v>
      </c>
      <c r="M38" s="27" t="n">
        <v>0</v>
      </c>
      <c r="N38" s="27" t="n">
        <v>0</v>
      </c>
      <c r="O38" s="27" t="n">
        <v>0</v>
      </c>
      <c r="P38" s="27" t="n">
        <v>0</v>
      </c>
      <c r="Q38" s="33" t="inlineStr"/>
    </row>
    <row r="39" ht="60" customHeight="1">
      <c r="A39" s="26" t="n">
        <v>2029</v>
      </c>
      <c r="B39" s="12" t="inlineStr">
        <is>
          <t>Matthew IRA</t>
        </is>
      </c>
      <c r="C39" s="12" t="inlineStr">
        <is>
          <t>Matthew</t>
        </is>
      </c>
      <c r="D39" s="41" t="inlineStr">
        <is>
          <t>pre_tax</t>
        </is>
      </c>
      <c r="E39" s="12" t="inlineStr">
        <is>
          <t>traditional_ira</t>
        </is>
      </c>
      <c r="F39" s="27" t="n">
        <v>1553892.202311367</v>
      </c>
      <c r="G39" s="27" t="n">
        <v>0</v>
      </c>
      <c r="H39" s="27" t="n">
        <v>0</v>
      </c>
      <c r="I39" s="27" t="n">
        <v>0</v>
      </c>
      <c r="J39" s="27" t="n">
        <v>0</v>
      </c>
      <c r="K39" s="27" t="n">
        <v>144599.4818914267</v>
      </c>
      <c r="L39" s="27" t="n">
        <v>102555.2384477788</v>
      </c>
      <c r="M39" s="27" t="n">
        <v>78404.24891832966</v>
      </c>
      <c r="N39" s="27" t="n">
        <v>1385141.730890491</v>
      </c>
      <c r="O39" s="27" t="n">
        <v>1385141.730890491</v>
      </c>
      <c r="P39" s="27" t="n">
        <v>0</v>
      </c>
      <c r="Q39" s="12" t="inlineStr">
        <is>
          <t>Roth conversion; withdrawal</t>
        </is>
      </c>
    </row>
    <row r="40" ht="30" customHeight="1">
      <c r="A40" s="26" t="n">
        <v>2029</v>
      </c>
      <c r="B40" s="12" t="inlineStr">
        <is>
          <t>Matthew Roth</t>
        </is>
      </c>
      <c r="C40" s="12" t="inlineStr">
        <is>
          <t>Matthew</t>
        </is>
      </c>
      <c r="D40" s="41" t="inlineStr">
        <is>
          <t>roth</t>
        </is>
      </c>
      <c r="E40" s="12" t="inlineStr">
        <is>
          <t>roth_ira</t>
        </is>
      </c>
      <c r="F40" s="27" t="n">
        <v>243283.0856260345</v>
      </c>
      <c r="G40" s="27" t="n">
        <v>0</v>
      </c>
      <c r="H40" s="27" t="n">
        <v>0</v>
      </c>
      <c r="I40" s="27" t="n">
        <v>0</v>
      </c>
      <c r="J40" s="27" t="n">
        <v>144599.4818914267</v>
      </c>
      <c r="K40" s="27" t="n">
        <v>0</v>
      </c>
      <c r="L40" s="27" t="n">
        <v>0</v>
      </c>
      <c r="M40" s="27" t="n">
        <v>23272.95405104767</v>
      </c>
      <c r="N40" s="27" t="n">
        <v>411155.5215685088</v>
      </c>
      <c r="O40" s="27" t="n">
        <v>411155.5215685088</v>
      </c>
      <c r="P40" s="27" t="n">
        <v>0</v>
      </c>
      <c r="Q40" s="12" t="inlineStr">
        <is>
          <t>Roth conversion</t>
        </is>
      </c>
    </row>
    <row r="41" ht="30" customHeight="1">
      <c r="A41" s="26" t="n">
        <v>2029</v>
      </c>
      <c r="B41" s="12" t="inlineStr">
        <is>
          <t>Matthew Trust</t>
        </is>
      </c>
      <c r="C41" s="12" t="inlineStr">
        <is>
          <t>Matthew</t>
        </is>
      </c>
      <c r="D41" s="41" t="inlineStr">
        <is>
          <t>taxable</t>
        </is>
      </c>
      <c r="E41" s="12" t="inlineStr">
        <is>
          <t>trust</t>
        </is>
      </c>
      <c r="F41" s="27" t="n">
        <v>23838.17836592437</v>
      </c>
      <c r="G41" s="27" t="n">
        <v>0</v>
      </c>
      <c r="H41" s="27" t="n">
        <v>0</v>
      </c>
      <c r="I41" s="27" t="n">
        <v>0</v>
      </c>
      <c r="J41" s="27" t="n">
        <v>0</v>
      </c>
      <c r="K41" s="27" t="n">
        <v>0</v>
      </c>
      <c r="L41" s="27" t="n">
        <v>23838.17836592437</v>
      </c>
      <c r="M41" s="27" t="n">
        <v>0</v>
      </c>
      <c r="N41" s="27" t="n">
        <v>0</v>
      </c>
      <c r="O41" s="27" t="n">
        <v>0</v>
      </c>
      <c r="P41" s="27" t="n">
        <v>0</v>
      </c>
      <c r="Q41" s="12" t="inlineStr">
        <is>
          <t>withdrawal</t>
        </is>
      </c>
    </row>
    <row r="42" ht="30" customHeight="1">
      <c r="A42" s="26" t="n">
        <v>2029</v>
      </c>
      <c r="B42" s="12" t="inlineStr">
        <is>
          <t>Patricia IRA</t>
        </is>
      </c>
      <c r="C42" s="12" t="inlineStr">
        <is>
          <t>Patricia</t>
        </is>
      </c>
      <c r="D42" s="41" t="inlineStr">
        <is>
          <t>pre_tax</t>
        </is>
      </c>
      <c r="E42" s="12" t="inlineStr">
        <is>
          <t>traditional_ira</t>
        </is>
      </c>
      <c r="F42" s="27" t="n">
        <v>0</v>
      </c>
      <c r="G42" s="27" t="n">
        <v>0</v>
      </c>
      <c r="H42" s="27" t="n">
        <v>0</v>
      </c>
      <c r="I42" s="27" t="n">
        <v>0</v>
      </c>
      <c r="J42" s="27" t="n">
        <v>0</v>
      </c>
      <c r="K42" s="27" t="n">
        <v>0</v>
      </c>
      <c r="L42" s="27" t="n">
        <v>0</v>
      </c>
      <c r="M42" s="27" t="n">
        <v>0</v>
      </c>
      <c r="N42" s="27" t="n">
        <v>0</v>
      </c>
      <c r="O42" s="27" t="n">
        <v>0</v>
      </c>
      <c r="P42" s="27" t="n">
        <v>0</v>
      </c>
      <c r="Q42" s="33" t="inlineStr"/>
    </row>
    <row r="43" ht="30" customHeight="1">
      <c r="A43" s="26" t="n">
        <v>2029</v>
      </c>
      <c r="B43" s="12" t="inlineStr">
        <is>
          <t>Patricia Roth</t>
        </is>
      </c>
      <c r="C43" s="12" t="inlineStr">
        <is>
          <t>Patricia</t>
        </is>
      </c>
      <c r="D43" s="41" t="inlineStr">
        <is>
          <t>roth</t>
        </is>
      </c>
      <c r="E43" s="12" t="inlineStr">
        <is>
          <t>roth_ira</t>
        </is>
      </c>
      <c r="F43" s="27" t="n">
        <v>794260.1773925505</v>
      </c>
      <c r="G43" s="27" t="n">
        <v>0</v>
      </c>
      <c r="H43" s="27" t="n">
        <v>0</v>
      </c>
      <c r="I43" s="27" t="n">
        <v>0</v>
      </c>
      <c r="J43" s="27" t="n">
        <v>0</v>
      </c>
      <c r="K43" s="27" t="n">
        <v>0</v>
      </c>
      <c r="L43" s="27" t="n">
        <v>0</v>
      </c>
      <c r="M43" s="27" t="n">
        <v>47655.61064355303</v>
      </c>
      <c r="N43" s="27" t="n">
        <v>841915.7880361036</v>
      </c>
      <c r="O43" s="27" t="n">
        <v>841915.7880361036</v>
      </c>
      <c r="P43" s="27" t="n">
        <v>0</v>
      </c>
      <c r="Q43" s="33" t="inlineStr"/>
    </row>
    <row r="44" ht="30" customHeight="1">
      <c r="A44" s="26" t="n">
        <v>2029</v>
      </c>
      <c r="B44" s="12" t="inlineStr">
        <is>
          <t>Patricia Trust</t>
        </is>
      </c>
      <c r="C44" s="12" t="inlineStr">
        <is>
          <t>Patricia</t>
        </is>
      </c>
      <c r="D44" s="41" t="inlineStr">
        <is>
          <t>taxable</t>
        </is>
      </c>
      <c r="E44" s="12" t="inlineStr">
        <is>
          <t>trust</t>
        </is>
      </c>
      <c r="F44" s="27" t="n">
        <v>31001.01917026895</v>
      </c>
      <c r="G44" s="27" t="n">
        <v>0</v>
      </c>
      <c r="H44" s="27" t="n">
        <v>0</v>
      </c>
      <c r="I44" s="27" t="n">
        <v>0</v>
      </c>
      <c r="J44" s="27" t="n">
        <v>0</v>
      </c>
      <c r="K44" s="27" t="n">
        <v>0</v>
      </c>
      <c r="L44" s="27" t="n">
        <v>31001.01917026895</v>
      </c>
      <c r="M44" s="27" t="n">
        <v>0</v>
      </c>
      <c r="N44" s="27" t="n">
        <v>0</v>
      </c>
      <c r="O44" s="27" t="n">
        <v>0</v>
      </c>
      <c r="P44" s="27" t="n">
        <v>0</v>
      </c>
      <c r="Q44" s="12" t="inlineStr">
        <is>
          <t>withdrawal</t>
        </is>
      </c>
    </row>
    <row r="45" ht="45" customHeight="1">
      <c r="A45" s="26" t="n">
        <v>2030</v>
      </c>
      <c r="B45" s="12" t="inlineStr">
        <is>
          <t>Business 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 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Matthew HSA</t>
        </is>
      </c>
      <c r="C47" s="12" t="inlineStr">
        <is>
          <t>Matthew</t>
        </is>
      </c>
      <c r="D47" s="41" t="inlineStr">
        <is>
          <t>hsa</t>
        </is>
      </c>
      <c r="E47" s="12" t="inlineStr">
        <is>
          <t>hsa</t>
        </is>
      </c>
      <c r="F47" s="27" t="n">
        <v>100549.9886899954</v>
      </c>
      <c r="G47" s="27" t="n">
        <v>0</v>
      </c>
      <c r="H47" s="27" t="n">
        <v>0</v>
      </c>
      <c r="I47" s="27" t="n">
        <v>0</v>
      </c>
      <c r="J47" s="27" t="n">
        <v>0</v>
      </c>
      <c r="K47" s="27" t="n">
        <v>0</v>
      </c>
      <c r="L47" s="27" t="n">
        <v>0</v>
      </c>
      <c r="M47" s="27" t="n">
        <v>6032.999321399723</v>
      </c>
      <c r="N47" s="27" t="n">
        <v>106582.9880113951</v>
      </c>
      <c r="O47" s="27" t="n">
        <v>106582.9880113951</v>
      </c>
      <c r="P47" s="27" t="n">
        <v>0</v>
      </c>
      <c r="Q47" s="33" t="inlineStr"/>
    </row>
    <row r="48" ht="30" customHeight="1">
      <c r="A48" s="26" t="n">
        <v>2030</v>
      </c>
      <c r="B48" s="12" t="inlineStr">
        <is>
          <t>Matthew 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Matthew IRA</t>
        </is>
      </c>
      <c r="C49" s="12" t="inlineStr">
        <is>
          <t>Matthew</t>
        </is>
      </c>
      <c r="D49" s="41" t="inlineStr">
        <is>
          <t>pre_tax</t>
        </is>
      </c>
      <c r="E49" s="12" t="inlineStr">
        <is>
          <t>traditional_ira</t>
        </is>
      </c>
      <c r="F49" s="27" t="n">
        <v>1385141.730890491</v>
      </c>
      <c r="G49" s="27" t="n">
        <v>0</v>
      </c>
      <c r="H49" s="27" t="n">
        <v>0</v>
      </c>
      <c r="I49" s="27" t="n">
        <v>0</v>
      </c>
      <c r="J49" s="27" t="n">
        <v>0</v>
      </c>
      <c r="K49" s="27" t="n">
        <v>155297.4833840013</v>
      </c>
      <c r="L49" s="27" t="n">
        <v>105517.6818934454</v>
      </c>
      <c r="M49" s="27" t="n">
        <v>67459.59393678264</v>
      </c>
      <c r="N49" s="27" t="n">
        <v>1191786.159549827</v>
      </c>
      <c r="O49" s="27" t="n">
        <v>1191786.159549827</v>
      </c>
      <c r="P49" s="27" t="n">
        <v>0</v>
      </c>
      <c r="Q49" s="12" t="inlineStr">
        <is>
          <t>Roth conversion; withdrawal</t>
        </is>
      </c>
    </row>
    <row r="50" ht="30" customHeight="1">
      <c r="A50" s="26" t="n">
        <v>2030</v>
      </c>
      <c r="B50" s="12" t="inlineStr">
        <is>
          <t>Matthew Roth</t>
        </is>
      </c>
      <c r="C50" s="12" t="inlineStr">
        <is>
          <t>Matthew</t>
        </is>
      </c>
      <c r="D50" s="41" t="inlineStr">
        <is>
          <t>roth</t>
        </is>
      </c>
      <c r="E50" s="12" t="inlineStr">
        <is>
          <t>roth_ira</t>
        </is>
      </c>
      <c r="F50" s="27" t="n">
        <v>411155.5215685088</v>
      </c>
      <c r="G50" s="27" t="n">
        <v>0</v>
      </c>
      <c r="H50" s="27" t="n">
        <v>0</v>
      </c>
      <c r="I50" s="27" t="n">
        <v>0</v>
      </c>
      <c r="J50" s="27" t="n">
        <v>155297.4833840013</v>
      </c>
      <c r="K50" s="27" t="n">
        <v>0</v>
      </c>
      <c r="L50" s="27" t="n">
        <v>0</v>
      </c>
      <c r="M50" s="27" t="n">
        <v>33987.1802971506</v>
      </c>
      <c r="N50" s="27" t="n">
        <v>600440.1852496607</v>
      </c>
      <c r="O50" s="27" t="n">
        <v>600440.1852496607</v>
      </c>
      <c r="P50" s="27" t="n">
        <v>0</v>
      </c>
      <c r="Q50" s="12" t="inlineStr">
        <is>
          <t>Roth conversion</t>
        </is>
      </c>
    </row>
    <row r="51" ht="45" customHeight="1">
      <c r="A51" s="26" t="n">
        <v>2030</v>
      </c>
      <c r="B51" s="12" t="inlineStr">
        <is>
          <t>Matthew 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Patricia 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Patricia Roth</t>
        </is>
      </c>
      <c r="C53" s="12" t="inlineStr">
        <is>
          <t>Patricia</t>
        </is>
      </c>
      <c r="D53" s="41" t="inlineStr">
        <is>
          <t>roth</t>
        </is>
      </c>
      <c r="E53" s="12" t="inlineStr">
        <is>
          <t>roth_ira</t>
        </is>
      </c>
      <c r="F53" s="27" t="n">
        <v>841915.7880361036</v>
      </c>
      <c r="G53" s="27" t="n">
        <v>0</v>
      </c>
      <c r="H53" s="27" t="n">
        <v>0</v>
      </c>
      <c r="I53" s="27" t="n">
        <v>0</v>
      </c>
      <c r="J53" s="27" t="n">
        <v>0</v>
      </c>
      <c r="K53" s="27" t="n">
        <v>0</v>
      </c>
      <c r="L53" s="27" t="n">
        <v>0</v>
      </c>
      <c r="M53" s="27" t="n">
        <v>50514.94728216621</v>
      </c>
      <c r="N53" s="27" t="n">
        <v>892430.7353182698</v>
      </c>
      <c r="O53" s="27" t="n">
        <v>892430.7353182698</v>
      </c>
      <c r="P53" s="27" t="n">
        <v>0</v>
      </c>
      <c r="Q53" s="33" t="inlineStr"/>
    </row>
    <row r="54" ht="30" customHeight="1">
      <c r="A54" s="26" t="n">
        <v>2030</v>
      </c>
      <c r="B54" s="12" t="inlineStr">
        <is>
          <t>Patricia 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 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 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Matthew HSA</t>
        </is>
      </c>
      <c r="C57" s="12" t="inlineStr">
        <is>
          <t>Matthew</t>
        </is>
      </c>
      <c r="D57" s="41" t="inlineStr">
        <is>
          <t>hsa</t>
        </is>
      </c>
      <c r="E57" s="12" t="inlineStr">
        <is>
          <t>hsa</t>
        </is>
      </c>
      <c r="F57" s="27" t="n">
        <v>106582.9880113951</v>
      </c>
      <c r="G57" s="27" t="n">
        <v>0</v>
      </c>
      <c r="H57" s="27" t="n">
        <v>0</v>
      </c>
      <c r="I57" s="27" t="n">
        <v>0</v>
      </c>
      <c r="J57" s="27" t="n">
        <v>0</v>
      </c>
      <c r="K57" s="27" t="n">
        <v>0</v>
      </c>
      <c r="L57" s="27" t="n">
        <v>10658.29880113951</v>
      </c>
      <c r="M57" s="27" t="n">
        <v>5755.481352615336</v>
      </c>
      <c r="N57" s="27" t="n">
        <v>101680.1705628709</v>
      </c>
      <c r="O57" s="27" t="n">
        <v>101680.1705628709</v>
      </c>
      <c r="P57" s="27" t="n">
        <v>0</v>
      </c>
      <c r="Q57" s="12" t="inlineStr">
        <is>
          <t>withdrawal</t>
        </is>
      </c>
    </row>
    <row r="58" ht="30" customHeight="1">
      <c r="A58" s="26" t="n">
        <v>2031</v>
      </c>
      <c r="B58" s="12" t="inlineStr">
        <is>
          <t>Matthew 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Matthew IRA</t>
        </is>
      </c>
      <c r="C59" s="12" t="inlineStr">
        <is>
          <t>Matthew</t>
        </is>
      </c>
      <c r="D59" s="41" t="inlineStr">
        <is>
          <t>pre_tax</t>
        </is>
      </c>
      <c r="E59" s="12" t="inlineStr">
        <is>
          <t>traditional_ira</t>
        </is>
      </c>
      <c r="F59" s="27" t="n">
        <v>1191786.159549827</v>
      </c>
      <c r="G59" s="27" t="n">
        <v>0</v>
      </c>
      <c r="H59" s="27" t="n">
        <v>0</v>
      </c>
      <c r="I59" s="27" t="n">
        <v>0</v>
      </c>
      <c r="J59" s="27" t="n">
        <v>0</v>
      </c>
      <c r="K59" s="27" t="n">
        <v>125267.2076368838</v>
      </c>
      <c r="L59" s="27" t="n">
        <v>93169.69669736034</v>
      </c>
      <c r="M59" s="27" t="n">
        <v>58400.95531293494</v>
      </c>
      <c r="N59" s="27" t="n">
        <v>1031750.210528517</v>
      </c>
      <c r="O59" s="27" t="n">
        <v>1031750.210528517</v>
      </c>
      <c r="P59" s="27" t="n">
        <v>0</v>
      </c>
      <c r="Q59" s="12" t="inlineStr">
        <is>
          <t>Roth conversion; withdrawal</t>
        </is>
      </c>
    </row>
    <row r="60" ht="30" customHeight="1">
      <c r="A60" s="26" t="n">
        <v>2031</v>
      </c>
      <c r="B60" s="12" t="inlineStr">
        <is>
          <t>Matthew Roth</t>
        </is>
      </c>
      <c r="C60" s="12" t="inlineStr">
        <is>
          <t>Matthew</t>
        </is>
      </c>
      <c r="D60" s="41" t="inlineStr">
        <is>
          <t>roth</t>
        </is>
      </c>
      <c r="E60" s="12" t="inlineStr">
        <is>
          <t>roth_ira</t>
        </is>
      </c>
      <c r="F60" s="27" t="n">
        <v>600440.1852496607</v>
      </c>
      <c r="G60" s="27" t="n">
        <v>0</v>
      </c>
      <c r="H60" s="27" t="n">
        <v>0</v>
      </c>
      <c r="I60" s="27" t="n">
        <v>0</v>
      </c>
      <c r="J60" s="27" t="n">
        <v>125267.2076368838</v>
      </c>
      <c r="K60" s="27" t="n">
        <v>0</v>
      </c>
      <c r="L60" s="27" t="n">
        <v>0</v>
      </c>
      <c r="M60" s="27" t="n">
        <v>43542.44357319267</v>
      </c>
      <c r="N60" s="27" t="n">
        <v>769249.8364597373</v>
      </c>
      <c r="O60" s="27" t="n">
        <v>769249.8364597373</v>
      </c>
      <c r="P60" s="27" t="n">
        <v>0</v>
      </c>
      <c r="Q60" s="12" t="inlineStr">
        <is>
          <t>Roth conversion</t>
        </is>
      </c>
    </row>
    <row r="61" ht="30" customHeight="1">
      <c r="A61" s="26" t="n">
        <v>2031</v>
      </c>
      <c r="B61" s="12" t="inlineStr">
        <is>
          <t>Matthew 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Patricia 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Patricia Roth</t>
        </is>
      </c>
      <c r="C63" s="12" t="inlineStr">
        <is>
          <t>Patricia</t>
        </is>
      </c>
      <c r="D63" s="41" t="inlineStr">
        <is>
          <t>roth</t>
        </is>
      </c>
      <c r="E63" s="12" t="inlineStr">
        <is>
          <t>roth_ira</t>
        </is>
      </c>
      <c r="F63" s="27" t="n">
        <v>892430.7353182698</v>
      </c>
      <c r="G63" s="27" t="n">
        <v>0</v>
      </c>
      <c r="H63" s="27" t="n">
        <v>0</v>
      </c>
      <c r="I63" s="27" t="n">
        <v>0</v>
      </c>
      <c r="J63" s="27" t="n">
        <v>0</v>
      </c>
      <c r="K63" s="27" t="n">
        <v>0</v>
      </c>
      <c r="L63" s="27" t="n">
        <v>0</v>
      </c>
      <c r="M63" s="27" t="n">
        <v>53545.84411909619</v>
      </c>
      <c r="N63" s="27" t="n">
        <v>945976.579437366</v>
      </c>
      <c r="O63" s="27" t="n">
        <v>945976.579437366</v>
      </c>
      <c r="P63" s="27" t="n">
        <v>0</v>
      </c>
      <c r="Q63" s="33" t="inlineStr"/>
    </row>
    <row r="64" ht="30" customHeight="1">
      <c r="A64" s="26" t="n">
        <v>2031</v>
      </c>
      <c r="B64" s="12" t="inlineStr">
        <is>
          <t>Patricia 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 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 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Matthew HSA</t>
        </is>
      </c>
      <c r="C67" s="12" t="inlineStr">
        <is>
          <t>Matthew</t>
        </is>
      </c>
      <c r="D67" s="41" t="inlineStr">
        <is>
          <t>hsa</t>
        </is>
      </c>
      <c r="E67" s="12" t="inlineStr">
        <is>
          <t>hsa</t>
        </is>
      </c>
      <c r="F67" s="27" t="n">
        <v>101680.1705628709</v>
      </c>
      <c r="G67" s="27" t="n">
        <v>0</v>
      </c>
      <c r="H67" s="27" t="n">
        <v>0</v>
      </c>
      <c r="I67" s="27" t="n">
        <v>0</v>
      </c>
      <c r="J67" s="27" t="n">
        <v>0</v>
      </c>
      <c r="K67" s="27" t="n">
        <v>0</v>
      </c>
      <c r="L67" s="27" t="n">
        <v>11297.79672920788</v>
      </c>
      <c r="M67" s="27" t="n">
        <v>5422.942430019782</v>
      </c>
      <c r="N67" s="27" t="n">
        <v>95805.31626368283</v>
      </c>
      <c r="O67" s="27" t="n">
        <v>95805.31626368283</v>
      </c>
      <c r="P67" s="27" t="n">
        <v>0</v>
      </c>
      <c r="Q67" s="12" t="inlineStr">
        <is>
          <t>withdrawal</t>
        </is>
      </c>
    </row>
    <row r="68" ht="30" customHeight="1">
      <c r="A68" s="26" t="n">
        <v>2032</v>
      </c>
      <c r="B68" s="12" t="inlineStr">
        <is>
          <t>Matthew 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Matthew IRA</t>
        </is>
      </c>
      <c r="C69" s="12" t="inlineStr">
        <is>
          <t>Matthew</t>
        </is>
      </c>
      <c r="D69" s="41" t="inlineStr">
        <is>
          <t>pre_tax</t>
        </is>
      </c>
      <c r="E69" s="12" t="inlineStr">
        <is>
          <t>traditional_ira</t>
        </is>
      </c>
      <c r="F69" s="27" t="n">
        <v>1031750.210528517</v>
      </c>
      <c r="G69" s="27" t="n">
        <v>0</v>
      </c>
      <c r="H69" s="27" t="n">
        <v>0</v>
      </c>
      <c r="I69" s="27" t="n">
        <v>0</v>
      </c>
      <c r="J69" s="27" t="n">
        <v>0</v>
      </c>
      <c r="K69" s="27" t="n">
        <v>108908.4900564799</v>
      </c>
      <c r="L69" s="27" t="n">
        <v>197013.2061599678</v>
      </c>
      <c r="M69" s="27" t="n">
        <v>43549.71085872417</v>
      </c>
      <c r="N69" s="27" t="n">
        <v>769378.2251707938</v>
      </c>
      <c r="O69" s="27" t="n">
        <v>769378.2251707938</v>
      </c>
      <c r="P69" s="27" t="n">
        <v>0</v>
      </c>
      <c r="Q69" s="12" t="inlineStr">
        <is>
          <t>Roth conversion; withdrawal</t>
        </is>
      </c>
    </row>
    <row r="70" ht="30" customHeight="1">
      <c r="A70" s="26" t="n">
        <v>2032</v>
      </c>
      <c r="B70" s="12" t="inlineStr">
        <is>
          <t>Matthew Roth</t>
        </is>
      </c>
      <c r="C70" s="12" t="inlineStr">
        <is>
          <t>Matthew</t>
        </is>
      </c>
      <c r="D70" s="41" t="inlineStr">
        <is>
          <t>roth</t>
        </is>
      </c>
      <c r="E70" s="12" t="inlineStr">
        <is>
          <t>roth_ira</t>
        </is>
      </c>
      <c r="F70" s="27" t="n">
        <v>769249.8364597373</v>
      </c>
      <c r="G70" s="27" t="n">
        <v>0</v>
      </c>
      <c r="H70" s="27" t="n">
        <v>0</v>
      </c>
      <c r="I70" s="27" t="n">
        <v>0</v>
      </c>
      <c r="J70" s="27" t="n">
        <v>108908.4900564799</v>
      </c>
      <c r="K70" s="27" t="n">
        <v>0</v>
      </c>
      <c r="L70" s="27" t="n">
        <v>0</v>
      </c>
      <c r="M70" s="27" t="n">
        <v>52689.49959097303</v>
      </c>
      <c r="N70" s="27" t="n">
        <v>930847.8261071902</v>
      </c>
      <c r="O70" s="27" t="n">
        <v>930847.8261071902</v>
      </c>
      <c r="P70" s="27" t="n">
        <v>0</v>
      </c>
      <c r="Q70" s="12" t="inlineStr">
        <is>
          <t>Roth conversion</t>
        </is>
      </c>
    </row>
    <row r="71" ht="30" customHeight="1">
      <c r="A71" s="26" t="n">
        <v>2032</v>
      </c>
      <c r="B71" s="12" t="inlineStr">
        <is>
          <t>Matthew 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Patricia 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Patricia Roth</t>
        </is>
      </c>
      <c r="C73" s="12" t="inlineStr">
        <is>
          <t>Patricia</t>
        </is>
      </c>
      <c r="D73" s="41" t="inlineStr">
        <is>
          <t>roth</t>
        </is>
      </c>
      <c r="E73" s="12" t="inlineStr">
        <is>
          <t>roth_ira</t>
        </is>
      </c>
      <c r="F73" s="27" t="n">
        <v>945976.579437366</v>
      </c>
      <c r="G73" s="27" t="n">
        <v>0</v>
      </c>
      <c r="H73" s="27" t="n">
        <v>0</v>
      </c>
      <c r="I73" s="27" t="n">
        <v>0</v>
      </c>
      <c r="J73" s="27" t="n">
        <v>0</v>
      </c>
      <c r="K73" s="27" t="n">
        <v>0</v>
      </c>
      <c r="L73" s="27" t="n">
        <v>0</v>
      </c>
      <c r="M73" s="27" t="n">
        <v>56758.59476624196</v>
      </c>
      <c r="N73" s="27" t="n">
        <v>1002735.174203608</v>
      </c>
      <c r="O73" s="27" t="n">
        <v>1002735.174203608</v>
      </c>
      <c r="P73" s="27" t="n">
        <v>0</v>
      </c>
      <c r="Q73" s="33" t="inlineStr"/>
    </row>
    <row r="74" ht="30" customHeight="1">
      <c r="A74" s="26" t="n">
        <v>2032</v>
      </c>
      <c r="B74" s="12" t="inlineStr">
        <is>
          <t>Patricia 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 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 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Matthew HSA</t>
        </is>
      </c>
      <c r="C77" s="12" t="inlineStr">
        <is>
          <t>Matthew</t>
        </is>
      </c>
      <c r="D77" s="41" t="inlineStr">
        <is>
          <t>hsa</t>
        </is>
      </c>
      <c r="E77" s="12" t="inlineStr">
        <is>
          <t>hsa</t>
        </is>
      </c>
      <c r="F77" s="27" t="n">
        <v>95805.31626368283</v>
      </c>
      <c r="G77" s="27" t="n">
        <v>0</v>
      </c>
      <c r="H77" s="27" t="n">
        <v>0</v>
      </c>
      <c r="I77" s="27" t="n">
        <v>0</v>
      </c>
      <c r="J77" s="27" t="n">
        <v>0</v>
      </c>
      <c r="K77" s="27" t="n">
        <v>0</v>
      </c>
      <c r="L77" s="27" t="n">
        <v>11975.66453296035</v>
      </c>
      <c r="M77" s="27" t="n">
        <v>5029.779103843349</v>
      </c>
      <c r="N77" s="27" t="n">
        <v>88859.43083456584</v>
      </c>
      <c r="O77" s="27" t="n">
        <v>88859.43083456584</v>
      </c>
      <c r="P77" s="27" t="n">
        <v>0</v>
      </c>
      <c r="Q77" s="12" t="inlineStr">
        <is>
          <t>withdrawal</t>
        </is>
      </c>
    </row>
    <row r="78" ht="30" customHeight="1">
      <c r="A78" s="26" t="n">
        <v>2033</v>
      </c>
      <c r="B78" s="12" t="inlineStr">
        <is>
          <t>Matthew 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Matthew IRA</t>
        </is>
      </c>
      <c r="C79" s="12" t="inlineStr">
        <is>
          <t>Matthew</t>
        </is>
      </c>
      <c r="D79" s="41" t="inlineStr">
        <is>
          <t>pre_tax</t>
        </is>
      </c>
      <c r="E79" s="12" t="inlineStr">
        <is>
          <t>traditional_ira</t>
        </is>
      </c>
      <c r="F79" s="27" t="n">
        <v>769378.2251707938</v>
      </c>
      <c r="G79" s="27" t="n">
        <v>0</v>
      </c>
      <c r="H79" s="27" t="n">
        <v>0</v>
      </c>
      <c r="I79" s="27" t="n">
        <v>0</v>
      </c>
      <c r="J79" s="27" t="n">
        <v>0</v>
      </c>
      <c r="K79" s="27" t="n">
        <v>116223.4463601649</v>
      </c>
      <c r="L79" s="27" t="n">
        <v>76368.04381169875</v>
      </c>
      <c r="M79" s="27" t="n">
        <v>34607.20409993581</v>
      </c>
      <c r="N79" s="27" t="n">
        <v>611393.939098866</v>
      </c>
      <c r="O79" s="27" t="n">
        <v>611393.9390988661</v>
      </c>
      <c r="P79" s="27" t="n">
        <v>1.164153218269348e-10</v>
      </c>
      <c r="Q79" s="12" t="inlineStr">
        <is>
          <t>Roth conversion; withdrawal</t>
        </is>
      </c>
    </row>
    <row r="80" ht="30" customHeight="1">
      <c r="A80" s="26" t="n">
        <v>2033</v>
      </c>
      <c r="B80" s="12" t="inlineStr">
        <is>
          <t>Matthew Roth</t>
        </is>
      </c>
      <c r="C80" s="12" t="inlineStr">
        <is>
          <t>Matthew</t>
        </is>
      </c>
      <c r="D80" s="41" t="inlineStr">
        <is>
          <t>roth</t>
        </is>
      </c>
      <c r="E80" s="12" t="inlineStr">
        <is>
          <t>roth_ira</t>
        </is>
      </c>
      <c r="F80" s="27" t="n">
        <v>930847.8261071902</v>
      </c>
      <c r="G80" s="27" t="n">
        <v>0</v>
      </c>
      <c r="H80" s="27" t="n">
        <v>0</v>
      </c>
      <c r="I80" s="27" t="n">
        <v>0</v>
      </c>
      <c r="J80" s="27" t="n">
        <v>116223.4463601649</v>
      </c>
      <c r="K80" s="27" t="n">
        <v>0</v>
      </c>
      <c r="L80" s="27" t="n">
        <v>0</v>
      </c>
      <c r="M80" s="27" t="n">
        <v>62824.27634804131</v>
      </c>
      <c r="N80" s="27" t="n">
        <v>1109895.548815396</v>
      </c>
      <c r="O80" s="27" t="n">
        <v>1109895.548815396</v>
      </c>
      <c r="P80" s="27" t="n">
        <v>0</v>
      </c>
      <c r="Q80" s="12" t="inlineStr">
        <is>
          <t>Roth conversion</t>
        </is>
      </c>
    </row>
    <row r="81" ht="30" customHeight="1">
      <c r="A81" s="26" t="n">
        <v>2033</v>
      </c>
      <c r="B81" s="12" t="inlineStr">
        <is>
          <t>Matthew 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Patricia 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Patricia Roth</t>
        </is>
      </c>
      <c r="C83" s="12" t="inlineStr">
        <is>
          <t>Patricia</t>
        </is>
      </c>
      <c r="D83" s="41" t="inlineStr">
        <is>
          <t>roth</t>
        </is>
      </c>
      <c r="E83" s="12" t="inlineStr">
        <is>
          <t>roth_ira</t>
        </is>
      </c>
      <c r="F83" s="27" t="n">
        <v>1002735.174203608</v>
      </c>
      <c r="G83" s="27" t="n">
        <v>0</v>
      </c>
      <c r="H83" s="27" t="n">
        <v>0</v>
      </c>
      <c r="I83" s="27" t="n">
        <v>0</v>
      </c>
      <c r="J83" s="27" t="n">
        <v>0</v>
      </c>
      <c r="K83" s="27" t="n">
        <v>0</v>
      </c>
      <c r="L83" s="27" t="n">
        <v>0</v>
      </c>
      <c r="M83" s="27" t="n">
        <v>60164.11045221648</v>
      </c>
      <c r="N83" s="27" t="n">
        <v>1062899.284655825</v>
      </c>
      <c r="O83" s="27" t="n">
        <v>1062899.284655825</v>
      </c>
      <c r="P83" s="27" t="n">
        <v>0</v>
      </c>
      <c r="Q83" s="33" t="inlineStr"/>
    </row>
    <row r="84" ht="30" customHeight="1">
      <c r="A84" s="26" t="n">
        <v>2033</v>
      </c>
      <c r="B84" s="12" t="inlineStr">
        <is>
          <t>Patricia 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 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 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Matthew HSA</t>
        </is>
      </c>
      <c r="C87" s="12" t="inlineStr">
        <is>
          <t>Matthew</t>
        </is>
      </c>
      <c r="D87" s="41" t="inlineStr">
        <is>
          <t>hsa</t>
        </is>
      </c>
      <c r="E87" s="12" t="inlineStr">
        <is>
          <t>hsa</t>
        </is>
      </c>
      <c r="F87" s="27" t="n">
        <v>88859.43083456584</v>
      </c>
      <c r="G87" s="27" t="n">
        <v>0</v>
      </c>
      <c r="H87" s="27" t="n">
        <v>0</v>
      </c>
      <c r="I87" s="27" t="n">
        <v>0</v>
      </c>
      <c r="J87" s="27" t="n">
        <v>0</v>
      </c>
      <c r="K87" s="27" t="n">
        <v>0</v>
      </c>
      <c r="L87" s="27" t="n">
        <v>12694.20440493798</v>
      </c>
      <c r="M87" s="27" t="n">
        <v>4569.913585777671</v>
      </c>
      <c r="N87" s="27" t="n">
        <v>80735.14001540553</v>
      </c>
      <c r="O87" s="27" t="n">
        <v>80735.14001540553</v>
      </c>
      <c r="P87" s="27" t="n">
        <v>0</v>
      </c>
      <c r="Q87" s="12" t="inlineStr">
        <is>
          <t>withdrawal</t>
        </is>
      </c>
    </row>
    <row r="88" ht="30" customHeight="1">
      <c r="A88" s="26" t="n">
        <v>2034</v>
      </c>
      <c r="B88" s="12" t="inlineStr">
        <is>
          <t>Matthew 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Matthew IRA</t>
        </is>
      </c>
      <c r="C89" s="12" t="inlineStr">
        <is>
          <t>Matthew</t>
        </is>
      </c>
      <c r="D89" s="41" t="inlineStr">
        <is>
          <t>pre_tax</t>
        </is>
      </c>
      <c r="E89" s="12" t="inlineStr">
        <is>
          <t>traditional_ira</t>
        </is>
      </c>
      <c r="F89" s="27" t="n">
        <v>611393.9390988661</v>
      </c>
      <c r="G89" s="27" t="n">
        <v>0</v>
      </c>
      <c r="H89" s="27" t="n">
        <v>0</v>
      </c>
      <c r="I89" s="27" t="n">
        <v>0</v>
      </c>
      <c r="J89" s="27" t="n">
        <v>0</v>
      </c>
      <c r="K89" s="27" t="n">
        <v>123594.1810203279</v>
      </c>
      <c r="L89" s="27" t="n">
        <v>165626.6796342347</v>
      </c>
      <c r="M89" s="27" t="n">
        <v>19330.38470665821</v>
      </c>
      <c r="N89" s="27" t="n">
        <v>341503.4631509617</v>
      </c>
      <c r="O89" s="27" t="n">
        <v>341503.4631509617</v>
      </c>
      <c r="P89" s="27" t="n">
        <v>0</v>
      </c>
      <c r="Q89" s="12" t="inlineStr">
        <is>
          <t>Roth conversion; withdrawal</t>
        </is>
      </c>
    </row>
    <row r="90" ht="30" customHeight="1">
      <c r="A90" s="26" t="n">
        <v>2034</v>
      </c>
      <c r="B90" s="12" t="inlineStr">
        <is>
          <t>Matthew Roth</t>
        </is>
      </c>
      <c r="C90" s="12" t="inlineStr">
        <is>
          <t>Matthew</t>
        </is>
      </c>
      <c r="D90" s="41" t="inlineStr">
        <is>
          <t>roth</t>
        </is>
      </c>
      <c r="E90" s="12" t="inlineStr">
        <is>
          <t>roth_ira</t>
        </is>
      </c>
      <c r="F90" s="27" t="n">
        <v>1109895.548815396</v>
      </c>
      <c r="G90" s="27" t="n">
        <v>0</v>
      </c>
      <c r="H90" s="27" t="n">
        <v>0</v>
      </c>
      <c r="I90" s="27" t="n">
        <v>0</v>
      </c>
      <c r="J90" s="27" t="n">
        <v>123594.1810203279</v>
      </c>
      <c r="K90" s="27" t="n">
        <v>0</v>
      </c>
      <c r="L90" s="27" t="n">
        <v>0</v>
      </c>
      <c r="M90" s="27" t="n">
        <v>74009.38379014345</v>
      </c>
      <c r="N90" s="27" t="n">
        <v>1307499.113625868</v>
      </c>
      <c r="O90" s="27" t="n">
        <v>1307499.113625868</v>
      </c>
      <c r="P90" s="27" t="n">
        <v>0</v>
      </c>
      <c r="Q90" s="12" t="inlineStr">
        <is>
          <t>Roth conversion</t>
        </is>
      </c>
    </row>
    <row r="91" ht="30" customHeight="1">
      <c r="A91" s="26" t="n">
        <v>2034</v>
      </c>
      <c r="B91" s="12" t="inlineStr">
        <is>
          <t>Matthew 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Patricia 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Patricia Roth</t>
        </is>
      </c>
      <c r="C93" s="12" t="inlineStr">
        <is>
          <t>Patricia</t>
        </is>
      </c>
      <c r="D93" s="41" t="inlineStr">
        <is>
          <t>roth</t>
        </is>
      </c>
      <c r="E93" s="12" t="inlineStr">
        <is>
          <t>roth_ira</t>
        </is>
      </c>
      <c r="F93" s="27" t="n">
        <v>1062899.284655825</v>
      </c>
      <c r="G93" s="27" t="n">
        <v>0</v>
      </c>
      <c r="H93" s="27" t="n">
        <v>0</v>
      </c>
      <c r="I93" s="27" t="n">
        <v>0</v>
      </c>
      <c r="J93" s="27" t="n">
        <v>0</v>
      </c>
      <c r="K93" s="27" t="n">
        <v>0</v>
      </c>
      <c r="L93" s="27" t="n">
        <v>0</v>
      </c>
      <c r="M93" s="27" t="n">
        <v>63773.95707934947</v>
      </c>
      <c r="N93" s="27" t="n">
        <v>1126673.241735174</v>
      </c>
      <c r="O93" s="27" t="n">
        <v>1126673.241735174</v>
      </c>
      <c r="P93" s="27" t="n">
        <v>0</v>
      </c>
      <c r="Q93" s="33" t="inlineStr"/>
    </row>
    <row r="94" ht="30" customHeight="1">
      <c r="A94" s="26" t="n">
        <v>2034</v>
      </c>
      <c r="B94" s="12" t="inlineStr">
        <is>
          <t>Patricia 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 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 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Matthew HSA</t>
        </is>
      </c>
      <c r="C97" s="12" t="inlineStr">
        <is>
          <t>Matthew</t>
        </is>
      </c>
      <c r="D97" s="41" t="inlineStr">
        <is>
          <t>hsa</t>
        </is>
      </c>
      <c r="E97" s="12" t="inlineStr">
        <is>
          <t>hsa</t>
        </is>
      </c>
      <c r="F97" s="27" t="n">
        <v>80735.14001540553</v>
      </c>
      <c r="G97" s="27" t="n">
        <v>0</v>
      </c>
      <c r="H97" s="27" t="n">
        <v>0</v>
      </c>
      <c r="I97" s="27" t="n">
        <v>0</v>
      </c>
      <c r="J97" s="27" t="n">
        <v>0</v>
      </c>
      <c r="K97" s="27" t="n">
        <v>0</v>
      </c>
      <c r="L97" s="27" t="n">
        <v>13455.85666923426</v>
      </c>
      <c r="M97" s="27" t="n">
        <v>4036.757000770276</v>
      </c>
      <c r="N97" s="27" t="n">
        <v>71316.04034694155</v>
      </c>
      <c r="O97" s="27" t="n">
        <v>71316.04034694155</v>
      </c>
      <c r="P97" s="27" t="n">
        <v>0</v>
      </c>
      <c r="Q97" s="12" t="inlineStr">
        <is>
          <t>withdrawal</t>
        </is>
      </c>
    </row>
    <row r="98" ht="30" customHeight="1">
      <c r="A98" s="26" t="n">
        <v>2035</v>
      </c>
      <c r="B98" s="12" t="inlineStr">
        <is>
          <t>Matthew 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60" customHeight="1">
      <c r="A99" s="26" t="n">
        <v>2035</v>
      </c>
      <c r="B99" s="12" t="inlineStr">
        <is>
          <t>Matthew IRA</t>
        </is>
      </c>
      <c r="C99" s="12" t="inlineStr">
        <is>
          <t>Matthew</t>
        </is>
      </c>
      <c r="D99" s="41" t="inlineStr">
        <is>
          <t>pre_tax</t>
        </is>
      </c>
      <c r="E99" s="12" t="inlineStr">
        <is>
          <t>traditional_ira</t>
        </is>
      </c>
      <c r="F99" s="27" t="n">
        <v>341503.4631509617</v>
      </c>
      <c r="G99" s="27" t="n">
        <v>0</v>
      </c>
      <c r="H99" s="27" t="n">
        <v>0</v>
      </c>
      <c r="I99" s="27" t="n">
        <v>0</v>
      </c>
      <c r="J99" s="27" t="n">
        <v>0</v>
      </c>
      <c r="K99" s="27" t="n">
        <v>125645.7590895275</v>
      </c>
      <c r="L99" s="27" t="n">
        <v>122735.9682249518</v>
      </c>
      <c r="M99" s="27" t="n">
        <v>5587.304150188941</v>
      </c>
      <c r="N99" s="27" t="n">
        <v>98709.0399866713</v>
      </c>
      <c r="O99" s="27" t="n">
        <v>98709.0399866713</v>
      </c>
      <c r="P99" s="27" t="n">
        <v>0</v>
      </c>
      <c r="Q99" s="12" t="inlineStr">
        <is>
          <t>Roth conversion; withdrawal</t>
        </is>
      </c>
    </row>
    <row r="100" ht="30" customHeight="1">
      <c r="A100" s="26" t="n">
        <v>2035</v>
      </c>
      <c r="B100" s="12" t="inlineStr">
        <is>
          <t>Matthew Roth</t>
        </is>
      </c>
      <c r="C100" s="12" t="inlineStr">
        <is>
          <t>Matthew</t>
        </is>
      </c>
      <c r="D100" s="41" t="inlineStr">
        <is>
          <t>roth</t>
        </is>
      </c>
      <c r="E100" s="12" t="inlineStr">
        <is>
          <t>roth_ira</t>
        </is>
      </c>
      <c r="F100" s="27" t="n">
        <v>1307499.113625868</v>
      </c>
      <c r="G100" s="27" t="n">
        <v>0</v>
      </c>
      <c r="H100" s="27" t="n">
        <v>0</v>
      </c>
      <c r="I100" s="27" t="n">
        <v>0</v>
      </c>
      <c r="J100" s="27" t="n">
        <v>125645.7590895275</v>
      </c>
      <c r="K100" s="27" t="n">
        <v>0</v>
      </c>
      <c r="L100" s="27" t="n">
        <v>0</v>
      </c>
      <c r="M100" s="27" t="n">
        <v>85988.69236292371</v>
      </c>
      <c r="N100" s="27" t="n">
        <v>1519133.565078319</v>
      </c>
      <c r="O100" s="27" t="n">
        <v>1519133.565078319</v>
      </c>
      <c r="P100" s="27" t="n">
        <v>0</v>
      </c>
      <c r="Q100" s="12" t="inlineStr">
        <is>
          <t>Roth conversion</t>
        </is>
      </c>
    </row>
    <row r="101" ht="30" customHeight="1">
      <c r="A101" s="26" t="n">
        <v>2035</v>
      </c>
      <c r="B101" s="12" t="inlineStr">
        <is>
          <t>Matthew 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Patricia 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Patricia Roth</t>
        </is>
      </c>
      <c r="C103" s="12" t="inlineStr">
        <is>
          <t>Patricia</t>
        </is>
      </c>
      <c r="D103" s="41" t="inlineStr">
        <is>
          <t>roth</t>
        </is>
      </c>
      <c r="E103" s="12" t="inlineStr">
        <is>
          <t>roth_ira</t>
        </is>
      </c>
      <c r="F103" s="27" t="n">
        <v>1126673.241735174</v>
      </c>
      <c r="G103" s="27" t="n">
        <v>0</v>
      </c>
      <c r="H103" s="27" t="n">
        <v>0</v>
      </c>
      <c r="I103" s="27" t="n">
        <v>0</v>
      </c>
      <c r="J103" s="27" t="n">
        <v>0</v>
      </c>
      <c r="K103" s="27" t="n">
        <v>0</v>
      </c>
      <c r="L103" s="27" t="n">
        <v>0</v>
      </c>
      <c r="M103" s="27" t="n">
        <v>67600.39450411045</v>
      </c>
      <c r="N103" s="27" t="n">
        <v>1194273.636239285</v>
      </c>
      <c r="O103" s="27" t="n">
        <v>1194273.636239285</v>
      </c>
      <c r="P103" s="27" t="n">
        <v>0</v>
      </c>
      <c r="Q103" s="33" t="inlineStr"/>
    </row>
    <row r="104" ht="30" customHeight="1">
      <c r="A104" s="26" t="n">
        <v>2035</v>
      </c>
      <c r="B104" s="12" t="inlineStr">
        <is>
          <t>Patricia 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 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 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Matthew HSA</t>
        </is>
      </c>
      <c r="C107" s="12" t="inlineStr">
        <is>
          <t>Matthew</t>
        </is>
      </c>
      <c r="D107" s="41" t="inlineStr">
        <is>
          <t>hsa</t>
        </is>
      </c>
      <c r="E107" s="12" t="inlineStr">
        <is>
          <t>hsa</t>
        </is>
      </c>
      <c r="F107" s="27" t="n">
        <v>71316.04034694155</v>
      </c>
      <c r="G107" s="27" t="n">
        <v>0</v>
      </c>
      <c r="H107" s="27" t="n">
        <v>0</v>
      </c>
      <c r="I107" s="27" t="n">
        <v>0</v>
      </c>
      <c r="J107" s="27" t="n">
        <v>0</v>
      </c>
      <c r="K107" s="27" t="n">
        <v>0</v>
      </c>
      <c r="L107" s="27" t="n">
        <v>14263.20806938831</v>
      </c>
      <c r="M107" s="27" t="n">
        <v>3423.169936653194</v>
      </c>
      <c r="N107" s="27" t="n">
        <v>60476.00221420643</v>
      </c>
      <c r="O107" s="27" t="n">
        <v>60476.00221420643</v>
      </c>
      <c r="P107" s="27" t="n">
        <v>0</v>
      </c>
      <c r="Q107" s="12" t="inlineStr">
        <is>
          <t>withdrawal</t>
        </is>
      </c>
    </row>
    <row r="108" ht="30" customHeight="1">
      <c r="A108" s="26" t="n">
        <v>2036</v>
      </c>
      <c r="B108" s="12" t="inlineStr">
        <is>
          <t>Matthew 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Matthew IRA</t>
        </is>
      </c>
      <c r="C109" s="12" t="inlineStr">
        <is>
          <t>Matthew</t>
        </is>
      </c>
      <c r="D109" s="41" t="inlineStr">
        <is>
          <t>pre_tax</t>
        </is>
      </c>
      <c r="E109" s="12" t="inlineStr">
        <is>
          <t>traditional_ira</t>
        </is>
      </c>
      <c r="F109" s="27" t="n">
        <v>98709.0399866713</v>
      </c>
      <c r="G109" s="27" t="n">
        <v>0</v>
      </c>
      <c r="H109" s="27" t="n">
        <v>0</v>
      </c>
      <c r="I109" s="27" t="n">
        <v>0</v>
      </c>
      <c r="J109" s="27" t="n">
        <v>0</v>
      </c>
      <c r="K109" s="27" t="n">
        <v>0</v>
      </c>
      <c r="L109" s="27" t="n">
        <v>82304.74656285354</v>
      </c>
      <c r="M109" s="27" t="n">
        <v>984.2576054290653</v>
      </c>
      <c r="N109" s="27" t="n">
        <v>17388.55102924682</v>
      </c>
      <c r="O109" s="27" t="n">
        <v>17388.55102924682</v>
      </c>
      <c r="P109" s="27" t="n">
        <v>0</v>
      </c>
      <c r="Q109" s="12" t="inlineStr">
        <is>
          <t>withdrawal</t>
        </is>
      </c>
    </row>
    <row r="110" ht="30" customHeight="1">
      <c r="A110" s="26" t="n">
        <v>2036</v>
      </c>
      <c r="B110" s="12" t="inlineStr">
        <is>
          <t>Matthew Roth</t>
        </is>
      </c>
      <c r="C110" s="12" t="inlineStr">
        <is>
          <t>Matthew</t>
        </is>
      </c>
      <c r="D110" s="41" t="inlineStr">
        <is>
          <t>roth</t>
        </is>
      </c>
      <c r="E110" s="12" t="inlineStr">
        <is>
          <t>roth_ira</t>
        </is>
      </c>
      <c r="F110" s="27" t="n">
        <v>1519133.565078319</v>
      </c>
      <c r="G110" s="27" t="n">
        <v>0</v>
      </c>
      <c r="H110" s="27" t="n">
        <v>0</v>
      </c>
      <c r="I110" s="27" t="n">
        <v>0</v>
      </c>
      <c r="J110" s="27" t="n">
        <v>0</v>
      </c>
      <c r="K110" s="27" t="n">
        <v>0</v>
      </c>
      <c r="L110" s="27" t="n">
        <v>0</v>
      </c>
      <c r="M110" s="27" t="n">
        <v>91148.01390469912</v>
      </c>
      <c r="N110" s="27" t="n">
        <v>1610281.578983018</v>
      </c>
      <c r="O110" s="27" t="n">
        <v>1610281.578983018</v>
      </c>
      <c r="P110" s="27" t="n">
        <v>0</v>
      </c>
      <c r="Q110" s="33" t="inlineStr"/>
    </row>
    <row r="111" ht="30" customHeight="1">
      <c r="A111" s="26" t="n">
        <v>2036</v>
      </c>
      <c r="B111" s="12" t="inlineStr">
        <is>
          <t>Matthew 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0</v>
      </c>
      <c r="N111" s="27" t="n">
        <v>0</v>
      </c>
      <c r="O111" s="27" t="n">
        <v>0</v>
      </c>
      <c r="P111" s="27" t="n">
        <v>0</v>
      </c>
      <c r="Q111" s="33" t="inlineStr"/>
    </row>
    <row r="112" ht="30" customHeight="1">
      <c r="A112" s="26" t="n">
        <v>2036</v>
      </c>
      <c r="B112" s="12" t="inlineStr">
        <is>
          <t>Patricia 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Patricia Roth</t>
        </is>
      </c>
      <c r="C113" s="12" t="inlineStr">
        <is>
          <t>Patricia</t>
        </is>
      </c>
      <c r="D113" s="41" t="inlineStr">
        <is>
          <t>roth</t>
        </is>
      </c>
      <c r="E113" s="12" t="inlineStr">
        <is>
          <t>roth_ira</t>
        </is>
      </c>
      <c r="F113" s="27" t="n">
        <v>1194273.636239285</v>
      </c>
      <c r="G113" s="27" t="n">
        <v>0</v>
      </c>
      <c r="H113" s="27" t="n">
        <v>0</v>
      </c>
      <c r="I113" s="27" t="n">
        <v>0</v>
      </c>
      <c r="J113" s="27" t="n">
        <v>0</v>
      </c>
      <c r="K113" s="27" t="n">
        <v>0</v>
      </c>
      <c r="L113" s="27" t="n">
        <v>0</v>
      </c>
      <c r="M113" s="27" t="n">
        <v>71656.41817435708</v>
      </c>
      <c r="N113" s="27" t="n">
        <v>1265930.054413642</v>
      </c>
      <c r="O113" s="27" t="n">
        <v>1265930.054413642</v>
      </c>
      <c r="P113" s="27" t="n">
        <v>0</v>
      </c>
      <c r="Q113" s="33" t="inlineStr"/>
    </row>
    <row r="114" ht="30" customHeight="1">
      <c r="A114" s="26" t="n">
        <v>2036</v>
      </c>
      <c r="B114" s="12" t="inlineStr">
        <is>
          <t>Patricia 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 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 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Matthew HSA</t>
        </is>
      </c>
      <c r="C117" s="12" t="inlineStr">
        <is>
          <t>Matthew</t>
        </is>
      </c>
      <c r="D117" s="41" t="inlineStr">
        <is>
          <t>hsa</t>
        </is>
      </c>
      <c r="E117" s="12" t="inlineStr">
        <is>
          <t>hsa</t>
        </is>
      </c>
      <c r="F117" s="27" t="n">
        <v>60476.00221420643</v>
      </c>
      <c r="G117" s="27" t="n">
        <v>0</v>
      </c>
      <c r="H117" s="27" t="n">
        <v>0</v>
      </c>
      <c r="I117" s="27" t="n">
        <v>0</v>
      </c>
      <c r="J117" s="27" t="n">
        <v>0</v>
      </c>
      <c r="K117" s="27" t="n">
        <v>0</v>
      </c>
      <c r="L117" s="27" t="n">
        <v>15119.00055355161</v>
      </c>
      <c r="M117" s="27" t="n">
        <v>2721.420099639289</v>
      </c>
      <c r="N117" s="27" t="n">
        <v>48078.42176029411</v>
      </c>
      <c r="O117" s="27" t="n">
        <v>48078.42176029411</v>
      </c>
      <c r="P117" s="27" t="n">
        <v>0</v>
      </c>
      <c r="Q117" s="12" t="inlineStr">
        <is>
          <t>withdrawal</t>
        </is>
      </c>
    </row>
    <row r="118" ht="30" customHeight="1">
      <c r="A118" s="26" t="n">
        <v>2037</v>
      </c>
      <c r="B118" s="12" t="inlineStr">
        <is>
          <t>Matthew 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Matthew IRA</t>
        </is>
      </c>
      <c r="C119" s="12" t="inlineStr">
        <is>
          <t>Matthew</t>
        </is>
      </c>
      <c r="D119" s="41" t="inlineStr">
        <is>
          <t>pre_tax</t>
        </is>
      </c>
      <c r="E119" s="12" t="inlineStr">
        <is>
          <t>traditional_ira</t>
        </is>
      </c>
      <c r="F119" s="27" t="n">
        <v>17388.55102924682</v>
      </c>
      <c r="G119" s="27" t="n">
        <v>0</v>
      </c>
      <c r="H119" s="27" t="n">
        <v>0</v>
      </c>
      <c r="I119" s="27" t="n">
        <v>0</v>
      </c>
      <c r="J119" s="27" t="n">
        <v>0</v>
      </c>
      <c r="K119" s="27" t="n">
        <v>0</v>
      </c>
      <c r="L119" s="27" t="n">
        <v>17388.55102924682</v>
      </c>
      <c r="M119" s="27" t="n">
        <v>0</v>
      </c>
      <c r="N119" s="27" t="n">
        <v>0</v>
      </c>
      <c r="O119" s="27" t="n">
        <v>0</v>
      </c>
      <c r="P119" s="27" t="n">
        <v>0</v>
      </c>
      <c r="Q119" s="12" t="inlineStr">
        <is>
          <t>withdrawal</t>
        </is>
      </c>
    </row>
    <row r="120" ht="30" customHeight="1">
      <c r="A120" s="26" t="n">
        <v>2037</v>
      </c>
      <c r="B120" s="12" t="inlineStr">
        <is>
          <t>Matthew Roth</t>
        </is>
      </c>
      <c r="C120" s="12" t="inlineStr">
        <is>
          <t>Matthew</t>
        </is>
      </c>
      <c r="D120" s="41" t="inlineStr">
        <is>
          <t>roth</t>
        </is>
      </c>
      <c r="E120" s="12" t="inlineStr">
        <is>
          <t>roth_ira</t>
        </is>
      </c>
      <c r="F120" s="27" t="n">
        <v>1610281.578983018</v>
      </c>
      <c r="G120" s="27" t="n">
        <v>0</v>
      </c>
      <c r="H120" s="27" t="n">
        <v>0</v>
      </c>
      <c r="I120" s="27" t="n">
        <v>0</v>
      </c>
      <c r="J120" s="27" t="n">
        <v>0</v>
      </c>
      <c r="K120" s="27" t="n">
        <v>0</v>
      </c>
      <c r="L120" s="27" t="n">
        <v>31954.37175926163</v>
      </c>
      <c r="M120" s="27" t="n">
        <v>94699.63243342537</v>
      </c>
      <c r="N120" s="27" t="n">
        <v>1673026.839657182</v>
      </c>
      <c r="O120" s="27" t="n">
        <v>1673026.839657182</v>
      </c>
      <c r="P120" s="27" t="n">
        <v>0</v>
      </c>
      <c r="Q120" s="12" t="inlineStr">
        <is>
          <t>withdrawal</t>
        </is>
      </c>
    </row>
    <row r="121" ht="30" customHeight="1">
      <c r="A121" s="26" t="n">
        <v>2037</v>
      </c>
      <c r="B121" s="12" t="inlineStr">
        <is>
          <t>Matthew Trust</t>
        </is>
      </c>
      <c r="C121" s="12" t="inlineStr">
        <is>
          <t>Matthew</t>
        </is>
      </c>
      <c r="D121" s="41" t="inlineStr">
        <is>
          <t>taxable</t>
        </is>
      </c>
      <c r="E121" s="12" t="inlineStr">
        <is>
          <t>trust</t>
        </is>
      </c>
      <c r="F121" s="27" t="n">
        <v>0</v>
      </c>
      <c r="G121" s="27" t="n">
        <v>0</v>
      </c>
      <c r="H121" s="27" t="n">
        <v>0</v>
      </c>
      <c r="I121" s="27" t="n">
        <v>0</v>
      </c>
      <c r="J121" s="27" t="n">
        <v>0</v>
      </c>
      <c r="K121" s="27" t="n">
        <v>0</v>
      </c>
      <c r="L121" s="27" t="n">
        <v>0</v>
      </c>
      <c r="M121" s="27" t="n">
        <v>0</v>
      </c>
      <c r="N121" s="27" t="n">
        <v>0</v>
      </c>
      <c r="O121" s="27" t="n">
        <v>0</v>
      </c>
      <c r="P121" s="27" t="n">
        <v>0</v>
      </c>
      <c r="Q121" s="33" t="inlineStr"/>
    </row>
    <row r="122" ht="30" customHeight="1">
      <c r="A122" s="26" t="n">
        <v>2037</v>
      </c>
      <c r="B122" s="12" t="inlineStr">
        <is>
          <t>Patricia 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Patricia Roth</t>
        </is>
      </c>
      <c r="C123" s="12" t="inlineStr">
        <is>
          <t>Patricia</t>
        </is>
      </c>
      <c r="D123" s="41" t="inlineStr">
        <is>
          <t>roth</t>
        </is>
      </c>
      <c r="E123" s="12" t="inlineStr">
        <is>
          <t>roth_ira</t>
        </is>
      </c>
      <c r="F123" s="27" t="n">
        <v>1265930.054413642</v>
      </c>
      <c r="G123" s="27" t="n">
        <v>0</v>
      </c>
      <c r="H123" s="27" t="n">
        <v>0</v>
      </c>
      <c r="I123" s="27" t="n">
        <v>0</v>
      </c>
      <c r="J123" s="27" t="n">
        <v>0</v>
      </c>
      <c r="K123" s="27" t="n">
        <v>0</v>
      </c>
      <c r="L123" s="27" t="n">
        <v>25121.07205840577</v>
      </c>
      <c r="M123" s="27" t="n">
        <v>74448.53894131417</v>
      </c>
      <c r="N123" s="27" t="n">
        <v>1315257.52129655</v>
      </c>
      <c r="O123" s="27" t="n">
        <v>1315257.52129655</v>
      </c>
      <c r="P123" s="27" t="n">
        <v>0</v>
      </c>
      <c r="Q123" s="12" t="inlineStr">
        <is>
          <t>withdrawal</t>
        </is>
      </c>
    </row>
    <row r="124" ht="30" customHeight="1">
      <c r="A124" s="26" t="n">
        <v>2037</v>
      </c>
      <c r="B124" s="12" t="inlineStr">
        <is>
          <t>Patricia 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 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 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Matthew HSA</t>
        </is>
      </c>
      <c r="C127" s="12" t="inlineStr">
        <is>
          <t>Matthew</t>
        </is>
      </c>
      <c r="D127" s="41" t="inlineStr">
        <is>
          <t>hsa</t>
        </is>
      </c>
      <c r="E127" s="12" t="inlineStr">
        <is>
          <t>hsa</t>
        </is>
      </c>
      <c r="F127" s="27" t="n">
        <v>48078.42176029411</v>
      </c>
      <c r="G127" s="27" t="n">
        <v>0</v>
      </c>
      <c r="H127" s="27" t="n">
        <v>0</v>
      </c>
      <c r="I127" s="27" t="n">
        <v>0</v>
      </c>
      <c r="J127" s="27" t="n">
        <v>0</v>
      </c>
      <c r="K127" s="27" t="n">
        <v>0</v>
      </c>
      <c r="L127" s="27" t="n">
        <v>16026.1405867647</v>
      </c>
      <c r="M127" s="27" t="n">
        <v>1923.136870411764</v>
      </c>
      <c r="N127" s="27" t="n">
        <v>33975.41804394116</v>
      </c>
      <c r="O127" s="27" t="n">
        <v>33975.41804394116</v>
      </c>
      <c r="P127" s="27" t="n">
        <v>0</v>
      </c>
      <c r="Q127" s="12" t="inlineStr">
        <is>
          <t>withdrawal</t>
        </is>
      </c>
    </row>
    <row r="128" ht="30" customHeight="1">
      <c r="A128" s="26" t="n">
        <v>2038</v>
      </c>
      <c r="B128" s="12" t="inlineStr">
        <is>
          <t>Matthew 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Matthew 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Matthew Roth</t>
        </is>
      </c>
      <c r="C130" s="12" t="inlineStr">
        <is>
          <t>Matthew</t>
        </is>
      </c>
      <c r="D130" s="41" t="inlineStr">
        <is>
          <t>roth</t>
        </is>
      </c>
      <c r="E130" s="12" t="inlineStr">
        <is>
          <t>roth_ira</t>
        </is>
      </c>
      <c r="F130" s="27" t="n">
        <v>1673026.839657182</v>
      </c>
      <c r="G130" s="27" t="n">
        <v>0</v>
      </c>
      <c r="H130" s="27" t="n">
        <v>0</v>
      </c>
      <c r="I130" s="27" t="n">
        <v>0</v>
      </c>
      <c r="J130" s="27" t="n">
        <v>0</v>
      </c>
      <c r="K130" s="27" t="n">
        <v>0</v>
      </c>
      <c r="L130" s="27" t="n">
        <v>42011.1246190161</v>
      </c>
      <c r="M130" s="27" t="n">
        <v>97860.94290228993</v>
      </c>
      <c r="N130" s="27" t="n">
        <v>1728876.657940455</v>
      </c>
      <c r="O130" s="27" t="n">
        <v>1728876.657940455</v>
      </c>
      <c r="P130" s="27" t="n">
        <v>0</v>
      </c>
      <c r="Q130" s="12" t="inlineStr">
        <is>
          <t>withdrawal</t>
        </is>
      </c>
    </row>
    <row r="131" ht="30" customHeight="1">
      <c r="A131" s="26" t="n">
        <v>2038</v>
      </c>
      <c r="B131" s="12" t="inlineStr">
        <is>
          <t>Matthew 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Patricia 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Patricia Roth</t>
        </is>
      </c>
      <c r="C133" s="12" t="inlineStr">
        <is>
          <t>Patricia</t>
        </is>
      </c>
      <c r="D133" s="41" t="inlineStr">
        <is>
          <t>roth</t>
        </is>
      </c>
      <c r="E133" s="12" t="inlineStr">
        <is>
          <t>roth_ira</t>
        </is>
      </c>
      <c r="F133" s="27" t="n">
        <v>1315257.52129655</v>
      </c>
      <c r="G133" s="27" t="n">
        <v>0</v>
      </c>
      <c r="H133" s="27" t="n">
        <v>0</v>
      </c>
      <c r="I133" s="27" t="n">
        <v>0</v>
      </c>
      <c r="J133" s="27" t="n">
        <v>0</v>
      </c>
      <c r="K133" s="27" t="n">
        <v>0</v>
      </c>
      <c r="L133" s="27" t="n">
        <v>33027.2332299283</v>
      </c>
      <c r="M133" s="27" t="n">
        <v>76933.81728399731</v>
      </c>
      <c r="N133" s="27" t="n">
        <v>1359164.105350619</v>
      </c>
      <c r="O133" s="27" t="n">
        <v>1359164.105350619</v>
      </c>
      <c r="P133" s="27" t="n">
        <v>0</v>
      </c>
      <c r="Q133" s="12" t="inlineStr">
        <is>
          <t>withdrawal</t>
        </is>
      </c>
    </row>
    <row r="134" ht="30" customHeight="1">
      <c r="A134" s="26" t="n">
        <v>2038</v>
      </c>
      <c r="B134" s="12" t="inlineStr">
        <is>
          <t>Patricia 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 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 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Matthew HSA</t>
        </is>
      </c>
      <c r="C137" s="12" t="inlineStr">
        <is>
          <t>Matthew</t>
        </is>
      </c>
      <c r="D137" s="41" t="inlineStr">
        <is>
          <t>hsa</t>
        </is>
      </c>
      <c r="E137" s="12" t="inlineStr">
        <is>
          <t>hsa</t>
        </is>
      </c>
      <c r="F137" s="27" t="n">
        <v>33975.41804394116</v>
      </c>
      <c r="G137" s="27" t="n">
        <v>0</v>
      </c>
      <c r="H137" s="27" t="n">
        <v>0</v>
      </c>
      <c r="I137" s="27" t="n">
        <v>0</v>
      </c>
      <c r="J137" s="27" t="n">
        <v>0</v>
      </c>
      <c r="K137" s="27" t="n">
        <v>0</v>
      </c>
      <c r="L137" s="27" t="n">
        <v>16987.70902197058</v>
      </c>
      <c r="M137" s="27" t="n">
        <v>1019.262541318235</v>
      </c>
      <c r="N137" s="27" t="n">
        <v>18006.97156328882</v>
      </c>
      <c r="O137" s="27" t="n">
        <v>18006.97156328882</v>
      </c>
      <c r="P137" s="27" t="n">
        <v>0</v>
      </c>
      <c r="Q137" s="12" t="inlineStr">
        <is>
          <t>withdrawal</t>
        </is>
      </c>
    </row>
    <row r="138" ht="30" customHeight="1">
      <c r="A138" s="26" t="n">
        <v>2039</v>
      </c>
      <c r="B138" s="12" t="inlineStr">
        <is>
          <t>Matthew 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Matthew 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Matthew Roth</t>
        </is>
      </c>
      <c r="C140" s="12" t="inlineStr">
        <is>
          <t>Matthew</t>
        </is>
      </c>
      <c r="D140" s="41" t="inlineStr">
        <is>
          <t>roth</t>
        </is>
      </c>
      <c r="E140" s="12" t="inlineStr">
        <is>
          <t>roth_ira</t>
        </is>
      </c>
      <c r="F140" s="27" t="n">
        <v>1728876.657940455</v>
      </c>
      <c r="G140" s="27" t="n">
        <v>0</v>
      </c>
      <c r="H140" s="27" t="n">
        <v>0</v>
      </c>
      <c r="I140" s="27" t="n">
        <v>0</v>
      </c>
      <c r="J140" s="27" t="n">
        <v>0</v>
      </c>
      <c r="K140" s="27" t="n">
        <v>0</v>
      </c>
      <c r="L140" s="27" t="n">
        <v>45753.34744191784</v>
      </c>
      <c r="M140" s="27" t="n">
        <v>100987.3986299123</v>
      </c>
      <c r="N140" s="27" t="n">
        <v>1784110.70912845</v>
      </c>
      <c r="O140" s="27" t="n">
        <v>1784110.70912845</v>
      </c>
      <c r="P140" s="27" t="n">
        <v>0</v>
      </c>
      <c r="Q140" s="12" t="inlineStr">
        <is>
          <t>withdrawal</t>
        </is>
      </c>
    </row>
    <row r="141" ht="30" customHeight="1">
      <c r="A141" s="26" t="n">
        <v>2039</v>
      </c>
      <c r="B141" s="12" t="inlineStr">
        <is>
          <t>Matthew 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Patricia 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Patricia Roth</t>
        </is>
      </c>
      <c r="C143" s="12" t="inlineStr">
        <is>
          <t>Patricia</t>
        </is>
      </c>
      <c r="D143" s="41" t="inlineStr">
        <is>
          <t>roth</t>
        </is>
      </c>
      <c r="E143" s="12" t="inlineStr">
        <is>
          <t>roth_ira</t>
        </is>
      </c>
      <c r="F143" s="27" t="n">
        <v>1359164.105350619</v>
      </c>
      <c r="G143" s="27" t="n">
        <v>0</v>
      </c>
      <c r="H143" s="27" t="n">
        <v>0</v>
      </c>
      <c r="I143" s="27" t="n">
        <v>0</v>
      </c>
      <c r="J143" s="27" t="n">
        <v>0</v>
      </c>
      <c r="K143" s="27" t="n">
        <v>0</v>
      </c>
      <c r="L143" s="27" t="n">
        <v>35969.19841394033</v>
      </c>
      <c r="M143" s="27" t="n">
        <v>79391.69441620073</v>
      </c>
      <c r="N143" s="27" t="n">
        <v>1402586.60135288</v>
      </c>
      <c r="O143" s="27" t="n">
        <v>1402586.60135288</v>
      </c>
      <c r="P143" s="27" t="n">
        <v>0</v>
      </c>
      <c r="Q143" s="12" t="inlineStr">
        <is>
          <t>withdrawal</t>
        </is>
      </c>
    </row>
    <row r="144" ht="30" customHeight="1">
      <c r="A144" s="26" t="n">
        <v>2039</v>
      </c>
      <c r="B144" s="12" t="inlineStr">
        <is>
          <t>Patricia 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 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 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Matthew HSA</t>
        </is>
      </c>
      <c r="C147" s="12" t="inlineStr">
        <is>
          <t>Matthew</t>
        </is>
      </c>
      <c r="D147" s="41" t="inlineStr">
        <is>
          <t>hsa</t>
        </is>
      </c>
      <c r="E147" s="12" t="inlineStr">
        <is>
          <t>hsa</t>
        </is>
      </c>
      <c r="F147" s="27" t="n">
        <v>18006.97156328882</v>
      </c>
      <c r="G147" s="27" t="n">
        <v>0</v>
      </c>
      <c r="H147" s="27" t="n">
        <v>0</v>
      </c>
      <c r="I147" s="27" t="n">
        <v>0</v>
      </c>
      <c r="J147" s="27" t="n">
        <v>0</v>
      </c>
      <c r="K147" s="27" t="n">
        <v>0</v>
      </c>
      <c r="L147" s="27" t="n">
        <v>18006.97156328882</v>
      </c>
      <c r="M147" s="27" t="n">
        <v>0</v>
      </c>
      <c r="N147" s="27" t="n">
        <v>0</v>
      </c>
      <c r="O147" s="27" t="n">
        <v>0</v>
      </c>
      <c r="P147" s="27" t="n">
        <v>0</v>
      </c>
      <c r="Q147" s="12" t="inlineStr">
        <is>
          <t>withdrawal</t>
        </is>
      </c>
    </row>
    <row r="148" ht="30" customHeight="1">
      <c r="A148" s="26" t="n">
        <v>2040</v>
      </c>
      <c r="B148" s="12" t="inlineStr">
        <is>
          <t>Matthew 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Matthew 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Matthew Roth</t>
        </is>
      </c>
      <c r="C150" s="12" t="inlineStr">
        <is>
          <t>Matthew</t>
        </is>
      </c>
      <c r="D150" s="41" t="inlineStr">
        <is>
          <t>roth</t>
        </is>
      </c>
      <c r="E150" s="12" t="inlineStr">
        <is>
          <t>roth_ira</t>
        </is>
      </c>
      <c r="F150" s="27" t="n">
        <v>1784110.70912845</v>
      </c>
      <c r="G150" s="27" t="n">
        <v>0</v>
      </c>
      <c r="H150" s="27" t="n">
        <v>0</v>
      </c>
      <c r="I150" s="27" t="n">
        <v>0</v>
      </c>
      <c r="J150" s="27" t="n">
        <v>0</v>
      </c>
      <c r="K150" s="27" t="n">
        <v>0</v>
      </c>
      <c r="L150" s="27" t="n">
        <v>49568.80837819283</v>
      </c>
      <c r="M150" s="27" t="n">
        <v>104072.5140450154</v>
      </c>
      <c r="N150" s="27" t="n">
        <v>1838614.414795273</v>
      </c>
      <c r="O150" s="27" t="n">
        <v>1838614.414795273</v>
      </c>
      <c r="P150" s="27" t="n">
        <v>0</v>
      </c>
      <c r="Q150" s="12" t="inlineStr">
        <is>
          <t>withdrawal</t>
        </is>
      </c>
    </row>
    <row r="151" ht="30" customHeight="1">
      <c r="A151" s="26" t="n">
        <v>2040</v>
      </c>
      <c r="B151" s="12" t="inlineStr">
        <is>
          <t>Matthew 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Patricia 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Patricia Roth</t>
        </is>
      </c>
      <c r="C153" s="12" t="inlineStr">
        <is>
          <t>Patricia</t>
        </is>
      </c>
      <c r="D153" s="41" t="inlineStr">
        <is>
          <t>roth</t>
        </is>
      </c>
      <c r="E153" s="12" t="inlineStr">
        <is>
          <t>roth_ira</t>
        </is>
      </c>
      <c r="F153" s="27" t="n">
        <v>1402586.60135288</v>
      </c>
      <c r="G153" s="27" t="n">
        <v>0</v>
      </c>
      <c r="H153" s="27" t="n">
        <v>0</v>
      </c>
      <c r="I153" s="27" t="n">
        <v>0</v>
      </c>
      <c r="J153" s="27" t="n">
        <v>0</v>
      </c>
      <c r="K153" s="27" t="n">
        <v>0</v>
      </c>
      <c r="L153" s="27" t="n">
        <v>38968.740067843</v>
      </c>
      <c r="M153" s="27" t="n">
        <v>81817.07167710218</v>
      </c>
      <c r="N153" s="27" t="n">
        <v>1445434.932962139</v>
      </c>
      <c r="O153" s="27" t="n">
        <v>1445434.932962139</v>
      </c>
      <c r="P153" s="27" t="n">
        <v>0</v>
      </c>
      <c r="Q153" s="12" t="inlineStr">
        <is>
          <t>withdrawal</t>
        </is>
      </c>
    </row>
    <row r="154" ht="30" customHeight="1">
      <c r="A154" s="26" t="n">
        <v>2040</v>
      </c>
      <c r="B154" s="12" t="inlineStr">
        <is>
          <t>Patricia 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 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 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Matthew 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Matthew 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Matthew 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Matthew Roth</t>
        </is>
      </c>
      <c r="C160" s="12" t="inlineStr">
        <is>
          <t>Matthew</t>
        </is>
      </c>
      <c r="D160" s="41" t="inlineStr">
        <is>
          <t>roth</t>
        </is>
      </c>
      <c r="E160" s="12" t="inlineStr">
        <is>
          <t>roth_ira</t>
        </is>
      </c>
      <c r="F160" s="27" t="n">
        <v>1838614.414795273</v>
      </c>
      <c r="G160" s="27" t="n">
        <v>0</v>
      </c>
      <c r="H160" s="27" t="n">
        <v>0</v>
      </c>
      <c r="I160" s="27" t="n">
        <v>0</v>
      </c>
      <c r="J160" s="27" t="n">
        <v>0</v>
      </c>
      <c r="K160" s="27" t="n">
        <v>0</v>
      </c>
      <c r="L160" s="27" t="n">
        <v>61599.13101181887</v>
      </c>
      <c r="M160" s="27" t="n">
        <v>106620.9170270072</v>
      </c>
      <c r="N160" s="27" t="n">
        <v>1883636.200810461</v>
      </c>
      <c r="O160" s="27" t="n">
        <v>1883636.200810461</v>
      </c>
      <c r="P160" s="27" t="n">
        <v>0</v>
      </c>
      <c r="Q160" s="12" t="inlineStr">
        <is>
          <t>withdrawal</t>
        </is>
      </c>
    </row>
    <row r="161" ht="30" customHeight="1">
      <c r="A161" s="26" t="n">
        <v>2041</v>
      </c>
      <c r="B161" s="12" t="inlineStr">
        <is>
          <t>Matthew 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Patricia 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Patricia Roth</t>
        </is>
      </c>
      <c r="C163" s="12" t="inlineStr">
        <is>
          <t>Patricia</t>
        </is>
      </c>
      <c r="D163" s="41" t="inlineStr">
        <is>
          <t>roth</t>
        </is>
      </c>
      <c r="E163" s="12" t="inlineStr">
        <is>
          <t>roth_ira</t>
        </is>
      </c>
      <c r="F163" s="27" t="n">
        <v>1445434.932962139</v>
      </c>
      <c r="G163" s="27" t="n">
        <v>0</v>
      </c>
      <c r="H163" s="27" t="n">
        <v>0</v>
      </c>
      <c r="I163" s="27" t="n">
        <v>0</v>
      </c>
      <c r="J163" s="27" t="n">
        <v>0</v>
      </c>
      <c r="K163" s="27" t="n">
        <v>0</v>
      </c>
      <c r="L163" s="27" t="n">
        <v>48426.43193054082</v>
      </c>
      <c r="M163" s="27" t="n">
        <v>83820.51006189587</v>
      </c>
      <c r="N163" s="27" t="n">
        <v>1480829.011093494</v>
      </c>
      <c r="O163" s="27" t="n">
        <v>1480829.011093494</v>
      </c>
      <c r="P163" s="27" t="n">
        <v>0</v>
      </c>
      <c r="Q163" s="12" t="inlineStr">
        <is>
          <t>withdrawal</t>
        </is>
      </c>
    </row>
    <row r="164" ht="30" customHeight="1">
      <c r="A164" s="26" t="n">
        <v>2041</v>
      </c>
      <c r="B164" s="12" t="inlineStr">
        <is>
          <t>Patricia 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 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 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Matthew 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Matthew 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Matthew 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Matthew Roth</t>
        </is>
      </c>
      <c r="C170" s="12" t="inlineStr">
        <is>
          <t>Matthew</t>
        </is>
      </c>
      <c r="D170" s="41" t="inlineStr">
        <is>
          <t>roth</t>
        </is>
      </c>
      <c r="E170" s="12" t="inlineStr">
        <is>
          <t>roth_ira</t>
        </is>
      </c>
      <c r="F170" s="27" t="n">
        <v>1883636.200810461</v>
      </c>
      <c r="G170" s="27" t="n">
        <v>0</v>
      </c>
      <c r="H170" s="27" t="n">
        <v>0</v>
      </c>
      <c r="I170" s="27" t="n">
        <v>0</v>
      </c>
      <c r="J170" s="27" t="n">
        <v>0</v>
      </c>
      <c r="K170" s="27" t="n">
        <v>0</v>
      </c>
      <c r="L170" s="27" t="n">
        <v>63609.18501387433</v>
      </c>
      <c r="M170" s="27" t="n">
        <v>109201.6209477952</v>
      </c>
      <c r="N170" s="27" t="n">
        <v>1929228.636744382</v>
      </c>
      <c r="O170" s="27" t="n">
        <v>1929228.636744382</v>
      </c>
      <c r="P170" s="27" t="n">
        <v>0</v>
      </c>
      <c r="Q170" s="12" t="inlineStr">
        <is>
          <t>withdrawal</t>
        </is>
      </c>
    </row>
    <row r="171" ht="30" customHeight="1">
      <c r="A171" s="26" t="n">
        <v>2042</v>
      </c>
      <c r="B171" s="12" t="inlineStr">
        <is>
          <t>Matthew 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Patricia 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Patricia Roth</t>
        </is>
      </c>
      <c r="C173" s="12" t="inlineStr">
        <is>
          <t>Patricia</t>
        </is>
      </c>
      <c r="D173" s="41" t="inlineStr">
        <is>
          <t>roth</t>
        </is>
      </c>
      <c r="E173" s="12" t="inlineStr">
        <is>
          <t>roth_ira</t>
        </is>
      </c>
      <c r="F173" s="27" t="n">
        <v>1480829.011093494</v>
      </c>
      <c r="G173" s="27" t="n">
        <v>0</v>
      </c>
      <c r="H173" s="27" t="n">
        <v>0</v>
      </c>
      <c r="I173" s="27" t="n">
        <v>0</v>
      </c>
      <c r="J173" s="27" t="n">
        <v>0</v>
      </c>
      <c r="K173" s="27" t="n">
        <v>0</v>
      </c>
      <c r="L173" s="27" t="n">
        <v>50006.64486063189</v>
      </c>
      <c r="M173" s="27" t="n">
        <v>85849.34197397172</v>
      </c>
      <c r="N173" s="27" t="n">
        <v>1516671.708206834</v>
      </c>
      <c r="O173" s="27" t="n">
        <v>1516671.708206834</v>
      </c>
      <c r="P173" s="27" t="n">
        <v>0</v>
      </c>
      <c r="Q173" s="12" t="inlineStr">
        <is>
          <t>withdrawal</t>
        </is>
      </c>
    </row>
    <row r="174" ht="30" customHeight="1">
      <c r="A174" s="26" t="n">
        <v>2042</v>
      </c>
      <c r="B174" s="12" t="inlineStr">
        <is>
          <t>Patricia 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 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 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Matthew 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Matthew 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Matthew 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Matthew Roth</t>
        </is>
      </c>
      <c r="C180" s="12" t="inlineStr">
        <is>
          <t>Matthew</t>
        </is>
      </c>
      <c r="D180" s="41" t="inlineStr">
        <is>
          <t>roth</t>
        </is>
      </c>
      <c r="E180" s="12" t="inlineStr">
        <is>
          <t>roth_ira</t>
        </is>
      </c>
      <c r="F180" s="27" t="n">
        <v>1929228.636744382</v>
      </c>
      <c r="G180" s="27" t="n">
        <v>0</v>
      </c>
      <c r="H180" s="27" t="n">
        <v>0</v>
      </c>
      <c r="I180" s="27" t="n">
        <v>0</v>
      </c>
      <c r="J180" s="27" t="n">
        <v>0</v>
      </c>
      <c r="K180" s="27" t="n">
        <v>0</v>
      </c>
      <c r="L180" s="27" t="n">
        <v>65688.78189263528</v>
      </c>
      <c r="M180" s="27" t="n">
        <v>111812.3912911048</v>
      </c>
      <c r="N180" s="27" t="n">
        <v>1975352.246142851</v>
      </c>
      <c r="O180" s="27" t="n">
        <v>1975352.246142851</v>
      </c>
      <c r="P180" s="27" t="n">
        <v>0</v>
      </c>
      <c r="Q180" s="12" t="inlineStr">
        <is>
          <t>withdrawal</t>
        </is>
      </c>
    </row>
    <row r="181" ht="30" customHeight="1">
      <c r="A181" s="26" t="n">
        <v>2043</v>
      </c>
      <c r="B181" s="12" t="inlineStr">
        <is>
          <t>Matthew 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5.626402019072994e-13</v>
      </c>
      <c r="N181" s="27" t="n">
        <v>5.626402019072994e-13</v>
      </c>
      <c r="O181" s="27" t="n">
        <v>1.511455543027415e-11</v>
      </c>
      <c r="P181" s="27" t="n">
        <v>1.455191522836685e-11</v>
      </c>
      <c r="Q181" s="33" t="inlineStr"/>
    </row>
    <row r="182" ht="30" customHeight="1">
      <c r="A182" s="26" t="n">
        <v>2043</v>
      </c>
      <c r="B182" s="12" t="inlineStr">
        <is>
          <t>Patricia 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Patricia Roth</t>
        </is>
      </c>
      <c r="C183" s="12" t="inlineStr">
        <is>
          <t>Patricia</t>
        </is>
      </c>
      <c r="D183" s="41" t="inlineStr">
        <is>
          <t>roth</t>
        </is>
      </c>
      <c r="E183" s="12" t="inlineStr">
        <is>
          <t>roth_ira</t>
        </is>
      </c>
      <c r="F183" s="27" t="n">
        <v>1516671.708206834</v>
      </c>
      <c r="G183" s="27" t="n">
        <v>0</v>
      </c>
      <c r="H183" s="27" t="n">
        <v>0</v>
      </c>
      <c r="I183" s="27" t="n">
        <v>0</v>
      </c>
      <c r="J183" s="27" t="n">
        <v>0</v>
      </c>
      <c r="K183" s="27" t="n">
        <v>0</v>
      </c>
      <c r="L183" s="27" t="n">
        <v>51641.52923380527</v>
      </c>
      <c r="M183" s="27" t="n">
        <v>87901.8107383817</v>
      </c>
      <c r="N183" s="27" t="n">
        <v>1552931.98971141</v>
      </c>
      <c r="O183" s="27" t="n">
        <v>1552931.98971141</v>
      </c>
      <c r="P183" s="27" t="n">
        <v>0</v>
      </c>
      <c r="Q183" s="12" t="inlineStr">
        <is>
          <t>withdrawal</t>
        </is>
      </c>
    </row>
    <row r="184" ht="30" customHeight="1">
      <c r="A184" s="26" t="n">
        <v>2043</v>
      </c>
      <c r="B184" s="12" t="inlineStr">
        <is>
          <t>Patricia 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 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 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Matthew 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Matthew 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Matthew 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Matthew Roth</t>
        </is>
      </c>
      <c r="C190" s="12" t="inlineStr">
        <is>
          <t>Matthew</t>
        </is>
      </c>
      <c r="D190" s="41" t="inlineStr">
        <is>
          <t>roth</t>
        </is>
      </c>
      <c r="E190" s="12" t="inlineStr">
        <is>
          <t>roth_ira</t>
        </is>
      </c>
      <c r="F190" s="27" t="n">
        <v>1975352.246142851</v>
      </c>
      <c r="G190" s="27" t="n">
        <v>0</v>
      </c>
      <c r="H190" s="27" t="n">
        <v>0</v>
      </c>
      <c r="I190" s="27" t="n">
        <v>0</v>
      </c>
      <c r="J190" s="27" t="n">
        <v>0</v>
      </c>
      <c r="K190" s="27" t="n">
        <v>0</v>
      </c>
      <c r="L190" s="27" t="n">
        <v>67846.49273620886</v>
      </c>
      <c r="M190" s="27" t="n">
        <v>114450.3452043985</v>
      </c>
      <c r="N190" s="27" t="n">
        <v>2021956.098611041</v>
      </c>
      <c r="O190" s="27" t="n">
        <v>2021956.098611041</v>
      </c>
      <c r="P190" s="27" t="n">
        <v>0</v>
      </c>
      <c r="Q190" s="12" t="inlineStr">
        <is>
          <t>withdrawal</t>
        </is>
      </c>
    </row>
    <row r="191" ht="30" customHeight="1">
      <c r="A191" s="26" t="n">
        <v>2044</v>
      </c>
      <c r="B191" s="12" t="inlineStr">
        <is>
          <t>Matthew Trust</t>
        </is>
      </c>
      <c r="C191" s="12" t="inlineStr">
        <is>
          <t>Matthew</t>
        </is>
      </c>
      <c r="D191" s="41" t="inlineStr">
        <is>
          <t>taxable</t>
        </is>
      </c>
      <c r="E191" s="12" t="inlineStr">
        <is>
          <t>trust</t>
        </is>
      </c>
      <c r="F191" s="27" t="n">
        <v>1.511455543027415e-11</v>
      </c>
      <c r="G191" s="27" t="n">
        <v>0</v>
      </c>
      <c r="H191" s="27" t="n">
        <v>0</v>
      </c>
      <c r="I191" s="27" t="n">
        <v>0</v>
      </c>
      <c r="J191" s="27" t="n">
        <v>0</v>
      </c>
      <c r="K191" s="27" t="n">
        <v>0</v>
      </c>
      <c r="L191" s="27" t="n">
        <v>0</v>
      </c>
      <c r="M191" s="27" t="n">
        <v>0</v>
      </c>
      <c r="N191" s="27" t="n">
        <v>1.511455543027415e-11</v>
      </c>
      <c r="O191" s="27" t="n">
        <v>0</v>
      </c>
      <c r="P191" s="27" t="n">
        <v>-1.511455543027415e-11</v>
      </c>
      <c r="Q191" s="33" t="inlineStr"/>
    </row>
    <row r="192" ht="30" customHeight="1">
      <c r="A192" s="26" t="n">
        <v>2044</v>
      </c>
      <c r="B192" s="12" t="inlineStr">
        <is>
          <t>Patricia 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Patricia Roth</t>
        </is>
      </c>
      <c r="C193" s="12" t="inlineStr">
        <is>
          <t>Patricia</t>
        </is>
      </c>
      <c r="D193" s="41" t="inlineStr">
        <is>
          <t>roth</t>
        </is>
      </c>
      <c r="E193" s="12" t="inlineStr">
        <is>
          <t>roth_ira</t>
        </is>
      </c>
      <c r="F193" s="27" t="n">
        <v>1552931.98971141</v>
      </c>
      <c r="G193" s="27" t="n">
        <v>0</v>
      </c>
      <c r="H193" s="27" t="n">
        <v>0</v>
      </c>
      <c r="I193" s="27" t="n">
        <v>0</v>
      </c>
      <c r="J193" s="27" t="n">
        <v>0</v>
      </c>
      <c r="K193" s="27" t="n">
        <v>0</v>
      </c>
      <c r="L193" s="27" t="n">
        <v>53337.82324925263</v>
      </c>
      <c r="M193" s="27" t="n">
        <v>89975.64998772944</v>
      </c>
      <c r="N193" s="27" t="n">
        <v>1589569.816449887</v>
      </c>
      <c r="O193" s="27" t="n">
        <v>1589569.816449887</v>
      </c>
      <c r="P193" s="27" t="n">
        <v>0</v>
      </c>
      <c r="Q193" s="12" t="inlineStr">
        <is>
          <t>withdrawal</t>
        </is>
      </c>
    </row>
    <row r="194" ht="30" customHeight="1">
      <c r="A194" s="26" t="n">
        <v>2044</v>
      </c>
      <c r="B194" s="12" t="inlineStr">
        <is>
          <t>Patricia 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 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 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Matthew 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Matthew 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Matthew 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Matthew Roth</t>
        </is>
      </c>
      <c r="C200" s="12" t="inlineStr">
        <is>
          <t>Matthew</t>
        </is>
      </c>
      <c r="D200" s="41" t="inlineStr">
        <is>
          <t>roth</t>
        </is>
      </c>
      <c r="E200" s="12" t="inlineStr">
        <is>
          <t>roth_ira</t>
        </is>
      </c>
      <c r="F200" s="27" t="n">
        <v>2021956.098611041</v>
      </c>
      <c r="G200" s="27" t="n">
        <v>0</v>
      </c>
      <c r="H200" s="27" t="n">
        <v>0</v>
      </c>
      <c r="I200" s="27" t="n">
        <v>0</v>
      </c>
      <c r="J200" s="27" t="n">
        <v>0</v>
      </c>
      <c r="K200" s="27" t="n">
        <v>0</v>
      </c>
      <c r="L200" s="27" t="n">
        <v>70091.09206535536</v>
      </c>
      <c r="M200" s="27" t="n">
        <v>117111.9003927411</v>
      </c>
      <c r="N200" s="27" t="n">
        <v>2068976.906938427</v>
      </c>
      <c r="O200" s="27" t="n">
        <v>2068976.906938427</v>
      </c>
      <c r="P200" s="27" t="n">
        <v>0</v>
      </c>
      <c r="Q200" s="12" t="inlineStr">
        <is>
          <t>withdrawal</t>
        </is>
      </c>
    </row>
    <row r="201" ht="30" customHeight="1">
      <c r="A201" s="26" t="n">
        <v>2045</v>
      </c>
      <c r="B201" s="12" t="inlineStr">
        <is>
          <t>Matthew 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Patricia 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Patricia Roth</t>
        </is>
      </c>
      <c r="C203" s="12" t="inlineStr">
        <is>
          <t>Patricia</t>
        </is>
      </c>
      <c r="D203" s="41" t="inlineStr">
        <is>
          <t>roth</t>
        </is>
      </c>
      <c r="E203" s="12" t="inlineStr">
        <is>
          <t>roth_ira</t>
        </is>
      </c>
      <c r="F203" s="27" t="n">
        <v>1589569.816449887</v>
      </c>
      <c r="G203" s="27" t="n">
        <v>0</v>
      </c>
      <c r="H203" s="27" t="n">
        <v>0</v>
      </c>
      <c r="I203" s="27" t="n">
        <v>0</v>
      </c>
      <c r="J203" s="27" t="n">
        <v>0</v>
      </c>
      <c r="K203" s="27" t="n">
        <v>0</v>
      </c>
      <c r="L203" s="27" t="n">
        <v>55102.42503565436</v>
      </c>
      <c r="M203" s="27" t="n">
        <v>92068.04348485394</v>
      </c>
      <c r="N203" s="27" t="n">
        <v>1626535.434899087</v>
      </c>
      <c r="O203" s="27" t="n">
        <v>1626535.434899087</v>
      </c>
      <c r="P203" s="27" t="n">
        <v>0</v>
      </c>
      <c r="Q203" s="12" t="inlineStr">
        <is>
          <t>withdrawal</t>
        </is>
      </c>
    </row>
    <row r="204" ht="30" customHeight="1">
      <c r="A204" s="26" t="n">
        <v>2045</v>
      </c>
      <c r="B204" s="12" t="inlineStr">
        <is>
          <t>Patricia 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 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 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Matthew 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Matthew 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Matthew 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Matthew Roth</t>
        </is>
      </c>
      <c r="C210" s="12" t="inlineStr">
        <is>
          <t>Matthew</t>
        </is>
      </c>
      <c r="D210" s="41" t="inlineStr">
        <is>
          <t>roth</t>
        </is>
      </c>
      <c r="E210" s="12" t="inlineStr">
        <is>
          <t>roth_ira</t>
        </is>
      </c>
      <c r="F210" s="27" t="n">
        <v>2068976.906938427</v>
      </c>
      <c r="G210" s="27" t="n">
        <v>0</v>
      </c>
      <c r="H210" s="27" t="n">
        <v>0</v>
      </c>
      <c r="I210" s="27" t="n">
        <v>0</v>
      </c>
      <c r="J210" s="27" t="n">
        <v>0</v>
      </c>
      <c r="K210" s="27" t="n">
        <v>0</v>
      </c>
      <c r="L210" s="27" t="n">
        <v>72431.58330258829</v>
      </c>
      <c r="M210" s="27" t="n">
        <v>119792.7194181503</v>
      </c>
      <c r="N210" s="27" t="n">
        <v>2116338.043053989</v>
      </c>
      <c r="O210" s="27" t="n">
        <v>2116338.043053989</v>
      </c>
      <c r="P210" s="27" t="n">
        <v>0</v>
      </c>
      <c r="Q210" s="12" t="inlineStr">
        <is>
          <t>withdrawal</t>
        </is>
      </c>
    </row>
    <row r="211" ht="30" customHeight="1">
      <c r="A211" s="26" t="n">
        <v>2046</v>
      </c>
      <c r="B211" s="12" t="inlineStr">
        <is>
          <t>Matthew 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0</v>
      </c>
      <c r="N211" s="27" t="n">
        <v>0</v>
      </c>
      <c r="O211" s="27" t="n">
        <v>0</v>
      </c>
      <c r="P211" s="27" t="n">
        <v>0</v>
      </c>
      <c r="Q211" s="33" t="inlineStr"/>
    </row>
    <row r="212" ht="30" customHeight="1">
      <c r="A212" s="26" t="n">
        <v>2046</v>
      </c>
      <c r="B212" s="12" t="inlineStr">
        <is>
          <t>Patricia 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Patricia Roth</t>
        </is>
      </c>
      <c r="C213" s="12" t="inlineStr">
        <is>
          <t>Patricia</t>
        </is>
      </c>
      <c r="D213" s="41" t="inlineStr">
        <is>
          <t>roth</t>
        </is>
      </c>
      <c r="E213" s="12" t="inlineStr">
        <is>
          <t>roth_ira</t>
        </is>
      </c>
      <c r="F213" s="27" t="n">
        <v>1626535.434899087</v>
      </c>
      <c r="G213" s="27" t="n">
        <v>0</v>
      </c>
      <c r="H213" s="27" t="n">
        <v>0</v>
      </c>
      <c r="I213" s="27" t="n">
        <v>0</v>
      </c>
      <c r="J213" s="27" t="n">
        <v>0</v>
      </c>
      <c r="K213" s="27" t="n">
        <v>0</v>
      </c>
      <c r="L213" s="27" t="n">
        <v>56942.41267382642</v>
      </c>
      <c r="M213" s="27" t="n">
        <v>94175.58133351561</v>
      </c>
      <c r="N213" s="27" t="n">
        <v>1663768.603558776</v>
      </c>
      <c r="O213" s="27" t="n">
        <v>1663768.603558776</v>
      </c>
      <c r="P213" s="27" t="n">
        <v>0</v>
      </c>
      <c r="Q213" s="12" t="inlineStr">
        <is>
          <t>withdrawal</t>
        </is>
      </c>
    </row>
    <row r="214" ht="30" customHeight="1">
      <c r="A214" s="26" t="n">
        <v>2046</v>
      </c>
      <c r="B214" s="12" t="inlineStr">
        <is>
          <t>Patricia 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 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 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Matthew 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Matthew 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Matthew 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Matthew Roth</t>
        </is>
      </c>
      <c r="C220" s="12" t="inlineStr">
        <is>
          <t>Matthew</t>
        </is>
      </c>
      <c r="D220" s="41" t="inlineStr">
        <is>
          <t>roth</t>
        </is>
      </c>
      <c r="E220" s="12" t="inlineStr">
        <is>
          <t>roth_ira</t>
        </is>
      </c>
      <c r="F220" s="27" t="n">
        <v>2116338.043053989</v>
      </c>
      <c r="G220" s="27" t="n">
        <v>0</v>
      </c>
      <c r="H220" s="27" t="n">
        <v>0</v>
      </c>
      <c r="I220" s="27" t="n">
        <v>0</v>
      </c>
      <c r="J220" s="27" t="n">
        <v>0</v>
      </c>
      <c r="K220" s="27" t="n">
        <v>0</v>
      </c>
      <c r="L220" s="27" t="n">
        <v>79254.42640619482</v>
      </c>
      <c r="M220" s="27" t="n">
        <v>122225.0169988676</v>
      </c>
      <c r="N220" s="27" t="n">
        <v>2159308.633646661</v>
      </c>
      <c r="O220" s="27" t="n">
        <v>2159308.633646661</v>
      </c>
      <c r="P220" s="27" t="n">
        <v>0</v>
      </c>
      <c r="Q220" s="12" t="inlineStr">
        <is>
          <t>withdrawal</t>
        </is>
      </c>
    </row>
    <row r="221" ht="30" customHeight="1">
      <c r="A221" s="26" t="n">
        <v>2047</v>
      </c>
      <c r="B221" s="12" t="inlineStr">
        <is>
          <t>Matthew Trust</t>
        </is>
      </c>
      <c r="C221" s="12" t="inlineStr">
        <is>
          <t>Matthew</t>
        </is>
      </c>
      <c r="D221" s="41" t="inlineStr">
        <is>
          <t>taxable</t>
        </is>
      </c>
      <c r="E221" s="12" t="inlineStr">
        <is>
          <t>trust</t>
        </is>
      </c>
      <c r="F221" s="27" t="n">
        <v>0</v>
      </c>
      <c r="G221" s="27" t="n">
        <v>0</v>
      </c>
      <c r="H221" s="27" t="n">
        <v>0</v>
      </c>
      <c r="I221" s="27" t="n">
        <v>0</v>
      </c>
      <c r="J221" s="27" t="n">
        <v>0</v>
      </c>
      <c r="K221" s="27" t="n">
        <v>0</v>
      </c>
      <c r="L221" s="27" t="n">
        <v>0</v>
      </c>
      <c r="M221" s="27" t="n">
        <v>0</v>
      </c>
      <c r="N221" s="27" t="n">
        <v>0</v>
      </c>
      <c r="O221" s="27" t="n">
        <v>0</v>
      </c>
      <c r="P221" s="27" t="n">
        <v>0</v>
      </c>
      <c r="Q221" s="33" t="inlineStr"/>
    </row>
    <row r="222" ht="30" customHeight="1">
      <c r="A222" s="26" t="n">
        <v>2047</v>
      </c>
      <c r="B222" s="12" t="inlineStr">
        <is>
          <t>Patricia 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Patricia Roth</t>
        </is>
      </c>
      <c r="C223" s="12" t="inlineStr">
        <is>
          <t>Patricia</t>
        </is>
      </c>
      <c r="D223" s="41" t="inlineStr">
        <is>
          <t>roth</t>
        </is>
      </c>
      <c r="E223" s="12" t="inlineStr">
        <is>
          <t>roth_ira</t>
        </is>
      </c>
      <c r="F223" s="27" t="n">
        <v>1663768.603558776</v>
      </c>
      <c r="G223" s="27" t="n">
        <v>0</v>
      </c>
      <c r="H223" s="27" t="n">
        <v>0</v>
      </c>
      <c r="I223" s="27" t="n">
        <v>0</v>
      </c>
      <c r="J223" s="27" t="n">
        <v>0</v>
      </c>
      <c r="K223" s="27" t="n">
        <v>0</v>
      </c>
      <c r="L223" s="27" t="n">
        <v>62306.22124875855</v>
      </c>
      <c r="M223" s="27" t="n">
        <v>96087.74293860105</v>
      </c>
      <c r="N223" s="27" t="n">
        <v>1697550.125248618</v>
      </c>
      <c r="O223" s="27" t="n">
        <v>1697550.125248618</v>
      </c>
      <c r="P223" s="27" t="n">
        <v>0</v>
      </c>
      <c r="Q223" s="12" t="inlineStr">
        <is>
          <t>withdrawal</t>
        </is>
      </c>
    </row>
    <row r="224" ht="30" customHeight="1">
      <c r="A224" s="26" t="n">
        <v>2047</v>
      </c>
      <c r="B224" s="12" t="inlineStr">
        <is>
          <t>Patricia 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 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 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Matthew 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Matthew 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Matthew 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Matthew Roth</t>
        </is>
      </c>
      <c r="C230" s="12" t="inlineStr">
        <is>
          <t>Matthew</t>
        </is>
      </c>
      <c r="D230" s="41" t="inlineStr">
        <is>
          <t>roth</t>
        </is>
      </c>
      <c r="E230" s="12" t="inlineStr">
        <is>
          <t>roth_ira</t>
        </is>
      </c>
      <c r="F230" s="27" t="n">
        <v>2159308.633646661</v>
      </c>
      <c r="G230" s="27" t="n">
        <v>0</v>
      </c>
      <c r="H230" s="27" t="n">
        <v>0</v>
      </c>
      <c r="I230" s="27" t="n">
        <v>0</v>
      </c>
      <c r="J230" s="27" t="n">
        <v>0</v>
      </c>
      <c r="K230" s="27" t="n">
        <v>0</v>
      </c>
      <c r="L230" s="27" t="n">
        <v>92366.65920761267</v>
      </c>
      <c r="M230" s="27" t="n">
        <v>124016.5184663429</v>
      </c>
      <c r="N230" s="27" t="n">
        <v>2190958.492905391</v>
      </c>
      <c r="O230" s="27" t="n">
        <v>2190958.492905391</v>
      </c>
      <c r="P230" s="27" t="n">
        <v>0</v>
      </c>
      <c r="Q230" s="12" t="inlineStr">
        <is>
          <t>withdrawal</t>
        </is>
      </c>
    </row>
    <row r="231" ht="30" customHeight="1">
      <c r="A231" s="26" t="n">
        <v>2048</v>
      </c>
      <c r="B231" s="12" t="inlineStr">
        <is>
          <t>Matthew 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Patricia 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Patricia Roth</t>
        </is>
      </c>
      <c r="C233" s="12" t="inlineStr">
        <is>
          <t>Patricia</t>
        </is>
      </c>
      <c r="D233" s="41" t="inlineStr">
        <is>
          <t>roth</t>
        </is>
      </c>
      <c r="E233" s="12" t="inlineStr">
        <is>
          <t>roth_ira</t>
        </is>
      </c>
      <c r="F233" s="27" t="n">
        <v>1697550.125248618</v>
      </c>
      <c r="G233" s="27" t="n">
        <v>0</v>
      </c>
      <c r="H233" s="27" t="n">
        <v>0</v>
      </c>
      <c r="I233" s="27" t="n">
        <v>0</v>
      </c>
      <c r="J233" s="27" t="n">
        <v>0</v>
      </c>
      <c r="K233" s="27" t="n">
        <v>0</v>
      </c>
      <c r="L233" s="27" t="n">
        <v>72614.4616213936</v>
      </c>
      <c r="M233" s="27" t="n">
        <v>97496.13981763348</v>
      </c>
      <c r="N233" s="27" t="n">
        <v>1722431.803444858</v>
      </c>
      <c r="O233" s="27" t="n">
        <v>1722431.803444858</v>
      </c>
      <c r="P233" s="27" t="n">
        <v>0</v>
      </c>
      <c r="Q233" s="12" t="inlineStr">
        <is>
          <t>withdrawal</t>
        </is>
      </c>
    </row>
    <row r="234" ht="30" customHeight="1">
      <c r="A234" s="26" t="n">
        <v>2048</v>
      </c>
      <c r="B234" s="12" t="inlineStr">
        <is>
          <t>Patricia 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 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 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Matthew 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Matthew 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Matthew 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Matthew Roth</t>
        </is>
      </c>
      <c r="C240" s="12" t="inlineStr">
        <is>
          <t>Matthew</t>
        </is>
      </c>
      <c r="D240" s="41" t="inlineStr">
        <is>
          <t>roth</t>
        </is>
      </c>
      <c r="E240" s="12" t="inlineStr">
        <is>
          <t>roth_ira</t>
        </is>
      </c>
      <c r="F240" s="27" t="n">
        <v>2190958.492905391</v>
      </c>
      <c r="G240" s="27" t="n">
        <v>0</v>
      </c>
      <c r="H240" s="27" t="n">
        <v>0</v>
      </c>
      <c r="I240" s="27" t="n">
        <v>0</v>
      </c>
      <c r="J240" s="27" t="n">
        <v>0</v>
      </c>
      <c r="K240" s="27" t="n">
        <v>0</v>
      </c>
      <c r="L240" s="27" t="n">
        <v>94506.42025820605</v>
      </c>
      <c r="M240" s="27" t="n">
        <v>125787.1243588311</v>
      </c>
      <c r="N240" s="27" t="n">
        <v>2222239.197006017</v>
      </c>
      <c r="O240" s="27" t="n">
        <v>2222239.197006017</v>
      </c>
      <c r="P240" s="27" t="n">
        <v>0</v>
      </c>
      <c r="Q240" s="12" t="inlineStr">
        <is>
          <t>withdrawal</t>
        </is>
      </c>
    </row>
    <row r="241" ht="30" customHeight="1">
      <c r="A241" s="26" t="n">
        <v>2049</v>
      </c>
      <c r="B241" s="12" t="inlineStr">
        <is>
          <t>Matthew 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Patricia 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Patricia Roth</t>
        </is>
      </c>
      <c r="C243" s="12" t="inlineStr">
        <is>
          <t>Patricia</t>
        </is>
      </c>
      <c r="D243" s="41" t="inlineStr">
        <is>
          <t>roth</t>
        </is>
      </c>
      <c r="E243" s="12" t="inlineStr">
        <is>
          <t>roth_ira</t>
        </is>
      </c>
      <c r="F243" s="27" t="n">
        <v>1722431.803444858</v>
      </c>
      <c r="G243" s="27" t="n">
        <v>0</v>
      </c>
      <c r="H243" s="27" t="n">
        <v>0</v>
      </c>
      <c r="I243" s="27" t="n">
        <v>0</v>
      </c>
      <c r="J243" s="27" t="n">
        <v>0</v>
      </c>
      <c r="K243" s="27" t="n">
        <v>0</v>
      </c>
      <c r="L243" s="27" t="n">
        <v>74296.6443269305</v>
      </c>
      <c r="M243" s="27" t="n">
        <v>98888.10954707567</v>
      </c>
      <c r="N243" s="27" t="n">
        <v>1747023.268665003</v>
      </c>
      <c r="O243" s="27" t="n">
        <v>1747023.268665003</v>
      </c>
      <c r="P243" s="27" t="n">
        <v>0</v>
      </c>
      <c r="Q243" s="12" t="inlineStr">
        <is>
          <t>withdrawal</t>
        </is>
      </c>
    </row>
    <row r="244" ht="30" customHeight="1">
      <c r="A244" s="26" t="n">
        <v>2049</v>
      </c>
      <c r="B244" s="12" t="inlineStr">
        <is>
          <t>Patricia 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 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 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Matthew 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Matthew 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Matthew 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Matthew Roth</t>
        </is>
      </c>
      <c r="C250" s="12" t="inlineStr">
        <is>
          <t>Matthew</t>
        </is>
      </c>
      <c r="D250" s="41" t="inlineStr">
        <is>
          <t>roth</t>
        </is>
      </c>
      <c r="E250" s="12" t="inlineStr">
        <is>
          <t>roth_ira</t>
        </is>
      </c>
      <c r="F250" s="27" t="n">
        <v>2222239.197006017</v>
      </c>
      <c r="G250" s="27" t="n">
        <v>0</v>
      </c>
      <c r="H250" s="27" t="n">
        <v>0</v>
      </c>
      <c r="I250" s="27" t="n">
        <v>0</v>
      </c>
      <c r="J250" s="27" t="n">
        <v>0</v>
      </c>
      <c r="K250" s="27" t="n">
        <v>0</v>
      </c>
      <c r="L250" s="27" t="n">
        <v>96798.59544784081</v>
      </c>
      <c r="M250" s="27" t="n">
        <v>127526.4360934905</v>
      </c>
      <c r="N250" s="27" t="n">
        <v>2252967.037651666</v>
      </c>
      <c r="O250" s="27" t="n">
        <v>2252967.037651666</v>
      </c>
      <c r="P250" s="27" t="n">
        <v>0</v>
      </c>
      <c r="Q250" s="12" t="inlineStr">
        <is>
          <t>withdrawal</t>
        </is>
      </c>
    </row>
    <row r="251" ht="30" customHeight="1">
      <c r="A251" s="26" t="n">
        <v>2050</v>
      </c>
      <c r="B251" s="12" t="inlineStr">
        <is>
          <t>Matthew 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1.125280403814599e-12</v>
      </c>
      <c r="N251" s="27" t="n">
        <v>1.125280403814599e-12</v>
      </c>
      <c r="O251" s="27" t="n">
        <v>3.02291108605483e-11</v>
      </c>
      <c r="P251" s="27" t="n">
        <v>2.91038304567337e-11</v>
      </c>
      <c r="Q251" s="33" t="inlineStr"/>
    </row>
    <row r="252" ht="30" customHeight="1">
      <c r="A252" s="26" t="n">
        <v>2050</v>
      </c>
      <c r="B252" s="12" t="inlineStr">
        <is>
          <t>Patricia 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Patricia Roth</t>
        </is>
      </c>
      <c r="C253" s="12" t="inlineStr">
        <is>
          <t>Patricia</t>
        </is>
      </c>
      <c r="D253" s="41" t="inlineStr">
        <is>
          <t>roth</t>
        </is>
      </c>
      <c r="E253" s="12" t="inlineStr">
        <is>
          <t>roth_ira</t>
        </is>
      </c>
      <c r="F253" s="27" t="n">
        <v>1747023.268665003</v>
      </c>
      <c r="G253" s="27" t="n">
        <v>0</v>
      </c>
      <c r="H253" s="27" t="n">
        <v>0</v>
      </c>
      <c r="I253" s="27" t="n">
        <v>0</v>
      </c>
      <c r="J253" s="27" t="n">
        <v>0</v>
      </c>
      <c r="K253" s="27" t="n">
        <v>0</v>
      </c>
      <c r="L253" s="27" t="n">
        <v>76098.64808851642</v>
      </c>
      <c r="M253" s="27" t="n">
        <v>100255.4772345892</v>
      </c>
      <c r="N253" s="27" t="n">
        <v>1771180.097811076</v>
      </c>
      <c r="O253" s="27" t="n">
        <v>1771180.097811076</v>
      </c>
      <c r="P253" s="27" t="n">
        <v>0</v>
      </c>
      <c r="Q253" s="12" t="inlineStr">
        <is>
          <t>withdrawal</t>
        </is>
      </c>
    </row>
    <row r="254" ht="30" customHeight="1">
      <c r="A254" s="26" t="n">
        <v>2050</v>
      </c>
      <c r="B254" s="12" t="inlineStr">
        <is>
          <t>Patricia 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 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 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Matthew 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Matthew 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Matthew 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Matthew Roth</t>
        </is>
      </c>
      <c r="C260" s="12" t="inlineStr">
        <is>
          <t>Matthew</t>
        </is>
      </c>
      <c r="D260" s="41" t="inlineStr">
        <is>
          <t>roth</t>
        </is>
      </c>
      <c r="E260" s="12" t="inlineStr">
        <is>
          <t>roth_ira</t>
        </is>
      </c>
      <c r="F260" s="27" t="n">
        <v>2252967.037651666</v>
      </c>
      <c r="G260" s="27" t="n">
        <v>0</v>
      </c>
      <c r="H260" s="27" t="n">
        <v>0</v>
      </c>
      <c r="I260" s="27" t="n">
        <v>0</v>
      </c>
      <c r="J260" s="27" t="n">
        <v>0</v>
      </c>
      <c r="K260" s="27" t="n">
        <v>0</v>
      </c>
      <c r="L260" s="27" t="n">
        <v>99253.3681733034</v>
      </c>
      <c r="M260" s="27" t="n">
        <v>129222.8201687018</v>
      </c>
      <c r="N260" s="27" t="n">
        <v>2282936.489647065</v>
      </c>
      <c r="O260" s="27" t="n">
        <v>2282936.489647065</v>
      </c>
      <c r="P260" s="27" t="n">
        <v>0</v>
      </c>
      <c r="Q260" s="12" t="inlineStr">
        <is>
          <t>withdrawal</t>
        </is>
      </c>
    </row>
    <row r="261" ht="30" customHeight="1">
      <c r="A261" s="26" t="n">
        <v>2051</v>
      </c>
      <c r="B261" s="12" t="inlineStr">
        <is>
          <t>Matthew Trust</t>
        </is>
      </c>
      <c r="C261" s="12" t="inlineStr">
        <is>
          <t>Matthew</t>
        </is>
      </c>
      <c r="D261" s="41" t="inlineStr">
        <is>
          <t>taxable</t>
        </is>
      </c>
      <c r="E261" s="12" t="inlineStr">
        <is>
          <t>trust</t>
        </is>
      </c>
      <c r="F261" s="27" t="n">
        <v>3.02291108605483e-11</v>
      </c>
      <c r="G261" s="27" t="n">
        <v>0</v>
      </c>
      <c r="H261" s="27" t="n">
        <v>0</v>
      </c>
      <c r="I261" s="27" t="n">
        <v>0</v>
      </c>
      <c r="J261" s="27" t="n">
        <v>0</v>
      </c>
      <c r="K261" s="27" t="n">
        <v>0</v>
      </c>
      <c r="L261" s="27" t="n">
        <v>0</v>
      </c>
      <c r="M261" s="27" t="n">
        <v>1.125280403814599e-12</v>
      </c>
      <c r="N261" s="27" t="n">
        <v>3.13543912643629e-11</v>
      </c>
      <c r="O261" s="27" t="n">
        <v>3.02291108605483e-11</v>
      </c>
      <c r="P261" s="27" t="n">
        <v>-1.125280403814598e-12</v>
      </c>
      <c r="Q261" s="33" t="inlineStr"/>
    </row>
    <row r="262" ht="30" customHeight="1">
      <c r="A262" s="26" t="n">
        <v>2051</v>
      </c>
      <c r="B262" s="12" t="inlineStr">
        <is>
          <t>Patricia 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Patricia Roth</t>
        </is>
      </c>
      <c r="C263" s="12" t="inlineStr">
        <is>
          <t>Patricia</t>
        </is>
      </c>
      <c r="D263" s="41" t="inlineStr">
        <is>
          <t>roth</t>
        </is>
      </c>
      <c r="E263" s="12" t="inlineStr">
        <is>
          <t>roth_ira</t>
        </is>
      </c>
      <c r="F263" s="27" t="n">
        <v>1771180.097811076</v>
      </c>
      <c r="G263" s="27" t="n">
        <v>0</v>
      </c>
      <c r="H263" s="27" t="n">
        <v>0</v>
      </c>
      <c r="I263" s="27" t="n">
        <v>0</v>
      </c>
      <c r="J263" s="27" t="n">
        <v>0</v>
      </c>
      <c r="K263" s="27" t="n">
        <v>0</v>
      </c>
      <c r="L263" s="27" t="n">
        <v>78028.47862901144</v>
      </c>
      <c r="M263" s="27" t="n">
        <v>101589.0971509239</v>
      </c>
      <c r="N263" s="27" t="n">
        <v>1794740.716332989</v>
      </c>
      <c r="O263" s="27" t="n">
        <v>1794740.716332989</v>
      </c>
      <c r="P263" s="27" t="n">
        <v>0</v>
      </c>
      <c r="Q263" s="12" t="inlineStr">
        <is>
          <t>withdrawal</t>
        </is>
      </c>
    </row>
    <row r="264" ht="30" customHeight="1">
      <c r="A264" s="26" t="n">
        <v>2051</v>
      </c>
      <c r="B264" s="12" t="inlineStr">
        <is>
          <t>Patricia 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 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 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Matthew 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Matthew 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Matthew 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Matthew Roth</t>
        </is>
      </c>
      <c r="C270" s="12" t="inlineStr">
        <is>
          <t>Matthew</t>
        </is>
      </c>
      <c r="D270" s="41" t="inlineStr">
        <is>
          <t>roth</t>
        </is>
      </c>
      <c r="E270" s="12" t="inlineStr">
        <is>
          <t>roth_ira</t>
        </is>
      </c>
      <c r="F270" s="27" t="n">
        <v>2282936.489647065</v>
      </c>
      <c r="G270" s="27" t="n">
        <v>0</v>
      </c>
      <c r="H270" s="27" t="n">
        <v>0</v>
      </c>
      <c r="I270" s="27" t="n">
        <v>0</v>
      </c>
      <c r="J270" s="27" t="n">
        <v>0</v>
      </c>
      <c r="K270" s="27" t="n">
        <v>0</v>
      </c>
      <c r="L270" s="27" t="n">
        <v>101866.9879847832</v>
      </c>
      <c r="M270" s="27" t="n">
        <v>130864.1700997369</v>
      </c>
      <c r="N270" s="27" t="n">
        <v>2311933.671762019</v>
      </c>
      <c r="O270" s="27" t="n">
        <v>2311933.671762019</v>
      </c>
      <c r="P270" s="27" t="n">
        <v>0</v>
      </c>
      <c r="Q270" s="12" t="inlineStr">
        <is>
          <t>withdrawal</t>
        </is>
      </c>
    </row>
    <row r="271" ht="30" customHeight="1">
      <c r="A271" s="26" t="n">
        <v>2052</v>
      </c>
      <c r="B271" s="12" t="inlineStr">
        <is>
          <t>Matthew Trust</t>
        </is>
      </c>
      <c r="C271" s="12" t="inlineStr">
        <is>
          <t>Matthew</t>
        </is>
      </c>
      <c r="D271" s="41" t="inlineStr">
        <is>
          <t>taxable</t>
        </is>
      </c>
      <c r="E271" s="12" t="inlineStr">
        <is>
          <t>trust</t>
        </is>
      </c>
      <c r="F271" s="27" t="n">
        <v>3.02291108605483e-11</v>
      </c>
      <c r="G271" s="27" t="n">
        <v>0</v>
      </c>
      <c r="H271" s="27" t="n">
        <v>0</v>
      </c>
      <c r="I271" s="27" t="n">
        <v>0</v>
      </c>
      <c r="J271" s="27" t="n">
        <v>0</v>
      </c>
      <c r="K271" s="27" t="n">
        <v>0</v>
      </c>
      <c r="L271" s="27" t="n">
        <v>0</v>
      </c>
      <c r="M271" s="27" t="n">
        <v>1.125280403814599e-12</v>
      </c>
      <c r="N271" s="27" t="n">
        <v>3.13543912643629e-11</v>
      </c>
      <c r="O271" s="27" t="n">
        <v>3.02291108605483e-11</v>
      </c>
      <c r="P271" s="27" t="n">
        <v>-1.125280403814598e-12</v>
      </c>
      <c r="Q271" s="33" t="inlineStr"/>
    </row>
    <row r="272" ht="30" customHeight="1">
      <c r="A272" s="26" t="n">
        <v>2052</v>
      </c>
      <c r="B272" s="12" t="inlineStr">
        <is>
          <t>Patricia 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Patricia Roth</t>
        </is>
      </c>
      <c r="C273" s="12" t="inlineStr">
        <is>
          <t>Patricia</t>
        </is>
      </c>
      <c r="D273" s="41" t="inlineStr">
        <is>
          <t>roth</t>
        </is>
      </c>
      <c r="E273" s="12" t="inlineStr">
        <is>
          <t>roth_ira</t>
        </is>
      </c>
      <c r="F273" s="27" t="n">
        <v>1794740.716332989</v>
      </c>
      <c r="G273" s="27" t="n">
        <v>0</v>
      </c>
      <c r="H273" s="27" t="n">
        <v>0</v>
      </c>
      <c r="I273" s="27" t="n">
        <v>0</v>
      </c>
      <c r="J273" s="27" t="n">
        <v>0</v>
      </c>
      <c r="K273" s="27" t="n">
        <v>0</v>
      </c>
      <c r="L273" s="27" t="n">
        <v>80083.18751554842</v>
      </c>
      <c r="M273" s="27" t="n">
        <v>102879.4517290464</v>
      </c>
      <c r="N273" s="27" t="n">
        <v>1817536.980546487</v>
      </c>
      <c r="O273" s="27" t="n">
        <v>1817536.980546487</v>
      </c>
      <c r="P273" s="27" t="n">
        <v>0</v>
      </c>
      <c r="Q273" s="12" t="inlineStr">
        <is>
          <t>withdrawal</t>
        </is>
      </c>
    </row>
    <row r="274" ht="30" customHeight="1">
      <c r="A274" s="26" t="n">
        <v>2052</v>
      </c>
      <c r="B274" s="12" t="inlineStr">
        <is>
          <t>Patricia 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 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 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Matthew 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Matthew 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Matthew 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Matthew Roth</t>
        </is>
      </c>
      <c r="C280" s="12" t="inlineStr">
        <is>
          <t>Matthew</t>
        </is>
      </c>
      <c r="D280" s="41" t="inlineStr">
        <is>
          <t>roth</t>
        </is>
      </c>
      <c r="E280" s="12" t="inlineStr">
        <is>
          <t>roth_ira</t>
        </is>
      </c>
      <c r="F280" s="27" t="n">
        <v>2311933.671762019</v>
      </c>
      <c r="G280" s="27" t="n">
        <v>0</v>
      </c>
      <c r="H280" s="27" t="n">
        <v>0</v>
      </c>
      <c r="I280" s="27" t="n">
        <v>0</v>
      </c>
      <c r="J280" s="27" t="n">
        <v>0</v>
      </c>
      <c r="K280" s="27" t="n">
        <v>0</v>
      </c>
      <c r="L280" s="27" t="n">
        <v>104609.5875651571</v>
      </c>
      <c r="M280" s="27" t="n">
        <v>132439.4450518117</v>
      </c>
      <c r="N280" s="27" t="n">
        <v>2339763.529248673</v>
      </c>
      <c r="O280" s="27" t="n">
        <v>2339763.529248673</v>
      </c>
      <c r="P280" s="27" t="n">
        <v>0</v>
      </c>
      <c r="Q280" s="12" t="inlineStr">
        <is>
          <t>withdrawal</t>
        </is>
      </c>
    </row>
    <row r="281" ht="30" customHeight="1">
      <c r="A281" s="26" t="n">
        <v>2053</v>
      </c>
      <c r="B281" s="12" t="inlineStr">
        <is>
          <t>Matthew Trust</t>
        </is>
      </c>
      <c r="C281" s="12" t="inlineStr">
        <is>
          <t>Matthew</t>
        </is>
      </c>
      <c r="D281" s="41" t="inlineStr">
        <is>
          <t>taxable</t>
        </is>
      </c>
      <c r="E281" s="12" t="inlineStr">
        <is>
          <t>trust</t>
        </is>
      </c>
      <c r="F281" s="27" t="n">
        <v>3.02291108605483e-11</v>
      </c>
      <c r="G281" s="27" t="n">
        <v>0</v>
      </c>
      <c r="H281" s="27" t="n">
        <v>0</v>
      </c>
      <c r="I281" s="27" t="n">
        <v>0</v>
      </c>
      <c r="J281" s="27" t="n">
        <v>0</v>
      </c>
      <c r="K281" s="27" t="n">
        <v>0</v>
      </c>
      <c r="L281" s="27" t="n">
        <v>0</v>
      </c>
      <c r="M281" s="27" t="n">
        <v>0</v>
      </c>
      <c r="N281" s="27" t="n">
        <v>3.02291108605483e-11</v>
      </c>
      <c r="O281" s="27" t="n">
        <v>0</v>
      </c>
      <c r="P281" s="27" t="n">
        <v>-3.02291108605483e-11</v>
      </c>
      <c r="Q281" s="33" t="inlineStr"/>
    </row>
    <row r="282" ht="30" customHeight="1">
      <c r="A282" s="26" t="n">
        <v>2053</v>
      </c>
      <c r="B282" s="12" t="inlineStr">
        <is>
          <t>Patricia 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Patricia Roth</t>
        </is>
      </c>
      <c r="C283" s="12" t="inlineStr">
        <is>
          <t>Patricia</t>
        </is>
      </c>
      <c r="D283" s="41" t="inlineStr">
        <is>
          <t>roth</t>
        </is>
      </c>
      <c r="E283" s="12" t="inlineStr">
        <is>
          <t>roth_ira</t>
        </is>
      </c>
      <c r="F283" s="27" t="n">
        <v>1817536.980546487</v>
      </c>
      <c r="G283" s="27" t="n">
        <v>0</v>
      </c>
      <c r="H283" s="27" t="n">
        <v>0</v>
      </c>
      <c r="I283" s="27" t="n">
        <v>0</v>
      </c>
      <c r="J283" s="27" t="n">
        <v>0</v>
      </c>
      <c r="K283" s="27" t="n">
        <v>0</v>
      </c>
      <c r="L283" s="27" t="n">
        <v>82239.29442339137</v>
      </c>
      <c r="M283" s="27" t="n">
        <v>104117.8611673857</v>
      </c>
      <c r="N283" s="27" t="n">
        <v>1839415.547290481</v>
      </c>
      <c r="O283" s="27" t="n">
        <v>1839415.547290481</v>
      </c>
      <c r="P283" s="27" t="n">
        <v>0</v>
      </c>
      <c r="Q283" s="12" t="inlineStr">
        <is>
          <t>withdrawal</t>
        </is>
      </c>
    </row>
    <row r="284" ht="30" customHeight="1">
      <c r="A284" s="26" t="n">
        <v>2053</v>
      </c>
      <c r="B284" s="12" t="inlineStr">
        <is>
          <t>Patricia 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 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 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Matthew 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Matthew 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Matthew 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Matthew Roth</t>
        </is>
      </c>
      <c r="C290" s="12" t="inlineStr">
        <is>
          <t>Matthew</t>
        </is>
      </c>
      <c r="D290" s="41" t="inlineStr">
        <is>
          <t>roth</t>
        </is>
      </c>
      <c r="E290" s="12" t="inlineStr">
        <is>
          <t>roth_ira</t>
        </is>
      </c>
      <c r="F290" s="27" t="n">
        <v>2339763.529248673</v>
      </c>
      <c r="G290" s="27" t="n">
        <v>0</v>
      </c>
      <c r="H290" s="27" t="n">
        <v>0</v>
      </c>
      <c r="I290" s="27" t="n">
        <v>2339763.529248673</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Matthew 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Patricia 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Patricia Roth</t>
        </is>
      </c>
      <c r="C293" s="12" t="inlineStr">
        <is>
          <t>Patricia</t>
        </is>
      </c>
      <c r="D293" s="41" t="inlineStr">
        <is>
          <t>roth</t>
        </is>
      </c>
      <c r="E293" s="12" t="inlineStr">
        <is>
          <t>roth_ira</t>
        </is>
      </c>
      <c r="F293" s="27" t="n">
        <v>1839415.547290481</v>
      </c>
      <c r="G293" s="27" t="n">
        <v>0</v>
      </c>
      <c r="H293" s="27" t="n">
        <v>2339763.529248673</v>
      </c>
      <c r="I293" s="27" t="n">
        <v>0</v>
      </c>
      <c r="J293" s="27" t="n">
        <v>0</v>
      </c>
      <c r="K293" s="27" t="n">
        <v>0</v>
      </c>
      <c r="L293" s="27" t="n">
        <v>191986.3273586062</v>
      </c>
      <c r="M293" s="27" t="n">
        <v>239231.5649508329</v>
      </c>
      <c r="N293" s="27" t="n">
        <v>4226424.314131381</v>
      </c>
      <c r="O293" s="27" t="n">
        <v>4226424.314131381</v>
      </c>
      <c r="P293" s="27" t="n">
        <v>0</v>
      </c>
      <c r="Q293" s="12" t="inlineStr">
        <is>
          <t>transfer/rollover; withdrawal</t>
        </is>
      </c>
    </row>
    <row r="294" ht="45" customHeight="1">
      <c r="A294" s="26" t="n">
        <v>2054</v>
      </c>
      <c r="B294" s="12" t="inlineStr">
        <is>
          <t>Patricia 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 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 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Matthew 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Matthew 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Matthew 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Matthew 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Matthew 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Patricia 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Patricia Roth</t>
        </is>
      </c>
      <c r="C303" s="12" t="inlineStr">
        <is>
          <t>Patricia</t>
        </is>
      </c>
      <c r="D303" s="41" t="inlineStr">
        <is>
          <t>roth</t>
        </is>
      </c>
      <c r="E303" s="12" t="inlineStr">
        <is>
          <t>roth_ira</t>
        </is>
      </c>
      <c r="F303" s="27" t="n">
        <v>4226424.314131381</v>
      </c>
      <c r="G303" s="27" t="n">
        <v>0</v>
      </c>
      <c r="H303" s="27" t="n">
        <v>0</v>
      </c>
      <c r="I303" s="27" t="n">
        <v>0</v>
      </c>
      <c r="J303" s="27" t="n">
        <v>0</v>
      </c>
      <c r="K303" s="27" t="n">
        <v>0</v>
      </c>
      <c r="L303" s="27" t="n">
        <v>196499.0963505532</v>
      </c>
      <c r="M303" s="27" t="n">
        <v>241795.5130668496</v>
      </c>
      <c r="N303" s="27" t="n">
        <v>4271720.730847677</v>
      </c>
      <c r="O303" s="27" t="n">
        <v>4271720.730847677</v>
      </c>
      <c r="P303" s="27" t="n">
        <v>0</v>
      </c>
      <c r="Q303" s="12" t="inlineStr">
        <is>
          <t>withdrawal</t>
        </is>
      </c>
    </row>
    <row r="304" ht="30" customHeight="1">
      <c r="A304" s="26" t="n">
        <v>2055</v>
      </c>
      <c r="B304" s="12" t="inlineStr">
        <is>
          <t>Patricia 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 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 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Matthew 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Matthew 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Matthew 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Matthew 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Matthew 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Patricia 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Patricia Roth</t>
        </is>
      </c>
      <c r="C313" s="12" t="inlineStr">
        <is>
          <t>Patricia</t>
        </is>
      </c>
      <c r="D313" s="41" t="inlineStr">
        <is>
          <t>roth</t>
        </is>
      </c>
      <c r="E313" s="12" t="inlineStr">
        <is>
          <t>roth_ira</t>
        </is>
      </c>
      <c r="F313" s="27" t="n">
        <v>4271720.730847677</v>
      </c>
      <c r="G313" s="27" t="n">
        <v>0</v>
      </c>
      <c r="H313" s="27" t="n">
        <v>0</v>
      </c>
      <c r="I313" s="27" t="n">
        <v>0</v>
      </c>
      <c r="J313" s="27" t="n">
        <v>0</v>
      </c>
      <c r="K313" s="27" t="n">
        <v>0</v>
      </c>
      <c r="L313" s="27" t="n">
        <v>200802.9941202026</v>
      </c>
      <c r="M313" s="27" t="n">
        <v>244255.0642036485</v>
      </c>
      <c r="N313" s="27" t="n">
        <v>4315172.800931123</v>
      </c>
      <c r="O313" s="27" t="n">
        <v>4315172.800931123</v>
      </c>
      <c r="P313" s="27" t="n">
        <v>0</v>
      </c>
      <c r="Q313" s="12" t="inlineStr">
        <is>
          <t>withdrawal</t>
        </is>
      </c>
    </row>
    <row r="314" ht="30" customHeight="1">
      <c r="A314" s="26" t="n">
        <v>2056</v>
      </c>
      <c r="B314" s="12" t="inlineStr">
        <is>
          <t>Patricia 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$7,705,447</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NW=5,975,050 vs projection Y0=5,975,050</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$2,783,948</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$943,663</t>
        </is>
      </c>
    </row>
    <row r="15" ht="90" customHeight="1">
      <c r="A15" s="97" t="inlineStr">
        <is>
          <t>1E. Charts</t>
        </is>
      </c>
      <c r="B15" s="12" t="inlineStr">
        <is>
          <t>6 charts: NW, CF Income, CF Expense, MC Bands, Alloc Before, Alloc After</t>
        </is>
      </c>
      <c r="C15" s="4" t="n"/>
      <c r="D15" s="128" t="inlineStr">
        <is>
          <t>PASS</t>
        </is>
      </c>
      <c r="E15" s="12" t="inlineStr">
        <is>
          <t>NW, Income (15 ser, ymax=$500,000), Expense (8 ser, ymax=$500,000),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90" customHeight="1">
      <c r="A18" s="97" t="inlineStr">
        <is>
          <t>2A. Roth Conversion</t>
        </is>
      </c>
      <c r="B18" s="12" t="inlineStr">
        <is>
          <t>Canonical result contract, candidate scores, rejection reasons, and binding constraints rendered</t>
        </is>
      </c>
      <c r="C18" s="4" t="n"/>
      <c r="D18" s="128" t="inlineStr">
        <is>
          <t>PASS</t>
        </is>
      </c>
      <c r="E18" s="12" t="inlineStr">
        <is>
          <t>Total: $1,462,511  Forced: $125,000  Voluntary: $1,337,511</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retirement=38% of AGI</t>
        </is>
      </c>
    </row>
    <row r="21" ht="60" customHeight="1">
      <c r="A21" s="97" t="inlineStr">
        <is>
          <t>2G. Estate &amp; Legacy Planning</t>
        </is>
      </c>
      <c r="B21" s="12" t="inlineStr">
        <is>
          <t>Federal/IL tax, QTIP, Credit Shelter documented</t>
        </is>
      </c>
      <c r="C21" s="4" t="n"/>
      <c r="D21" s="128" t="inlineStr">
        <is>
          <t>PASS</t>
        </is>
      </c>
      <c r="E21" s="12" t="inlineStr">
        <is>
          <t>IL est. tax: $652,553,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16 sims, 5 quintiles, 25-cell sensitivity</t>
        </is>
      </c>
      <c r="C23" s="4" t="n"/>
      <c r="D23" s="128" t="inlineStr">
        <is>
          <t>PASS</t>
        </is>
      </c>
      <c r="E23" s="12" t="inlineStr">
        <is>
          <t>Funding success=68.8%, P50 liquid end=$7,167,702</t>
        </is>
      </c>
    </row>
    <row r="24" ht="30" customHeight="1">
      <c r="A24" s="97" t="inlineStr">
        <is>
          <t>17. LTC Stress Test</t>
        </is>
      </c>
      <c r="B24" s="12" t="inlineStr">
        <is>
          <t>Four scenarios modeled with plan-survives flag</t>
        </is>
      </c>
      <c r="C24" s="4" t="n"/>
      <c r="D24" s="128" t="inlineStr">
        <is>
          <t>PASS</t>
        </is>
      </c>
      <c r="E24" s="33" t="inlineStr"/>
    </row>
    <row r="25" ht="90" customHeight="1">
      <c r="A25" s="97" t="inlineStr">
        <is>
          <t>3B. Survivor</t>
        </is>
      </c>
      <c r="B25" s="12" t="inlineStr">
        <is>
          <t>5 early-death scenarios with full projection re-runs</t>
        </is>
      </c>
      <c r="C25" s="4" t="n"/>
      <c r="D25" s="128" t="inlineStr">
        <is>
          <t>PASS</t>
        </is>
      </c>
      <c r="E25" s="12" t="inlineStr">
        <is>
          <t>worst case: Both die at 75 (shortened plan) at $-2,198,238</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$40,732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$155,836 annualized</t>
        </is>
      </c>
    </row>
    <row r="33" ht="75" customHeight="1">
      <c r="A33" s="97" t="inlineStr">
        <is>
          <t>Spending Summary</t>
        </is>
      </c>
      <c r="B33" s="12" t="inlineStr">
        <is>
          <t>Taxonomy-aware spending summary, 7 tracking types</t>
        </is>
      </c>
      <c r="C33" s="4" t="n"/>
      <c r="D33" s="128" t="inlineStr">
        <is>
          <t>PASS</t>
        </is>
      </c>
      <c r="E33" s="12" t="inlineStr">
        <is>
          <t>$178,134 actual  |  $353,363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8"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Matthew Age</t>
        </is>
      </c>
      <c r="C2" s="39" t="inlineStr">
        <is>
          <t>Patricia Age</t>
        </is>
      </c>
      <c r="D2" s="39" t="inlineStr">
        <is>
          <t>Filing</t>
        </is>
      </c>
      <c r="E2" s="39" t="inlineStr">
        <is>
          <t>Matthew Alive</t>
        </is>
      </c>
      <c r="F2" s="39" t="inlineStr">
        <is>
          <t>Patricia Alive</t>
        </is>
      </c>
      <c r="G2" s="179" t="inlineStr">
        <is>
          <t>Matthew IRA Bal (BOY)</t>
        </is>
      </c>
      <c r="H2" s="179" t="inlineStr">
        <is>
          <t>Matthew 401k Bal</t>
        </is>
      </c>
      <c r="I2" s="179" t="inlineStr">
        <is>
          <t>Matthew RMD Required</t>
        </is>
      </c>
      <c r="J2" s="179" t="inlineStr">
        <is>
          <t>Matthew RMD Satisfied?</t>
        </is>
      </c>
      <c r="K2" s="179" t="inlineStr">
        <is>
          <t>Matthew IRA Elective</t>
        </is>
      </c>
      <c r="L2" s="179" t="inlineStr">
        <is>
          <t>Matthew IRA Conversion</t>
        </is>
      </c>
      <c r="M2" s="179" t="inlineStr">
        <is>
          <t>Matthew IRA Total Outflow</t>
        </is>
      </c>
      <c r="N2" s="177" t="inlineStr">
        <is>
          <t>Matthew IRA RMD%</t>
        </is>
      </c>
      <c r="O2" s="177" t="inlineStr">
        <is>
          <t>Patricia IRA Bal (BOY)</t>
        </is>
      </c>
      <c r="P2" s="177" t="inlineStr">
        <is>
          <t>Patricia RMD Required</t>
        </is>
      </c>
      <c r="Q2" s="177" t="inlineStr">
        <is>
          <t>Patricia RMD Satisfied?</t>
        </is>
      </c>
      <c r="R2" s="177" t="inlineStr">
        <is>
          <t>Patricia IRA Elective</t>
        </is>
      </c>
      <c r="S2" s="177" t="inlineStr">
        <is>
          <t>Patricia IRA Conversion</t>
        </is>
      </c>
      <c r="T2" s="180" t="inlineStr">
        <is>
          <t>Patricia IRA Total Outflow</t>
        </is>
      </c>
      <c r="U2" s="180" t="inlineStr">
        <is>
          <t>Patricia IRA RMD%</t>
        </is>
      </c>
      <c r="V2" s="180"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1" t="n">
        <v>2026</v>
      </c>
      <c r="B3" s="182" t="n">
        <v>64</v>
      </c>
      <c r="C3" s="181" t="n">
        <v>65</v>
      </c>
      <c r="D3" s="183" t="inlineStr">
        <is>
          <t>MFJ</t>
        </is>
      </c>
      <c r="E3" s="183" t="inlineStr">
        <is>
          <t>ALIVE</t>
        </is>
      </c>
      <c r="F3" s="183" t="inlineStr">
        <is>
          <t>ALIVE</t>
        </is>
      </c>
      <c r="G3" s="184" t="n">
        <v>1452862.3531052</v>
      </c>
      <c r="H3" s="184" t="n">
        <v>41270.464</v>
      </c>
      <c r="I3" s="185" t="n">
        <v>0</v>
      </c>
      <c r="J3" s="186" t="inlineStr">
        <is>
          <t>N/A</t>
        </is>
      </c>
      <c r="K3" s="184" t="n">
        <v>0</v>
      </c>
      <c r="L3" s="185" t="n">
        <v>0</v>
      </c>
      <c r="M3" s="184" t="n">
        <v>0</v>
      </c>
      <c r="N3" s="187" t="n"/>
      <c r="O3" s="185" t="n">
        <v>356004.4688181999</v>
      </c>
      <c r="P3" s="188" t="n">
        <v>0</v>
      </c>
      <c r="Q3" s="183" t="inlineStr">
        <is>
          <t>N/A</t>
        </is>
      </c>
      <c r="R3" s="185" t="n">
        <v>0</v>
      </c>
      <c r="S3" s="184" t="n">
        <v>125000</v>
      </c>
      <c r="T3" s="185" t="n">
        <v>125000</v>
      </c>
      <c r="U3" s="189" t="n"/>
      <c r="V3" s="184" t="n">
        <v>0</v>
      </c>
      <c r="W3" s="184" t="n">
        <v>0</v>
      </c>
      <c r="X3" s="184" t="n">
        <v>125000</v>
      </c>
      <c r="Y3" s="190" t="inlineStr">
        <is>
          <t>✓</t>
        </is>
      </c>
      <c r="Z3" s="191" t="inlineStr"/>
      <c r="AA3" s="191" t="inlineStr"/>
    </row>
    <row r="4" ht="15" customHeight="1">
      <c r="A4" s="181" t="n">
        <v>2027</v>
      </c>
      <c r="B4" s="182" t="n">
        <v>65</v>
      </c>
      <c r="C4" s="181" t="n">
        <v>66</v>
      </c>
      <c r="D4" s="183" t="inlineStr">
        <is>
          <t>MFJ</t>
        </is>
      </c>
      <c r="E4" s="183" t="inlineStr">
        <is>
          <t>ALIVE</t>
        </is>
      </c>
      <c r="F4" s="183" t="inlineStr">
        <is>
          <t>ALIVE</t>
        </is>
      </c>
      <c r="G4" s="184" t="n">
        <v>1540034.087068684</v>
      </c>
      <c r="H4" s="184" t="n">
        <v>43746.69163482609</v>
      </c>
      <c r="I4" s="185" t="n">
        <v>0</v>
      </c>
      <c r="J4" s="186" t="inlineStr">
        <is>
          <t>N/A</t>
        </is>
      </c>
      <c r="K4" s="184" t="n">
        <v>0.006813988620267761</v>
      </c>
      <c r="L4" s="185" t="n">
        <v>0</v>
      </c>
      <c r="M4" s="184" t="n">
        <v>0.006813988620267761</v>
      </c>
      <c r="N4" s="187" t="n">
        <v>0</v>
      </c>
      <c r="O4" s="185" t="n">
        <v>139084.9940576586</v>
      </c>
      <c r="P4" s="188" t="n">
        <v>0</v>
      </c>
      <c r="Q4" s="183" t="inlineStr">
        <is>
          <t>N/A</t>
        </is>
      </c>
      <c r="R4" s="185" t="n">
        <v>0.0006153912921257484</v>
      </c>
      <c r="S4" s="184" t="n">
        <v>224792.2096578476</v>
      </c>
      <c r="T4" s="185" t="n">
        <v>224792.2102732389</v>
      </c>
      <c r="U4" s="189" t="n">
        <v>0</v>
      </c>
      <c r="V4" s="184" t="n">
        <v>0</v>
      </c>
      <c r="W4" s="184" t="n">
        <v>0.00742937991239351</v>
      </c>
      <c r="X4" s="184" t="n">
        <v>224792.2170872276</v>
      </c>
      <c r="Y4" s="190" t="inlineStr">
        <is>
          <t>✓</t>
        </is>
      </c>
      <c r="Z4" s="191" t="inlineStr"/>
      <c r="AA4" s="191" t="inlineStr"/>
    </row>
    <row r="5" ht="15" customHeight="1">
      <c r="A5" s="181" t="n">
        <v>2028</v>
      </c>
      <c r="B5" s="182" t="n">
        <v>66</v>
      </c>
      <c r="C5" s="181" t="n">
        <v>67</v>
      </c>
      <c r="D5" s="183" t="inlineStr">
        <is>
          <t>MFJ</t>
        </is>
      </c>
      <c r="E5" s="183" t="inlineStr">
        <is>
          <t>ALIVE</t>
        </is>
      </c>
      <c r="F5" s="183" t="inlineStr">
        <is>
          <t>ALIVE</t>
        </is>
      </c>
      <c r="G5" s="184" t="n">
        <v>1553892.202311367</v>
      </c>
      <c r="H5" s="184" t="n">
        <v>0</v>
      </c>
      <c r="I5" s="185" t="n">
        <v>0</v>
      </c>
      <c r="J5" s="186" t="inlineStr">
        <is>
          <t>N/A</t>
        </is>
      </c>
      <c r="K5" s="184" t="n">
        <v>0.003955451609272059</v>
      </c>
      <c r="L5" s="185" t="n">
        <v>74098.04319684923</v>
      </c>
      <c r="M5" s="184" t="n">
        <v>74098.04715230085</v>
      </c>
      <c r="N5" s="187" t="n">
        <v>0</v>
      </c>
      <c r="O5" s="185" t="n">
        <v>0</v>
      </c>
      <c r="P5" s="188" t="n">
        <v>0</v>
      </c>
      <c r="Q5" s="183" t="inlineStr">
        <is>
          <t>N/A</t>
        </is>
      </c>
      <c r="R5" s="185" t="n">
        <v>0</v>
      </c>
      <c r="S5" s="184" t="n">
        <v>139084.9940576586</v>
      </c>
      <c r="T5" s="185" t="n">
        <v>139084.9940576586</v>
      </c>
      <c r="U5" s="189" t="n"/>
      <c r="V5" s="184" t="n">
        <v>0</v>
      </c>
      <c r="W5" s="184" t="n">
        <v>0.003955451609272059</v>
      </c>
      <c r="X5" s="184" t="n">
        <v>213183.0412099594</v>
      </c>
      <c r="Y5" s="190" t="inlineStr">
        <is>
          <t>✓</t>
        </is>
      </c>
      <c r="Z5" s="191" t="inlineStr"/>
      <c r="AA5" s="191" t="inlineStr"/>
    </row>
    <row r="6" ht="15" customHeight="1">
      <c r="A6" s="181" t="n">
        <v>2029</v>
      </c>
      <c r="B6" s="182" t="n">
        <v>67</v>
      </c>
      <c r="C6" s="181" t="n">
        <v>68</v>
      </c>
      <c r="D6" s="183" t="inlineStr">
        <is>
          <t>MFJ</t>
        </is>
      </c>
      <c r="E6" s="183" t="inlineStr">
        <is>
          <t>ALIVE</t>
        </is>
      </c>
      <c r="F6" s="183" t="inlineStr">
        <is>
          <t>ALIVE</t>
        </is>
      </c>
      <c r="G6" s="184" t="n">
        <v>1385141.730890491</v>
      </c>
      <c r="H6" s="184" t="n">
        <v>0</v>
      </c>
      <c r="I6" s="185" t="n">
        <v>0</v>
      </c>
      <c r="J6" s="186" t="inlineStr">
        <is>
          <t>N/A</t>
        </is>
      </c>
      <c r="K6" s="184" t="n">
        <v>102555.2384477788</v>
      </c>
      <c r="L6" s="185" t="n">
        <v>144599.4818914267</v>
      </c>
      <c r="M6" s="184" t="n">
        <v>247154.7203392055</v>
      </c>
      <c r="N6" s="187" t="n">
        <v>0</v>
      </c>
      <c r="O6" s="185" t="n">
        <v>0</v>
      </c>
      <c r="P6" s="188" t="n">
        <v>0</v>
      </c>
      <c r="Q6" s="183" t="inlineStr">
        <is>
          <t>N/A</t>
        </is>
      </c>
      <c r="R6" s="185" t="n">
        <v>0</v>
      </c>
      <c r="S6" s="184" t="n">
        <v>0</v>
      </c>
      <c r="T6" s="185" t="n">
        <v>0</v>
      </c>
      <c r="U6" s="189" t="n"/>
      <c r="V6" s="184" t="n">
        <v>0</v>
      </c>
      <c r="W6" s="184" t="n">
        <v>102555.2384477788</v>
      </c>
      <c r="X6" s="184" t="n">
        <v>247154.7203392055</v>
      </c>
      <c r="Y6" s="190" t="inlineStr">
        <is>
          <t>✓</t>
        </is>
      </c>
      <c r="Z6" s="191" t="inlineStr"/>
      <c r="AA6" s="191" t="inlineStr"/>
    </row>
    <row r="7" ht="15" customHeight="1">
      <c r="A7" s="181" t="n">
        <v>2030</v>
      </c>
      <c r="B7" s="182" t="n">
        <v>68</v>
      </c>
      <c r="C7" s="181" t="n">
        <v>69</v>
      </c>
      <c r="D7" s="183" t="inlineStr">
        <is>
          <t>MFJ</t>
        </is>
      </c>
      <c r="E7" s="183" t="inlineStr">
        <is>
          <t>ALIVE</t>
        </is>
      </c>
      <c r="F7" s="183" t="inlineStr">
        <is>
          <t>ALIVE</t>
        </is>
      </c>
      <c r="G7" s="184" t="n">
        <v>1191786.159549827</v>
      </c>
      <c r="H7" s="184" t="n">
        <v>0</v>
      </c>
      <c r="I7" s="185" t="n">
        <v>0</v>
      </c>
      <c r="J7" s="186" t="inlineStr">
        <is>
          <t>N/A</t>
        </is>
      </c>
      <c r="K7" s="184" t="n">
        <v>105517.6818934454</v>
      </c>
      <c r="L7" s="185" t="n">
        <v>155297.4833840013</v>
      </c>
      <c r="M7" s="184" t="n">
        <v>260815.1652774467</v>
      </c>
      <c r="N7" s="187" t="n">
        <v>0</v>
      </c>
      <c r="O7" s="185" t="n">
        <v>0</v>
      </c>
      <c r="P7" s="188" t="n">
        <v>0</v>
      </c>
      <c r="Q7" s="183" t="inlineStr">
        <is>
          <t>N/A</t>
        </is>
      </c>
      <c r="R7" s="185" t="n">
        <v>0</v>
      </c>
      <c r="S7" s="184" t="n">
        <v>0</v>
      </c>
      <c r="T7" s="185" t="n">
        <v>0</v>
      </c>
      <c r="U7" s="189" t="n"/>
      <c r="V7" s="184" t="n">
        <v>0</v>
      </c>
      <c r="W7" s="184" t="n">
        <v>105517.6818934454</v>
      </c>
      <c r="X7" s="184" t="n">
        <v>260815.1652774467</v>
      </c>
      <c r="Y7" s="190" t="inlineStr">
        <is>
          <t>✓</t>
        </is>
      </c>
      <c r="Z7" s="191" t="inlineStr"/>
      <c r="AA7" s="183" t="inlineStr">
        <is>
          <t>workplace plan rollover</t>
        </is>
      </c>
    </row>
    <row r="8" ht="15" customHeight="1">
      <c r="A8" s="181" t="n">
        <v>2031</v>
      </c>
      <c r="B8" s="182" t="n">
        <v>69</v>
      </c>
      <c r="C8" s="181" t="n">
        <v>70</v>
      </c>
      <c r="D8" s="183" t="inlineStr">
        <is>
          <t>MFJ</t>
        </is>
      </c>
      <c r="E8" s="183" t="inlineStr">
        <is>
          <t>ALIVE</t>
        </is>
      </c>
      <c r="F8" s="183" t="inlineStr">
        <is>
          <t>ALIVE</t>
        </is>
      </c>
      <c r="G8" s="184" t="n">
        <v>1031750.210528517</v>
      </c>
      <c r="H8" s="184" t="n">
        <v>0</v>
      </c>
      <c r="I8" s="185" t="n">
        <v>0</v>
      </c>
      <c r="J8" s="186" t="inlineStr">
        <is>
          <t>N/A</t>
        </is>
      </c>
      <c r="K8" s="184" t="n">
        <v>93169.69669736034</v>
      </c>
      <c r="L8" s="185" t="n">
        <v>125267.2076368838</v>
      </c>
      <c r="M8" s="184" t="n">
        <v>218436.9043342441</v>
      </c>
      <c r="N8" s="187" t="n">
        <v>0</v>
      </c>
      <c r="O8" s="185" t="n">
        <v>0</v>
      </c>
      <c r="P8" s="188" t="n">
        <v>0</v>
      </c>
      <c r="Q8" s="183" t="inlineStr">
        <is>
          <t>N/A</t>
        </is>
      </c>
      <c r="R8" s="185" t="n">
        <v>0</v>
      </c>
      <c r="S8" s="184" t="n">
        <v>0</v>
      </c>
      <c r="T8" s="185" t="n">
        <v>0</v>
      </c>
      <c r="U8" s="189" t="n"/>
      <c r="V8" s="184" t="n">
        <v>0</v>
      </c>
      <c r="W8" s="184" t="n">
        <v>93169.69669736034</v>
      </c>
      <c r="X8" s="184" t="n">
        <v>218436.9043342441</v>
      </c>
      <c r="Y8" s="190" t="inlineStr">
        <is>
          <t>✓</t>
        </is>
      </c>
      <c r="Z8" s="191" t="inlineStr"/>
      <c r="AA8" s="191" t="inlineStr"/>
    </row>
    <row r="9" ht="15" customHeight="1">
      <c r="A9" s="181" t="n">
        <v>2032</v>
      </c>
      <c r="B9" s="182" t="n">
        <v>70</v>
      </c>
      <c r="C9" s="181" t="n">
        <v>71</v>
      </c>
      <c r="D9" s="183" t="inlineStr">
        <is>
          <t>MFJ</t>
        </is>
      </c>
      <c r="E9" s="183" t="inlineStr">
        <is>
          <t>ALIVE</t>
        </is>
      </c>
      <c r="F9" s="183" t="inlineStr">
        <is>
          <t>ALIVE</t>
        </is>
      </c>
      <c r="G9" s="184" t="n">
        <v>769378.2251707938</v>
      </c>
      <c r="H9" s="184" t="n">
        <v>0</v>
      </c>
      <c r="I9" s="185" t="n">
        <v>0</v>
      </c>
      <c r="J9" s="186" t="inlineStr">
        <is>
          <t>N/A</t>
        </is>
      </c>
      <c r="K9" s="184" t="n">
        <v>197013.2061599678</v>
      </c>
      <c r="L9" s="185" t="n">
        <v>108908.4900564799</v>
      </c>
      <c r="M9" s="184" t="n">
        <v>305921.6962164477</v>
      </c>
      <c r="N9" s="187" t="n">
        <v>0</v>
      </c>
      <c r="O9" s="185" t="n">
        <v>0</v>
      </c>
      <c r="P9" s="188" t="n">
        <v>0</v>
      </c>
      <c r="Q9" s="183" t="inlineStr">
        <is>
          <t>N/A</t>
        </is>
      </c>
      <c r="R9" s="185" t="n">
        <v>0</v>
      </c>
      <c r="S9" s="184" t="n">
        <v>0</v>
      </c>
      <c r="T9" s="185" t="n">
        <v>0</v>
      </c>
      <c r="U9" s="189" t="n"/>
      <c r="V9" s="184" t="n">
        <v>0</v>
      </c>
      <c r="W9" s="184" t="n">
        <v>197013.2061599678</v>
      </c>
      <c r="X9" s="184" t="n">
        <v>305921.6962164477</v>
      </c>
      <c r="Y9" s="190" t="inlineStr">
        <is>
          <t>✓</t>
        </is>
      </c>
      <c r="Z9" s="191" t="inlineStr"/>
      <c r="AA9" s="191" t="inlineStr"/>
    </row>
    <row r="10" ht="15" customHeight="1">
      <c r="A10" s="181" t="n">
        <v>2033</v>
      </c>
      <c r="B10" s="182" t="n">
        <v>71</v>
      </c>
      <c r="C10" s="181" t="n">
        <v>72</v>
      </c>
      <c r="D10" s="183" t="inlineStr">
        <is>
          <t>MFJ</t>
        </is>
      </c>
      <c r="E10" s="183" t="inlineStr">
        <is>
          <t>ALIVE</t>
        </is>
      </c>
      <c r="F10" s="183" t="inlineStr">
        <is>
          <t>ALIVE</t>
        </is>
      </c>
      <c r="G10" s="184" t="n">
        <v>611393.9390988661</v>
      </c>
      <c r="H10" s="184" t="n">
        <v>0</v>
      </c>
      <c r="I10" s="185" t="n">
        <v>0</v>
      </c>
      <c r="J10" s="186" t="inlineStr">
        <is>
          <t>N/A</t>
        </is>
      </c>
      <c r="K10" s="184" t="n">
        <v>76368.04381169875</v>
      </c>
      <c r="L10" s="185" t="n">
        <v>116223.4463601649</v>
      </c>
      <c r="M10" s="184" t="n">
        <v>192591.4901718636</v>
      </c>
      <c r="N10" s="187" t="n">
        <v>0</v>
      </c>
      <c r="O10" s="185" t="n">
        <v>0</v>
      </c>
      <c r="P10" s="188" t="n">
        <v>0</v>
      </c>
      <c r="Q10" s="183" t="inlineStr">
        <is>
          <t>N/A</t>
        </is>
      </c>
      <c r="R10" s="185" t="n">
        <v>0</v>
      </c>
      <c r="S10" s="184" t="n">
        <v>0</v>
      </c>
      <c r="T10" s="185" t="n">
        <v>0</v>
      </c>
      <c r="U10" s="189" t="n"/>
      <c r="V10" s="184" t="n">
        <v>0</v>
      </c>
      <c r="W10" s="184" t="n">
        <v>76368.04381169875</v>
      </c>
      <c r="X10" s="184" t="n">
        <v>192591.4901718636</v>
      </c>
      <c r="Y10" s="190" t="inlineStr">
        <is>
          <t>✓</t>
        </is>
      </c>
      <c r="Z10" s="191" t="inlineStr"/>
      <c r="AA10" s="191" t="inlineStr"/>
    </row>
    <row r="11" ht="15" customHeight="1">
      <c r="A11" s="181" t="n">
        <v>2034</v>
      </c>
      <c r="B11" s="182" t="n">
        <v>72</v>
      </c>
      <c r="C11" s="181" t="n">
        <v>73</v>
      </c>
      <c r="D11" s="183" t="inlineStr">
        <is>
          <t>MFJ</t>
        </is>
      </c>
      <c r="E11" s="183" t="inlineStr">
        <is>
          <t>ALIVE</t>
        </is>
      </c>
      <c r="F11" s="183" t="inlineStr">
        <is>
          <t>ALIVE</t>
        </is>
      </c>
      <c r="G11" s="184" t="n">
        <v>341503.4631509617</v>
      </c>
      <c r="H11" s="184" t="n">
        <v>0</v>
      </c>
      <c r="I11" s="185" t="n">
        <v>0</v>
      </c>
      <c r="J11" s="186" t="inlineStr">
        <is>
          <t>N/A</t>
        </is>
      </c>
      <c r="K11" s="184" t="n">
        <v>165626.6796342347</v>
      </c>
      <c r="L11" s="185" t="n">
        <v>123594.1810203279</v>
      </c>
      <c r="M11" s="184" t="n">
        <v>289220.8606545626</v>
      </c>
      <c r="N11" s="187" t="n">
        <v>0</v>
      </c>
      <c r="O11" s="185" t="n">
        <v>0</v>
      </c>
      <c r="P11" s="188" t="n">
        <v>0</v>
      </c>
      <c r="Q11" s="183" t="inlineStr">
        <is>
          <t>N/A</t>
        </is>
      </c>
      <c r="R11" s="185" t="n">
        <v>0</v>
      </c>
      <c r="S11" s="184" t="n">
        <v>0</v>
      </c>
      <c r="T11" s="185" t="n">
        <v>0</v>
      </c>
      <c r="U11" s="189" t="n"/>
      <c r="V11" s="184" t="n">
        <v>0</v>
      </c>
      <c r="W11" s="184" t="n">
        <v>165626.6796342347</v>
      </c>
      <c r="X11" s="184" t="n">
        <v>289220.8606545626</v>
      </c>
      <c r="Y11" s="190" t="inlineStr">
        <is>
          <t>✓</t>
        </is>
      </c>
      <c r="Z11" s="191" t="inlineStr"/>
      <c r="AA11" s="191" t="inlineStr"/>
    </row>
    <row r="12" ht="15" customHeight="1">
      <c r="A12" s="181" t="n">
        <v>2035</v>
      </c>
      <c r="B12" s="182" t="n">
        <v>73</v>
      </c>
      <c r="C12" s="181" t="n">
        <v>74</v>
      </c>
      <c r="D12" s="183" t="inlineStr">
        <is>
          <t>MFJ</t>
        </is>
      </c>
      <c r="E12" s="183" t="inlineStr">
        <is>
          <t>ALIVE</t>
        </is>
      </c>
      <c r="F12" s="183" t="inlineStr">
        <is>
          <t>ALIVE</t>
        </is>
      </c>
      <c r="G12" s="184" t="n">
        <v>98709.0399866713</v>
      </c>
      <c r="H12" s="184" t="n">
        <v>0</v>
      </c>
      <c r="I12" s="185" t="n">
        <v>0</v>
      </c>
      <c r="J12" s="186" t="inlineStr">
        <is>
          <t>N/A</t>
        </is>
      </c>
      <c r="K12" s="184" t="n">
        <v>122735.9682249518</v>
      </c>
      <c r="L12" s="185" t="n">
        <v>125645.7590895275</v>
      </c>
      <c r="M12" s="184" t="n">
        <v>248381.7273144793</v>
      </c>
      <c r="N12" s="187" t="n">
        <v>0</v>
      </c>
      <c r="O12" s="185" t="n">
        <v>0</v>
      </c>
      <c r="P12" s="188" t="n">
        <v>0</v>
      </c>
      <c r="Q12" s="183" t="inlineStr">
        <is>
          <t>N/A</t>
        </is>
      </c>
      <c r="R12" s="185" t="n">
        <v>0</v>
      </c>
      <c r="S12" s="184" t="n">
        <v>0</v>
      </c>
      <c r="T12" s="185" t="n">
        <v>0</v>
      </c>
      <c r="U12" s="189" t="n"/>
      <c r="V12" s="184" t="n">
        <v>0</v>
      </c>
      <c r="W12" s="184" t="n">
        <v>122735.9682249518</v>
      </c>
      <c r="X12" s="184" t="n">
        <v>248381.7273144793</v>
      </c>
      <c r="Y12" s="190" t="inlineStr">
        <is>
          <t>✓</t>
        </is>
      </c>
      <c r="Z12" s="191" t="inlineStr"/>
      <c r="AA12" s="191" t="inlineStr"/>
    </row>
    <row r="13" ht="15" customHeight="1">
      <c r="A13" s="181" t="n">
        <v>2036</v>
      </c>
      <c r="B13" s="182" t="n">
        <v>74</v>
      </c>
      <c r="C13" s="181" t="n">
        <v>75</v>
      </c>
      <c r="D13" s="183" t="inlineStr">
        <is>
          <t>MFJ</t>
        </is>
      </c>
      <c r="E13" s="183" t="inlineStr">
        <is>
          <t>ALIVE</t>
        </is>
      </c>
      <c r="F13" s="183" t="inlineStr">
        <is>
          <t>ALIVE</t>
        </is>
      </c>
      <c r="G13" s="184" t="n">
        <v>17388.55102924682</v>
      </c>
      <c r="H13" s="184" t="n">
        <v>0</v>
      </c>
      <c r="I13" s="185" t="n">
        <v>0</v>
      </c>
      <c r="J13" s="186" t="inlineStr">
        <is>
          <t>N/A</t>
        </is>
      </c>
      <c r="K13" s="184" t="n">
        <v>82304.74656285354</v>
      </c>
      <c r="L13" s="185" t="n">
        <v>0</v>
      </c>
      <c r="M13" s="184" t="n">
        <v>82304.74656285354</v>
      </c>
      <c r="N13" s="187" t="n">
        <v>0</v>
      </c>
      <c r="O13" s="185" t="n">
        <v>0</v>
      </c>
      <c r="P13" s="188" t="n">
        <v>0</v>
      </c>
      <c r="Q13" s="183" t="inlineStr">
        <is>
          <t>✓</t>
        </is>
      </c>
      <c r="R13" s="185" t="n">
        <v>0</v>
      </c>
      <c r="S13" s="184" t="n">
        <v>0</v>
      </c>
      <c r="T13" s="185" t="n">
        <v>0</v>
      </c>
      <c r="U13" s="189" t="n"/>
      <c r="V13" s="184" t="n">
        <v>0</v>
      </c>
      <c r="W13" s="184" t="n">
        <v>82304.74656285354</v>
      </c>
      <c r="X13" s="184" t="n">
        <v>82304.74656285354</v>
      </c>
      <c r="Y13" s="190" t="inlineStr">
        <is>
          <t>✓</t>
        </is>
      </c>
      <c r="Z13" s="191" t="inlineStr"/>
      <c r="AA13" s="191" t="inlineStr"/>
    </row>
    <row r="14" ht="45" customHeight="1">
      <c r="A14" s="192" t="n">
        <v>2037</v>
      </c>
      <c r="B14" s="192" t="n">
        <v>75</v>
      </c>
      <c r="C14" s="192" t="n">
        <v>76</v>
      </c>
      <c r="D14" s="190" t="inlineStr">
        <is>
          <t>MFJ</t>
        </is>
      </c>
      <c r="E14" s="190" t="inlineStr">
        <is>
          <t>ALIVE</t>
        </is>
      </c>
      <c r="F14" s="190" t="inlineStr">
        <is>
          <t>ALIVE</t>
        </is>
      </c>
      <c r="G14" s="193" t="n">
        <v>0</v>
      </c>
      <c r="H14" s="193" t="n">
        <v>0</v>
      </c>
      <c r="I14" s="194" t="n">
        <v>706.8516678555618</v>
      </c>
      <c r="J14" s="190" t="inlineStr">
        <is>
          <t>✓</t>
        </is>
      </c>
      <c r="K14" s="193" t="n">
        <v>16681.69936139126</v>
      </c>
      <c r="L14" s="194" t="n">
        <v>0</v>
      </c>
      <c r="M14" s="193" t="n">
        <v>17388.55102924682</v>
      </c>
      <c r="N14" s="195" t="n">
        <v>0.04065040650406504</v>
      </c>
      <c r="O14" s="194" t="n">
        <v>0</v>
      </c>
      <c r="P14" s="196" t="n">
        <v>0</v>
      </c>
      <c r="Q14" s="190" t="inlineStr">
        <is>
          <t>✓</t>
        </is>
      </c>
      <c r="R14" s="194" t="n">
        <v>0</v>
      </c>
      <c r="S14" s="193" t="n">
        <v>0</v>
      </c>
      <c r="T14" s="194" t="n">
        <v>0</v>
      </c>
      <c r="U14" s="197" t="n"/>
      <c r="V14" s="193" t="n">
        <v>706.8516678555618</v>
      </c>
      <c r="W14" s="193" t="n">
        <v>17388.55102924682</v>
      </c>
      <c r="X14" s="193" t="n">
        <v>17388.55102924682</v>
      </c>
      <c r="Y14" s="190" t="inlineStr">
        <is>
          <t>✓</t>
        </is>
      </c>
      <c r="Z14" s="198" t="inlineStr"/>
      <c r="AA14" s="190" t="inlineStr">
        <is>
          <t>Matthew: RMD $707 + Elec $16,682</t>
        </is>
      </c>
    </row>
    <row r="15" ht="15" customHeight="1">
      <c r="A15" s="181" t="n">
        <v>2038</v>
      </c>
      <c r="B15" s="182" t="n">
        <v>76</v>
      </c>
      <c r="C15" s="181" t="n">
        <v>77</v>
      </c>
      <c r="D15" s="183" t="inlineStr">
        <is>
          <t>MFJ</t>
        </is>
      </c>
      <c r="E15" s="183" t="inlineStr">
        <is>
          <t>ALIVE</t>
        </is>
      </c>
      <c r="F15" s="183" t="inlineStr">
        <is>
          <t>ALIVE</t>
        </is>
      </c>
      <c r="G15" s="184" t="n">
        <v>0</v>
      </c>
      <c r="H15" s="184" t="n">
        <v>0</v>
      </c>
      <c r="I15" s="185" t="n">
        <v>0</v>
      </c>
      <c r="J15" s="190" t="inlineStr">
        <is>
          <t>✓</t>
        </is>
      </c>
      <c r="K15" s="184" t="n">
        <v>0</v>
      </c>
      <c r="L15" s="185" t="n">
        <v>0</v>
      </c>
      <c r="M15" s="184" t="n">
        <v>0</v>
      </c>
      <c r="N15" s="187" t="n"/>
      <c r="O15" s="185" t="n">
        <v>0</v>
      </c>
      <c r="P15" s="188" t="n">
        <v>0</v>
      </c>
      <c r="Q15" s="183" t="inlineStr">
        <is>
          <t>✓</t>
        </is>
      </c>
      <c r="R15" s="185" t="n">
        <v>0</v>
      </c>
      <c r="S15" s="184" t="n">
        <v>0</v>
      </c>
      <c r="T15" s="185" t="n">
        <v>0</v>
      </c>
      <c r="U15" s="189" t="n"/>
      <c r="V15" s="184" t="n">
        <v>0</v>
      </c>
      <c r="W15" s="184" t="n">
        <v>0</v>
      </c>
      <c r="X15" s="184" t="n">
        <v>0</v>
      </c>
      <c r="Y15" s="190" t="inlineStr">
        <is>
          <t>✓</t>
        </is>
      </c>
      <c r="Z15" s="191" t="inlineStr"/>
      <c r="AA15" s="191" t="inlineStr"/>
    </row>
    <row r="16" ht="15" customHeight="1">
      <c r="A16" s="181" t="n">
        <v>2039</v>
      </c>
      <c r="B16" s="182" t="n">
        <v>77</v>
      </c>
      <c r="C16" s="181" t="n">
        <v>78</v>
      </c>
      <c r="D16" s="183" t="inlineStr">
        <is>
          <t>MFJ</t>
        </is>
      </c>
      <c r="E16" s="183" t="inlineStr">
        <is>
          <t>ALIVE</t>
        </is>
      </c>
      <c r="F16" s="183" t="inlineStr">
        <is>
          <t>ALIVE</t>
        </is>
      </c>
      <c r="G16" s="184" t="n">
        <v>0</v>
      </c>
      <c r="H16" s="184" t="n">
        <v>0</v>
      </c>
      <c r="I16" s="185" t="n">
        <v>0</v>
      </c>
      <c r="J16" s="190" t="inlineStr">
        <is>
          <t>✓</t>
        </is>
      </c>
      <c r="K16" s="184" t="n">
        <v>0</v>
      </c>
      <c r="L16" s="185" t="n">
        <v>0</v>
      </c>
      <c r="M16" s="184" t="n">
        <v>0</v>
      </c>
      <c r="N16" s="187" t="n"/>
      <c r="O16" s="185" t="n">
        <v>0</v>
      </c>
      <c r="P16" s="188" t="n">
        <v>0</v>
      </c>
      <c r="Q16" s="183" t="inlineStr">
        <is>
          <t>✓</t>
        </is>
      </c>
      <c r="R16" s="185" t="n">
        <v>0</v>
      </c>
      <c r="S16" s="184" t="n">
        <v>0</v>
      </c>
      <c r="T16" s="185" t="n">
        <v>0</v>
      </c>
      <c r="U16" s="189" t="n"/>
      <c r="V16" s="184" t="n">
        <v>0</v>
      </c>
      <c r="W16" s="184" t="n">
        <v>0</v>
      </c>
      <c r="X16" s="184" t="n">
        <v>0</v>
      </c>
      <c r="Y16" s="190" t="inlineStr">
        <is>
          <t>✓</t>
        </is>
      </c>
      <c r="Z16" s="191" t="inlineStr"/>
      <c r="AA16" s="191" t="inlineStr"/>
    </row>
    <row r="17" ht="15" customHeight="1">
      <c r="A17" s="181" t="n">
        <v>2040</v>
      </c>
      <c r="B17" s="182" t="n">
        <v>78</v>
      </c>
      <c r="C17" s="181" t="n">
        <v>79</v>
      </c>
      <c r="D17" s="183" t="inlineStr">
        <is>
          <t>MFJ</t>
        </is>
      </c>
      <c r="E17" s="183" t="inlineStr">
        <is>
          <t>ALIVE</t>
        </is>
      </c>
      <c r="F17" s="183" t="inlineStr">
        <is>
          <t>ALIVE</t>
        </is>
      </c>
      <c r="G17" s="184" t="n">
        <v>0</v>
      </c>
      <c r="H17" s="184" t="n">
        <v>0</v>
      </c>
      <c r="I17" s="185" t="n">
        <v>0</v>
      </c>
      <c r="J17" s="190" t="inlineStr">
        <is>
          <t>✓</t>
        </is>
      </c>
      <c r="K17" s="184" t="n">
        <v>0</v>
      </c>
      <c r="L17" s="185" t="n">
        <v>0</v>
      </c>
      <c r="M17" s="184" t="n">
        <v>0</v>
      </c>
      <c r="N17" s="187" t="n"/>
      <c r="O17" s="185" t="n">
        <v>0</v>
      </c>
      <c r="P17" s="188" t="n">
        <v>0</v>
      </c>
      <c r="Q17" s="183" t="inlineStr">
        <is>
          <t>✓</t>
        </is>
      </c>
      <c r="R17" s="185" t="n">
        <v>0</v>
      </c>
      <c r="S17" s="184" t="n">
        <v>0</v>
      </c>
      <c r="T17" s="185" t="n">
        <v>0</v>
      </c>
      <c r="U17" s="189" t="n"/>
      <c r="V17" s="184" t="n">
        <v>0</v>
      </c>
      <c r="W17" s="184" t="n">
        <v>0</v>
      </c>
      <c r="X17" s="184" t="n">
        <v>0</v>
      </c>
      <c r="Y17" s="190" t="inlineStr">
        <is>
          <t>✓</t>
        </is>
      </c>
      <c r="Z17" s="191" t="inlineStr"/>
      <c r="AA17" s="191" t="inlineStr"/>
    </row>
    <row r="18" ht="15" customHeight="1">
      <c r="A18" s="181" t="n">
        <v>2041</v>
      </c>
      <c r="B18" s="182" t="n">
        <v>79</v>
      </c>
      <c r="C18" s="181" t="n">
        <v>80</v>
      </c>
      <c r="D18" s="183" t="inlineStr">
        <is>
          <t>MFJ</t>
        </is>
      </c>
      <c r="E18" s="183" t="inlineStr">
        <is>
          <t>ALIVE</t>
        </is>
      </c>
      <c r="F18" s="183" t="inlineStr">
        <is>
          <t>ALIVE</t>
        </is>
      </c>
      <c r="G18" s="184" t="n">
        <v>0</v>
      </c>
      <c r="H18" s="184" t="n">
        <v>0</v>
      </c>
      <c r="I18" s="185" t="n">
        <v>0</v>
      </c>
      <c r="J18" s="190" t="inlineStr">
        <is>
          <t>✓</t>
        </is>
      </c>
      <c r="K18" s="184" t="n">
        <v>0</v>
      </c>
      <c r="L18" s="185" t="n">
        <v>0</v>
      </c>
      <c r="M18" s="184" t="n">
        <v>0</v>
      </c>
      <c r="N18" s="187" t="n"/>
      <c r="O18" s="185" t="n">
        <v>0</v>
      </c>
      <c r="P18" s="188" t="n">
        <v>0</v>
      </c>
      <c r="Q18" s="183" t="inlineStr">
        <is>
          <t>✓</t>
        </is>
      </c>
      <c r="R18" s="185" t="n">
        <v>0</v>
      </c>
      <c r="S18" s="184" t="n">
        <v>0</v>
      </c>
      <c r="T18" s="185" t="n">
        <v>0</v>
      </c>
      <c r="U18" s="189" t="n"/>
      <c r="V18" s="184" t="n">
        <v>0</v>
      </c>
      <c r="W18" s="184" t="n">
        <v>0</v>
      </c>
      <c r="X18" s="184" t="n">
        <v>0</v>
      </c>
      <c r="Y18" s="190" t="inlineStr">
        <is>
          <t>✓</t>
        </is>
      </c>
      <c r="Z18" s="191" t="inlineStr"/>
      <c r="AA18" s="191" t="inlineStr"/>
    </row>
    <row r="19" ht="15" customHeight="1">
      <c r="A19" s="181" t="n">
        <v>2042</v>
      </c>
      <c r="B19" s="182" t="n">
        <v>80</v>
      </c>
      <c r="C19" s="181" t="n">
        <v>81</v>
      </c>
      <c r="D19" s="183" t="inlineStr">
        <is>
          <t>MFJ</t>
        </is>
      </c>
      <c r="E19" s="183" t="inlineStr">
        <is>
          <t>ALIVE</t>
        </is>
      </c>
      <c r="F19" s="183" t="inlineStr">
        <is>
          <t>ALIVE</t>
        </is>
      </c>
      <c r="G19" s="184" t="n">
        <v>0</v>
      </c>
      <c r="H19" s="184" t="n">
        <v>0</v>
      </c>
      <c r="I19" s="185" t="n">
        <v>0</v>
      </c>
      <c r="J19" s="190" t="inlineStr">
        <is>
          <t>✓</t>
        </is>
      </c>
      <c r="K19" s="184" t="n">
        <v>0</v>
      </c>
      <c r="L19" s="185" t="n">
        <v>0</v>
      </c>
      <c r="M19" s="184" t="n">
        <v>0</v>
      </c>
      <c r="N19" s="187" t="n"/>
      <c r="O19" s="185" t="n">
        <v>0</v>
      </c>
      <c r="P19" s="188" t="n">
        <v>0</v>
      </c>
      <c r="Q19" s="183" t="inlineStr">
        <is>
          <t>✓</t>
        </is>
      </c>
      <c r="R19" s="185" t="n">
        <v>0</v>
      </c>
      <c r="S19" s="184" t="n">
        <v>0</v>
      </c>
      <c r="T19" s="185" t="n">
        <v>0</v>
      </c>
      <c r="U19" s="189" t="n"/>
      <c r="V19" s="184" t="n">
        <v>0</v>
      </c>
      <c r="W19" s="184" t="n">
        <v>0</v>
      </c>
      <c r="X19" s="184" t="n">
        <v>0</v>
      </c>
      <c r="Y19" s="190" t="inlineStr">
        <is>
          <t>✓</t>
        </is>
      </c>
      <c r="Z19" s="191" t="inlineStr"/>
      <c r="AA19" s="191" t="inlineStr"/>
    </row>
    <row r="20" ht="15" customHeight="1">
      <c r="A20" s="181" t="n">
        <v>2043</v>
      </c>
      <c r="B20" s="182" t="n">
        <v>81</v>
      </c>
      <c r="C20" s="181" t="n">
        <v>82</v>
      </c>
      <c r="D20" s="183" t="inlineStr">
        <is>
          <t>MFJ</t>
        </is>
      </c>
      <c r="E20" s="183" t="inlineStr">
        <is>
          <t>ALIVE</t>
        </is>
      </c>
      <c r="F20" s="183" t="inlineStr">
        <is>
          <t>ALIVE</t>
        </is>
      </c>
      <c r="G20" s="184" t="n">
        <v>0</v>
      </c>
      <c r="H20" s="184" t="n">
        <v>0</v>
      </c>
      <c r="I20" s="185" t="n">
        <v>0</v>
      </c>
      <c r="J20" s="190" t="inlineStr">
        <is>
          <t>✓</t>
        </is>
      </c>
      <c r="K20" s="184" t="n">
        <v>0</v>
      </c>
      <c r="L20" s="185" t="n">
        <v>0</v>
      </c>
      <c r="M20" s="184" t="n">
        <v>0</v>
      </c>
      <c r="N20" s="187" t="n"/>
      <c r="O20" s="185" t="n">
        <v>0</v>
      </c>
      <c r="P20" s="188" t="n">
        <v>0</v>
      </c>
      <c r="Q20" s="183" t="inlineStr">
        <is>
          <t>✓</t>
        </is>
      </c>
      <c r="R20" s="185" t="n">
        <v>0</v>
      </c>
      <c r="S20" s="184" t="n">
        <v>0</v>
      </c>
      <c r="T20" s="185" t="n">
        <v>0</v>
      </c>
      <c r="U20" s="189" t="n"/>
      <c r="V20" s="184" t="n">
        <v>0</v>
      </c>
      <c r="W20" s="184" t="n">
        <v>0</v>
      </c>
      <c r="X20" s="184" t="n">
        <v>0</v>
      </c>
      <c r="Y20" s="190" t="inlineStr">
        <is>
          <t>✓</t>
        </is>
      </c>
      <c r="Z20" s="191" t="inlineStr"/>
      <c r="AA20" s="191" t="inlineStr"/>
    </row>
    <row r="21" ht="15" customHeight="1">
      <c r="A21" s="181" t="n">
        <v>2044</v>
      </c>
      <c r="B21" s="182" t="n">
        <v>82</v>
      </c>
      <c r="C21" s="181" t="n">
        <v>83</v>
      </c>
      <c r="D21" s="183" t="inlineStr">
        <is>
          <t>MFJ</t>
        </is>
      </c>
      <c r="E21" s="183" t="inlineStr">
        <is>
          <t>ALIVE</t>
        </is>
      </c>
      <c r="F21" s="183" t="inlineStr">
        <is>
          <t>ALIVE</t>
        </is>
      </c>
      <c r="G21" s="184" t="n">
        <v>0</v>
      </c>
      <c r="H21" s="184" t="n">
        <v>0</v>
      </c>
      <c r="I21" s="185" t="n">
        <v>0</v>
      </c>
      <c r="J21" s="190" t="inlineStr">
        <is>
          <t>✓</t>
        </is>
      </c>
      <c r="K21" s="184" t="n">
        <v>0</v>
      </c>
      <c r="L21" s="185" t="n">
        <v>0</v>
      </c>
      <c r="M21" s="184" t="n">
        <v>0</v>
      </c>
      <c r="N21" s="187" t="n"/>
      <c r="O21" s="185" t="n">
        <v>0</v>
      </c>
      <c r="P21" s="188" t="n">
        <v>0</v>
      </c>
      <c r="Q21" s="183" t="inlineStr">
        <is>
          <t>✓</t>
        </is>
      </c>
      <c r="R21" s="185" t="n">
        <v>0</v>
      </c>
      <c r="S21" s="184" t="n">
        <v>0</v>
      </c>
      <c r="T21" s="185" t="n">
        <v>0</v>
      </c>
      <c r="U21" s="189" t="n"/>
      <c r="V21" s="184" t="n">
        <v>0</v>
      </c>
      <c r="W21" s="184" t="n">
        <v>0</v>
      </c>
      <c r="X21" s="184" t="n">
        <v>0</v>
      </c>
      <c r="Y21" s="190" t="inlineStr">
        <is>
          <t>✓</t>
        </is>
      </c>
      <c r="Z21" s="191" t="inlineStr"/>
      <c r="AA21" s="191" t="inlineStr"/>
    </row>
    <row r="22" ht="15" customHeight="1">
      <c r="A22" s="181" t="n">
        <v>2045</v>
      </c>
      <c r="B22" s="182" t="n">
        <v>83</v>
      </c>
      <c r="C22" s="181" t="n">
        <v>84</v>
      </c>
      <c r="D22" s="183" t="inlineStr">
        <is>
          <t>MFJ</t>
        </is>
      </c>
      <c r="E22" s="183" t="inlineStr">
        <is>
          <t>ALIVE</t>
        </is>
      </c>
      <c r="F22" s="183" t="inlineStr">
        <is>
          <t>ALIVE</t>
        </is>
      </c>
      <c r="G22" s="184" t="n">
        <v>0</v>
      </c>
      <c r="H22" s="184" t="n">
        <v>0</v>
      </c>
      <c r="I22" s="185" t="n">
        <v>0</v>
      </c>
      <c r="J22" s="190" t="inlineStr">
        <is>
          <t>✓</t>
        </is>
      </c>
      <c r="K22" s="184" t="n">
        <v>0</v>
      </c>
      <c r="L22" s="185" t="n">
        <v>0</v>
      </c>
      <c r="M22" s="184" t="n">
        <v>0</v>
      </c>
      <c r="N22" s="187" t="n"/>
      <c r="O22" s="185" t="n">
        <v>0</v>
      </c>
      <c r="P22" s="188" t="n">
        <v>0</v>
      </c>
      <c r="Q22" s="183" t="inlineStr">
        <is>
          <t>✓</t>
        </is>
      </c>
      <c r="R22" s="185" t="n">
        <v>0</v>
      </c>
      <c r="S22" s="184" t="n">
        <v>0</v>
      </c>
      <c r="T22" s="185" t="n">
        <v>0</v>
      </c>
      <c r="U22" s="189" t="n"/>
      <c r="V22" s="184" t="n">
        <v>0</v>
      </c>
      <c r="W22" s="184" t="n">
        <v>0</v>
      </c>
      <c r="X22" s="184" t="n">
        <v>0</v>
      </c>
      <c r="Y22" s="190" t="inlineStr">
        <is>
          <t>✓</t>
        </is>
      </c>
      <c r="Z22" s="191" t="inlineStr"/>
      <c r="AA22" s="191" t="inlineStr"/>
    </row>
    <row r="23" ht="15" customHeight="1">
      <c r="A23" s="181" t="n">
        <v>2046</v>
      </c>
      <c r="B23" s="182" t="n">
        <v>84</v>
      </c>
      <c r="C23" s="181" t="n">
        <v>85</v>
      </c>
      <c r="D23" s="183" t="inlineStr">
        <is>
          <t>MFJ</t>
        </is>
      </c>
      <c r="E23" s="183" t="inlineStr">
        <is>
          <t>ALIVE</t>
        </is>
      </c>
      <c r="F23" s="183" t="inlineStr">
        <is>
          <t>ALIVE</t>
        </is>
      </c>
      <c r="G23" s="184" t="n">
        <v>0</v>
      </c>
      <c r="H23" s="184" t="n">
        <v>0</v>
      </c>
      <c r="I23" s="185" t="n">
        <v>0</v>
      </c>
      <c r="J23" s="190" t="inlineStr">
        <is>
          <t>✓</t>
        </is>
      </c>
      <c r="K23" s="184" t="n">
        <v>0</v>
      </c>
      <c r="L23" s="185" t="n">
        <v>0</v>
      </c>
      <c r="M23" s="184" t="n">
        <v>0</v>
      </c>
      <c r="N23" s="187" t="n"/>
      <c r="O23" s="185" t="n">
        <v>0</v>
      </c>
      <c r="P23" s="188" t="n">
        <v>0</v>
      </c>
      <c r="Q23" s="183" t="inlineStr">
        <is>
          <t>✓</t>
        </is>
      </c>
      <c r="R23" s="185" t="n">
        <v>0</v>
      </c>
      <c r="S23" s="184" t="n">
        <v>0</v>
      </c>
      <c r="T23" s="185" t="n">
        <v>0</v>
      </c>
      <c r="U23" s="189" t="n"/>
      <c r="V23" s="184" t="n">
        <v>0</v>
      </c>
      <c r="W23" s="184" t="n">
        <v>0</v>
      </c>
      <c r="X23" s="184" t="n">
        <v>0</v>
      </c>
      <c r="Y23" s="190" t="inlineStr">
        <is>
          <t>✓</t>
        </is>
      </c>
      <c r="Z23" s="191" t="inlineStr"/>
      <c r="AA23" s="191" t="inlineStr"/>
    </row>
    <row r="24" ht="15" customHeight="1">
      <c r="A24" s="181" t="n">
        <v>2047</v>
      </c>
      <c r="B24" s="182" t="n">
        <v>85</v>
      </c>
      <c r="C24" s="181" t="n">
        <v>86</v>
      </c>
      <c r="D24" s="183" t="inlineStr">
        <is>
          <t>MFJ</t>
        </is>
      </c>
      <c r="E24" s="183" t="inlineStr">
        <is>
          <t>ALIVE</t>
        </is>
      </c>
      <c r="F24" s="183" t="inlineStr">
        <is>
          <t>ALIVE</t>
        </is>
      </c>
      <c r="G24" s="184" t="n">
        <v>0</v>
      </c>
      <c r="H24" s="184" t="n">
        <v>0</v>
      </c>
      <c r="I24" s="185" t="n">
        <v>0</v>
      </c>
      <c r="J24" s="190" t="inlineStr">
        <is>
          <t>✓</t>
        </is>
      </c>
      <c r="K24" s="184" t="n">
        <v>0</v>
      </c>
      <c r="L24" s="185" t="n">
        <v>0</v>
      </c>
      <c r="M24" s="184" t="n">
        <v>0</v>
      </c>
      <c r="N24" s="187" t="n"/>
      <c r="O24" s="185" t="n">
        <v>0</v>
      </c>
      <c r="P24" s="188" t="n">
        <v>0</v>
      </c>
      <c r="Q24" s="183" t="inlineStr">
        <is>
          <t>✓</t>
        </is>
      </c>
      <c r="R24" s="185" t="n">
        <v>0</v>
      </c>
      <c r="S24" s="184" t="n">
        <v>0</v>
      </c>
      <c r="T24" s="185" t="n">
        <v>0</v>
      </c>
      <c r="U24" s="189" t="n"/>
      <c r="V24" s="184" t="n">
        <v>0</v>
      </c>
      <c r="W24" s="184" t="n">
        <v>0</v>
      </c>
      <c r="X24" s="184" t="n">
        <v>0</v>
      </c>
      <c r="Y24" s="190" t="inlineStr">
        <is>
          <t>✓</t>
        </is>
      </c>
      <c r="Z24" s="191" t="inlineStr"/>
      <c r="AA24" s="191" t="inlineStr"/>
    </row>
    <row r="25" ht="15" customHeight="1">
      <c r="A25" s="181" t="n">
        <v>2048</v>
      </c>
      <c r="B25" s="182" t="n">
        <v>86</v>
      </c>
      <c r="C25" s="181" t="n">
        <v>87</v>
      </c>
      <c r="D25" s="183" t="inlineStr">
        <is>
          <t>MFJ</t>
        </is>
      </c>
      <c r="E25" s="183" t="inlineStr">
        <is>
          <t>ALIVE</t>
        </is>
      </c>
      <c r="F25" s="183" t="inlineStr">
        <is>
          <t>ALIVE</t>
        </is>
      </c>
      <c r="G25" s="184" t="n">
        <v>0</v>
      </c>
      <c r="H25" s="184" t="n">
        <v>0</v>
      </c>
      <c r="I25" s="185" t="n">
        <v>0</v>
      </c>
      <c r="J25" s="190" t="inlineStr">
        <is>
          <t>✓</t>
        </is>
      </c>
      <c r="K25" s="184" t="n">
        <v>0</v>
      </c>
      <c r="L25" s="185" t="n">
        <v>0</v>
      </c>
      <c r="M25" s="184" t="n">
        <v>0</v>
      </c>
      <c r="N25" s="187" t="n"/>
      <c r="O25" s="185" t="n">
        <v>0</v>
      </c>
      <c r="P25" s="188" t="n">
        <v>0</v>
      </c>
      <c r="Q25" s="183" t="inlineStr">
        <is>
          <t>✓</t>
        </is>
      </c>
      <c r="R25" s="185" t="n">
        <v>0</v>
      </c>
      <c r="S25" s="184" t="n">
        <v>0</v>
      </c>
      <c r="T25" s="185" t="n">
        <v>0</v>
      </c>
      <c r="U25" s="189" t="n"/>
      <c r="V25" s="184" t="n">
        <v>0</v>
      </c>
      <c r="W25" s="184" t="n">
        <v>0</v>
      </c>
      <c r="X25" s="184" t="n">
        <v>0</v>
      </c>
      <c r="Y25" s="190" t="inlineStr">
        <is>
          <t>✓</t>
        </is>
      </c>
      <c r="Z25" s="191" t="inlineStr"/>
      <c r="AA25" s="191" t="inlineStr"/>
    </row>
    <row r="26" ht="15" customHeight="1">
      <c r="A26" s="181" t="n">
        <v>2049</v>
      </c>
      <c r="B26" s="182" t="n">
        <v>87</v>
      </c>
      <c r="C26" s="181" t="n">
        <v>88</v>
      </c>
      <c r="D26" s="183" t="inlineStr">
        <is>
          <t>MFJ</t>
        </is>
      </c>
      <c r="E26" s="183" t="inlineStr">
        <is>
          <t>ALIVE</t>
        </is>
      </c>
      <c r="F26" s="183" t="inlineStr">
        <is>
          <t>ALIVE</t>
        </is>
      </c>
      <c r="G26" s="184" t="n">
        <v>0</v>
      </c>
      <c r="H26" s="184" t="n">
        <v>0</v>
      </c>
      <c r="I26" s="185" t="n">
        <v>0</v>
      </c>
      <c r="J26" s="190" t="inlineStr">
        <is>
          <t>✓</t>
        </is>
      </c>
      <c r="K26" s="184" t="n">
        <v>0</v>
      </c>
      <c r="L26" s="185" t="n">
        <v>0</v>
      </c>
      <c r="M26" s="184" t="n">
        <v>0</v>
      </c>
      <c r="N26" s="187" t="n"/>
      <c r="O26" s="185" t="n">
        <v>0</v>
      </c>
      <c r="P26" s="188" t="n">
        <v>0</v>
      </c>
      <c r="Q26" s="183" t="inlineStr">
        <is>
          <t>✓</t>
        </is>
      </c>
      <c r="R26" s="185" t="n">
        <v>0</v>
      </c>
      <c r="S26" s="184" t="n">
        <v>0</v>
      </c>
      <c r="T26" s="185" t="n">
        <v>0</v>
      </c>
      <c r="U26" s="189" t="n"/>
      <c r="V26" s="184" t="n">
        <v>0</v>
      </c>
      <c r="W26" s="184" t="n">
        <v>0</v>
      </c>
      <c r="X26" s="184" t="n">
        <v>0</v>
      </c>
      <c r="Y26" s="190" t="inlineStr">
        <is>
          <t>✓</t>
        </is>
      </c>
      <c r="Z26" s="191" t="inlineStr"/>
      <c r="AA26" s="191" t="inlineStr"/>
    </row>
    <row r="27" ht="15" customHeight="1">
      <c r="A27" s="181" t="n">
        <v>2050</v>
      </c>
      <c r="B27" s="182" t="n">
        <v>88</v>
      </c>
      <c r="C27" s="181" t="n">
        <v>89</v>
      </c>
      <c r="D27" s="183" t="inlineStr">
        <is>
          <t>MFJ</t>
        </is>
      </c>
      <c r="E27" s="183" t="inlineStr">
        <is>
          <t>ALIVE</t>
        </is>
      </c>
      <c r="F27" s="183" t="inlineStr">
        <is>
          <t>ALIVE</t>
        </is>
      </c>
      <c r="G27" s="184" t="n">
        <v>0</v>
      </c>
      <c r="H27" s="184" t="n">
        <v>0</v>
      </c>
      <c r="I27" s="185" t="n">
        <v>0</v>
      </c>
      <c r="J27" s="190" t="inlineStr">
        <is>
          <t>✓</t>
        </is>
      </c>
      <c r="K27" s="184" t="n">
        <v>0</v>
      </c>
      <c r="L27" s="185" t="n">
        <v>0</v>
      </c>
      <c r="M27" s="184" t="n">
        <v>0</v>
      </c>
      <c r="N27" s="187" t="n"/>
      <c r="O27" s="185" t="n">
        <v>0</v>
      </c>
      <c r="P27" s="188" t="n">
        <v>0</v>
      </c>
      <c r="Q27" s="183" t="inlineStr">
        <is>
          <t>✓</t>
        </is>
      </c>
      <c r="R27" s="185" t="n">
        <v>0</v>
      </c>
      <c r="S27" s="184" t="n">
        <v>0</v>
      </c>
      <c r="T27" s="185" t="n">
        <v>0</v>
      </c>
      <c r="U27" s="189" t="n"/>
      <c r="V27" s="184" t="n">
        <v>0</v>
      </c>
      <c r="W27" s="184" t="n">
        <v>0</v>
      </c>
      <c r="X27" s="184" t="n">
        <v>0</v>
      </c>
      <c r="Y27" s="190" t="inlineStr">
        <is>
          <t>✓</t>
        </is>
      </c>
      <c r="Z27" s="191" t="inlineStr"/>
      <c r="AA27" s="191" t="inlineStr"/>
    </row>
    <row r="28" ht="15" customHeight="1">
      <c r="A28" s="181" t="n">
        <v>2051</v>
      </c>
      <c r="B28" s="182" t="n">
        <v>89</v>
      </c>
      <c r="C28" s="181" t="n">
        <v>90</v>
      </c>
      <c r="D28" s="183" t="inlineStr">
        <is>
          <t>MFJ</t>
        </is>
      </c>
      <c r="E28" s="183" t="inlineStr">
        <is>
          <t>ALIVE</t>
        </is>
      </c>
      <c r="F28" s="183" t="inlineStr">
        <is>
          <t>ALIVE</t>
        </is>
      </c>
      <c r="G28" s="184" t="n">
        <v>0</v>
      </c>
      <c r="H28" s="184" t="n">
        <v>0</v>
      </c>
      <c r="I28" s="185" t="n">
        <v>0</v>
      </c>
      <c r="J28" s="190" t="inlineStr">
        <is>
          <t>✓</t>
        </is>
      </c>
      <c r="K28" s="184" t="n">
        <v>0</v>
      </c>
      <c r="L28" s="185" t="n">
        <v>0</v>
      </c>
      <c r="M28" s="184" t="n">
        <v>0</v>
      </c>
      <c r="N28" s="187" t="n"/>
      <c r="O28" s="185" t="n">
        <v>0</v>
      </c>
      <c r="P28" s="188" t="n">
        <v>0</v>
      </c>
      <c r="Q28" s="183" t="inlineStr">
        <is>
          <t>✓</t>
        </is>
      </c>
      <c r="R28" s="185" t="n">
        <v>0</v>
      </c>
      <c r="S28" s="184" t="n">
        <v>0</v>
      </c>
      <c r="T28" s="185" t="n">
        <v>0</v>
      </c>
      <c r="U28" s="189" t="n"/>
      <c r="V28" s="184" t="n">
        <v>0</v>
      </c>
      <c r="W28" s="184" t="n">
        <v>0</v>
      </c>
      <c r="X28" s="184" t="n">
        <v>0</v>
      </c>
      <c r="Y28" s="190" t="inlineStr">
        <is>
          <t>✓</t>
        </is>
      </c>
      <c r="Z28" s="191" t="inlineStr"/>
      <c r="AA28" s="191" t="inlineStr"/>
    </row>
    <row r="29" ht="15" customHeight="1">
      <c r="A29" s="181" t="n">
        <v>2052</v>
      </c>
      <c r="B29" s="182" t="n">
        <v>90</v>
      </c>
      <c r="C29" s="181" t="n">
        <v>91</v>
      </c>
      <c r="D29" s="183" t="inlineStr">
        <is>
          <t>MFJ</t>
        </is>
      </c>
      <c r="E29" s="183" t="inlineStr">
        <is>
          <t>ALIVE</t>
        </is>
      </c>
      <c r="F29" s="183" t="inlineStr">
        <is>
          <t>ALIVE</t>
        </is>
      </c>
      <c r="G29" s="184" t="n">
        <v>0</v>
      </c>
      <c r="H29" s="184" t="n">
        <v>0</v>
      </c>
      <c r="I29" s="185" t="n">
        <v>0</v>
      </c>
      <c r="J29" s="190" t="inlineStr">
        <is>
          <t>✓</t>
        </is>
      </c>
      <c r="K29" s="184" t="n">
        <v>0</v>
      </c>
      <c r="L29" s="185" t="n">
        <v>0</v>
      </c>
      <c r="M29" s="184" t="n">
        <v>0</v>
      </c>
      <c r="N29" s="187" t="n"/>
      <c r="O29" s="185" t="n">
        <v>0</v>
      </c>
      <c r="P29" s="188" t="n">
        <v>0</v>
      </c>
      <c r="Q29" s="183" t="inlineStr">
        <is>
          <t>✓</t>
        </is>
      </c>
      <c r="R29" s="185" t="n">
        <v>0</v>
      </c>
      <c r="S29" s="184" t="n">
        <v>0</v>
      </c>
      <c r="T29" s="185" t="n">
        <v>0</v>
      </c>
      <c r="U29" s="189" t="n"/>
      <c r="V29" s="184" t="n">
        <v>0</v>
      </c>
      <c r="W29" s="184" t="n">
        <v>0</v>
      </c>
      <c r="X29" s="184" t="n">
        <v>0</v>
      </c>
      <c r="Y29" s="190" t="inlineStr">
        <is>
          <t>✓</t>
        </is>
      </c>
      <c r="Z29" s="191" t="inlineStr"/>
      <c r="AA29" s="191" t="inlineStr"/>
    </row>
    <row r="30" ht="15" customHeight="1">
      <c r="A30" s="181" t="n">
        <v>2053</v>
      </c>
      <c r="B30" s="182" t="n">
        <v>91</v>
      </c>
      <c r="C30" s="181" t="n">
        <v>92</v>
      </c>
      <c r="D30" s="183" t="inlineStr">
        <is>
          <t>MFJ</t>
        </is>
      </c>
      <c r="E30" s="183" t="inlineStr">
        <is>
          <t>ALIVE</t>
        </is>
      </c>
      <c r="F30" s="183" t="inlineStr">
        <is>
          <t>ALIVE</t>
        </is>
      </c>
      <c r="G30" s="184" t="n">
        <v>0</v>
      </c>
      <c r="H30" s="184" t="n">
        <v>0</v>
      </c>
      <c r="I30" s="185" t="n">
        <v>0</v>
      </c>
      <c r="J30" s="190" t="inlineStr">
        <is>
          <t>✓</t>
        </is>
      </c>
      <c r="K30" s="184" t="n">
        <v>0</v>
      </c>
      <c r="L30" s="185" t="n">
        <v>0</v>
      </c>
      <c r="M30" s="184" t="n">
        <v>0</v>
      </c>
      <c r="N30" s="187" t="n"/>
      <c r="O30" s="185" t="n">
        <v>0</v>
      </c>
      <c r="P30" s="188" t="n">
        <v>0</v>
      </c>
      <c r="Q30" s="183" t="inlineStr">
        <is>
          <t>✓</t>
        </is>
      </c>
      <c r="R30" s="185" t="n">
        <v>0</v>
      </c>
      <c r="S30" s="184" t="n">
        <v>0</v>
      </c>
      <c r="T30" s="185" t="n">
        <v>0</v>
      </c>
      <c r="U30" s="189" t="n"/>
      <c r="V30" s="184" t="n">
        <v>0</v>
      </c>
      <c r="W30" s="184" t="n">
        <v>0</v>
      </c>
      <c r="X30" s="184" t="n">
        <v>0</v>
      </c>
      <c r="Y30" s="190" t="inlineStr">
        <is>
          <t>✓</t>
        </is>
      </c>
      <c r="Z30" s="191" t="inlineStr"/>
      <c r="AA30" s="191" t="inlineStr"/>
    </row>
    <row r="31" ht="45" customHeight="1">
      <c r="A31" s="199" t="n">
        <v>2054</v>
      </c>
      <c r="B31" s="199" t="n">
        <v>92</v>
      </c>
      <c r="C31" s="199" t="n">
        <v>93</v>
      </c>
      <c r="D31" s="200" t="inlineStr">
        <is>
          <t>MFJ</t>
        </is>
      </c>
      <c r="E31" s="200" t="inlineStr">
        <is>
          <t>ALIVE</t>
        </is>
      </c>
      <c r="F31" s="200" t="inlineStr">
        <is>
          <t>ALIVE</t>
        </is>
      </c>
      <c r="G31" s="201" t="n">
        <v>0</v>
      </c>
      <c r="H31" s="201" t="n">
        <v>0</v>
      </c>
      <c r="I31" s="202" t="n">
        <v>0</v>
      </c>
      <c r="J31" s="190" t="inlineStr">
        <is>
          <t>✓</t>
        </is>
      </c>
      <c r="K31" s="201" t="n">
        <v>0</v>
      </c>
      <c r="L31" s="202" t="n">
        <v>0</v>
      </c>
      <c r="M31" s="201" t="n">
        <v>0</v>
      </c>
      <c r="N31" s="203" t="n"/>
      <c r="O31" s="202" t="n">
        <v>0</v>
      </c>
      <c r="P31" s="196" t="n">
        <v>0</v>
      </c>
      <c r="Q31" s="200" t="inlineStr">
        <is>
          <t>✓</t>
        </is>
      </c>
      <c r="R31" s="202" t="n">
        <v>0</v>
      </c>
      <c r="S31" s="201" t="n">
        <v>0</v>
      </c>
      <c r="T31" s="202" t="n">
        <v>0</v>
      </c>
      <c r="U31" s="204" t="n"/>
      <c r="V31" s="201" t="n">
        <v>0</v>
      </c>
      <c r="W31" s="201" t="n">
        <v>0</v>
      </c>
      <c r="X31" s="201" t="n">
        <v>0</v>
      </c>
      <c r="Y31" s="190" t="inlineStr">
        <is>
          <t>✓</t>
        </is>
      </c>
      <c r="Z31" s="200" t="inlineStr">
        <is>
          <t>Matthew → Patricia (spousal rollover)</t>
        </is>
      </c>
      <c r="AA31" s="200" t="inlineStr">
        <is>
          <t>Rollover: Matthew → Patricia (spousal rollover)</t>
        </is>
      </c>
    </row>
    <row r="32" ht="15" customHeight="1">
      <c r="A32" s="205" t="n">
        <v>2055</v>
      </c>
      <c r="B32" s="205" t="n">
        <v>93</v>
      </c>
      <c r="C32" s="205" t="n">
        <v>94</v>
      </c>
      <c r="D32" s="186" t="inlineStr">
        <is>
          <t>Single</t>
        </is>
      </c>
      <c r="E32" s="186" t="inlineStr">
        <is>
          <t>DIED 2054</t>
        </is>
      </c>
      <c r="F32" s="186" t="inlineStr">
        <is>
          <t>ALIVE</t>
        </is>
      </c>
      <c r="G32" s="196" t="n">
        <v>0</v>
      </c>
      <c r="H32" s="196" t="n">
        <v>0</v>
      </c>
      <c r="I32" s="206" t="n">
        <v>0</v>
      </c>
      <c r="J32" s="186" t="inlineStr">
        <is>
          <t>N/A</t>
        </is>
      </c>
      <c r="K32" s="196" t="n">
        <v>0</v>
      </c>
      <c r="L32" s="206" t="n">
        <v>0</v>
      </c>
      <c r="M32" s="196" t="n">
        <v>0</v>
      </c>
      <c r="N32" s="207" t="n"/>
      <c r="O32" s="206" t="n">
        <v>0</v>
      </c>
      <c r="P32" s="196" t="n">
        <v>0</v>
      </c>
      <c r="Q32" s="186" t="inlineStr">
        <is>
          <t>✓</t>
        </is>
      </c>
      <c r="R32" s="206" t="n">
        <v>0</v>
      </c>
      <c r="S32" s="196" t="n">
        <v>0</v>
      </c>
      <c r="T32" s="206" t="n">
        <v>0</v>
      </c>
      <c r="U32" s="208" t="n"/>
      <c r="V32" s="196" t="n">
        <v>0</v>
      </c>
      <c r="W32" s="196" t="n">
        <v>0</v>
      </c>
      <c r="X32" s="196" t="n">
        <v>0</v>
      </c>
      <c r="Y32" s="190" t="inlineStr">
        <is>
          <t>✓</t>
        </is>
      </c>
      <c r="Z32" s="209" t="inlineStr"/>
      <c r="AA32" s="186" t="inlineStr">
        <is>
          <t>Matthew died 2054</t>
        </is>
      </c>
    </row>
    <row r="33" ht="90" customHeight="1">
      <c r="A33" s="199" t="n">
        <v>2056</v>
      </c>
      <c r="B33" s="199" t="n">
        <v>94</v>
      </c>
      <c r="C33" s="199" t="n">
        <v>95</v>
      </c>
      <c r="D33" s="200" t="inlineStr">
        <is>
          <t>Single</t>
        </is>
      </c>
      <c r="E33" s="200" t="inlineStr">
        <is>
          <t>DIED 2054</t>
        </is>
      </c>
      <c r="F33" s="200" t="inlineStr">
        <is>
          <t>ALIVE</t>
        </is>
      </c>
      <c r="G33" s="201" t="n">
        <v>0</v>
      </c>
      <c r="H33" s="201" t="n">
        <v>0</v>
      </c>
      <c r="I33" s="202" t="n">
        <v>0</v>
      </c>
      <c r="J33" s="186" t="inlineStr">
        <is>
          <t>N/A</t>
        </is>
      </c>
      <c r="K33" s="201" t="n">
        <v>0</v>
      </c>
      <c r="L33" s="202" t="n">
        <v>0</v>
      </c>
      <c r="M33" s="201" t="n">
        <v>0</v>
      </c>
      <c r="N33" s="203" t="n"/>
      <c r="O33" s="202" t="n">
        <v>0</v>
      </c>
      <c r="P33" s="196" t="n">
        <v>0</v>
      </c>
      <c r="Q33" s="200" t="inlineStr">
        <is>
          <t>✓</t>
        </is>
      </c>
      <c r="R33" s="202" t="n">
        <v>0</v>
      </c>
      <c r="S33" s="201" t="n">
        <v>0</v>
      </c>
      <c r="T33" s="202" t="n">
        <v>0</v>
      </c>
      <c r="U33" s="204" t="n"/>
      <c r="V33" s="201" t="n">
        <v>0</v>
      </c>
      <c r="W33" s="201" t="n">
        <v>0</v>
      </c>
      <c r="X33" s="201" t="n">
        <v>0</v>
      </c>
      <c r="Y33" s="190" t="inlineStr">
        <is>
          <t>✓</t>
        </is>
      </c>
      <c r="Z33" s="200" t="inlineStr">
        <is>
          <t>Patricia 2nd death — taxable → Patricia Trust; IRAs/Roths inherited by beneficiaries</t>
        </is>
      </c>
      <c r="AA33" s="200" t="inlineStr">
        <is>
          <t>Matthew died 2054; Rollover: Patricia 2nd death — taxable → Patricia Trust; IRAs/Roths inherited by beneficiaries</t>
        </is>
      </c>
    </row>
    <row r="34"/>
    <row r="35" ht="15" customHeight="1">
      <c r="A35" s="210" t="n"/>
      <c r="B35" s="211" t="inlineStr">
        <is>
          <t>RMD year — satisfied correctly</t>
        </is>
      </c>
    </row>
    <row r="36" ht="15" customHeight="1">
      <c r="A36" s="212" t="n"/>
      <c r="B36" s="211" t="inlineStr">
        <is>
          <t>RMD shortfall or CF mismatch</t>
        </is>
      </c>
    </row>
    <row r="37" ht="15" customHeight="1">
      <c r="A37" s="213" t="n"/>
      <c r="B37" s="211" t="inlineStr">
        <is>
          <t>Spousal rollover year</t>
        </is>
      </c>
    </row>
    <row r="38" ht="15" customHeight="1">
      <c r="A38" s="214" t="n"/>
      <c r="B38" s="211"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3" customWidth="1" min="3" max="3"/>
    <col width="14" customWidth="1" min="4" max="4"/>
    <col width="16" customWidth="1" min="5" max="5"/>
    <col width="15" customWidth="1" min="6" max="6"/>
  </cols>
  <sheetData>
    <row r="1" ht="22" customHeight="1">
      <c r="A1" s="215" t="inlineStr">
        <is>
          <t>WHAT-IF SCENARIO ANALYSIS</t>
        </is>
      </c>
    </row>
    <row r="2"/>
    <row r="3">
      <c r="A3" s="216"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7705446.938734698</v>
      </c>
      <c r="D5" s="108" t="n">
        <v>943662.8853451287</v>
      </c>
      <c r="E5" s="217" t="inlineStr">
        <is>
          <t>YES</t>
        </is>
      </c>
      <c r="F5" s="108" t="n">
        <v>0</v>
      </c>
    </row>
    <row r="6">
      <c r="A6" s="33" t="inlineStr">
        <is>
          <t>Allocation — User Defined</t>
        </is>
      </c>
      <c r="B6" s="33" t="inlineStr">
        <is>
          <t>Use user-specified target_pct allocation; implied return 7.22%, volatility 14.02%, geometric approx 6.24%</t>
        </is>
      </c>
      <c r="C6" s="108" t="n">
        <v>11452786.20530406</v>
      </c>
      <c r="D6" s="108" t="n">
        <v>942203.153227912</v>
      </c>
      <c r="E6" s="217" t="inlineStr">
        <is>
          <t>YES</t>
        </is>
      </c>
      <c r="F6" s="108" t="n">
        <v>3747339.266569366</v>
      </c>
    </row>
    <row r="7">
      <c r="A7" s="33" t="inlineStr">
        <is>
          <t>Allocation — Optimizer Defined</t>
        </is>
      </c>
      <c r="B7" s="33" t="inlineStr">
        <is>
          <t>Use optimizer allocation recommendation; implied return 6.96%, volatility 12.93%, geometric approx 6.13%</t>
        </is>
      </c>
      <c r="C7" s="108" t="n">
        <v>10535977.62631582</v>
      </c>
      <c r="D7" s="108" t="n">
        <v>940323.0434329428</v>
      </c>
      <c r="E7" s="217" t="inlineStr">
        <is>
          <t>YES</t>
        </is>
      </c>
      <c r="F7" s="108" t="n">
        <v>2830530.687581127</v>
      </c>
    </row>
    <row r="8">
      <c r="A8" s="33" t="inlineStr">
        <is>
          <t>Retire Later (2029)</t>
        </is>
      </c>
      <c r="B8" s="33" t="inlineStr">
        <is>
          <t>earn_end 2029 vs 2027; +2 yrs @ 0.0% growth, $50,000 salary</t>
        </is>
      </c>
      <c r="C8" s="108" t="n">
        <v>11602673.50107286</v>
      </c>
      <c r="D8" s="108" t="n">
        <v>1807693.765235975</v>
      </c>
      <c r="E8" s="217" t="inlineStr">
        <is>
          <t>YES</t>
        </is>
      </c>
      <c r="F8" s="108" t="n">
        <v>3897226.562338163</v>
      </c>
    </row>
    <row r="9">
      <c r="A9" s="33" t="inlineStr">
        <is>
          <t>Spend 19% More</t>
        </is>
      </c>
      <c r="B9" s="33" t="inlineStr">
        <is>
          <t>$154,871/yr vs $129,059 base</t>
        </is>
      </c>
      <c r="C9" s="108" t="n">
        <v>4871989.259162126</v>
      </c>
      <c r="D9" s="108" t="n">
        <v>904815.4038551005</v>
      </c>
      <c r="E9" s="217" t="inlineStr">
        <is>
          <t>YES</t>
        </is>
      </c>
      <c r="F9" s="108" t="n">
        <v>-2833457.679572572</v>
      </c>
    </row>
    <row r="10">
      <c r="A10" s="33" t="inlineStr">
        <is>
          <t>Sell Home 2045</t>
        </is>
      </c>
      <c r="B10" s="33" t="inlineStr">
        <is>
          <t>Gross $2,302,353 · basis $800,000 · net $2,055,711 → Patricia Trust</t>
        </is>
      </c>
      <c r="C10" s="108" t="n">
        <v>9293713.054585245</v>
      </c>
      <c r="D10" s="108" t="n">
        <v>1180575.294193655</v>
      </c>
      <c r="E10" s="217" t="inlineStr">
        <is>
          <t>YES</t>
        </is>
      </c>
      <c r="F10" s="108" t="n">
        <v>1588266.115850546</v>
      </c>
    </row>
    <row r="11">
      <c r="A11" s="33" t="inlineStr">
        <is>
          <t>High Inflation 4.5%</t>
        </is>
      </c>
      <c r="B11" s="33" t="inlineStr">
        <is>
          <t>Inflation 4.5% vs 2.5%</t>
        </is>
      </c>
      <c r="C11" s="108" t="n">
        <v>3514158.705635077</v>
      </c>
      <c r="D11" s="108" t="n">
        <v>934311.5453272233</v>
      </c>
      <c r="E11" s="217" t="inlineStr">
        <is>
          <t>YES</t>
        </is>
      </c>
      <c r="F11" s="108" t="n">
        <v>-4191288.233099621</v>
      </c>
    </row>
    <row r="12">
      <c r="A12" s="33" t="inlineStr">
        <is>
          <t>Low Return 4.0%</t>
        </is>
      </c>
      <c r="B12" s="33" t="inlineStr">
        <is>
          <t>Portfolio return 4.0% vs 6.0%</t>
        </is>
      </c>
      <c r="C12" s="108" t="n">
        <v>4214964.368122843</v>
      </c>
      <c r="D12" s="108" t="n">
        <v>922183.7504957961</v>
      </c>
      <c r="E12" s="217" t="inlineStr">
        <is>
          <t>YES</t>
        </is>
      </c>
      <c r="F12" s="108" t="n">
        <v>-3490482.570611855</v>
      </c>
    </row>
    <row r="13">
      <c r="A13" s="33" t="inlineStr">
        <is>
          <t>PDIA Div 4.5%</t>
        </is>
      </c>
      <c r="B13" s="33" t="inlineStr">
        <is>
          <t>All annuity dividends at 4.5% (vs illustrated 5.50-5.75%). Annuity income at age 80: $104,395 vs $117,223 base</t>
        </is>
      </c>
      <c r="C13" s="108" t="n">
        <v>7072702.044056527</v>
      </c>
      <c r="D13" s="108" t="n">
        <v>891031.6101490797</v>
      </c>
      <c r="E13" s="217" t="inlineStr">
        <is>
          <t>YES</t>
        </is>
      </c>
      <c r="F13" s="108" t="n">
        <v>-632744.8946781708</v>
      </c>
    </row>
    <row r="14">
      <c r="A14" s="33" t="inlineStr">
        <is>
          <t>PDIA 50/50 Split</t>
        </is>
      </c>
      <c r="B14" s="33" t="inlineStr">
        <is>
          <t>50% cash / 50% reinvest (vs 80/20). Less cash now, more income growth later. Annuity income at age 80: $116,475 vs $117,223 base</t>
        </is>
      </c>
      <c r="C14" s="108" t="n">
        <v>7626538.037064653</v>
      </c>
      <c r="D14" s="108" t="n">
        <v>971786.1292464577</v>
      </c>
      <c r="E14" s="217" t="inlineStr">
        <is>
          <t>YES</t>
        </is>
      </c>
      <c r="F14" s="108" t="n">
        <v>-78908.90167004522</v>
      </c>
    </row>
    <row r="15">
      <c r="A15" s="33" t="inlineStr">
        <is>
          <t>COMBINED Stress Test</t>
        </is>
      </c>
      <c r="B15" s="33" t="inlineStr">
        <is>
          <t>Stacked: sell home, low return, pdia low div</t>
        </is>
      </c>
      <c r="C15" s="108" t="n">
        <v>4381696.314057916</v>
      </c>
      <c r="D15" s="108" t="n">
        <v>1089186.068671467</v>
      </c>
      <c r="E15" s="217" t="inlineStr">
        <is>
          <t>YES</t>
        </is>
      </c>
      <c r="F15" s="108" t="n">
        <v>-3323750.624676782</v>
      </c>
    </row>
    <row r="16"/>
    <row r="17"/>
    <row r="18">
      <c r="A18" s="218"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Patricia Trust (basis-free)</t>
        </is>
      </c>
    </row>
    <row r="30"/>
    <row r="31"/>
    <row r="32">
      <c r="A32" s="219" t="inlineStr">
        <is>
          <t>Spending Reduction Analysis</t>
        </is>
      </c>
      <c r="B32" s="3" t="n"/>
      <c r="C32" s="3" t="n"/>
      <c r="D32" s="3" t="n"/>
      <c r="E32" s="3" t="n"/>
      <c r="F32" s="4" t="n"/>
    </row>
    <row r="33">
      <c r="A33" s="33" t="inlineStr">
        <is>
          <t>Current Base Spending</t>
        </is>
      </c>
      <c r="B33" s="108" t="n">
        <v>129059</v>
      </c>
    </row>
    <row r="34">
      <c r="A34" s="33" t="inlineStr">
        <is>
          <t>Reduced Spending (−10%)</t>
        </is>
      </c>
      <c r="B34" s="108" t="n">
        <v>116153.1</v>
      </c>
    </row>
    <row r="35">
      <c r="A35" s="33" t="inlineStr">
        <is>
          <t>Terminal NW with Reduction</t>
        </is>
      </c>
      <c r="B35" s="108" t="n">
        <v>9199259.497161146</v>
      </c>
    </row>
    <row r="36">
      <c r="A36" s="220" t="inlineStr">
        <is>
          <t>Increase in Terminal NW</t>
        </is>
      </c>
      <c r="B36" s="136" t="n">
        <v>1493812.558426448</v>
      </c>
    </row>
    <row r="37">
      <c r="A37" s="33" t="inlineStr">
        <is>
          <t>A 10% spending reduction ($12,906/yr) adds $1,493,813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21" t="inlineStr">
        <is>
          <t>CHARTS DASHBOARD — Matthew &amp; Patricia  ·  2026–2056</t>
        </is>
      </c>
    </row>
    <row r="2">
      <c r="A2" s="222" t="inlineStr">
        <is>
          <t>Net Worth by Component  ·  2026–2056</t>
        </is>
      </c>
      <c r="K2" s="223" t="inlineStr">
        <is>
          <t>Cash Flow — Income &amp; Portfolio Draws  ·  2026–2056</t>
        </is>
      </c>
      <c r="AC2" s="224" t="inlineStr">
        <is>
          <t>Cash Flow — Spending &amp; Taxes  ·  2026–2056</t>
        </is>
      </c>
      <c r="AQ2" s="225" t="inlineStr">
        <is>
          <t>MC Percentile Bands Data  ·  used by Chart 4</t>
        </is>
      </c>
    </row>
    <row r="3"/>
    <row r="4">
      <c r="A4" s="226" t="inlineStr">
        <is>
          <t>Year</t>
        </is>
      </c>
      <c r="B4" s="226" t="inlineStr">
        <is>
          <t>Annuities &amp; Pension</t>
        </is>
      </c>
      <c r="C4" s="226" t="inlineStr">
        <is>
          <t>Pre-Tax IRA/401k</t>
        </is>
      </c>
      <c r="D4" s="226" t="inlineStr">
        <is>
          <t>Roth</t>
        </is>
      </c>
      <c r="E4" s="226" t="inlineStr">
        <is>
          <t>Trust</t>
        </is>
      </c>
      <c r="F4" s="226" t="inlineStr">
        <is>
          <t>HSA</t>
        </is>
      </c>
      <c r="G4" s="226" t="inlineStr">
        <is>
          <t>Home Equity</t>
        </is>
      </c>
      <c r="H4" s="226" t="inlineStr">
        <is>
          <t>Other Assets</t>
        </is>
      </c>
      <c r="I4" s="227" t="inlineStr">
        <is>
          <t>Total NW</t>
        </is>
      </c>
      <c r="K4" s="226" t="inlineStr">
        <is>
          <t>Year</t>
        </is>
      </c>
      <c r="L4" s="226" t="inlineStr">
        <is>
          <t>Earned Income</t>
        </is>
      </c>
      <c r="M4" s="226" t="inlineStr">
        <is>
          <t>Matthew SS</t>
        </is>
      </c>
      <c r="N4" s="226" t="inlineStr">
        <is>
          <t>Patricia SS</t>
        </is>
      </c>
      <c r="O4" s="226" t="inlineStr">
        <is>
          <t>Pension</t>
        </is>
      </c>
      <c r="P4" s="226" t="inlineStr">
        <is>
          <t>Patricia Single Ann</t>
        </is>
      </c>
      <c r="Q4" s="226" t="inlineStr">
        <is>
          <t>Patricia Joint Ann</t>
        </is>
      </c>
      <c r="R4" s="226" t="inlineStr">
        <is>
          <t>Matthew Single Ann</t>
        </is>
      </c>
      <c r="S4" s="226" t="inlineStr">
        <is>
          <t>Matthew Joint Ann</t>
        </is>
      </c>
      <c r="T4" s="226" t="inlineStr">
        <is>
          <t>Note P+I</t>
        </is>
      </c>
      <c r="U4" s="226" t="inlineStr">
        <is>
          <t>RMD</t>
        </is>
      </c>
      <c r="V4" s="226" t="inlineStr">
        <is>
          <t>Trust Draw</t>
        </is>
      </c>
      <c r="W4" s="226" t="inlineStr">
        <is>
          <t>HSA Draw</t>
        </is>
      </c>
      <c r="X4" s="226" t="inlineStr">
        <is>
          <t>Roth Draw</t>
        </is>
      </c>
      <c r="Y4" s="226" t="inlineStr">
        <is>
          <t>IRA Draw</t>
        </is>
      </c>
      <c r="Z4" s="226" t="inlineStr">
        <is>
          <t>HELOC Draw</t>
        </is>
      </c>
      <c r="AA4" s="228" t="inlineStr">
        <is>
          <t>Σ Income</t>
        </is>
      </c>
      <c r="AC4" s="226" t="inlineStr">
        <is>
          <t>Year</t>
        </is>
      </c>
      <c r="AD4" s="226" t="inlineStr">
        <is>
          <t>Base Spending</t>
        </is>
      </c>
      <c r="AE4" s="226" t="inlineStr">
        <is>
          <t>Housing</t>
        </is>
      </c>
      <c r="AF4" s="226" t="inlineStr">
        <is>
          <t>Wellness</t>
        </is>
      </c>
      <c r="AG4" s="226" t="inlineStr">
        <is>
          <t>Travel</t>
        </is>
      </c>
      <c r="AH4" s="226" t="inlineStr">
        <is>
          <t>Other</t>
        </is>
      </c>
      <c r="AI4" s="226" t="inlineStr">
        <is>
          <t>Federal Tax</t>
        </is>
      </c>
      <c r="AJ4" s="226" t="inlineStr">
        <is>
          <t>State Tax (Il)</t>
        </is>
      </c>
      <c r="AK4" s="226" t="inlineStr">
        <is>
          <t>NIIT</t>
        </is>
      </c>
      <c r="AL4" s="226" t="inlineStr">
        <is>
          <t>Payroll Tax</t>
        </is>
      </c>
      <c r="AM4" s="226" t="inlineStr">
        <is>
          <t>HELOC P&amp;I</t>
        </is>
      </c>
      <c r="AN4" s="229" t="inlineStr">
        <is>
          <t>Σ Spend+Tax</t>
        </is>
      </c>
      <c r="AQ4" s="226" t="inlineStr">
        <is>
          <t>Year</t>
        </is>
      </c>
      <c r="AR4" s="226" t="inlineStr">
        <is>
          <t>P10</t>
        </is>
      </c>
      <c r="AS4" s="226" t="inlineStr">
        <is>
          <t>P25</t>
        </is>
      </c>
      <c r="AT4" s="226" t="inlineStr">
        <is>
          <t>P50 Median</t>
        </is>
      </c>
      <c r="AU4" s="226" t="inlineStr">
        <is>
          <t>P75</t>
        </is>
      </c>
      <c r="AV4" s="226" t="inlineStr">
        <is>
          <t>P90</t>
        </is>
      </c>
    </row>
    <row r="5">
      <c r="A5" s="230" t="n">
        <v>2026</v>
      </c>
      <c r="B5" s="231" t="n">
        <v>1360666</v>
      </c>
      <c r="C5" s="231" t="n">
        <v>1808867</v>
      </c>
      <c r="D5" s="231" t="n">
        <v>497502</v>
      </c>
      <c r="E5" s="231" t="n">
        <v>614346</v>
      </c>
      <c r="F5" s="231" t="n">
        <v>84424</v>
      </c>
      <c r="G5" s="231" t="n">
        <v>1061621</v>
      </c>
      <c r="H5" s="231" t="n">
        <v>547626</v>
      </c>
      <c r="I5" s="232" t="n">
        <v>5975052</v>
      </c>
      <c r="K5" s="230" t="n">
        <v>2026</v>
      </c>
      <c r="L5" s="231" t="n">
        <v>290000</v>
      </c>
      <c r="M5" s="231" t="n">
        <v>0</v>
      </c>
      <c r="N5" s="231" t="n">
        <v>0</v>
      </c>
      <c r="O5" s="231" t="n">
        <v>4512</v>
      </c>
      <c r="P5" s="231" t="n">
        <v>0</v>
      </c>
      <c r="Q5" s="231" t="n">
        <v>0</v>
      </c>
      <c r="R5" s="231" t="n">
        <v>0</v>
      </c>
      <c r="S5" s="231" t="n">
        <v>0</v>
      </c>
      <c r="T5" s="231" t="n">
        <v>100547</v>
      </c>
      <c r="U5" s="231" t="n">
        <v>0</v>
      </c>
      <c r="V5" s="231" t="n">
        <v>0</v>
      </c>
      <c r="W5" s="231" t="n">
        <v>0</v>
      </c>
      <c r="X5" s="231" t="n">
        <v>0</v>
      </c>
      <c r="Y5" s="231" t="n">
        <v>0</v>
      </c>
      <c r="Z5" s="231" t="n">
        <v>0</v>
      </c>
      <c r="AA5" s="232" t="n">
        <v>395059</v>
      </c>
      <c r="AC5" s="230" t="n">
        <v>2026</v>
      </c>
      <c r="AD5" s="231" t="n">
        <v>129059</v>
      </c>
      <c r="AE5" s="231" t="n">
        <v>105600</v>
      </c>
      <c r="AF5" s="231" t="n">
        <v>21760</v>
      </c>
      <c r="AG5" s="231" t="n">
        <v>13647</v>
      </c>
      <c r="AH5" s="231" t="n">
        <v>0</v>
      </c>
      <c r="AI5" s="231" t="n">
        <v>72804</v>
      </c>
      <c r="AJ5" s="231" t="n">
        <v>15734</v>
      </c>
      <c r="AK5" s="231" t="n">
        <v>0</v>
      </c>
      <c r="AL5" s="231" t="n">
        <v>0</v>
      </c>
      <c r="AM5" s="231" t="n">
        <v>0</v>
      </c>
      <c r="AN5" s="232" t="n">
        <v>358604</v>
      </c>
      <c r="AQ5" s="230" t="n">
        <v>2026</v>
      </c>
      <c r="AR5" s="231" t="n">
        <v>5858469.244000532</v>
      </c>
      <c r="AS5" s="231" t="n">
        <v>5925078.765683709</v>
      </c>
      <c r="AT5" s="231" t="n">
        <v>6082485.368207565</v>
      </c>
      <c r="AU5" s="231" t="n">
        <v>6213058.910250608</v>
      </c>
      <c r="AV5" s="231" t="n">
        <v>6308475.220538615</v>
      </c>
    </row>
    <row r="6">
      <c r="A6" s="233" t="n">
        <v>2027</v>
      </c>
      <c r="B6" s="234" t="n">
        <v>1437523</v>
      </c>
      <c r="C6" s="234" t="n">
        <v>1679119</v>
      </c>
      <c r="D6" s="234" t="n">
        <v>765631</v>
      </c>
      <c r="E6" s="234" t="n">
        <v>313669</v>
      </c>
      <c r="F6" s="234" t="n">
        <v>89489</v>
      </c>
      <c r="G6" s="234" t="n">
        <v>1132406</v>
      </c>
      <c r="H6" s="234" t="n">
        <v>480568</v>
      </c>
      <c r="I6" s="235" t="n">
        <v>5898405</v>
      </c>
      <c r="K6" s="233" t="n">
        <v>2027</v>
      </c>
      <c r="L6" s="234" t="n">
        <v>0</v>
      </c>
      <c r="M6" s="234" t="n">
        <v>0</v>
      </c>
      <c r="N6" s="234" t="n">
        <v>0</v>
      </c>
      <c r="O6" s="234" t="n">
        <v>4512</v>
      </c>
      <c r="P6" s="234" t="n">
        <v>0</v>
      </c>
      <c r="Q6" s="234" t="n">
        <v>0</v>
      </c>
      <c r="R6" s="234" t="n">
        <v>0</v>
      </c>
      <c r="S6" s="234" t="n">
        <v>0</v>
      </c>
      <c r="T6" s="234" t="n">
        <v>91446</v>
      </c>
      <c r="U6" s="234" t="n">
        <v>0</v>
      </c>
      <c r="V6" s="234" t="n">
        <v>312928</v>
      </c>
      <c r="W6" s="234" t="n">
        <v>0</v>
      </c>
      <c r="X6" s="234" t="n">
        <v>0</v>
      </c>
      <c r="Y6" s="234" t="n">
        <v>0</v>
      </c>
      <c r="Z6" s="234" t="n">
        <v>0</v>
      </c>
      <c r="AA6" s="235" t="n">
        <v>408886</v>
      </c>
      <c r="AC6" s="233" t="n">
        <v>2027</v>
      </c>
      <c r="AD6" s="234" t="n">
        <v>132285</v>
      </c>
      <c r="AE6" s="234" t="n">
        <v>107340</v>
      </c>
      <c r="AF6" s="234" t="n">
        <v>35186</v>
      </c>
      <c r="AG6" s="234" t="n">
        <v>13988</v>
      </c>
      <c r="AH6" s="234" t="n">
        <v>100000</v>
      </c>
      <c r="AI6" s="234" t="n">
        <v>41329</v>
      </c>
      <c r="AJ6" s="234" t="n">
        <v>2181</v>
      </c>
      <c r="AK6" s="234" t="n">
        <v>888</v>
      </c>
      <c r="AL6" s="234" t="n">
        <v>0</v>
      </c>
      <c r="AM6" s="234" t="n">
        <v>0</v>
      </c>
      <c r="AN6" s="235" t="n">
        <v>433197</v>
      </c>
      <c r="AQ6" s="233" t="n">
        <v>2027</v>
      </c>
      <c r="AR6" s="234" t="n">
        <v>5385923.189470499</v>
      </c>
      <c r="AS6" s="234" t="n">
        <v>5795207.760357673</v>
      </c>
      <c r="AT6" s="234" t="n">
        <v>6096124.812396402</v>
      </c>
      <c r="AU6" s="234" t="n">
        <v>6328243.546127162</v>
      </c>
      <c r="AV6" s="234" t="n">
        <v>6628556.017119281</v>
      </c>
    </row>
    <row r="7">
      <c r="A7" s="230" t="n">
        <v>2028</v>
      </c>
      <c r="B7" s="231" t="n">
        <v>1518992</v>
      </c>
      <c r="C7" s="231" t="n">
        <v>1553892</v>
      </c>
      <c r="D7" s="231" t="n">
        <v>1037543</v>
      </c>
      <c r="E7" s="231" t="n">
        <v>54839</v>
      </c>
      <c r="F7" s="231" t="n">
        <v>94858</v>
      </c>
      <c r="G7" s="231" t="n">
        <v>1205010</v>
      </c>
      <c r="H7" s="231" t="n">
        <v>413511</v>
      </c>
      <c r="I7" s="232" t="n">
        <v>5878645</v>
      </c>
      <c r="K7" s="230" t="n">
        <v>2028</v>
      </c>
      <c r="L7" s="231" t="n">
        <v>0</v>
      </c>
      <c r="M7" s="231" t="n">
        <v>0</v>
      </c>
      <c r="N7" s="231" t="n">
        <v>0</v>
      </c>
      <c r="O7" s="231" t="n">
        <v>4512</v>
      </c>
      <c r="P7" s="231" t="n">
        <v>0</v>
      </c>
      <c r="Q7" s="231" t="n">
        <v>27611</v>
      </c>
      <c r="R7" s="231" t="n">
        <v>0</v>
      </c>
      <c r="S7" s="231" t="n">
        <v>0</v>
      </c>
      <c r="T7" s="231" t="n">
        <v>86732</v>
      </c>
      <c r="U7" s="231" t="n">
        <v>0</v>
      </c>
      <c r="V7" s="231" t="n">
        <v>260971</v>
      </c>
      <c r="W7" s="231" t="n">
        <v>0</v>
      </c>
      <c r="X7" s="231" t="n">
        <v>0</v>
      </c>
      <c r="Y7" s="231" t="n">
        <v>0</v>
      </c>
      <c r="Z7" s="231" t="n">
        <v>0</v>
      </c>
      <c r="AA7" s="232" t="n">
        <v>379826</v>
      </c>
      <c r="AC7" s="230" t="n">
        <v>2028</v>
      </c>
      <c r="AD7" s="231" t="n">
        <v>135593</v>
      </c>
      <c r="AE7" s="231" t="n">
        <v>109124</v>
      </c>
      <c r="AF7" s="231" t="n">
        <v>36941</v>
      </c>
      <c r="AG7" s="231" t="n">
        <v>14338</v>
      </c>
      <c r="AH7" s="231" t="n">
        <v>50000</v>
      </c>
      <c r="AI7" s="231" t="n">
        <v>42256</v>
      </c>
      <c r="AJ7" s="231" t="n">
        <v>1659</v>
      </c>
      <c r="AK7" s="231" t="n">
        <v>1095</v>
      </c>
      <c r="AL7" s="231" t="n">
        <v>0</v>
      </c>
      <c r="AM7" s="231" t="n">
        <v>0</v>
      </c>
      <c r="AN7" s="232" t="n">
        <v>391006</v>
      </c>
      <c r="AQ7" s="230" t="n">
        <v>2028</v>
      </c>
      <c r="AR7" s="231" t="n">
        <v>5279813.824307786</v>
      </c>
      <c r="AS7" s="231" t="n">
        <v>5629705.082135471</v>
      </c>
      <c r="AT7" s="231" t="n">
        <v>6115351.269734855</v>
      </c>
      <c r="AU7" s="231" t="n">
        <v>6406982.891020071</v>
      </c>
      <c r="AV7" s="231" t="n">
        <v>6959017.173859845</v>
      </c>
    </row>
    <row r="8">
      <c r="A8" s="233" t="n">
        <v>2029</v>
      </c>
      <c r="B8" s="234" t="n">
        <v>1576080</v>
      </c>
      <c r="C8" s="234" t="n">
        <v>1385142</v>
      </c>
      <c r="D8" s="234" t="n">
        <v>1253071</v>
      </c>
      <c r="E8" s="234" t="n">
        <v>0</v>
      </c>
      <c r="F8" s="234" t="n">
        <v>100550</v>
      </c>
      <c r="G8" s="234" t="n">
        <v>1279481</v>
      </c>
      <c r="H8" s="234" t="n">
        <v>346454</v>
      </c>
      <c r="I8" s="235" t="n">
        <v>5940778</v>
      </c>
      <c r="K8" s="233" t="n">
        <v>2029</v>
      </c>
      <c r="L8" s="234" t="n">
        <v>0</v>
      </c>
      <c r="M8" s="234" t="n">
        <v>0</v>
      </c>
      <c r="N8" s="234" t="n">
        <v>0</v>
      </c>
      <c r="O8" s="234" t="n">
        <v>4512</v>
      </c>
      <c r="P8" s="234" t="n">
        <v>4600</v>
      </c>
      <c r="Q8" s="234" t="n">
        <v>27437</v>
      </c>
      <c r="R8" s="234" t="n">
        <v>8123</v>
      </c>
      <c r="S8" s="234" t="n">
        <v>71336</v>
      </c>
      <c r="T8" s="234" t="n">
        <v>82017</v>
      </c>
      <c r="U8" s="234" t="n">
        <v>0</v>
      </c>
      <c r="V8" s="234" t="n">
        <v>54839</v>
      </c>
      <c r="W8" s="234" t="n">
        <v>0</v>
      </c>
      <c r="X8" s="234" t="n">
        <v>0</v>
      </c>
      <c r="Y8" s="234" t="n">
        <v>102555</v>
      </c>
      <c r="Z8" s="234" t="n">
        <v>0</v>
      </c>
      <c r="AA8" s="235" t="n">
        <v>355419</v>
      </c>
      <c r="AC8" s="233" t="n">
        <v>2029</v>
      </c>
      <c r="AD8" s="234" t="n">
        <v>138982</v>
      </c>
      <c r="AE8" s="234" t="n">
        <v>110952</v>
      </c>
      <c r="AF8" s="234" t="n">
        <v>38790</v>
      </c>
      <c r="AG8" s="234" t="n">
        <v>14696</v>
      </c>
      <c r="AH8" s="234" t="n">
        <v>0</v>
      </c>
      <c r="AI8" s="234" t="n">
        <v>42745</v>
      </c>
      <c r="AJ8" s="234" t="n">
        <v>1663</v>
      </c>
      <c r="AK8" s="234" t="n">
        <v>1196</v>
      </c>
      <c r="AL8" s="234" t="n">
        <v>6395</v>
      </c>
      <c r="AM8" s="234" t="n">
        <v>0</v>
      </c>
      <c r="AN8" s="235" t="n">
        <v>355419</v>
      </c>
      <c r="AQ8" s="233" t="n">
        <v>2029</v>
      </c>
      <c r="AR8" s="234" t="n">
        <v>5075843.71529175</v>
      </c>
      <c r="AS8" s="234" t="n">
        <v>5674585.490018295</v>
      </c>
      <c r="AT8" s="234" t="n">
        <v>6453944.757652826</v>
      </c>
      <c r="AU8" s="234" t="n">
        <v>6828586.431134754</v>
      </c>
      <c r="AV8" s="234" t="n">
        <v>7345259.952213485</v>
      </c>
    </row>
    <row r="9">
      <c r="A9" s="230" t="n">
        <v>2030</v>
      </c>
      <c r="B9" s="231" t="n">
        <v>1547677</v>
      </c>
      <c r="C9" s="231" t="n">
        <v>1191786</v>
      </c>
      <c r="D9" s="231" t="n">
        <v>1492871</v>
      </c>
      <c r="E9" s="231" t="n">
        <v>0</v>
      </c>
      <c r="F9" s="231" t="n">
        <v>106583</v>
      </c>
      <c r="G9" s="231" t="n">
        <v>1355868</v>
      </c>
      <c r="H9" s="231" t="n">
        <v>213396</v>
      </c>
      <c r="I9" s="232" t="n">
        <v>5908181</v>
      </c>
      <c r="K9" s="230" t="n">
        <v>2030</v>
      </c>
      <c r="L9" s="231" t="n">
        <v>0</v>
      </c>
      <c r="M9" s="231" t="n">
        <v>0</v>
      </c>
      <c r="N9" s="231" t="n">
        <v>0</v>
      </c>
      <c r="O9" s="231" t="n">
        <v>4512</v>
      </c>
      <c r="P9" s="231" t="n">
        <v>4583</v>
      </c>
      <c r="Q9" s="231" t="n">
        <v>27268</v>
      </c>
      <c r="R9" s="231" t="n">
        <v>8088</v>
      </c>
      <c r="S9" s="231" t="n">
        <v>70915</v>
      </c>
      <c r="T9" s="231" t="n">
        <v>77303</v>
      </c>
      <c r="U9" s="231" t="n">
        <v>0</v>
      </c>
      <c r="V9" s="231" t="n">
        <v>66000</v>
      </c>
      <c r="W9" s="231" t="n">
        <v>0</v>
      </c>
      <c r="X9" s="231" t="n">
        <v>0</v>
      </c>
      <c r="Y9" s="231" t="n">
        <v>105518</v>
      </c>
      <c r="Z9" s="231" t="n">
        <v>0</v>
      </c>
      <c r="AA9" s="232" t="n">
        <v>364187</v>
      </c>
      <c r="AC9" s="230" t="n">
        <v>2030</v>
      </c>
      <c r="AD9" s="231" t="n">
        <v>142457</v>
      </c>
      <c r="AE9" s="231" t="n">
        <v>112825</v>
      </c>
      <c r="AF9" s="231" t="n">
        <v>40738</v>
      </c>
      <c r="AG9" s="231" t="n">
        <v>15064</v>
      </c>
      <c r="AH9" s="231" t="n">
        <v>0</v>
      </c>
      <c r="AI9" s="231" t="n">
        <v>44332</v>
      </c>
      <c r="AJ9" s="231" t="n">
        <v>1445</v>
      </c>
      <c r="AK9" s="231" t="n">
        <v>1109</v>
      </c>
      <c r="AL9" s="231" t="n">
        <v>6217</v>
      </c>
      <c r="AM9" s="231" t="n">
        <v>0</v>
      </c>
      <c r="AN9" s="232" t="n">
        <v>364187</v>
      </c>
      <c r="AQ9" s="230" t="n">
        <v>2030</v>
      </c>
      <c r="AR9" s="231" t="n">
        <v>4861074.182460338</v>
      </c>
      <c r="AS9" s="231" t="n">
        <v>5524606.267436864</v>
      </c>
      <c r="AT9" s="231" t="n">
        <v>6478041.846214585</v>
      </c>
      <c r="AU9" s="231" t="n">
        <v>7052362.075284265</v>
      </c>
      <c r="AV9" s="231" t="n">
        <v>7807737.005309598</v>
      </c>
    </row>
    <row r="10">
      <c r="A10" s="233" t="n">
        <v>2031</v>
      </c>
      <c r="B10" s="234" t="n">
        <v>1518250</v>
      </c>
      <c r="C10" s="234" t="n">
        <v>1031750</v>
      </c>
      <c r="D10" s="234" t="n">
        <v>1715226</v>
      </c>
      <c r="E10" s="234" t="n">
        <v>0</v>
      </c>
      <c r="F10" s="234" t="n">
        <v>101680</v>
      </c>
      <c r="G10" s="234" t="n">
        <v>1434223</v>
      </c>
      <c r="H10" s="234" t="n">
        <v>146339</v>
      </c>
      <c r="I10" s="235" t="n">
        <v>5947468</v>
      </c>
      <c r="K10" s="233" t="n">
        <v>2031</v>
      </c>
      <c r="L10" s="234" t="n">
        <v>0</v>
      </c>
      <c r="M10" s="234" t="n">
        <v>0</v>
      </c>
      <c r="N10" s="234" t="n">
        <v>50088</v>
      </c>
      <c r="O10" s="234" t="n">
        <v>4512</v>
      </c>
      <c r="P10" s="234" t="n">
        <v>4567</v>
      </c>
      <c r="Q10" s="234" t="n">
        <v>27109</v>
      </c>
      <c r="R10" s="234" t="n">
        <v>8055</v>
      </c>
      <c r="S10" s="234" t="n">
        <v>70503</v>
      </c>
      <c r="T10" s="234" t="n">
        <v>72588</v>
      </c>
      <c r="U10" s="234" t="n">
        <v>0</v>
      </c>
      <c r="V10" s="234" t="n">
        <v>0</v>
      </c>
      <c r="W10" s="234" t="n">
        <v>10658</v>
      </c>
      <c r="X10" s="234" t="n">
        <v>0</v>
      </c>
      <c r="Y10" s="234" t="n">
        <v>93170</v>
      </c>
      <c r="Z10" s="234" t="n">
        <v>0</v>
      </c>
      <c r="AA10" s="235" t="n">
        <v>341250</v>
      </c>
      <c r="AC10" s="233" t="n">
        <v>2031</v>
      </c>
      <c r="AD10" s="234" t="n">
        <v>146018</v>
      </c>
      <c r="AE10" s="234" t="n">
        <v>86461</v>
      </c>
      <c r="AF10" s="234" t="n">
        <v>42792</v>
      </c>
      <c r="AG10" s="234" t="n">
        <v>15440</v>
      </c>
      <c r="AH10" s="234" t="n">
        <v>0</v>
      </c>
      <c r="AI10" s="234" t="n">
        <v>45235</v>
      </c>
      <c r="AJ10" s="234" t="n">
        <v>1140</v>
      </c>
      <c r="AK10" s="234" t="n">
        <v>0</v>
      </c>
      <c r="AL10" s="234" t="n">
        <v>4164</v>
      </c>
      <c r="AM10" s="234" t="n">
        <v>0</v>
      </c>
      <c r="AN10" s="235" t="n">
        <v>341250</v>
      </c>
      <c r="AQ10" s="233" t="n">
        <v>2031</v>
      </c>
      <c r="AR10" s="234" t="n">
        <v>4757218.194277935</v>
      </c>
      <c r="AS10" s="234" t="n">
        <v>5700024.510332577</v>
      </c>
      <c r="AT10" s="234" t="n">
        <v>6658713.021684386</v>
      </c>
      <c r="AU10" s="234" t="n">
        <v>7525870.079475103</v>
      </c>
      <c r="AV10" s="234" t="n">
        <v>7910726.810365096</v>
      </c>
    </row>
    <row r="11">
      <c r="A11" s="230" t="n">
        <v>2032</v>
      </c>
      <c r="B11" s="231" t="n">
        <v>1487715</v>
      </c>
      <c r="C11" s="231" t="n">
        <v>769378</v>
      </c>
      <c r="D11" s="231" t="n">
        <v>1933583</v>
      </c>
      <c r="E11" s="231" t="n">
        <v>0</v>
      </c>
      <c r="F11" s="231" t="n">
        <v>95805</v>
      </c>
      <c r="G11" s="231" t="n">
        <v>1514599</v>
      </c>
      <c r="H11" s="231" t="n">
        <v>79282</v>
      </c>
      <c r="I11" s="232" t="n">
        <v>5880362</v>
      </c>
      <c r="K11" s="230" t="n">
        <v>2032</v>
      </c>
      <c r="L11" s="231" t="n">
        <v>0</v>
      </c>
      <c r="M11" s="231" t="n">
        <v>47549</v>
      </c>
      <c r="N11" s="231" t="n">
        <v>39850</v>
      </c>
      <c r="O11" s="231" t="n">
        <v>4512</v>
      </c>
      <c r="P11" s="231" t="n">
        <v>4552</v>
      </c>
      <c r="Q11" s="231" t="n">
        <v>26960</v>
      </c>
      <c r="R11" s="231" t="n">
        <v>8023</v>
      </c>
      <c r="S11" s="231" t="n">
        <v>70118</v>
      </c>
      <c r="T11" s="231" t="n">
        <v>63730</v>
      </c>
      <c r="U11" s="231" t="n">
        <v>0</v>
      </c>
      <c r="V11" s="231" t="n">
        <v>0</v>
      </c>
      <c r="W11" s="231" t="n">
        <v>11298</v>
      </c>
      <c r="X11" s="231" t="n">
        <v>0</v>
      </c>
      <c r="Y11" s="231" t="n">
        <v>197013</v>
      </c>
      <c r="Z11" s="231" t="n">
        <v>0</v>
      </c>
      <c r="AA11" s="232" t="n">
        <v>473605</v>
      </c>
      <c r="AC11" s="230" t="n">
        <v>2032</v>
      </c>
      <c r="AD11" s="231" t="n">
        <v>149669</v>
      </c>
      <c r="AE11" s="231" t="n">
        <v>87722</v>
      </c>
      <c r="AF11" s="231" t="n">
        <v>44956</v>
      </c>
      <c r="AG11" s="231" t="n">
        <v>15826</v>
      </c>
      <c r="AH11" s="231" t="n">
        <v>100000</v>
      </c>
      <c r="AI11" s="231" t="n">
        <v>46156</v>
      </c>
      <c r="AJ11" s="231" t="n">
        <v>700</v>
      </c>
      <c r="AK11" s="231" t="n">
        <v>0</v>
      </c>
      <c r="AL11" s="231" t="n">
        <v>28576</v>
      </c>
      <c r="AM11" s="231" t="n">
        <v>0</v>
      </c>
      <c r="AN11" s="232" t="n">
        <v>473605</v>
      </c>
      <c r="AQ11" s="230" t="n">
        <v>2032</v>
      </c>
      <c r="AR11" s="231" t="n">
        <v>4454469.97556822</v>
      </c>
      <c r="AS11" s="231" t="n">
        <v>5432323.063005352</v>
      </c>
      <c r="AT11" s="231" t="n">
        <v>6659915.72188125</v>
      </c>
      <c r="AU11" s="231" t="n">
        <v>7552073.214323986</v>
      </c>
      <c r="AV11" s="231" t="n">
        <v>8451965.510359922</v>
      </c>
    </row>
    <row r="12">
      <c r="A12" s="233" t="n">
        <v>2033</v>
      </c>
      <c r="B12" s="234" t="n">
        <v>1455962</v>
      </c>
      <c r="C12" s="234" t="n">
        <v>611394</v>
      </c>
      <c r="D12" s="234" t="n">
        <v>2172795</v>
      </c>
      <c r="E12" s="234" t="n">
        <v>0</v>
      </c>
      <c r="F12" s="234" t="n">
        <v>88859</v>
      </c>
      <c r="G12" s="234" t="n">
        <v>1597049</v>
      </c>
      <c r="H12" s="234" t="n">
        <v>20000</v>
      </c>
      <c r="I12" s="235" t="n">
        <v>5946059</v>
      </c>
      <c r="K12" s="233" t="n">
        <v>2033</v>
      </c>
      <c r="L12" s="234" t="n">
        <v>0</v>
      </c>
      <c r="M12" s="234" t="n">
        <v>48500</v>
      </c>
      <c r="N12" s="234" t="n">
        <v>40647</v>
      </c>
      <c r="O12" s="234" t="n">
        <v>4512</v>
      </c>
      <c r="P12" s="234" t="n">
        <v>4538</v>
      </c>
      <c r="Q12" s="234" t="n">
        <v>26822</v>
      </c>
      <c r="R12" s="234" t="n">
        <v>7994</v>
      </c>
      <c r="S12" s="234" t="n">
        <v>69759</v>
      </c>
      <c r="T12" s="234" t="n">
        <v>61552</v>
      </c>
      <c r="U12" s="234" t="n">
        <v>0</v>
      </c>
      <c r="V12" s="234" t="n">
        <v>0</v>
      </c>
      <c r="W12" s="234" t="n">
        <v>11976</v>
      </c>
      <c r="X12" s="234" t="n">
        <v>0</v>
      </c>
      <c r="Y12" s="234" t="n">
        <v>76368</v>
      </c>
      <c r="Z12" s="234" t="n">
        <v>0</v>
      </c>
      <c r="AA12" s="235" t="n">
        <v>352668</v>
      </c>
      <c r="AC12" s="233" t="n">
        <v>2033</v>
      </c>
      <c r="AD12" s="234" t="n">
        <v>153411</v>
      </c>
      <c r="AE12" s="234" t="n">
        <v>89015</v>
      </c>
      <c r="AF12" s="234" t="n">
        <v>47237</v>
      </c>
      <c r="AG12" s="234" t="n">
        <v>16222</v>
      </c>
      <c r="AH12" s="234" t="n">
        <v>0</v>
      </c>
      <c r="AI12" s="234" t="n">
        <v>47096</v>
      </c>
      <c r="AJ12" s="234" t="n">
        <v>588</v>
      </c>
      <c r="AK12" s="234" t="n">
        <v>0</v>
      </c>
      <c r="AL12" s="234" t="n">
        <v>0</v>
      </c>
      <c r="AM12" s="234" t="n">
        <v>0</v>
      </c>
      <c r="AN12" s="235" t="n">
        <v>353569</v>
      </c>
      <c r="AQ12" s="233" t="n">
        <v>2033</v>
      </c>
      <c r="AR12" s="234" t="n">
        <v>4693846.242616682</v>
      </c>
      <c r="AS12" s="234" t="n">
        <v>5438488.674405509</v>
      </c>
      <c r="AT12" s="234" t="n">
        <v>6802110.678821243</v>
      </c>
      <c r="AU12" s="234" t="n">
        <v>7808576.898441331</v>
      </c>
      <c r="AV12" s="234" t="n">
        <v>9247695.530961134</v>
      </c>
    </row>
    <row r="13">
      <c r="A13" s="230" t="n">
        <v>2034</v>
      </c>
      <c r="B13" s="231" t="n">
        <v>1422877</v>
      </c>
      <c r="C13" s="231" t="n">
        <v>341503</v>
      </c>
      <c r="D13" s="231" t="n">
        <v>2434172</v>
      </c>
      <c r="E13" s="231" t="n">
        <v>0</v>
      </c>
      <c r="F13" s="231" t="n">
        <v>80735</v>
      </c>
      <c r="G13" s="231" t="n">
        <v>1681629</v>
      </c>
      <c r="H13" s="231" t="n">
        <v>20000</v>
      </c>
      <c r="I13" s="232" t="n">
        <v>5980916</v>
      </c>
      <c r="K13" s="230" t="n">
        <v>2034</v>
      </c>
      <c r="L13" s="231" t="n">
        <v>0</v>
      </c>
      <c r="M13" s="231" t="n">
        <v>49470</v>
      </c>
      <c r="N13" s="231" t="n">
        <v>41460</v>
      </c>
      <c r="O13" s="231" t="n">
        <v>4512</v>
      </c>
      <c r="P13" s="231" t="n">
        <v>4526</v>
      </c>
      <c r="Q13" s="231" t="n">
        <v>26693</v>
      </c>
      <c r="R13" s="231" t="n">
        <v>7967</v>
      </c>
      <c r="S13" s="231" t="n">
        <v>69423</v>
      </c>
      <c r="T13" s="231" t="n">
        <v>0</v>
      </c>
      <c r="U13" s="231" t="n">
        <v>0</v>
      </c>
      <c r="V13" s="231" t="n">
        <v>0</v>
      </c>
      <c r="W13" s="231" t="n">
        <v>12694</v>
      </c>
      <c r="X13" s="231" t="n">
        <v>0</v>
      </c>
      <c r="Y13" s="231" t="n">
        <v>165627</v>
      </c>
      <c r="Z13" s="231" t="n">
        <v>0</v>
      </c>
      <c r="AA13" s="232" t="n">
        <v>382372</v>
      </c>
      <c r="AC13" s="230" t="n">
        <v>2034</v>
      </c>
      <c r="AD13" s="231" t="n">
        <v>157246</v>
      </c>
      <c r="AE13" s="231" t="n">
        <v>90341</v>
      </c>
      <c r="AF13" s="231" t="n">
        <v>49640</v>
      </c>
      <c r="AG13" s="231" t="n">
        <v>16628</v>
      </c>
      <c r="AH13" s="231" t="n">
        <v>0</v>
      </c>
      <c r="AI13" s="231" t="n">
        <v>48054</v>
      </c>
      <c r="AJ13" s="231" t="n">
        <v>476</v>
      </c>
      <c r="AK13" s="231" t="n">
        <v>0</v>
      </c>
      <c r="AL13" s="231" t="n">
        <v>19987</v>
      </c>
      <c r="AM13" s="231" t="n">
        <v>0</v>
      </c>
      <c r="AN13" s="232" t="n">
        <v>382372</v>
      </c>
      <c r="AQ13" s="230" t="n">
        <v>2034</v>
      </c>
      <c r="AR13" s="231" t="n">
        <v>4572282.148502992</v>
      </c>
      <c r="AS13" s="231" t="n">
        <v>5611538.315887697</v>
      </c>
      <c r="AT13" s="231" t="n">
        <v>6754431.822822806</v>
      </c>
      <c r="AU13" s="231" t="n">
        <v>7696926.931872288</v>
      </c>
      <c r="AV13" s="231" t="n">
        <v>9210049.302261621</v>
      </c>
    </row>
    <row r="14">
      <c r="A14" s="233" t="n">
        <v>2035</v>
      </c>
      <c r="B14" s="234" t="n">
        <v>1388342</v>
      </c>
      <c r="C14" s="234" t="n">
        <v>98709</v>
      </c>
      <c r="D14" s="234" t="n">
        <v>2713407</v>
      </c>
      <c r="E14" s="234" t="n">
        <v>0</v>
      </c>
      <c r="F14" s="234" t="n">
        <v>71316</v>
      </c>
      <c r="G14" s="234" t="n">
        <v>1764562</v>
      </c>
      <c r="H14" s="234" t="n">
        <v>20000</v>
      </c>
      <c r="I14" s="235" t="n">
        <v>6056336</v>
      </c>
      <c r="K14" s="233" t="n">
        <v>2035</v>
      </c>
      <c r="L14" s="234" t="n">
        <v>0</v>
      </c>
      <c r="M14" s="234" t="n">
        <v>50459</v>
      </c>
      <c r="N14" s="234" t="n">
        <v>42289</v>
      </c>
      <c r="O14" s="234" t="n">
        <v>4512</v>
      </c>
      <c r="P14" s="234" t="n">
        <v>4514</v>
      </c>
      <c r="Q14" s="234" t="n">
        <v>29725</v>
      </c>
      <c r="R14" s="234" t="n">
        <v>7941</v>
      </c>
      <c r="S14" s="234" t="n">
        <v>69111</v>
      </c>
      <c r="T14" s="234" t="n">
        <v>0</v>
      </c>
      <c r="U14" s="234" t="n">
        <v>0</v>
      </c>
      <c r="V14" s="234" t="n">
        <v>0</v>
      </c>
      <c r="W14" s="234" t="n">
        <v>13456</v>
      </c>
      <c r="X14" s="234" t="n">
        <v>0</v>
      </c>
      <c r="Y14" s="234" t="n">
        <v>122736</v>
      </c>
      <c r="Z14" s="234" t="n">
        <v>0</v>
      </c>
      <c r="AA14" s="235" t="n">
        <v>344743</v>
      </c>
      <c r="AC14" s="233" t="n">
        <v>2035</v>
      </c>
      <c r="AD14" s="234" t="n">
        <v>161177</v>
      </c>
      <c r="AE14" s="234" t="n">
        <v>55699</v>
      </c>
      <c r="AF14" s="234" t="n">
        <v>52174</v>
      </c>
      <c r="AG14" s="234" t="n">
        <v>17043</v>
      </c>
      <c r="AH14" s="234" t="n">
        <v>0</v>
      </c>
      <c r="AI14" s="234" t="n">
        <v>49031</v>
      </c>
      <c r="AJ14" s="234" t="n">
        <v>475</v>
      </c>
      <c r="AK14" s="234" t="n">
        <v>0</v>
      </c>
      <c r="AL14" s="234" t="n">
        <v>9144</v>
      </c>
      <c r="AM14" s="234" t="n">
        <v>0</v>
      </c>
      <c r="AN14" s="235" t="n">
        <v>344743</v>
      </c>
      <c r="AQ14" s="233" t="n">
        <v>2035</v>
      </c>
      <c r="AR14" s="234" t="n">
        <v>4415082.861039517</v>
      </c>
      <c r="AS14" s="234" t="n">
        <v>5492646.789497245</v>
      </c>
      <c r="AT14" s="234" t="n">
        <v>7019931.424190756</v>
      </c>
      <c r="AU14" s="234" t="n">
        <v>7544371.682185465</v>
      </c>
      <c r="AV14" s="234" t="n">
        <v>9346644.039044861</v>
      </c>
    </row>
    <row r="15">
      <c r="A15" s="230" t="n">
        <v>2036</v>
      </c>
      <c r="B15" s="231" t="n">
        <v>1348892</v>
      </c>
      <c r="C15" s="231" t="n">
        <v>17389</v>
      </c>
      <c r="D15" s="231" t="n">
        <v>2876212</v>
      </c>
      <c r="E15" s="231" t="n">
        <v>0</v>
      </c>
      <c r="F15" s="231" t="n">
        <v>60476</v>
      </c>
      <c r="G15" s="231" t="n">
        <v>1817499</v>
      </c>
      <c r="H15" s="231" t="n">
        <v>20000</v>
      </c>
      <c r="I15" s="232" t="n">
        <v>6140468</v>
      </c>
      <c r="K15" s="230" t="n">
        <v>2036</v>
      </c>
      <c r="L15" s="231" t="n">
        <v>0</v>
      </c>
      <c r="M15" s="231" t="n">
        <v>51468</v>
      </c>
      <c r="N15" s="231" t="n">
        <v>43135</v>
      </c>
      <c r="O15" s="231" t="n">
        <v>4512</v>
      </c>
      <c r="P15" s="231" t="n">
        <v>4809</v>
      </c>
      <c r="Q15" s="231" t="n">
        <v>29362</v>
      </c>
      <c r="R15" s="231" t="n">
        <v>8540</v>
      </c>
      <c r="S15" s="231" t="n">
        <v>76457</v>
      </c>
      <c r="T15" s="231" t="n">
        <v>0</v>
      </c>
      <c r="U15" s="231" t="n">
        <v>0</v>
      </c>
      <c r="V15" s="231" t="n">
        <v>0</v>
      </c>
      <c r="W15" s="231" t="n">
        <v>14263</v>
      </c>
      <c r="X15" s="231" t="n">
        <v>0</v>
      </c>
      <c r="Y15" s="231" t="n">
        <v>82305</v>
      </c>
      <c r="Z15" s="231" t="n">
        <v>0</v>
      </c>
      <c r="AA15" s="232" t="n">
        <v>314851</v>
      </c>
      <c r="AC15" s="230" t="n">
        <v>2036</v>
      </c>
      <c r="AD15" s="231" t="n">
        <v>165206</v>
      </c>
      <c r="AE15" s="231" t="n">
        <v>57092</v>
      </c>
      <c r="AF15" s="231" t="n">
        <v>54844</v>
      </c>
      <c r="AG15" s="231" t="n">
        <v>17469</v>
      </c>
      <c r="AH15" s="231" t="n">
        <v>0</v>
      </c>
      <c r="AI15" s="231" t="n">
        <v>22498</v>
      </c>
      <c r="AJ15" s="231" t="n">
        <v>509</v>
      </c>
      <c r="AK15" s="231" t="n">
        <v>0</v>
      </c>
      <c r="AL15" s="231" t="n">
        <v>0</v>
      </c>
      <c r="AM15" s="231" t="n">
        <v>0</v>
      </c>
      <c r="AN15" s="232" t="n">
        <v>317618</v>
      </c>
      <c r="AQ15" s="230" t="n">
        <v>2036</v>
      </c>
      <c r="AR15" s="231" t="n">
        <v>4369869.129560549</v>
      </c>
      <c r="AS15" s="231" t="n">
        <v>5207614.120892184</v>
      </c>
      <c r="AT15" s="231" t="n">
        <v>7158223.738663552</v>
      </c>
      <c r="AU15" s="231" t="n">
        <v>8002274.461920869</v>
      </c>
      <c r="AV15" s="231" t="n">
        <v>10682921.98174154</v>
      </c>
    </row>
    <row r="16">
      <c r="A16" s="233" t="n">
        <v>2037</v>
      </c>
      <c r="B16" s="234" t="n">
        <v>1298724</v>
      </c>
      <c r="C16" s="234" t="n">
        <v>0</v>
      </c>
      <c r="D16" s="234" t="n">
        <v>2988284</v>
      </c>
      <c r="E16" s="234" t="n">
        <v>0</v>
      </c>
      <c r="F16" s="234" t="n">
        <v>48078</v>
      </c>
      <c r="G16" s="234" t="n">
        <v>1872024</v>
      </c>
      <c r="H16" s="234" t="n">
        <v>20000</v>
      </c>
      <c r="I16" s="235" t="n">
        <v>6227110</v>
      </c>
      <c r="K16" s="233" t="n">
        <v>2037</v>
      </c>
      <c r="L16" s="234" t="n">
        <v>0</v>
      </c>
      <c r="M16" s="234" t="n">
        <v>52498</v>
      </c>
      <c r="N16" s="234" t="n">
        <v>43998</v>
      </c>
      <c r="O16" s="234" t="n">
        <v>4512</v>
      </c>
      <c r="P16" s="234" t="n">
        <v>4774</v>
      </c>
      <c r="Q16" s="234" t="n">
        <v>29021</v>
      </c>
      <c r="R16" s="234" t="n">
        <v>8468</v>
      </c>
      <c r="S16" s="234" t="n">
        <v>75577</v>
      </c>
      <c r="T16" s="234" t="n">
        <v>0</v>
      </c>
      <c r="U16" s="234" t="n">
        <v>707</v>
      </c>
      <c r="V16" s="234" t="n">
        <v>0</v>
      </c>
      <c r="W16" s="234" t="n">
        <v>15119</v>
      </c>
      <c r="X16" s="234" t="n">
        <v>57075</v>
      </c>
      <c r="Y16" s="234" t="n">
        <v>16682</v>
      </c>
      <c r="Z16" s="234" t="n">
        <v>0</v>
      </c>
      <c r="AA16" s="235" t="n">
        <v>308431</v>
      </c>
      <c r="AC16" s="233" t="n">
        <v>2037</v>
      </c>
      <c r="AD16" s="234" t="n">
        <v>169337</v>
      </c>
      <c r="AE16" s="234" t="n">
        <v>58519</v>
      </c>
      <c r="AF16" s="234" t="n">
        <v>57659</v>
      </c>
      <c r="AG16" s="234" t="n">
        <v>17906</v>
      </c>
      <c r="AH16" s="234" t="n">
        <v>0</v>
      </c>
      <c r="AI16" s="234" t="n">
        <v>22286</v>
      </c>
      <c r="AJ16" s="234" t="n">
        <v>505</v>
      </c>
      <c r="AK16" s="234" t="n">
        <v>0</v>
      </c>
      <c r="AL16" s="234" t="n">
        <v>0</v>
      </c>
      <c r="AM16" s="234" t="n">
        <v>0</v>
      </c>
      <c r="AN16" s="235" t="n">
        <v>326212</v>
      </c>
      <c r="AQ16" s="233" t="n">
        <v>2037</v>
      </c>
      <c r="AR16" s="234" t="n">
        <v>4215971.313112302</v>
      </c>
      <c r="AS16" s="234" t="n">
        <v>4947179.747733529</v>
      </c>
      <c r="AT16" s="234" t="n">
        <v>6964848.780745411</v>
      </c>
      <c r="AU16" s="234" t="n">
        <v>8251022.180588882</v>
      </c>
      <c r="AV16" s="234" t="n">
        <v>10561256.6585604</v>
      </c>
    </row>
    <row r="17">
      <c r="A17" s="230" t="n">
        <v>2038</v>
      </c>
      <c r="B17" s="231" t="n">
        <v>1246954</v>
      </c>
      <c r="C17" s="231" t="n">
        <v>0</v>
      </c>
      <c r="D17" s="231" t="n">
        <v>3088041</v>
      </c>
      <c r="E17" s="231" t="n">
        <v>0</v>
      </c>
      <c r="F17" s="231" t="n">
        <v>33975</v>
      </c>
      <c r="G17" s="231" t="n">
        <v>1928185</v>
      </c>
      <c r="H17" s="231" t="n">
        <v>20000</v>
      </c>
      <c r="I17" s="232" t="n">
        <v>6317155</v>
      </c>
      <c r="K17" s="230" t="n">
        <v>2038</v>
      </c>
      <c r="L17" s="231" t="n">
        <v>0</v>
      </c>
      <c r="M17" s="231" t="n">
        <v>53548</v>
      </c>
      <c r="N17" s="231" t="n">
        <v>44878</v>
      </c>
      <c r="O17" s="231" t="n">
        <v>4512</v>
      </c>
      <c r="P17" s="231" t="n">
        <v>4743</v>
      </c>
      <c r="Q17" s="231" t="n">
        <v>28710</v>
      </c>
      <c r="R17" s="231" t="n">
        <v>8401</v>
      </c>
      <c r="S17" s="231" t="n">
        <v>74750</v>
      </c>
      <c r="T17" s="231" t="n">
        <v>0</v>
      </c>
      <c r="U17" s="231" t="n">
        <v>0</v>
      </c>
      <c r="V17" s="231" t="n">
        <v>0</v>
      </c>
      <c r="W17" s="231" t="n">
        <v>16026</v>
      </c>
      <c r="X17" s="231" t="n">
        <v>75038</v>
      </c>
      <c r="Y17" s="231" t="n">
        <v>0</v>
      </c>
      <c r="Z17" s="231" t="n">
        <v>0</v>
      </c>
      <c r="AA17" s="232" t="n">
        <v>310606</v>
      </c>
      <c r="AC17" s="230" t="n">
        <v>2038</v>
      </c>
      <c r="AD17" s="231" t="n">
        <v>173570</v>
      </c>
      <c r="AE17" s="231" t="n">
        <v>59982</v>
      </c>
      <c r="AF17" s="231" t="n">
        <v>60626</v>
      </c>
      <c r="AG17" s="231" t="n">
        <v>18354</v>
      </c>
      <c r="AH17" s="231" t="n">
        <v>0</v>
      </c>
      <c r="AI17" s="231" t="n">
        <v>21781</v>
      </c>
      <c r="AJ17" s="231" t="n">
        <v>501</v>
      </c>
      <c r="AK17" s="231" t="n">
        <v>0</v>
      </c>
      <c r="AL17" s="231" t="n">
        <v>0</v>
      </c>
      <c r="AM17" s="231" t="n">
        <v>0</v>
      </c>
      <c r="AN17" s="232" t="n">
        <v>334814</v>
      </c>
      <c r="AQ17" s="230" t="n">
        <v>2038</v>
      </c>
      <c r="AR17" s="231" t="n">
        <v>4167539.912735029</v>
      </c>
      <c r="AS17" s="231" t="n">
        <v>5054997.823270708</v>
      </c>
      <c r="AT17" s="231" t="n">
        <v>6824809.480064854</v>
      </c>
      <c r="AU17" s="231" t="n">
        <v>8768901.018805556</v>
      </c>
      <c r="AV17" s="231" t="n">
        <v>10830198.7479943</v>
      </c>
    </row>
    <row r="18">
      <c r="A18" s="233" t="n">
        <v>2039</v>
      </c>
      <c r="B18" s="234" t="n">
        <v>1193388</v>
      </c>
      <c r="C18" s="234" t="n">
        <v>0</v>
      </c>
      <c r="D18" s="234" t="n">
        <v>3186697</v>
      </c>
      <c r="E18" s="234" t="n">
        <v>0</v>
      </c>
      <c r="F18" s="234" t="n">
        <v>18007</v>
      </c>
      <c r="G18" s="234" t="n">
        <v>1986030</v>
      </c>
      <c r="H18" s="234" t="n">
        <v>20000</v>
      </c>
      <c r="I18" s="235" t="n">
        <v>6404122</v>
      </c>
      <c r="K18" s="233" t="n">
        <v>2039</v>
      </c>
      <c r="L18" s="234" t="n">
        <v>0</v>
      </c>
      <c r="M18" s="234" t="n">
        <v>54619</v>
      </c>
      <c r="N18" s="234" t="n">
        <v>45775</v>
      </c>
      <c r="O18" s="234" t="n">
        <v>4512</v>
      </c>
      <c r="P18" s="234" t="n">
        <v>4714</v>
      </c>
      <c r="Q18" s="234" t="n">
        <v>28428</v>
      </c>
      <c r="R18" s="234" t="n">
        <v>8340</v>
      </c>
      <c r="S18" s="234" t="n">
        <v>73998</v>
      </c>
      <c r="T18" s="234" t="n">
        <v>0</v>
      </c>
      <c r="U18" s="234" t="n">
        <v>0</v>
      </c>
      <c r="V18" s="234" t="n">
        <v>0</v>
      </c>
      <c r="W18" s="234" t="n">
        <v>16988</v>
      </c>
      <c r="X18" s="234" t="n">
        <v>81723</v>
      </c>
      <c r="Y18" s="234" t="n">
        <v>0</v>
      </c>
      <c r="Z18" s="234" t="n">
        <v>0</v>
      </c>
      <c r="AA18" s="235" t="n">
        <v>319097</v>
      </c>
      <c r="AC18" s="233" t="n">
        <v>2039</v>
      </c>
      <c r="AD18" s="234" t="n">
        <v>177909</v>
      </c>
      <c r="AE18" s="234" t="n">
        <v>61482</v>
      </c>
      <c r="AF18" s="234" t="n">
        <v>63754</v>
      </c>
      <c r="AG18" s="234" t="n">
        <v>18813</v>
      </c>
      <c r="AH18" s="234" t="n">
        <v>0</v>
      </c>
      <c r="AI18" s="234" t="n">
        <v>21454</v>
      </c>
      <c r="AJ18" s="234" t="n">
        <v>498</v>
      </c>
      <c r="AK18" s="234" t="n">
        <v>0</v>
      </c>
      <c r="AL18" s="234" t="n">
        <v>0</v>
      </c>
      <c r="AM18" s="234" t="n">
        <v>0</v>
      </c>
      <c r="AN18" s="235" t="n">
        <v>343910</v>
      </c>
      <c r="AQ18" s="233" t="n">
        <v>2039</v>
      </c>
      <c r="AR18" s="234" t="n">
        <v>4143738.671232069</v>
      </c>
      <c r="AS18" s="234" t="n">
        <v>5014493.34699853</v>
      </c>
      <c r="AT18" s="234" t="n">
        <v>6674487.382904336</v>
      </c>
      <c r="AU18" s="234" t="n">
        <v>9049079.131308224</v>
      </c>
      <c r="AV18" s="234" t="n">
        <v>11459508.65312832</v>
      </c>
    </row>
    <row r="19">
      <c r="A19" s="230" t="n">
        <v>2040</v>
      </c>
      <c r="B19" s="231" t="n">
        <v>1137801</v>
      </c>
      <c r="C19" s="231" t="n">
        <v>0</v>
      </c>
      <c r="D19" s="231" t="n">
        <v>3284049</v>
      </c>
      <c r="E19" s="231" t="n">
        <v>0</v>
      </c>
      <c r="F19" s="231" t="n">
        <v>0</v>
      </c>
      <c r="G19" s="231" t="n">
        <v>2045611</v>
      </c>
      <c r="H19" s="231" t="n">
        <v>20000</v>
      </c>
      <c r="I19" s="232" t="n">
        <v>6487461</v>
      </c>
      <c r="K19" s="230" t="n">
        <v>2040</v>
      </c>
      <c r="L19" s="231" t="n">
        <v>0</v>
      </c>
      <c r="M19" s="231" t="n">
        <v>55711</v>
      </c>
      <c r="N19" s="231" t="n">
        <v>46691</v>
      </c>
      <c r="O19" s="231" t="n">
        <v>4512</v>
      </c>
      <c r="P19" s="231" t="n">
        <v>4689</v>
      </c>
      <c r="Q19" s="231" t="n">
        <v>28173</v>
      </c>
      <c r="R19" s="231" t="n">
        <v>8284</v>
      </c>
      <c r="S19" s="231" t="n">
        <v>73315</v>
      </c>
      <c r="T19" s="231" t="n">
        <v>0</v>
      </c>
      <c r="U19" s="231" t="n">
        <v>0</v>
      </c>
      <c r="V19" s="231" t="n">
        <v>0</v>
      </c>
      <c r="W19" s="231" t="n">
        <v>18007</v>
      </c>
      <c r="X19" s="231" t="n">
        <v>88538</v>
      </c>
      <c r="Y19" s="231" t="n">
        <v>0</v>
      </c>
      <c r="Z19" s="231" t="n">
        <v>0</v>
      </c>
      <c r="AA19" s="232" t="n">
        <v>327920</v>
      </c>
      <c r="AC19" s="230" t="n">
        <v>2040</v>
      </c>
      <c r="AD19" s="231" t="n">
        <v>182357</v>
      </c>
      <c r="AE19" s="231" t="n">
        <v>63019</v>
      </c>
      <c r="AF19" s="231" t="n">
        <v>67051</v>
      </c>
      <c r="AG19" s="231" t="n">
        <v>19283</v>
      </c>
      <c r="AH19" s="231" t="n">
        <v>0</v>
      </c>
      <c r="AI19" s="231" t="n">
        <v>21148</v>
      </c>
      <c r="AJ19" s="231" t="n">
        <v>495</v>
      </c>
      <c r="AK19" s="231" t="n">
        <v>0</v>
      </c>
      <c r="AL19" s="231" t="n">
        <v>0</v>
      </c>
      <c r="AM19" s="231" t="n">
        <v>0</v>
      </c>
      <c r="AN19" s="232" t="n">
        <v>353353</v>
      </c>
      <c r="AQ19" s="230" t="n">
        <v>2040</v>
      </c>
      <c r="AR19" s="231" t="n">
        <v>4058021.476834971</v>
      </c>
      <c r="AS19" s="231" t="n">
        <v>4896621.338711793</v>
      </c>
      <c r="AT19" s="231" t="n">
        <v>6651541.46383661</v>
      </c>
      <c r="AU19" s="231" t="n">
        <v>9578461.778551238</v>
      </c>
      <c r="AV19" s="231" t="n">
        <v>11508925.78107069</v>
      </c>
    </row>
    <row r="20">
      <c r="A20" s="233" t="n">
        <v>2041</v>
      </c>
      <c r="B20" s="234" t="n">
        <v>1079958</v>
      </c>
      <c r="C20" s="234" t="n">
        <v>0</v>
      </c>
      <c r="D20" s="234" t="n">
        <v>3364465</v>
      </c>
      <c r="E20" s="234" t="n">
        <v>0</v>
      </c>
      <c r="F20" s="234" t="n">
        <v>0</v>
      </c>
      <c r="G20" s="234" t="n">
        <v>2106980</v>
      </c>
      <c r="H20" s="234" t="n">
        <v>20000</v>
      </c>
      <c r="I20" s="235" t="n">
        <v>6571403</v>
      </c>
      <c r="K20" s="233" t="n">
        <v>2041</v>
      </c>
      <c r="L20" s="234" t="n">
        <v>0</v>
      </c>
      <c r="M20" s="234" t="n">
        <v>56825</v>
      </c>
      <c r="N20" s="234" t="n">
        <v>47624</v>
      </c>
      <c r="O20" s="234" t="n">
        <v>4512</v>
      </c>
      <c r="P20" s="234" t="n">
        <v>4665</v>
      </c>
      <c r="Q20" s="234" t="n">
        <v>27944</v>
      </c>
      <c r="R20" s="234" t="n">
        <v>8234</v>
      </c>
      <c r="S20" s="234" t="n">
        <v>72697</v>
      </c>
      <c r="T20" s="234" t="n">
        <v>0</v>
      </c>
      <c r="U20" s="234" t="n">
        <v>0</v>
      </c>
      <c r="V20" s="234" t="n">
        <v>0</v>
      </c>
      <c r="W20" s="234" t="n">
        <v>0</v>
      </c>
      <c r="X20" s="234" t="n">
        <v>110026</v>
      </c>
      <c r="Y20" s="234" t="n">
        <v>0</v>
      </c>
      <c r="Z20" s="234" t="n">
        <v>0</v>
      </c>
      <c r="AA20" s="235" t="n">
        <v>332527</v>
      </c>
      <c r="AC20" s="233" t="n">
        <v>2041</v>
      </c>
      <c r="AD20" s="234" t="n">
        <v>182357</v>
      </c>
      <c r="AE20" s="234" t="n">
        <v>64594</v>
      </c>
      <c r="AF20" s="234" t="n">
        <v>70527</v>
      </c>
      <c r="AG20" s="234" t="n">
        <v>19765</v>
      </c>
      <c r="AH20" s="234" t="n">
        <v>0</v>
      </c>
      <c r="AI20" s="234" t="n">
        <v>20862</v>
      </c>
      <c r="AJ20" s="234" t="n">
        <v>492</v>
      </c>
      <c r="AK20" s="234" t="n">
        <v>0</v>
      </c>
      <c r="AL20" s="234" t="n">
        <v>0</v>
      </c>
      <c r="AM20" s="234" t="n">
        <v>0</v>
      </c>
      <c r="AN20" s="235" t="n">
        <v>358597</v>
      </c>
      <c r="AQ20" s="233" t="n">
        <v>2041</v>
      </c>
      <c r="AR20" s="234" t="n">
        <v>4074714.93462253</v>
      </c>
      <c r="AS20" s="234" t="n">
        <v>4803767.525133951</v>
      </c>
      <c r="AT20" s="234" t="n">
        <v>6642218.071337867</v>
      </c>
      <c r="AU20" s="234" t="n">
        <v>10268993.84039549</v>
      </c>
      <c r="AV20" s="234" t="n">
        <v>12645577.20216357</v>
      </c>
    </row>
    <row r="21">
      <c r="A21" s="230" t="n">
        <v>2042</v>
      </c>
      <c r="B21" s="231" t="n">
        <v>1019621</v>
      </c>
      <c r="C21" s="231" t="n">
        <v>0</v>
      </c>
      <c r="D21" s="231" t="n">
        <v>3445900</v>
      </c>
      <c r="E21" s="231" t="n">
        <v>0</v>
      </c>
      <c r="F21" s="231" t="n">
        <v>0</v>
      </c>
      <c r="G21" s="231" t="n">
        <v>2170189</v>
      </c>
      <c r="H21" s="231" t="n">
        <v>20000</v>
      </c>
      <c r="I21" s="232" t="n">
        <v>6655710</v>
      </c>
      <c r="K21" s="230" t="n">
        <v>2042</v>
      </c>
      <c r="L21" s="231" t="n">
        <v>0</v>
      </c>
      <c r="M21" s="231" t="n">
        <v>57962</v>
      </c>
      <c r="N21" s="231" t="n">
        <v>48577</v>
      </c>
      <c r="O21" s="231" t="n">
        <v>4512</v>
      </c>
      <c r="P21" s="231" t="n">
        <v>4644</v>
      </c>
      <c r="Q21" s="231" t="n">
        <v>27738</v>
      </c>
      <c r="R21" s="231" t="n">
        <v>8188</v>
      </c>
      <c r="S21" s="231" t="n">
        <v>72141</v>
      </c>
      <c r="T21" s="231" t="n">
        <v>0</v>
      </c>
      <c r="U21" s="231" t="n">
        <v>0</v>
      </c>
      <c r="V21" s="231" t="n">
        <v>0</v>
      </c>
      <c r="W21" s="231" t="n">
        <v>0</v>
      </c>
      <c r="X21" s="231" t="n">
        <v>113616</v>
      </c>
      <c r="Y21" s="231" t="n">
        <v>0</v>
      </c>
      <c r="Z21" s="231" t="n">
        <v>0</v>
      </c>
      <c r="AA21" s="232" t="n">
        <v>337378</v>
      </c>
      <c r="AC21" s="230" t="n">
        <v>2042</v>
      </c>
      <c r="AD21" s="231" t="n">
        <v>182357</v>
      </c>
      <c r="AE21" s="231" t="n">
        <v>66209</v>
      </c>
      <c r="AF21" s="231" t="n">
        <v>74191</v>
      </c>
      <c r="AG21" s="231" t="n">
        <v>20259</v>
      </c>
      <c r="AH21" s="231" t="n">
        <v>0</v>
      </c>
      <c r="AI21" s="231" t="n">
        <v>20593</v>
      </c>
      <c r="AJ21" s="231" t="n">
        <v>489</v>
      </c>
      <c r="AK21" s="231" t="n">
        <v>0</v>
      </c>
      <c r="AL21" s="231" t="n">
        <v>0</v>
      </c>
      <c r="AM21" s="231" t="n">
        <v>0</v>
      </c>
      <c r="AN21" s="232" t="n">
        <v>364098</v>
      </c>
      <c r="AQ21" s="230" t="n">
        <v>2042</v>
      </c>
      <c r="AR21" s="231" t="n">
        <v>4004344.732482542</v>
      </c>
      <c r="AS21" s="231" t="n">
        <v>4619079.109006463</v>
      </c>
      <c r="AT21" s="231" t="n">
        <v>7018026.135898748</v>
      </c>
      <c r="AU21" s="231" t="n">
        <v>9758629.464186173</v>
      </c>
      <c r="AV21" s="231" t="n">
        <v>12542232.50538106</v>
      </c>
    </row>
    <row r="22">
      <c r="A22" s="233" t="n">
        <v>2043</v>
      </c>
      <c r="B22" s="234" t="n">
        <v>956542</v>
      </c>
      <c r="C22" s="234" t="n">
        <v>0</v>
      </c>
      <c r="D22" s="234" t="n">
        <v>3528284</v>
      </c>
      <c r="E22" s="234" t="n">
        <v>0</v>
      </c>
      <c r="F22" s="234" t="n">
        <v>0</v>
      </c>
      <c r="G22" s="234" t="n">
        <v>2235295</v>
      </c>
      <c r="H22" s="234" t="n">
        <v>20000</v>
      </c>
      <c r="I22" s="235" t="n">
        <v>6740121</v>
      </c>
      <c r="K22" s="233" t="n">
        <v>2043</v>
      </c>
      <c r="L22" s="234" t="n">
        <v>0</v>
      </c>
      <c r="M22" s="234" t="n">
        <v>59121</v>
      </c>
      <c r="N22" s="234" t="n">
        <v>49548</v>
      </c>
      <c r="O22" s="234" t="n">
        <v>4512</v>
      </c>
      <c r="P22" s="234" t="n">
        <v>4626</v>
      </c>
      <c r="Q22" s="234" t="n">
        <v>27554</v>
      </c>
      <c r="R22" s="234" t="n">
        <v>8147</v>
      </c>
      <c r="S22" s="234" t="n">
        <v>71642</v>
      </c>
      <c r="T22" s="234" t="n">
        <v>0</v>
      </c>
      <c r="U22" s="234" t="n">
        <v>0</v>
      </c>
      <c r="V22" s="234" t="n">
        <v>0</v>
      </c>
      <c r="W22" s="234" t="n">
        <v>0</v>
      </c>
      <c r="X22" s="234" t="n">
        <v>117330</v>
      </c>
      <c r="Y22" s="234" t="n">
        <v>0</v>
      </c>
      <c r="Z22" s="234" t="n">
        <v>0</v>
      </c>
      <c r="AA22" s="235" t="n">
        <v>342480</v>
      </c>
      <c r="AC22" s="233" t="n">
        <v>2043</v>
      </c>
      <c r="AD22" s="234" t="n">
        <v>182357</v>
      </c>
      <c r="AE22" s="234" t="n">
        <v>67864</v>
      </c>
      <c r="AF22" s="234" t="n">
        <v>78054</v>
      </c>
      <c r="AG22" s="234" t="n">
        <v>20766</v>
      </c>
      <c r="AH22" s="234" t="n">
        <v>0</v>
      </c>
      <c r="AI22" s="234" t="n">
        <v>20342</v>
      </c>
      <c r="AJ22" s="234" t="n">
        <v>487</v>
      </c>
      <c r="AK22" s="234" t="n">
        <v>0</v>
      </c>
      <c r="AL22" s="234" t="n">
        <v>0</v>
      </c>
      <c r="AM22" s="234" t="n">
        <v>0</v>
      </c>
      <c r="AN22" s="235" t="n">
        <v>369870</v>
      </c>
      <c r="AQ22" s="233" t="n">
        <v>2043</v>
      </c>
      <c r="AR22" s="234" t="n">
        <v>3915449.809369004</v>
      </c>
      <c r="AS22" s="234" t="n">
        <v>4529564.791352587</v>
      </c>
      <c r="AT22" s="234" t="n">
        <v>7168035.79810473</v>
      </c>
      <c r="AU22" s="234" t="n">
        <v>10351737.11804899</v>
      </c>
      <c r="AV22" s="234" t="n">
        <v>11779094.39366667</v>
      </c>
    </row>
    <row r="23">
      <c r="A23" s="230" t="n">
        <v>2044</v>
      </c>
      <c r="B23" s="231" t="n">
        <v>890464</v>
      </c>
      <c r="C23" s="231" t="n">
        <v>0</v>
      </c>
      <c r="D23" s="231" t="n">
        <v>3611526</v>
      </c>
      <c r="E23" s="231" t="n">
        <v>0</v>
      </c>
      <c r="F23" s="231" t="n">
        <v>0</v>
      </c>
      <c r="G23" s="231" t="n">
        <v>2302353</v>
      </c>
      <c r="H23" s="231" t="n">
        <v>20000</v>
      </c>
      <c r="I23" s="232" t="n">
        <v>6824343</v>
      </c>
      <c r="K23" s="230" t="n">
        <v>2044</v>
      </c>
      <c r="L23" s="231" t="n">
        <v>0</v>
      </c>
      <c r="M23" s="231" t="n">
        <v>60303</v>
      </c>
      <c r="N23" s="231" t="n">
        <v>50539</v>
      </c>
      <c r="O23" s="231" t="n">
        <v>4512</v>
      </c>
      <c r="P23" s="231" t="n">
        <v>4609</v>
      </c>
      <c r="Q23" s="231" t="n">
        <v>27391</v>
      </c>
      <c r="R23" s="231" t="n">
        <v>8111</v>
      </c>
      <c r="S23" s="231" t="n">
        <v>71197</v>
      </c>
      <c r="T23" s="231" t="n">
        <v>0</v>
      </c>
      <c r="U23" s="231" t="n">
        <v>0</v>
      </c>
      <c r="V23" s="231" t="n">
        <v>0</v>
      </c>
      <c r="W23" s="231" t="n">
        <v>0</v>
      </c>
      <c r="X23" s="231" t="n">
        <v>121184</v>
      </c>
      <c r="Y23" s="231" t="n">
        <v>0</v>
      </c>
      <c r="Z23" s="231" t="n">
        <v>0</v>
      </c>
      <c r="AA23" s="232" t="n">
        <v>347846</v>
      </c>
      <c r="AC23" s="230" t="n">
        <v>2044</v>
      </c>
      <c r="AD23" s="231" t="n">
        <v>182357</v>
      </c>
      <c r="AE23" s="231" t="n">
        <v>69561</v>
      </c>
      <c r="AF23" s="231" t="n">
        <v>82127</v>
      </c>
      <c r="AG23" s="231" t="n">
        <v>21285</v>
      </c>
      <c r="AH23" s="231" t="n">
        <v>0</v>
      </c>
      <c r="AI23" s="231" t="n">
        <v>20107</v>
      </c>
      <c r="AJ23" s="231" t="n">
        <v>485</v>
      </c>
      <c r="AK23" s="231" t="n">
        <v>0</v>
      </c>
      <c r="AL23" s="231" t="n">
        <v>0</v>
      </c>
      <c r="AM23" s="231" t="n">
        <v>0</v>
      </c>
      <c r="AN23" s="232" t="n">
        <v>375922</v>
      </c>
      <c r="AQ23" s="230" t="n">
        <v>2044</v>
      </c>
      <c r="AR23" s="231" t="n">
        <v>3831150.288756684</v>
      </c>
      <c r="AS23" s="231" t="n">
        <v>4578910.247634714</v>
      </c>
      <c r="AT23" s="231" t="n">
        <v>7692746.380081567</v>
      </c>
      <c r="AU23" s="231" t="n">
        <v>9590556.157560509</v>
      </c>
      <c r="AV23" s="231" t="n">
        <v>12173679.19703093</v>
      </c>
    </row>
    <row r="24">
      <c r="A24" s="233" t="n">
        <v>2045</v>
      </c>
      <c r="B24" s="234" t="n">
        <v>821122</v>
      </c>
      <c r="C24" s="234" t="n">
        <v>0</v>
      </c>
      <c r="D24" s="234" t="n">
        <v>3695512</v>
      </c>
      <c r="E24" s="234" t="n">
        <v>0</v>
      </c>
      <c r="F24" s="234" t="n">
        <v>0</v>
      </c>
      <c r="G24" s="234" t="n">
        <v>2371424</v>
      </c>
      <c r="H24" s="234" t="n">
        <v>20000</v>
      </c>
      <c r="I24" s="235" t="n">
        <v>6908058</v>
      </c>
      <c r="K24" s="233" t="n">
        <v>2045</v>
      </c>
      <c r="L24" s="234" t="n">
        <v>0</v>
      </c>
      <c r="M24" s="234" t="n">
        <v>61509</v>
      </c>
      <c r="N24" s="234" t="n">
        <v>51550</v>
      </c>
      <c r="O24" s="234" t="n">
        <v>4512</v>
      </c>
      <c r="P24" s="234" t="n">
        <v>4595</v>
      </c>
      <c r="Q24" s="234" t="n">
        <v>27247</v>
      </c>
      <c r="R24" s="234" t="n">
        <v>8079</v>
      </c>
      <c r="S24" s="234" t="n">
        <v>70802</v>
      </c>
      <c r="T24" s="234" t="n">
        <v>0</v>
      </c>
      <c r="U24" s="234" t="n">
        <v>0</v>
      </c>
      <c r="V24" s="234" t="n">
        <v>0</v>
      </c>
      <c r="W24" s="234" t="n">
        <v>0</v>
      </c>
      <c r="X24" s="234" t="n">
        <v>125194</v>
      </c>
      <c r="Y24" s="234" t="n">
        <v>0</v>
      </c>
      <c r="Z24" s="234" t="n">
        <v>0</v>
      </c>
      <c r="AA24" s="235" t="n">
        <v>353488</v>
      </c>
      <c r="AC24" s="233" t="n">
        <v>2045</v>
      </c>
      <c r="AD24" s="234" t="n">
        <v>182357</v>
      </c>
      <c r="AE24" s="234" t="n">
        <v>71300</v>
      </c>
      <c r="AF24" s="234" t="n">
        <v>86422</v>
      </c>
      <c r="AG24" s="234" t="n">
        <v>21817</v>
      </c>
      <c r="AH24" s="234" t="n">
        <v>0</v>
      </c>
      <c r="AI24" s="234" t="n">
        <v>19886</v>
      </c>
      <c r="AJ24" s="234" t="n">
        <v>483</v>
      </c>
      <c r="AK24" s="234" t="n">
        <v>0</v>
      </c>
      <c r="AL24" s="234" t="n">
        <v>0</v>
      </c>
      <c r="AM24" s="234" t="n">
        <v>0</v>
      </c>
      <c r="AN24" s="235" t="n">
        <v>382265</v>
      </c>
      <c r="AQ24" s="233" t="n">
        <v>2045</v>
      </c>
      <c r="AR24" s="234" t="n">
        <v>3742483.281708689</v>
      </c>
      <c r="AS24" s="234" t="n">
        <v>4428475.569402196</v>
      </c>
      <c r="AT24" s="234" t="n">
        <v>7624185.799406627</v>
      </c>
      <c r="AU24" s="234" t="n">
        <v>9708620.931056064</v>
      </c>
      <c r="AV24" s="234" t="n">
        <v>11868462.48637934</v>
      </c>
    </row>
    <row r="25">
      <c r="A25" s="230" t="n">
        <v>2046</v>
      </c>
      <c r="B25" s="231" t="n">
        <v>748240</v>
      </c>
      <c r="C25" s="231" t="n">
        <v>0</v>
      </c>
      <c r="D25" s="231" t="n">
        <v>3780107</v>
      </c>
      <c r="E25" s="231" t="n">
        <v>0</v>
      </c>
      <c r="F25" s="231" t="n">
        <v>0</v>
      </c>
      <c r="G25" s="231" t="n">
        <v>2442567</v>
      </c>
      <c r="H25" s="231" t="n">
        <v>20000</v>
      </c>
      <c r="I25" s="232" t="n">
        <v>6990914</v>
      </c>
      <c r="K25" s="230" t="n">
        <v>2046</v>
      </c>
      <c r="L25" s="231" t="n">
        <v>0</v>
      </c>
      <c r="M25" s="231" t="n">
        <v>62740</v>
      </c>
      <c r="N25" s="231" t="n">
        <v>52581</v>
      </c>
      <c r="O25" s="231" t="n">
        <v>4512</v>
      </c>
      <c r="P25" s="231" t="n">
        <v>4582</v>
      </c>
      <c r="Q25" s="231" t="n">
        <v>27122</v>
      </c>
      <c r="R25" s="231" t="n">
        <v>8051</v>
      </c>
      <c r="S25" s="231" t="n">
        <v>70454</v>
      </c>
      <c r="T25" s="231" t="n">
        <v>0</v>
      </c>
      <c r="U25" s="231" t="n">
        <v>0</v>
      </c>
      <c r="V25" s="231" t="n">
        <v>0</v>
      </c>
      <c r="W25" s="231" t="n">
        <v>0</v>
      </c>
      <c r="X25" s="231" t="n">
        <v>129374</v>
      </c>
      <c r="Y25" s="231" t="n">
        <v>0</v>
      </c>
      <c r="Z25" s="231" t="n">
        <v>0</v>
      </c>
      <c r="AA25" s="232" t="n">
        <v>359416</v>
      </c>
      <c r="AC25" s="230" t="n">
        <v>2046</v>
      </c>
      <c r="AD25" s="231" t="n">
        <v>182357</v>
      </c>
      <c r="AE25" s="231" t="n">
        <v>73082</v>
      </c>
      <c r="AF25" s="231" t="n">
        <v>90949</v>
      </c>
      <c r="AG25" s="231" t="n">
        <v>22362</v>
      </c>
      <c r="AH25" s="231" t="n">
        <v>0</v>
      </c>
      <c r="AI25" s="231" t="n">
        <v>19678</v>
      </c>
      <c r="AJ25" s="231" t="n">
        <v>482</v>
      </c>
      <c r="AK25" s="231" t="n">
        <v>0</v>
      </c>
      <c r="AL25" s="231" t="n">
        <v>0</v>
      </c>
      <c r="AM25" s="231" t="n">
        <v>0</v>
      </c>
      <c r="AN25" s="232" t="n">
        <v>388910</v>
      </c>
      <c r="AQ25" s="230" t="n">
        <v>2046</v>
      </c>
      <c r="AR25" s="231" t="n">
        <v>3635244.782921739</v>
      </c>
      <c r="AS25" s="231" t="n">
        <v>4344825.356338302</v>
      </c>
      <c r="AT25" s="231" t="n">
        <v>8120400.364507697</v>
      </c>
      <c r="AU25" s="231" t="n">
        <v>10237048.48775469</v>
      </c>
      <c r="AV25" s="231" t="n">
        <v>13215183.46257583</v>
      </c>
    </row>
    <row r="26">
      <c r="A26" s="233" t="n">
        <v>2047</v>
      </c>
      <c r="B26" s="234" t="n">
        <v>671530</v>
      </c>
      <c r="C26" s="234" t="n">
        <v>0</v>
      </c>
      <c r="D26" s="234" t="n">
        <v>3856859</v>
      </c>
      <c r="E26" s="234" t="n">
        <v>0</v>
      </c>
      <c r="F26" s="234" t="n">
        <v>0</v>
      </c>
      <c r="G26" s="234" t="n">
        <v>2515844</v>
      </c>
      <c r="H26" s="234" t="n">
        <v>20000</v>
      </c>
      <c r="I26" s="235" t="n">
        <v>7064233</v>
      </c>
      <c r="K26" s="233" t="n">
        <v>2047</v>
      </c>
      <c r="L26" s="234" t="n">
        <v>0</v>
      </c>
      <c r="M26" s="234" t="n">
        <v>63994</v>
      </c>
      <c r="N26" s="234" t="n">
        <v>53633</v>
      </c>
      <c r="O26" s="234" t="n">
        <v>4512</v>
      </c>
      <c r="P26" s="234" t="n">
        <v>3652</v>
      </c>
      <c r="Q26" s="234" t="n">
        <v>17933</v>
      </c>
      <c r="R26" s="234" t="n">
        <v>8026</v>
      </c>
      <c r="S26" s="234" t="n">
        <v>70150</v>
      </c>
      <c r="T26" s="234" t="n">
        <v>0</v>
      </c>
      <c r="U26" s="234" t="n">
        <v>0</v>
      </c>
      <c r="V26" s="234" t="n">
        <v>0</v>
      </c>
      <c r="W26" s="234" t="n">
        <v>0</v>
      </c>
      <c r="X26" s="234" t="n">
        <v>141561</v>
      </c>
      <c r="Y26" s="234" t="n">
        <v>0</v>
      </c>
      <c r="Z26" s="234" t="n">
        <v>0</v>
      </c>
      <c r="AA26" s="235" t="n">
        <v>363461</v>
      </c>
      <c r="AC26" s="233" t="n">
        <v>2047</v>
      </c>
      <c r="AD26" s="234" t="n">
        <v>182357</v>
      </c>
      <c r="AE26" s="234" t="n">
        <v>74909</v>
      </c>
      <c r="AF26" s="234" t="n">
        <v>95723</v>
      </c>
      <c r="AG26" s="234" t="n">
        <v>22921</v>
      </c>
      <c r="AH26" s="234" t="n">
        <v>0</v>
      </c>
      <c r="AI26" s="234" t="n">
        <v>17336</v>
      </c>
      <c r="AJ26" s="234" t="n">
        <v>447</v>
      </c>
      <c r="AK26" s="234" t="n">
        <v>0</v>
      </c>
      <c r="AL26" s="234" t="n">
        <v>0</v>
      </c>
      <c r="AM26" s="234" t="n">
        <v>0</v>
      </c>
      <c r="AN26" s="235" t="n">
        <v>393693</v>
      </c>
      <c r="AQ26" s="233" t="n">
        <v>2047</v>
      </c>
      <c r="AR26" s="234" t="n">
        <v>3566659.752905261</v>
      </c>
      <c r="AS26" s="234" t="n">
        <v>4345168.731918108</v>
      </c>
      <c r="AT26" s="234" t="n">
        <v>8292144.500323495</v>
      </c>
      <c r="AU26" s="234" t="n">
        <v>11294689.1142894</v>
      </c>
      <c r="AV26" s="234" t="n">
        <v>13958902.39996637</v>
      </c>
    </row>
    <row r="27">
      <c r="A27" s="230" t="n">
        <v>2048</v>
      </c>
      <c r="B27" s="231" t="n">
        <v>601293</v>
      </c>
      <c r="C27" s="231" t="n">
        <v>0</v>
      </c>
      <c r="D27" s="231" t="n">
        <v>3913390</v>
      </c>
      <c r="E27" s="231" t="n">
        <v>0</v>
      </c>
      <c r="F27" s="231" t="n">
        <v>0</v>
      </c>
      <c r="G27" s="231" t="n">
        <v>2591319</v>
      </c>
      <c r="H27" s="231" t="n">
        <v>20000</v>
      </c>
      <c r="I27" s="232" t="n">
        <v>7126002</v>
      </c>
      <c r="K27" s="230" t="n">
        <v>2048</v>
      </c>
      <c r="L27" s="231" t="n">
        <v>0</v>
      </c>
      <c r="M27" s="231" t="n">
        <v>65274</v>
      </c>
      <c r="N27" s="231" t="n">
        <v>54706</v>
      </c>
      <c r="O27" s="231" t="n">
        <v>4512</v>
      </c>
      <c r="P27" s="231" t="n">
        <v>3680</v>
      </c>
      <c r="Q27" s="231" t="n">
        <v>18208</v>
      </c>
      <c r="R27" s="231" t="n">
        <v>6211</v>
      </c>
      <c r="S27" s="231" t="n">
        <v>47890</v>
      </c>
      <c r="T27" s="231" t="n">
        <v>0</v>
      </c>
      <c r="U27" s="231" t="n">
        <v>0</v>
      </c>
      <c r="V27" s="231" t="n">
        <v>0</v>
      </c>
      <c r="W27" s="231" t="n">
        <v>0</v>
      </c>
      <c r="X27" s="231" t="n">
        <v>164981</v>
      </c>
      <c r="Y27" s="231" t="n">
        <v>0</v>
      </c>
      <c r="Z27" s="231" t="n">
        <v>0</v>
      </c>
      <c r="AA27" s="232" t="n">
        <v>365462</v>
      </c>
      <c r="AC27" s="230" t="n">
        <v>2048</v>
      </c>
      <c r="AD27" s="231" t="n">
        <v>182357</v>
      </c>
      <c r="AE27" s="231" t="n">
        <v>76782</v>
      </c>
      <c r="AF27" s="231" t="n">
        <v>100757</v>
      </c>
      <c r="AG27" s="231" t="n">
        <v>23494</v>
      </c>
      <c r="AH27" s="231" t="n">
        <v>0</v>
      </c>
      <c r="AI27" s="231" t="n">
        <v>12683</v>
      </c>
      <c r="AJ27" s="231" t="n">
        <v>377</v>
      </c>
      <c r="AK27" s="231" t="n">
        <v>0</v>
      </c>
      <c r="AL27" s="231" t="n">
        <v>0</v>
      </c>
      <c r="AM27" s="231" t="n">
        <v>0</v>
      </c>
      <c r="AN27" s="232" t="n">
        <v>396450</v>
      </c>
      <c r="AQ27" s="230" t="n">
        <v>2048</v>
      </c>
      <c r="AR27" s="231" t="n">
        <v>3548102.388191156</v>
      </c>
      <c r="AS27" s="231" t="n">
        <v>4269982.839680735</v>
      </c>
      <c r="AT27" s="231" t="n">
        <v>8708484.652882336</v>
      </c>
      <c r="AU27" s="231" t="n">
        <v>12441897.66579123</v>
      </c>
      <c r="AV27" s="231" t="n">
        <v>14233697.22884235</v>
      </c>
    </row>
    <row r="28">
      <c r="A28" s="233" t="n">
        <v>2049</v>
      </c>
      <c r="B28" s="234" t="n">
        <v>552040</v>
      </c>
      <c r="C28" s="234" t="n">
        <v>0</v>
      </c>
      <c r="D28" s="234" t="n">
        <v>3969262</v>
      </c>
      <c r="E28" s="234" t="n">
        <v>0</v>
      </c>
      <c r="F28" s="234" t="n">
        <v>0</v>
      </c>
      <c r="G28" s="234" t="n">
        <v>2669059</v>
      </c>
      <c r="H28" s="234" t="n">
        <v>20000</v>
      </c>
      <c r="I28" s="235" t="n">
        <v>7210361</v>
      </c>
      <c r="K28" s="233" t="n">
        <v>2049</v>
      </c>
      <c r="L28" s="234" t="n">
        <v>0</v>
      </c>
      <c r="M28" s="234" t="n">
        <v>66580</v>
      </c>
      <c r="N28" s="234" t="n">
        <v>55800</v>
      </c>
      <c r="O28" s="234" t="n">
        <v>4512</v>
      </c>
      <c r="P28" s="234" t="n">
        <v>3708</v>
      </c>
      <c r="Q28" s="234" t="n">
        <v>18487</v>
      </c>
      <c r="R28" s="234" t="n">
        <v>6265</v>
      </c>
      <c r="S28" s="234" t="n">
        <v>48555</v>
      </c>
      <c r="T28" s="234" t="n">
        <v>0</v>
      </c>
      <c r="U28" s="234" t="n">
        <v>0</v>
      </c>
      <c r="V28" s="234" t="n">
        <v>0</v>
      </c>
      <c r="W28" s="234" t="n">
        <v>0</v>
      </c>
      <c r="X28" s="234" t="n">
        <v>168803</v>
      </c>
      <c r="Y28" s="234" t="n">
        <v>0</v>
      </c>
      <c r="Z28" s="234" t="n">
        <v>0</v>
      </c>
      <c r="AA28" s="235" t="n">
        <v>372710</v>
      </c>
      <c r="AC28" s="233" t="n">
        <v>2049</v>
      </c>
      <c r="AD28" s="234" t="n">
        <v>182357</v>
      </c>
      <c r="AE28" s="234" t="n">
        <v>78702</v>
      </c>
      <c r="AF28" s="234" t="n">
        <v>106064</v>
      </c>
      <c r="AG28" s="234" t="n">
        <v>24082</v>
      </c>
      <c r="AH28" s="234" t="n">
        <v>0</v>
      </c>
      <c r="AI28" s="234" t="n">
        <v>12888</v>
      </c>
      <c r="AJ28" s="234" t="n">
        <v>380</v>
      </c>
      <c r="AK28" s="234" t="n">
        <v>0</v>
      </c>
      <c r="AL28" s="234" t="n">
        <v>0</v>
      </c>
      <c r="AM28" s="234" t="n">
        <v>0</v>
      </c>
      <c r="AN28" s="235" t="n">
        <v>404473</v>
      </c>
      <c r="AQ28" s="233" t="n">
        <v>2049</v>
      </c>
      <c r="AR28" s="234" t="n">
        <v>3466044.602176231</v>
      </c>
      <c r="AS28" s="234" t="n">
        <v>4186008.842428329</v>
      </c>
      <c r="AT28" s="234" t="n">
        <v>8817679.577728681</v>
      </c>
      <c r="AU28" s="234" t="n">
        <v>13017190.8529143</v>
      </c>
      <c r="AV28" s="234" t="n">
        <v>15655794.84347861</v>
      </c>
    </row>
    <row r="29">
      <c r="A29" s="230" t="n">
        <v>2050</v>
      </c>
      <c r="B29" s="231" t="n">
        <v>498744</v>
      </c>
      <c r="C29" s="231" t="n">
        <v>0</v>
      </c>
      <c r="D29" s="231" t="n">
        <v>4024147</v>
      </c>
      <c r="E29" s="231" t="n">
        <v>0</v>
      </c>
      <c r="F29" s="231" t="n">
        <v>0</v>
      </c>
      <c r="G29" s="231" t="n">
        <v>2749130</v>
      </c>
      <c r="H29" s="231" t="n">
        <v>20000</v>
      </c>
      <c r="I29" s="232" t="n">
        <v>7292021</v>
      </c>
      <c r="K29" s="230" t="n">
        <v>2050</v>
      </c>
      <c r="L29" s="231" t="n">
        <v>0</v>
      </c>
      <c r="M29" s="231" t="n">
        <v>67911</v>
      </c>
      <c r="N29" s="231" t="n">
        <v>56916</v>
      </c>
      <c r="O29" s="231" t="n">
        <v>4512</v>
      </c>
      <c r="P29" s="231" t="n">
        <v>3737</v>
      </c>
      <c r="Q29" s="231" t="n">
        <v>18769</v>
      </c>
      <c r="R29" s="231" t="n">
        <v>6320</v>
      </c>
      <c r="S29" s="231" t="n">
        <v>49231</v>
      </c>
      <c r="T29" s="231" t="n">
        <v>0</v>
      </c>
      <c r="U29" s="231" t="n">
        <v>0</v>
      </c>
      <c r="V29" s="231" t="n">
        <v>0</v>
      </c>
      <c r="W29" s="231" t="n">
        <v>0</v>
      </c>
      <c r="X29" s="231" t="n">
        <v>172897</v>
      </c>
      <c r="Y29" s="231" t="n">
        <v>0</v>
      </c>
      <c r="Z29" s="231" t="n">
        <v>0</v>
      </c>
      <c r="AA29" s="232" t="n">
        <v>380293</v>
      </c>
      <c r="AC29" s="230" t="n">
        <v>2050</v>
      </c>
      <c r="AD29" s="231" t="n">
        <v>182357</v>
      </c>
      <c r="AE29" s="231" t="n">
        <v>80669</v>
      </c>
      <c r="AF29" s="231" t="n">
        <v>111661</v>
      </c>
      <c r="AG29" s="231" t="n">
        <v>24684</v>
      </c>
      <c r="AH29" s="231" t="n">
        <v>0</v>
      </c>
      <c r="AI29" s="231" t="n">
        <v>13096</v>
      </c>
      <c r="AJ29" s="231" t="n">
        <v>383</v>
      </c>
      <c r="AK29" s="231" t="n">
        <v>0</v>
      </c>
      <c r="AL29" s="231" t="n">
        <v>0</v>
      </c>
      <c r="AM29" s="231" t="n">
        <v>0</v>
      </c>
      <c r="AN29" s="232" t="n">
        <v>412850</v>
      </c>
      <c r="AQ29" s="230" t="n">
        <v>2050</v>
      </c>
      <c r="AR29" s="231" t="n">
        <v>3377206.814792045</v>
      </c>
      <c r="AS29" s="231" t="n">
        <v>4097290.649827029</v>
      </c>
      <c r="AT29" s="231" t="n">
        <v>9190840.813147688</v>
      </c>
      <c r="AU29" s="231" t="n">
        <v>13528196.68223372</v>
      </c>
      <c r="AV29" s="231" t="n">
        <v>14598029.35339252</v>
      </c>
    </row>
    <row r="30">
      <c r="A30" s="233" t="n">
        <v>2051</v>
      </c>
      <c r="B30" s="234" t="n">
        <v>441146</v>
      </c>
      <c r="C30" s="234" t="n">
        <v>0</v>
      </c>
      <c r="D30" s="234" t="n">
        <v>4077677</v>
      </c>
      <c r="E30" s="234" t="n">
        <v>0</v>
      </c>
      <c r="F30" s="234" t="n">
        <v>0</v>
      </c>
      <c r="G30" s="234" t="n">
        <v>2831604</v>
      </c>
      <c r="H30" s="234" t="n">
        <v>20000</v>
      </c>
      <c r="I30" s="235" t="n">
        <v>7370427</v>
      </c>
      <c r="K30" s="233" t="n">
        <v>2051</v>
      </c>
      <c r="L30" s="234" t="n">
        <v>0</v>
      </c>
      <c r="M30" s="234" t="n">
        <v>69270</v>
      </c>
      <c r="N30" s="234" t="n">
        <v>58054</v>
      </c>
      <c r="O30" s="234" t="n">
        <v>4512</v>
      </c>
      <c r="P30" s="234" t="n">
        <v>3766</v>
      </c>
      <c r="Q30" s="234" t="n">
        <v>19054</v>
      </c>
      <c r="R30" s="234" t="n">
        <v>6376</v>
      </c>
      <c r="S30" s="234" t="n">
        <v>49915</v>
      </c>
      <c r="T30" s="234" t="n">
        <v>0</v>
      </c>
      <c r="U30" s="234" t="n">
        <v>0</v>
      </c>
      <c r="V30" s="234" t="n">
        <v>0</v>
      </c>
      <c r="W30" s="234" t="n">
        <v>0</v>
      </c>
      <c r="X30" s="234" t="n">
        <v>177282</v>
      </c>
      <c r="Y30" s="234" t="n">
        <v>0</v>
      </c>
      <c r="Z30" s="234" t="n">
        <v>0</v>
      </c>
      <c r="AA30" s="235" t="n">
        <v>388229</v>
      </c>
      <c r="AC30" s="233" t="n">
        <v>2051</v>
      </c>
      <c r="AD30" s="234" t="n">
        <v>182357</v>
      </c>
      <c r="AE30" s="234" t="n">
        <v>82686</v>
      </c>
      <c r="AF30" s="234" t="n">
        <v>117562</v>
      </c>
      <c r="AG30" s="234" t="n">
        <v>25301</v>
      </c>
      <c r="AH30" s="234" t="n">
        <v>0</v>
      </c>
      <c r="AI30" s="234" t="n">
        <v>13307</v>
      </c>
      <c r="AJ30" s="234" t="n">
        <v>387</v>
      </c>
      <c r="AK30" s="234" t="n">
        <v>0</v>
      </c>
      <c r="AL30" s="234" t="n">
        <v>0</v>
      </c>
      <c r="AM30" s="234" t="n">
        <v>0</v>
      </c>
      <c r="AN30" s="235" t="n">
        <v>421600</v>
      </c>
      <c r="AQ30" s="233" t="n">
        <v>2051</v>
      </c>
      <c r="AR30" s="234" t="n">
        <v>3303088.670044167</v>
      </c>
      <c r="AS30" s="234" t="n">
        <v>3899641.628212035</v>
      </c>
      <c r="AT30" s="234" t="n">
        <v>9424707.297922559</v>
      </c>
      <c r="AU30" s="234" t="n">
        <v>13510000.666416</v>
      </c>
      <c r="AV30" s="234" t="n">
        <v>15792708.46136782</v>
      </c>
    </row>
    <row r="31">
      <c r="A31" s="230" t="n">
        <v>2052</v>
      </c>
      <c r="B31" s="231" t="n">
        <v>378974</v>
      </c>
      <c r="C31" s="231" t="n">
        <v>0</v>
      </c>
      <c r="D31" s="231" t="n">
        <v>4129471</v>
      </c>
      <c r="E31" s="231" t="n">
        <v>0</v>
      </c>
      <c r="F31" s="231" t="n">
        <v>0</v>
      </c>
      <c r="G31" s="231" t="n">
        <v>2916552</v>
      </c>
      <c r="H31" s="231" t="n">
        <v>20000</v>
      </c>
      <c r="I31" s="232" t="n">
        <v>7444997</v>
      </c>
      <c r="K31" s="230" t="n">
        <v>2052</v>
      </c>
      <c r="L31" s="231" t="n">
        <v>0</v>
      </c>
      <c r="M31" s="231" t="n">
        <v>70655</v>
      </c>
      <c r="N31" s="231" t="n">
        <v>59215</v>
      </c>
      <c r="O31" s="231" t="n">
        <v>4512</v>
      </c>
      <c r="P31" s="231" t="n">
        <v>3795</v>
      </c>
      <c r="Q31" s="231" t="n">
        <v>19374</v>
      </c>
      <c r="R31" s="231" t="n">
        <v>6432</v>
      </c>
      <c r="S31" s="231" t="n">
        <v>50606</v>
      </c>
      <c r="T31" s="231" t="n">
        <v>0</v>
      </c>
      <c r="U31" s="231" t="n">
        <v>0</v>
      </c>
      <c r="V31" s="231" t="n">
        <v>0</v>
      </c>
      <c r="W31" s="231" t="n">
        <v>0</v>
      </c>
      <c r="X31" s="231" t="n">
        <v>181950</v>
      </c>
      <c r="Y31" s="231" t="n">
        <v>0</v>
      </c>
      <c r="Z31" s="231" t="n">
        <v>0</v>
      </c>
      <c r="AA31" s="232" t="n">
        <v>396539</v>
      </c>
      <c r="AC31" s="230" t="n">
        <v>2052</v>
      </c>
      <c r="AD31" s="231" t="n">
        <v>182357</v>
      </c>
      <c r="AE31" s="231" t="n">
        <v>84753</v>
      </c>
      <c r="AF31" s="231" t="n">
        <v>123785</v>
      </c>
      <c r="AG31" s="231" t="n">
        <v>25933</v>
      </c>
      <c r="AH31" s="231" t="n">
        <v>0</v>
      </c>
      <c r="AI31" s="231" t="n">
        <v>13527</v>
      </c>
      <c r="AJ31" s="231" t="n">
        <v>390</v>
      </c>
      <c r="AK31" s="231" t="n">
        <v>0</v>
      </c>
      <c r="AL31" s="231" t="n">
        <v>0</v>
      </c>
      <c r="AM31" s="231" t="n">
        <v>0</v>
      </c>
      <c r="AN31" s="232" t="n">
        <v>430745</v>
      </c>
      <c r="AQ31" s="230" t="n">
        <v>2052</v>
      </c>
      <c r="AR31" s="231" t="n">
        <v>3315526.453140062</v>
      </c>
      <c r="AS31" s="231" t="n">
        <v>3667430.818948564</v>
      </c>
      <c r="AT31" s="231" t="n">
        <v>9803463.363670243</v>
      </c>
      <c r="AU31" s="231" t="n">
        <v>13258894.64558271</v>
      </c>
      <c r="AV31" s="231" t="n">
        <v>15834651.06927711</v>
      </c>
    </row>
    <row r="32">
      <c r="A32" s="233" t="n">
        <v>2053</v>
      </c>
      <c r="B32" s="234" t="n">
        <v>311910</v>
      </c>
      <c r="C32" s="234" t="n">
        <v>0</v>
      </c>
      <c r="D32" s="234" t="n">
        <v>4179179</v>
      </c>
      <c r="E32" s="234" t="n">
        <v>0</v>
      </c>
      <c r="F32" s="234" t="n">
        <v>0</v>
      </c>
      <c r="G32" s="234" t="n">
        <v>3004049</v>
      </c>
      <c r="H32" s="234" t="n">
        <v>20000</v>
      </c>
      <c r="I32" s="235" t="n">
        <v>7515138</v>
      </c>
      <c r="K32" s="233" t="n">
        <v>2053</v>
      </c>
      <c r="L32" s="234" t="n">
        <v>0</v>
      </c>
      <c r="M32" s="234" t="n">
        <v>72068</v>
      </c>
      <c r="N32" s="234" t="n">
        <v>60399</v>
      </c>
      <c r="O32" s="234" t="n">
        <v>4512</v>
      </c>
      <c r="P32" s="234" t="n">
        <v>3827</v>
      </c>
      <c r="Q32" s="234" t="n">
        <v>19733</v>
      </c>
      <c r="R32" s="234" t="n">
        <v>6495</v>
      </c>
      <c r="S32" s="234" t="n">
        <v>51382</v>
      </c>
      <c r="T32" s="234" t="n">
        <v>0</v>
      </c>
      <c r="U32" s="234" t="n">
        <v>0</v>
      </c>
      <c r="V32" s="234" t="n">
        <v>0</v>
      </c>
      <c r="W32" s="234" t="n">
        <v>0</v>
      </c>
      <c r="X32" s="234" t="n">
        <v>186849</v>
      </c>
      <c r="Y32" s="234" t="n">
        <v>0</v>
      </c>
      <c r="Z32" s="234" t="n">
        <v>0</v>
      </c>
      <c r="AA32" s="235" t="n">
        <v>405265</v>
      </c>
      <c r="AC32" s="233" t="n">
        <v>2053</v>
      </c>
      <c r="AD32" s="234" t="n">
        <v>182357</v>
      </c>
      <c r="AE32" s="234" t="n">
        <v>86872</v>
      </c>
      <c r="AF32" s="234" t="n">
        <v>130347</v>
      </c>
      <c r="AG32" s="234" t="n">
        <v>26582</v>
      </c>
      <c r="AH32" s="234" t="n">
        <v>0</v>
      </c>
      <c r="AI32" s="234" t="n">
        <v>13775</v>
      </c>
      <c r="AJ32" s="234" t="n">
        <v>393</v>
      </c>
      <c r="AK32" s="234" t="n">
        <v>0</v>
      </c>
      <c r="AL32" s="234" t="n">
        <v>0</v>
      </c>
      <c r="AM32" s="234" t="n">
        <v>0</v>
      </c>
      <c r="AN32" s="235" t="n">
        <v>440326</v>
      </c>
      <c r="AQ32" s="233" t="n">
        <v>2053</v>
      </c>
      <c r="AR32" s="234" t="n">
        <v>3335958.90041875</v>
      </c>
      <c r="AS32" s="234" t="n">
        <v>3476987.440508748</v>
      </c>
      <c r="AT32" s="234" t="n">
        <v>9830865.763715442</v>
      </c>
      <c r="AU32" s="234" t="n">
        <v>15736824.30789691</v>
      </c>
      <c r="AV32" s="234" t="n">
        <v>16597586.57360495</v>
      </c>
    </row>
    <row r="33">
      <c r="A33" s="230" t="n">
        <v>2054</v>
      </c>
      <c r="B33" s="231" t="n">
        <v>239518</v>
      </c>
      <c r="C33" s="231" t="n">
        <v>0</v>
      </c>
      <c r="D33" s="231" t="n">
        <v>4226424</v>
      </c>
      <c r="E33" s="231" t="n">
        <v>0</v>
      </c>
      <c r="F33" s="231" t="n">
        <v>0</v>
      </c>
      <c r="G33" s="231" t="n">
        <v>3094171</v>
      </c>
      <c r="H33" s="231" t="n">
        <v>0</v>
      </c>
      <c r="I33" s="232" t="n">
        <v>7560113</v>
      </c>
      <c r="K33" s="230" t="n">
        <v>2054</v>
      </c>
      <c r="L33" s="231" t="n">
        <v>0</v>
      </c>
      <c r="M33" s="231" t="n">
        <v>73509</v>
      </c>
      <c r="N33" s="231" t="n">
        <v>61607</v>
      </c>
      <c r="O33" s="231" t="n">
        <v>4512</v>
      </c>
      <c r="P33" s="231" t="n">
        <v>3864</v>
      </c>
      <c r="Q33" s="231" t="n">
        <v>20134</v>
      </c>
      <c r="R33" s="231" t="n">
        <v>6566</v>
      </c>
      <c r="S33" s="231" t="n">
        <v>52251</v>
      </c>
      <c r="T33" s="231" t="n">
        <v>0</v>
      </c>
      <c r="U33" s="231" t="n">
        <v>0</v>
      </c>
      <c r="V33" s="231" t="n">
        <v>0</v>
      </c>
      <c r="W33" s="231" t="n">
        <v>0</v>
      </c>
      <c r="X33" s="231" t="n">
        <v>191986</v>
      </c>
      <c r="Y33" s="231" t="n">
        <v>0</v>
      </c>
      <c r="Z33" s="231" t="n">
        <v>0</v>
      </c>
      <c r="AA33" s="232" t="n">
        <v>414429</v>
      </c>
      <c r="AC33" s="230" t="n">
        <v>2054</v>
      </c>
      <c r="AD33" s="231" t="n">
        <v>182357</v>
      </c>
      <c r="AE33" s="231" t="n">
        <v>89044</v>
      </c>
      <c r="AF33" s="231" t="n">
        <v>137267</v>
      </c>
      <c r="AG33" s="231" t="n">
        <v>27246</v>
      </c>
      <c r="AH33" s="231" t="n">
        <v>0</v>
      </c>
      <c r="AI33" s="231" t="n">
        <v>14055</v>
      </c>
      <c r="AJ33" s="231" t="n">
        <v>398</v>
      </c>
      <c r="AK33" s="231" t="n">
        <v>0</v>
      </c>
      <c r="AL33" s="231" t="n">
        <v>0</v>
      </c>
      <c r="AM33" s="231" t="n">
        <v>0</v>
      </c>
      <c r="AN33" s="232" t="n">
        <v>450367</v>
      </c>
      <c r="AQ33" s="230" t="n">
        <v>2054</v>
      </c>
      <c r="AR33" s="231" t="n">
        <v>3354888.410047718</v>
      </c>
      <c r="AS33" s="231" t="n">
        <v>3354888.410047718</v>
      </c>
      <c r="AT33" s="231" t="n">
        <v>10022345.4754164</v>
      </c>
      <c r="AU33" s="231" t="n">
        <v>16515755.3841471</v>
      </c>
      <c r="AV33" s="231" t="n">
        <v>18967668.9924209</v>
      </c>
    </row>
    <row r="34">
      <c r="A34" s="233" t="n">
        <v>2055</v>
      </c>
      <c r="B34" s="234" t="n">
        <v>161323</v>
      </c>
      <c r="C34" s="234" t="n">
        <v>0</v>
      </c>
      <c r="D34" s="234" t="n">
        <v>4271721</v>
      </c>
      <c r="E34" s="234" t="n">
        <v>0</v>
      </c>
      <c r="F34" s="234" t="n">
        <v>0</v>
      </c>
      <c r="G34" s="234" t="n">
        <v>3186996</v>
      </c>
      <c r="H34" s="234" t="n">
        <v>0</v>
      </c>
      <c r="I34" s="235" t="n">
        <v>7620040</v>
      </c>
      <c r="K34" s="233" t="n">
        <v>2055</v>
      </c>
      <c r="L34" s="234" t="n">
        <v>0</v>
      </c>
      <c r="M34" s="234" t="n">
        <v>0</v>
      </c>
      <c r="N34" s="234" t="n">
        <v>73509</v>
      </c>
      <c r="O34" s="234" t="n">
        <v>4512</v>
      </c>
      <c r="P34" s="234" t="n">
        <v>3904</v>
      </c>
      <c r="Q34" s="234" t="n">
        <v>20582</v>
      </c>
      <c r="R34" s="234" t="n">
        <v>0</v>
      </c>
      <c r="S34" s="234" t="n">
        <v>53222</v>
      </c>
      <c r="T34" s="234" t="n">
        <v>0</v>
      </c>
      <c r="U34" s="234" t="n">
        <v>0</v>
      </c>
      <c r="V34" s="234" t="n">
        <v>0</v>
      </c>
      <c r="W34" s="234" t="n">
        <v>0</v>
      </c>
      <c r="X34" s="234" t="n">
        <v>196499</v>
      </c>
      <c r="Y34" s="234" t="n">
        <v>0</v>
      </c>
      <c r="Z34" s="234" t="n">
        <v>0</v>
      </c>
      <c r="AA34" s="235" t="n">
        <v>352228</v>
      </c>
      <c r="AC34" s="233" t="n">
        <v>2055</v>
      </c>
      <c r="AD34" s="234" t="n">
        <v>182357</v>
      </c>
      <c r="AE34" s="234" t="n">
        <v>91270</v>
      </c>
      <c r="AF34" s="234" t="n">
        <v>72282</v>
      </c>
      <c r="AG34" s="234" t="n">
        <v>27927</v>
      </c>
      <c r="AH34" s="234" t="n">
        <v>0</v>
      </c>
      <c r="AI34" s="234" t="n">
        <v>14826</v>
      </c>
      <c r="AJ34" s="234" t="n">
        <v>402</v>
      </c>
      <c r="AK34" s="234" t="n">
        <v>0</v>
      </c>
      <c r="AL34" s="234" t="n">
        <v>0</v>
      </c>
      <c r="AM34" s="234" t="n">
        <v>0</v>
      </c>
      <c r="AN34" s="235" t="n">
        <v>389064</v>
      </c>
      <c r="AQ34" s="233" t="n">
        <v>2055</v>
      </c>
      <c r="AR34" s="234" t="n">
        <v>3370790.16580873</v>
      </c>
      <c r="AS34" s="234" t="n">
        <v>3370790.16580873</v>
      </c>
      <c r="AT34" s="234" t="n">
        <v>10247804.38794498</v>
      </c>
      <c r="AU34" s="234" t="n">
        <v>15660999.76633656</v>
      </c>
      <c r="AV34" s="234" t="n">
        <v>20834432.91243257</v>
      </c>
    </row>
    <row r="35">
      <c r="A35" s="230" t="n">
        <v>2056</v>
      </c>
      <c r="B35" s="231" t="n">
        <v>83848</v>
      </c>
      <c r="C35" s="231" t="n">
        <v>0</v>
      </c>
      <c r="D35" s="231" t="n">
        <v>4315173</v>
      </c>
      <c r="E35" s="231" t="n">
        <v>0</v>
      </c>
      <c r="F35" s="231" t="n">
        <v>0</v>
      </c>
      <c r="G35" s="231" t="n">
        <v>3282605</v>
      </c>
      <c r="H35" s="231" t="n">
        <v>0</v>
      </c>
      <c r="I35" s="232" t="n">
        <v>7681626</v>
      </c>
      <c r="K35" s="230" t="n">
        <v>2056</v>
      </c>
      <c r="L35" s="231" t="n">
        <v>0</v>
      </c>
      <c r="M35" s="231" t="n">
        <v>0</v>
      </c>
      <c r="N35" s="231" t="n">
        <v>73509</v>
      </c>
      <c r="O35" s="231" t="n">
        <v>4512</v>
      </c>
      <c r="P35" s="231" t="n">
        <v>3950</v>
      </c>
      <c r="Q35" s="231" t="n">
        <v>21080</v>
      </c>
      <c r="R35" s="231" t="n">
        <v>0</v>
      </c>
      <c r="S35" s="231" t="n">
        <v>54306</v>
      </c>
      <c r="T35" s="231" t="n">
        <v>0</v>
      </c>
      <c r="U35" s="231" t="n">
        <v>0</v>
      </c>
      <c r="V35" s="231" t="n">
        <v>0</v>
      </c>
      <c r="W35" s="231" t="n">
        <v>0</v>
      </c>
      <c r="X35" s="231" t="n">
        <v>200803</v>
      </c>
      <c r="Y35" s="231" t="n">
        <v>0</v>
      </c>
      <c r="Z35" s="231" t="n">
        <v>0</v>
      </c>
      <c r="AA35" s="232" t="n">
        <v>358160</v>
      </c>
      <c r="AC35" s="230" t="n">
        <v>2056</v>
      </c>
      <c r="AD35" s="231" t="n">
        <v>182357</v>
      </c>
      <c r="AE35" s="231" t="n">
        <v>93552</v>
      </c>
      <c r="AF35" s="231" t="n">
        <v>76130</v>
      </c>
      <c r="AG35" s="231" t="n">
        <v>28626</v>
      </c>
      <c r="AH35" s="231" t="n">
        <v>0</v>
      </c>
      <c r="AI35" s="231" t="n">
        <v>14845</v>
      </c>
      <c r="AJ35" s="231" t="n">
        <v>407</v>
      </c>
      <c r="AK35" s="231" t="n">
        <v>0</v>
      </c>
      <c r="AL35" s="231" t="n">
        <v>0</v>
      </c>
      <c r="AM35" s="231" t="n">
        <v>0</v>
      </c>
      <c r="AN35" s="232" t="n">
        <v>395917</v>
      </c>
      <c r="AQ35" s="230" t="n">
        <v>2056</v>
      </c>
      <c r="AR35" s="231" t="n">
        <v>3390274.137803575</v>
      </c>
      <c r="AS35" s="231" t="n">
        <v>3390274.137803575</v>
      </c>
      <c r="AT35" s="231" t="n">
        <v>10588564.49601932</v>
      </c>
      <c r="AU35" s="231" t="n">
        <v>15546112.05060634</v>
      </c>
      <c r="AV35" s="231" t="n">
        <v>24225511.44024338</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20" t="inlineStr">
        <is>
          <t>Asset Class</t>
        </is>
      </c>
      <c r="B210" s="220" t="inlineStr">
        <is>
          <t>Current Portfolio Allocation</t>
        </is>
      </c>
      <c r="D210" s="220" t="inlineStr">
        <is>
          <t>Asset Class</t>
        </is>
      </c>
      <c r="E210" s="220" t="inlineStr">
        <is>
          <t>Target Portfolio Allocation</t>
        </is>
      </c>
    </row>
    <row r="211">
      <c r="A211" s="33" t="inlineStr">
        <is>
          <t>US Large Cap</t>
        </is>
      </c>
      <c r="B211" s="108" t="n">
        <v>1357238.41112</v>
      </c>
      <c r="D211" s="33" t="inlineStr">
        <is>
          <t>US Large Cap</t>
        </is>
      </c>
      <c r="E211" s="108" t="n">
        <v>1209226.55896</v>
      </c>
    </row>
    <row r="212">
      <c r="A212" s="33" t="inlineStr">
        <is>
          <t>International</t>
        </is>
      </c>
      <c r="B212" s="108" t="n">
        <v>910327.1116479998</v>
      </c>
      <c r="D212" s="33" t="inlineStr">
        <is>
          <t>International</t>
        </is>
      </c>
      <c r="E212" s="108" t="n">
        <v>690987.1116479998</v>
      </c>
    </row>
    <row r="213">
      <c r="A213" s="33" t="inlineStr">
        <is>
          <t>US Small Cap</t>
        </is>
      </c>
      <c r="B213" s="108" t="n">
        <v>309683.143654</v>
      </c>
      <c r="D213" s="33" t="inlineStr">
        <is>
          <t>US Small Cap</t>
        </is>
      </c>
      <c r="E213" s="108" t="n">
        <v>172747.143654</v>
      </c>
    </row>
    <row r="214">
      <c r="A214" s="33" t="inlineStr">
        <is>
          <t>Commodities</t>
        </is>
      </c>
      <c r="B214" s="108" t="n">
        <v>166714.35</v>
      </c>
      <c r="D214" s="33" t="inlineStr">
        <is>
          <t>Commodities</t>
        </is>
      </c>
      <c r="E214" s="108" t="n">
        <v>172746.35</v>
      </c>
    </row>
    <row r="215">
      <c r="A215" s="33" t="inlineStr">
        <is>
          <t>Cash</t>
        </is>
      </c>
      <c r="B215" s="108" t="n">
        <v>19984.61</v>
      </c>
      <c r="D215" s="33" t="inlineStr">
        <is>
          <t>Cash</t>
        </is>
      </c>
      <c r="E215" s="108" t="n">
        <v>172746.61</v>
      </c>
    </row>
    <row r="216">
      <c r="A216" s="33" t="inlineStr">
        <is>
          <t>Fixed Income (Non-Liquid)</t>
        </is>
      </c>
      <c r="B216" s="108" t="n">
        <v>1274327.16356137</v>
      </c>
      <c r="D216" s="33" t="inlineStr">
        <is>
          <t>Emerging Markets</t>
        </is>
      </c>
      <c r="E216" s="108" t="n">
        <v>172747</v>
      </c>
    </row>
    <row r="217">
      <c r="A217" s="33" t="inlineStr">
        <is>
          <t>Real Estate (Non-Liquid)</t>
        </is>
      </c>
      <c r="B217" s="108" t="n">
        <v>1313000</v>
      </c>
      <c r="D217" s="33" t="inlineStr">
        <is>
          <t>US Mid Cap</t>
        </is>
      </c>
      <c r="E217" s="108" t="n">
        <v>172747</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2026-07-03T23:10:00Z</dcterms:created>
  <dcterms:modified xmlns:dcterms="http://purl.org/dc/terms/" xmlns:xsi="http://www.w3.org/2001/XMLSchema-instance" xsi:type="dcterms:W3CDTF">2026-07-03T23:10:13Z</dcterms:modified>
</cp:coreProperties>
</file>