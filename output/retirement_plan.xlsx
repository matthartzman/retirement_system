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2026-07-01</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5928977.585458326</v>
      </c>
      <c r="C11" s="3" t="n"/>
      <c r="D11" s="3" t="n"/>
      <c r="E11" s="3" t="n"/>
      <c r="F11" s="4" t="n"/>
    </row>
    <row r="12" ht="30" customHeight="1">
      <c r="A12" s="11" t="inlineStr">
        <is>
          <t>Terminal Net Worth (Yn)</t>
        </is>
      </c>
      <c r="B12" s="14" t="n">
        <v>4584854.059682235</v>
      </c>
      <c r="C12" s="3" t="n"/>
      <c r="D12" s="3" t="n"/>
      <c r="E12" s="3" t="n"/>
      <c r="F12" s="4" t="n"/>
    </row>
    <row r="13" ht="45" customHeight="1">
      <c r="A13" s="11" t="inlineStr">
        <is>
          <t>Lifetime Federal Tax (estimated)</t>
        </is>
      </c>
      <c r="B13" s="14" t="n">
        <v>874291.2085969265</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267084.5399097673</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2026-07-01</t>
        </is>
      </c>
      <c r="B35" s="3" t="n"/>
      <c r="C35" s="3" t="n"/>
      <c r="D35" s="3" t="n"/>
      <c r="E35" s="3" t="n"/>
      <c r="F35" s="4" t="n"/>
    </row>
    <row r="36" ht="75" customHeight="1">
      <c r="A36" s="19" t="inlineStr">
        <is>
          <t>Workbook pricing source: CACHE — as of 06/29/2026 09:35 AM. 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262813.1588045288</v>
      </c>
      <c r="R3" s="27" t="n">
        <v>340203.36700576</v>
      </c>
      <c r="S3" s="28" t="n">
        <v>603016.5258102887</v>
      </c>
      <c r="T3" s="27" t="n">
        <v>82867.40086620001</v>
      </c>
      <c r="U3" s="27" t="n">
        <v>1061620.66</v>
      </c>
      <c r="V3" s="27" t="n">
        <v>0</v>
      </c>
      <c r="W3" s="27" t="n">
        <v>66000</v>
      </c>
      <c r="X3" s="27" t="n">
        <v>46654.28571428572</v>
      </c>
      <c r="Y3" s="27" t="n">
        <v>414971.34</v>
      </c>
      <c r="Z3" s="27" t="n">
        <v>20000</v>
      </c>
      <c r="AA3" s="28" t="n">
        <v>1609246.285714286</v>
      </c>
      <c r="AB3" s="28" t="n">
        <v>5928977.585458326</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1473358.453489831</v>
      </c>
      <c r="K4" s="27" t="n">
        <v>41597.07624085444</v>
      </c>
      <c r="L4" s="27" t="n">
        <v>272584.413386989</v>
      </c>
      <c r="M4" s="28" t="n">
        <v>1787539.943117674</v>
      </c>
      <c r="N4" s="27" t="n">
        <v>154396.23539146</v>
      </c>
      <c r="O4" s="27" t="n">
        <v>467636.2608126643</v>
      </c>
      <c r="P4" s="28" t="n">
        <v>622032.4962041244</v>
      </c>
      <c r="Q4" s="27" t="n">
        <v>116338.7042973719</v>
      </c>
      <c r="R4" s="27" t="n">
        <v>151102.3334469526</v>
      </c>
      <c r="S4" s="28" t="n">
        <v>267441.0377443245</v>
      </c>
      <c r="T4" s="27" t="n">
        <v>87839.44491817201</v>
      </c>
      <c r="U4" s="27" t="n">
        <v>1132406.050134</v>
      </c>
      <c r="V4" s="27" t="n">
        <v>0</v>
      </c>
      <c r="W4" s="27" t="n">
        <v>66000</v>
      </c>
      <c r="X4" s="27" t="n">
        <v>38878.57142857143</v>
      </c>
      <c r="Y4" s="27" t="n">
        <v>355689.72</v>
      </c>
      <c r="Z4" s="27" t="n">
        <v>20000</v>
      </c>
      <c r="AA4" s="28" t="n">
        <v>1612974.341562571</v>
      </c>
      <c r="AB4" s="28" t="n">
        <v>5815350.308540481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1532186.918006132</v>
      </c>
      <c r="K5" s="27" t="n">
        <v>43257.97017866077</v>
      </c>
      <c r="L5" s="27" t="n">
        <v>60848.95791622531</v>
      </c>
      <c r="M5" s="28" t="n">
        <v>1636293.846101018</v>
      </c>
      <c r="N5" s="27" t="n">
        <v>163660.0095149477</v>
      </c>
      <c r="O5" s="27" t="n">
        <v>722610.4989658368</v>
      </c>
      <c r="P5" s="28" t="n">
        <v>886270.5084807845</v>
      </c>
      <c r="Q5" s="27" t="n">
        <v>0</v>
      </c>
      <c r="R5" s="27" t="n">
        <v>0</v>
      </c>
      <c r="S5" s="28" t="n">
        <v>0</v>
      </c>
      <c r="T5" s="27" t="n">
        <v>93109.81161326234</v>
      </c>
      <c r="U5" s="27" t="n">
        <v>1205009.843701667</v>
      </c>
      <c r="V5" s="27" t="n">
        <v>0</v>
      </c>
      <c r="W5" s="27" t="n">
        <v>66000</v>
      </c>
      <c r="X5" s="27" t="n">
        <v>31102.85714285714</v>
      </c>
      <c r="Y5" s="27" t="n">
        <v>296408.1</v>
      </c>
      <c r="Z5" s="27" t="n">
        <v>20000</v>
      </c>
      <c r="AA5" s="28" t="n">
        <v>1618520.800844524</v>
      </c>
      <c r="AB5" s="28" t="n">
        <v>5753186.674732819</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1346459.803512917</v>
      </c>
      <c r="K6" s="27" t="n">
        <v>0</v>
      </c>
      <c r="L6" s="27" t="n">
        <v>0</v>
      </c>
      <c r="M6" s="28" t="n">
        <v>1346459.803512917</v>
      </c>
      <c r="N6" s="27" t="n">
        <v>263380.0301915043</v>
      </c>
      <c r="O6" s="27" t="n">
        <v>830467.0242949858</v>
      </c>
      <c r="P6" s="28" t="n">
        <v>1093847.05448649</v>
      </c>
      <c r="Q6" s="27" t="n">
        <v>0</v>
      </c>
      <c r="R6" s="27" t="n">
        <v>0</v>
      </c>
      <c r="S6" s="28" t="n">
        <v>0</v>
      </c>
      <c r="T6" s="27" t="n">
        <v>98696.40031005807</v>
      </c>
      <c r="U6" s="27" t="n">
        <v>1279480.52015643</v>
      </c>
      <c r="V6" s="27" t="n">
        <v>0</v>
      </c>
      <c r="W6" s="27" t="n">
        <v>66000</v>
      </c>
      <c r="X6" s="27" t="n">
        <v>23327.14285714286</v>
      </c>
      <c r="Y6" s="27" t="n">
        <v>237126.48</v>
      </c>
      <c r="Z6" s="27" t="n">
        <v>20000</v>
      </c>
      <c r="AA6" s="28" t="n">
        <v>1625934.143013573</v>
      </c>
      <c r="AB6" s="28" t="n">
        <v>5741017.757405721</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1100805.680029567</v>
      </c>
      <c r="K7" s="27" t="n">
        <v>0</v>
      </c>
      <c r="L7" s="27" t="n">
        <v>0</v>
      </c>
      <c r="M7" s="28" t="n">
        <v>1100805.680029567</v>
      </c>
      <c r="N7" s="27" t="n">
        <v>443797.4296563429</v>
      </c>
      <c r="O7" s="27" t="n">
        <v>880295.0457526849</v>
      </c>
      <c r="P7" s="28" t="n">
        <v>1324092.475409028</v>
      </c>
      <c r="Q7" s="27" t="n">
        <v>0</v>
      </c>
      <c r="R7" s="27" t="n">
        <v>0</v>
      </c>
      <c r="S7" s="28" t="n">
        <v>0</v>
      </c>
      <c r="T7" s="27" t="n">
        <v>104618.1843286616</v>
      </c>
      <c r="U7" s="27" t="n">
        <v>1355867.892489596</v>
      </c>
      <c r="V7" s="27" t="n">
        <v>0</v>
      </c>
      <c r="W7" s="27" t="n">
        <v>0</v>
      </c>
      <c r="X7" s="27" t="n">
        <v>15551.42857142857</v>
      </c>
      <c r="Y7" s="27" t="n">
        <v>177844.86</v>
      </c>
      <c r="Z7" s="27" t="n">
        <v>20000</v>
      </c>
      <c r="AA7" s="28" t="n">
        <v>1569264.181061025</v>
      </c>
      <c r="AB7" s="28" t="n">
        <v>5646457.145132785</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883808.1290961901</v>
      </c>
      <c r="K8" s="27" t="n">
        <v>0</v>
      </c>
      <c r="L8" s="27" t="n">
        <v>0</v>
      </c>
      <c r="M8" s="28" t="n">
        <v>883808.1290961901</v>
      </c>
      <c r="N8" s="27" t="n">
        <v>603208.5155308202</v>
      </c>
      <c r="O8" s="27" t="n">
        <v>933112.7484978461</v>
      </c>
      <c r="P8" s="28" t="n">
        <v>1536321.264028666</v>
      </c>
      <c r="Q8" s="27" t="n">
        <v>0</v>
      </c>
      <c r="R8" s="27" t="n">
        <v>0</v>
      </c>
      <c r="S8" s="28" t="n">
        <v>0</v>
      </c>
      <c r="T8" s="27" t="n">
        <v>99805.74784954313</v>
      </c>
      <c r="U8" s="27" t="n">
        <v>1434223.144831653</v>
      </c>
      <c r="V8" s="27" t="n">
        <v>0</v>
      </c>
      <c r="W8" s="27" t="n">
        <v>0</v>
      </c>
      <c r="X8" s="27" t="n">
        <v>7775.71428571429</v>
      </c>
      <c r="Y8" s="27" t="n">
        <v>118563.24</v>
      </c>
      <c r="Z8" s="27" t="n">
        <v>20000</v>
      </c>
      <c r="AA8" s="28" t="n">
        <v>1580562.099117368</v>
      </c>
      <c r="AB8" s="28" t="n">
        <v>5618747.368983794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559759.6850388597</v>
      </c>
      <c r="K9" s="27" t="n">
        <v>0</v>
      </c>
      <c r="L9" s="27" t="n">
        <v>0</v>
      </c>
      <c r="M9" s="28" t="n">
        <v>559759.6850388597</v>
      </c>
      <c r="N9" s="27" t="n">
        <v>754844.0259225381</v>
      </c>
      <c r="O9" s="27" t="n">
        <v>989099.5134077169</v>
      </c>
      <c r="P9" s="28" t="n">
        <v>1743943.539330255</v>
      </c>
      <c r="Q9" s="27" t="n">
        <v>0</v>
      </c>
      <c r="R9" s="27" t="n">
        <v>0</v>
      </c>
      <c r="S9" s="28" t="n">
        <v>0</v>
      </c>
      <c r="T9" s="27" t="n">
        <v>94039.19352934731</v>
      </c>
      <c r="U9" s="27" t="n">
        <v>1514598.871133763</v>
      </c>
      <c r="V9" s="27" t="n">
        <v>0</v>
      </c>
      <c r="W9" s="27" t="n">
        <v>0</v>
      </c>
      <c r="X9" s="27" t="n">
        <v>0</v>
      </c>
      <c r="Y9" s="27" t="n">
        <v>59281.62000000005</v>
      </c>
      <c r="Z9" s="27" t="n">
        <v>20000</v>
      </c>
      <c r="AA9" s="28" t="n">
        <v>1593880.491133763</v>
      </c>
      <c r="AB9" s="28" t="n">
        <v>5479337.659179814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335068.187575056</v>
      </c>
      <c r="K10" s="27" t="n">
        <v>0</v>
      </c>
      <c r="L10" s="27" t="n">
        <v>0</v>
      </c>
      <c r="M10" s="28" t="n">
        <v>335068.187575056</v>
      </c>
      <c r="N10" s="27" t="n">
        <v>923331.5206196653</v>
      </c>
      <c r="O10" s="27" t="n">
        <v>1048445.48421218</v>
      </c>
      <c r="P10" s="28" t="n">
        <v>1971777.004831845</v>
      </c>
      <c r="Q10" s="27" t="n">
        <v>0</v>
      </c>
      <c r="R10" s="27" t="n">
        <v>0</v>
      </c>
      <c r="S10" s="28" t="n">
        <v>0</v>
      </c>
      <c r="T10" s="27" t="n">
        <v>87221.35199846963</v>
      </c>
      <c r="U10" s="27" t="n">
        <v>1597049.114960884</v>
      </c>
      <c r="V10" s="27" t="n">
        <v>0</v>
      </c>
      <c r="W10" s="27" t="n">
        <v>0</v>
      </c>
      <c r="X10" s="27" t="n">
        <v>0</v>
      </c>
      <c r="Y10" s="27" t="n">
        <v>0</v>
      </c>
      <c r="Z10" s="27" t="n">
        <v>20000</v>
      </c>
      <c r="AA10" s="28" t="n">
        <v>1617049.114960884</v>
      </c>
      <c r="AB10" s="28" t="n">
        <v>5467077.284250851</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1107122.678906549</v>
      </c>
      <c r="O11" s="27" t="n">
        <v>1108729.847161219</v>
      </c>
      <c r="P11" s="28" t="n">
        <v>2215852.526067768</v>
      </c>
      <c r="Q11" s="27" t="n">
        <v>0</v>
      </c>
      <c r="R11" s="27" t="n">
        <v>0</v>
      </c>
      <c r="S11" s="28" t="n">
        <v>0</v>
      </c>
      <c r="T11" s="27" t="n">
        <v>79246.82838718098</v>
      </c>
      <c r="U11" s="27" t="n">
        <v>1681629.410428911</v>
      </c>
      <c r="V11" s="27" t="n">
        <v>0</v>
      </c>
      <c r="W11" s="27" t="n">
        <v>0</v>
      </c>
      <c r="X11" s="27" t="n">
        <v>0</v>
      </c>
      <c r="Y11" s="27" t="n">
        <v>0</v>
      </c>
      <c r="Z11" s="27" t="n">
        <v>20000</v>
      </c>
      <c r="AA11" s="28" t="n">
        <v>1701629.410428911</v>
      </c>
      <c r="AB11" s="28" t="n">
        <v>5419605.829076955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1117448.596398653</v>
      </c>
      <c r="O12" s="27" t="n">
        <v>1119070.754398462</v>
      </c>
      <c r="P12" s="28" t="n">
        <v>2236519.350797115</v>
      </c>
      <c r="Q12" s="27" t="n">
        <v>0</v>
      </c>
      <c r="R12" s="27" t="n">
        <v>0</v>
      </c>
      <c r="S12" s="28" t="n">
        <v>0</v>
      </c>
      <c r="T12" s="27" t="n">
        <v>70001.3650753432</v>
      </c>
      <c r="U12" s="27" t="n">
        <v>1764562.206078832</v>
      </c>
      <c r="V12" s="27" t="n">
        <v>0</v>
      </c>
      <c r="W12" s="27" t="n">
        <v>0</v>
      </c>
      <c r="X12" s="27" t="n">
        <v>0</v>
      </c>
      <c r="Y12" s="27" t="n">
        <v>0</v>
      </c>
      <c r="Z12" s="27" t="n">
        <v>20000</v>
      </c>
      <c r="AA12" s="28" t="n">
        <v>1784562.206078832</v>
      </c>
      <c r="AB12" s="28" t="n">
        <v>5479425.12700064</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1128347.096383236</v>
      </c>
      <c r="O13" s="27" t="n">
        <v>1129985.075324602</v>
      </c>
      <c r="P13" s="28" t="n">
        <v>2258332.171707838</v>
      </c>
      <c r="Q13" s="27" t="n">
        <v>0</v>
      </c>
      <c r="R13" s="27" t="n">
        <v>0</v>
      </c>
      <c r="S13" s="28" t="n">
        <v>0</v>
      </c>
      <c r="T13" s="27" t="n">
        <v>59361.15758389104</v>
      </c>
      <c r="U13" s="27" t="n">
        <v>1817499.072261197</v>
      </c>
      <c r="V13" s="27" t="n">
        <v>0</v>
      </c>
      <c r="W13" s="27" t="n">
        <v>0</v>
      </c>
      <c r="X13" s="27" t="n">
        <v>0</v>
      </c>
      <c r="Y13" s="27" t="n">
        <v>0</v>
      </c>
      <c r="Z13" s="27" t="n">
        <v>20000</v>
      </c>
      <c r="AA13" s="28" t="n">
        <v>1837499.072261197</v>
      </c>
      <c r="AB13" s="28" t="n">
        <v>5504083.98236572</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1137077.553497176</v>
      </c>
      <c r="O14" s="27" t="n">
        <v>1138728.206113998</v>
      </c>
      <c r="P14" s="28" t="n">
        <v>2275805.759611174</v>
      </c>
      <c r="Q14" s="27" t="n">
        <v>0</v>
      </c>
      <c r="R14" s="27" t="n">
        <v>0</v>
      </c>
      <c r="S14" s="28" t="n">
        <v>0</v>
      </c>
      <c r="T14" s="27" t="n">
        <v>47192.12027919338</v>
      </c>
      <c r="U14" s="27" t="n">
        <v>1872024.044429033</v>
      </c>
      <c r="V14" s="27" t="n">
        <v>0</v>
      </c>
      <c r="W14" s="27" t="n">
        <v>0</v>
      </c>
      <c r="X14" s="27" t="n">
        <v>0</v>
      </c>
      <c r="Y14" s="27" t="n">
        <v>0</v>
      </c>
      <c r="Z14" s="27" t="n">
        <v>20000</v>
      </c>
      <c r="AA14" s="28" t="n">
        <v>1892024.044429033</v>
      </c>
      <c r="AB14" s="28" t="n">
        <v>5513746.291250715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1142280.990361803</v>
      </c>
      <c r="O15" s="27" t="n">
        <v>1143939.196611753</v>
      </c>
      <c r="P15" s="28" t="n">
        <v>2286220.186973556</v>
      </c>
      <c r="Q15" s="27" t="n">
        <v>0</v>
      </c>
      <c r="R15" s="27" t="n">
        <v>0</v>
      </c>
      <c r="S15" s="28" t="n">
        <v>0</v>
      </c>
      <c r="T15" s="27" t="n">
        <v>33349.09833062998</v>
      </c>
      <c r="U15" s="27" t="n">
        <v>1928184.765761904</v>
      </c>
      <c r="V15" s="27" t="n">
        <v>0</v>
      </c>
      <c r="W15" s="27" t="n">
        <v>0</v>
      </c>
      <c r="X15" s="27" t="n">
        <v>0</v>
      </c>
      <c r="Y15" s="27" t="n">
        <v>0</v>
      </c>
      <c r="Z15" s="27" t="n">
        <v>20000</v>
      </c>
      <c r="AA15" s="28" t="n">
        <v>1948184.765761904</v>
      </c>
      <c r="AB15" s="28" t="n">
        <v>5514708.066605354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1143669.113643412</v>
      </c>
      <c r="O16" s="27" t="n">
        <v>1145329.334979598</v>
      </c>
      <c r="P16" s="28" t="n">
        <v>2288998.44862301</v>
      </c>
      <c r="Q16" s="27" t="n">
        <v>0</v>
      </c>
      <c r="R16" s="27" t="n">
        <v>0</v>
      </c>
      <c r="S16" s="28" t="n">
        <v>0</v>
      </c>
      <c r="T16" s="27" t="n">
        <v>17675.02211523389</v>
      </c>
      <c r="U16" s="27" t="n">
        <v>1986030.308734762</v>
      </c>
      <c r="V16" s="27" t="n">
        <v>0</v>
      </c>
      <c r="W16" s="27" t="n">
        <v>0</v>
      </c>
      <c r="X16" s="27" t="n">
        <v>0</v>
      </c>
      <c r="Y16" s="27" t="n">
        <v>0</v>
      </c>
      <c r="Z16" s="27" t="n">
        <v>20000</v>
      </c>
      <c r="AA16" s="28" t="n">
        <v>2006030.308734762</v>
      </c>
      <c r="AB16" s="28" t="n">
        <v>5506092.159405518</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1140928.707764416</v>
      </c>
      <c r="O17" s="27" t="n">
        <v>1142584.9509567</v>
      </c>
      <c r="P17" s="28" t="n">
        <v>2283513.658721116</v>
      </c>
      <c r="Q17" s="27" t="n">
        <v>0</v>
      </c>
      <c r="R17" s="27" t="n">
        <v>0</v>
      </c>
      <c r="S17" s="28" t="n">
        <v>0</v>
      </c>
      <c r="T17" s="27" t="n">
        <v>0</v>
      </c>
      <c r="U17" s="27" t="n">
        <v>2045611.217996805</v>
      </c>
      <c r="V17" s="27" t="n">
        <v>0</v>
      </c>
      <c r="W17" s="27" t="n">
        <v>0</v>
      </c>
      <c r="X17" s="27" t="n">
        <v>0</v>
      </c>
      <c r="Y17" s="27" t="n">
        <v>0</v>
      </c>
      <c r="Z17" s="27" t="n">
        <v>20000</v>
      </c>
      <c r="AA17" s="28" t="n">
        <v>2065611.217996805</v>
      </c>
      <c r="AB17" s="28" t="n">
        <v>5486925.639099048</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1126681.508885042</v>
      </c>
      <c r="O18" s="27" t="n">
        <v>1128317.069955829</v>
      </c>
      <c r="P18" s="28" t="n">
        <v>2254998.57884087</v>
      </c>
      <c r="Q18" s="27" t="n">
        <v>0</v>
      </c>
      <c r="R18" s="27" t="n">
        <v>0</v>
      </c>
      <c r="S18" s="28" t="n">
        <v>0</v>
      </c>
      <c r="T18" s="27" t="n">
        <v>0</v>
      </c>
      <c r="U18" s="27" t="n">
        <v>2106979.554536709</v>
      </c>
      <c r="V18" s="27" t="n">
        <v>0</v>
      </c>
      <c r="W18" s="27" t="n">
        <v>0</v>
      </c>
      <c r="X18" s="27" t="n">
        <v>0</v>
      </c>
      <c r="Y18" s="27" t="n">
        <v>0</v>
      </c>
      <c r="Z18" s="27" t="n">
        <v>20000</v>
      </c>
      <c r="AA18" s="28" t="n">
        <v>2126979.554536709</v>
      </c>
      <c r="AB18" s="28" t="n">
        <v>5461936.417624128</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1109536.785261988</v>
      </c>
      <c r="O19" s="27" t="n">
        <v>1111147.457983844</v>
      </c>
      <c r="P19" s="28" t="n">
        <v>2220684.243245833</v>
      </c>
      <c r="Q19" s="27" t="n">
        <v>0</v>
      </c>
      <c r="R19" s="27" t="n">
        <v>0</v>
      </c>
      <c r="S19" s="28" t="n">
        <v>0</v>
      </c>
      <c r="T19" s="27" t="n">
        <v>0</v>
      </c>
      <c r="U19" s="27" t="n">
        <v>2170188.94117281</v>
      </c>
      <c r="V19" s="27" t="n">
        <v>0</v>
      </c>
      <c r="W19" s="27" t="n">
        <v>0</v>
      </c>
      <c r="X19" s="27" t="n">
        <v>0</v>
      </c>
      <c r="Y19" s="27" t="n">
        <v>0</v>
      </c>
      <c r="Z19" s="27" t="n">
        <v>20000</v>
      </c>
      <c r="AA19" s="28" t="n">
        <v>2190188.94117281</v>
      </c>
      <c r="AB19" s="28" t="n">
        <v>5430494.296238394</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1089251.368783642</v>
      </c>
      <c r="O20" s="27" t="n">
        <v>1090832.593931152</v>
      </c>
      <c r="P20" s="28" t="n">
        <v>2180083.962714795</v>
      </c>
      <c r="Q20" s="27" t="n">
        <v>0</v>
      </c>
      <c r="R20" s="27" t="n">
        <v>0</v>
      </c>
      <c r="S20" s="28" t="n">
        <v>0</v>
      </c>
      <c r="T20" s="27" t="n">
        <v>0</v>
      </c>
      <c r="U20" s="27" t="n">
        <v>2235294.609407994</v>
      </c>
      <c r="V20" s="27" t="n">
        <v>0</v>
      </c>
      <c r="W20" s="27" t="n">
        <v>0</v>
      </c>
      <c r="X20" s="27" t="n">
        <v>0</v>
      </c>
      <c r="Y20" s="27" t="n">
        <v>0</v>
      </c>
      <c r="Z20" s="27" t="n">
        <v>20000</v>
      </c>
      <c r="AA20" s="28" t="n">
        <v>2255294.609407994</v>
      </c>
      <c r="AB20" s="28" t="n">
        <v>5391920.228223524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1065559.304944816</v>
      </c>
      <c r="O21" s="27" t="n">
        <v>1067106.137216437</v>
      </c>
      <c r="P21" s="28" t="n">
        <v>2132665.442161253</v>
      </c>
      <c r="Q21" s="27" t="n">
        <v>0</v>
      </c>
      <c r="R21" s="27" t="n">
        <v>0</v>
      </c>
      <c r="S21" s="28" t="n">
        <v>0</v>
      </c>
      <c r="T21" s="27" t="n">
        <v>0</v>
      </c>
      <c r="U21" s="27" t="n">
        <v>2302353.447690234</v>
      </c>
      <c r="V21" s="27" t="n">
        <v>0</v>
      </c>
      <c r="W21" s="27" t="n">
        <v>0</v>
      </c>
      <c r="X21" s="27" t="n">
        <v>0</v>
      </c>
      <c r="Y21" s="27" t="n">
        <v>0</v>
      </c>
      <c r="Z21" s="27" t="n">
        <v>20000</v>
      </c>
      <c r="AA21" s="28" t="n">
        <v>2322353.447690234</v>
      </c>
      <c r="AB21" s="28" t="n">
        <v>5345482.633821354</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1038170.291014138</v>
      </c>
      <c r="O22" s="27" t="n">
        <v>1039677.363686797</v>
      </c>
      <c r="P22" s="28" t="n">
        <v>2077847.654700935</v>
      </c>
      <c r="Q22" s="27" t="n">
        <v>0</v>
      </c>
      <c r="R22" s="27" t="n">
        <v>0</v>
      </c>
      <c r="S22" s="28" t="n">
        <v>0</v>
      </c>
      <c r="T22" s="27" t="n">
        <v>0</v>
      </c>
      <c r="U22" s="27" t="n">
        <v>2371424.051120941</v>
      </c>
      <c r="V22" s="27" t="n">
        <v>0</v>
      </c>
      <c r="W22" s="27" t="n">
        <v>0</v>
      </c>
      <c r="X22" s="27" t="n">
        <v>0</v>
      </c>
      <c r="Y22" s="27" t="n">
        <v>0</v>
      </c>
      <c r="Z22" s="27" t="n">
        <v>20000</v>
      </c>
      <c r="AA22" s="28" t="n">
        <v>2391424.051120941</v>
      </c>
      <c r="AB22" s="28" t="n">
        <v>5290393.463916695</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1028463.916602277</v>
      </c>
      <c r="O23" s="27" t="n">
        <v>1029956.89889713</v>
      </c>
      <c r="P23" s="28" t="n">
        <v>2058420.815499406</v>
      </c>
      <c r="Q23" s="27" t="n">
        <v>0</v>
      </c>
      <c r="R23" s="27" t="n">
        <v>0</v>
      </c>
      <c r="S23" s="28" t="n">
        <v>0</v>
      </c>
      <c r="T23" s="27" t="n">
        <v>0</v>
      </c>
      <c r="U23" s="27" t="n">
        <v>2442566.772654569</v>
      </c>
      <c r="V23" s="27" t="n">
        <v>0</v>
      </c>
      <c r="W23" s="27" t="n">
        <v>0</v>
      </c>
      <c r="X23" s="27" t="n">
        <v>0</v>
      </c>
      <c r="Y23" s="27" t="n">
        <v>0</v>
      </c>
      <c r="Z23" s="27" t="n">
        <v>20000</v>
      </c>
      <c r="AA23" s="28" t="n">
        <v>2462566.772654569</v>
      </c>
      <c r="AB23" s="28" t="n">
        <v>5269227.330955615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1012103.526578798</v>
      </c>
      <c r="O24" s="27" t="n">
        <v>1013572.759112237</v>
      </c>
      <c r="P24" s="28" t="n">
        <v>2025676.285691035</v>
      </c>
      <c r="Q24" s="27" t="n">
        <v>0</v>
      </c>
      <c r="R24" s="27" t="n">
        <v>0</v>
      </c>
      <c r="S24" s="28" t="n">
        <v>0</v>
      </c>
      <c r="T24" s="27" t="n">
        <v>0</v>
      </c>
      <c r="U24" s="27" t="n">
        <v>2515843.775834206</v>
      </c>
      <c r="V24" s="27" t="n">
        <v>0</v>
      </c>
      <c r="W24" s="27" t="n">
        <v>0</v>
      </c>
      <c r="X24" s="27" t="n">
        <v>0</v>
      </c>
      <c r="Y24" s="27" t="n">
        <v>0</v>
      </c>
      <c r="Z24" s="27" t="n">
        <v>20000</v>
      </c>
      <c r="AA24" s="28" t="n">
        <v>2535843.775834206</v>
      </c>
      <c r="AB24" s="28" t="n">
        <v>5233050.534539553</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982749.8382133048</v>
      </c>
      <c r="O25" s="27" t="n">
        <v>984176.4591039718</v>
      </c>
      <c r="P25" s="28" t="n">
        <v>1966926.297317277</v>
      </c>
      <c r="Q25" s="27" t="n">
        <v>0</v>
      </c>
      <c r="R25" s="27" t="n">
        <v>0</v>
      </c>
      <c r="S25" s="28" t="n">
        <v>0</v>
      </c>
      <c r="T25" s="27" t="n">
        <v>0</v>
      </c>
      <c r="U25" s="27" t="n">
        <v>2591319.089109233</v>
      </c>
      <c r="V25" s="27" t="n">
        <v>0</v>
      </c>
      <c r="W25" s="27" t="n">
        <v>0</v>
      </c>
      <c r="X25" s="27" t="n">
        <v>0</v>
      </c>
      <c r="Y25" s="27" t="n">
        <v>0</v>
      </c>
      <c r="Z25" s="27" t="n">
        <v>20000</v>
      </c>
      <c r="AA25" s="28" t="n">
        <v>2611319.089109233</v>
      </c>
      <c r="AB25" s="28" t="n">
        <v>5179538.459849194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950012.7446154126</v>
      </c>
      <c r="O26" s="27" t="n">
        <v>951391.8423014852</v>
      </c>
      <c r="P26" s="28" t="n">
        <v>1901404.586916898</v>
      </c>
      <c r="Q26" s="27" t="n">
        <v>0</v>
      </c>
      <c r="R26" s="27" t="n">
        <v>0</v>
      </c>
      <c r="S26" s="28" t="n">
        <v>0</v>
      </c>
      <c r="T26" s="27" t="n">
        <v>0</v>
      </c>
      <c r="U26" s="27" t="n">
        <v>2669058.66178251</v>
      </c>
      <c r="V26" s="27" t="n">
        <v>0</v>
      </c>
      <c r="W26" s="27" t="n">
        <v>0</v>
      </c>
      <c r="X26" s="27" t="n">
        <v>0</v>
      </c>
      <c r="Y26" s="27" t="n">
        <v>0</v>
      </c>
      <c r="Z26" s="27" t="n">
        <v>20000</v>
      </c>
      <c r="AA26" s="28" t="n">
        <v>2689058.66178251</v>
      </c>
      <c r="AB26" s="28" t="n">
        <v>5142503.582461203</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913555.1108946459</v>
      </c>
      <c r="O27" s="27" t="n">
        <v>914881.2844082915</v>
      </c>
      <c r="P27" s="28" t="n">
        <v>1828436.395302937</v>
      </c>
      <c r="Q27" s="27" t="n">
        <v>0</v>
      </c>
      <c r="R27" s="27" t="n">
        <v>0</v>
      </c>
      <c r="S27" s="28" t="n">
        <v>0</v>
      </c>
      <c r="T27" s="27" t="n">
        <v>0</v>
      </c>
      <c r="U27" s="27" t="n">
        <v>2749130.421635985</v>
      </c>
      <c r="V27" s="27" t="n">
        <v>0</v>
      </c>
      <c r="W27" s="27" t="n">
        <v>0</v>
      </c>
      <c r="X27" s="27" t="n">
        <v>0</v>
      </c>
      <c r="Y27" s="27" t="n">
        <v>0</v>
      </c>
      <c r="Z27" s="27" t="n">
        <v>20000</v>
      </c>
      <c r="AA27" s="28" t="n">
        <v>2769130.421635985</v>
      </c>
      <c r="AB27" s="28" t="n">
        <v>5096310.830787915</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873010.1920614587</v>
      </c>
      <c r="O28" s="27" t="n">
        <v>874277.5080449692</v>
      </c>
      <c r="P28" s="28" t="n">
        <v>1747287.700106428</v>
      </c>
      <c r="Q28" s="27" t="n">
        <v>0</v>
      </c>
      <c r="R28" s="27" t="n">
        <v>0</v>
      </c>
      <c r="S28" s="28" t="n">
        <v>0</v>
      </c>
      <c r="T28" s="27" t="n">
        <v>0</v>
      </c>
      <c r="U28" s="27" t="n">
        <v>2831604.334285065</v>
      </c>
      <c r="V28" s="27" t="n">
        <v>0</v>
      </c>
      <c r="W28" s="27" t="n">
        <v>0</v>
      </c>
      <c r="X28" s="27" t="n">
        <v>0</v>
      </c>
      <c r="Y28" s="27" t="n">
        <v>0</v>
      </c>
      <c r="Z28" s="27" t="n">
        <v>20000</v>
      </c>
      <c r="AA28" s="28" t="n">
        <v>2851604.334285065</v>
      </c>
      <c r="AB28" s="28" t="n">
        <v>5040037.611211098</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827993.0437761785</v>
      </c>
      <c r="O29" s="27" t="n">
        <v>829195.0100626604</v>
      </c>
      <c r="P29" s="28" t="n">
        <v>1657188.053838839</v>
      </c>
      <c r="Q29" s="27" t="n">
        <v>0</v>
      </c>
      <c r="R29" s="27" t="n">
        <v>0</v>
      </c>
      <c r="S29" s="28" t="n">
        <v>0</v>
      </c>
      <c r="T29" s="27" t="n">
        <v>0</v>
      </c>
      <c r="U29" s="27" t="n">
        <v>2916552.464313617</v>
      </c>
      <c r="V29" s="27" t="n">
        <v>0</v>
      </c>
      <c r="W29" s="27" t="n">
        <v>0</v>
      </c>
      <c r="X29" s="27" t="n">
        <v>0</v>
      </c>
      <c r="Y29" s="27" t="n">
        <v>0</v>
      </c>
      <c r="Z29" s="27" t="n">
        <v>20000</v>
      </c>
      <c r="AA29" s="28" t="n">
        <v>2936552.464313617</v>
      </c>
      <c r="AB29" s="28" t="n">
        <v>4972714.506978899</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778124.1427359596</v>
      </c>
      <c r="O30" s="27" t="n">
        <v>779253.7162188488</v>
      </c>
      <c r="P30" s="28" t="n">
        <v>1557377.858954808</v>
      </c>
      <c r="Q30" s="27" t="n">
        <v>0</v>
      </c>
      <c r="R30" s="27" t="n">
        <v>0</v>
      </c>
      <c r="S30" s="28" t="n">
        <v>0</v>
      </c>
      <c r="T30" s="27" t="n">
        <v>0</v>
      </c>
      <c r="U30" s="27" t="n">
        <v>3004049.038243025</v>
      </c>
      <c r="V30" s="27" t="n">
        <v>0</v>
      </c>
      <c r="W30" s="27" t="n">
        <v>0</v>
      </c>
      <c r="X30" s="27" t="n">
        <v>0</v>
      </c>
      <c r="Y30" s="27" t="n">
        <v>0</v>
      </c>
      <c r="Z30" s="27" t="n">
        <v>20000</v>
      </c>
      <c r="AA30" s="28" t="n">
        <v>3024049.038243025</v>
      </c>
      <c r="AB30" s="28" t="n">
        <v>4893336.759373558</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1447043.620798527</v>
      </c>
      <c r="P31" s="28" t="n">
        <v>1447043.620798527</v>
      </c>
      <c r="Q31" s="27" t="n">
        <v>0</v>
      </c>
      <c r="R31" s="27" t="n">
        <v>0</v>
      </c>
      <c r="S31" s="28" t="n">
        <v>0</v>
      </c>
      <c r="T31" s="27" t="n">
        <v>0</v>
      </c>
      <c r="U31" s="27" t="n">
        <v>3094170.509390316</v>
      </c>
      <c r="V31" s="27" t="n">
        <v>0</v>
      </c>
      <c r="W31" s="27" t="n">
        <v>0</v>
      </c>
      <c r="X31" s="27" t="n">
        <v>0</v>
      </c>
      <c r="Y31" s="27" t="n">
        <v>0</v>
      </c>
      <c r="Z31" s="27" t="n">
        <v>20000</v>
      </c>
      <c r="AA31" s="28" t="n">
        <v>3114170.509390316</v>
      </c>
      <c r="AB31" s="28" t="n">
        <v>4801932.030846246</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1326238.810247283</v>
      </c>
      <c r="P32" s="28" t="n">
        <v>1326238.810247283</v>
      </c>
      <c r="Q32" s="27" t="n">
        <v>0</v>
      </c>
      <c r="R32" s="27" t="n">
        <v>0</v>
      </c>
      <c r="S32" s="28" t="n">
        <v>0</v>
      </c>
      <c r="T32" s="27" t="n">
        <v>0</v>
      </c>
      <c r="U32" s="27" t="n">
        <v>3186995.624672025</v>
      </c>
      <c r="V32" s="27" t="n">
        <v>0</v>
      </c>
      <c r="W32" s="27" t="n">
        <v>0</v>
      </c>
      <c r="X32" s="27" t="n">
        <v>0</v>
      </c>
      <c r="Y32" s="27" t="n">
        <v>0</v>
      </c>
      <c r="Z32" s="27" t="n">
        <v>20000</v>
      </c>
      <c r="AA32" s="28" t="n">
        <v>3206995.624672025</v>
      </c>
      <c r="AB32" s="28" t="n">
        <v>4697028.976056012</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1194579.921878661</v>
      </c>
      <c r="P33" s="28" t="n">
        <v>1194579.921878661</v>
      </c>
      <c r="Q33" s="27" t="n">
        <v>0</v>
      </c>
      <c r="R33" s="27" t="n">
        <v>0</v>
      </c>
      <c r="S33" s="28" t="n">
        <v>0</v>
      </c>
      <c r="T33" s="27" t="n">
        <v>0</v>
      </c>
      <c r="U33" s="27" t="n">
        <v>3282605.493412186</v>
      </c>
      <c r="V33" s="27" t="n">
        <v>0</v>
      </c>
      <c r="W33" s="27" t="n">
        <v>0</v>
      </c>
      <c r="X33" s="27" t="n">
        <v>0</v>
      </c>
      <c r="Y33" s="27" t="n">
        <v>0</v>
      </c>
      <c r="Z33" s="27" t="n">
        <v>20000</v>
      </c>
      <c r="AA33" s="28" t="n">
        <v>3302605.493412186</v>
      </c>
      <c r="AB33" s="28" t="n">
        <v>4584854.059682235</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1194579.921878661</v>
      </c>
      <c r="D39" s="27" t="n">
        <v>832754.9008160807</v>
      </c>
      <c r="E39" s="29" t="n">
        <v>2.30154039201189</v>
      </c>
    </row>
    <row r="40" ht="15" customHeight="1">
      <c r="A40" s="12" t="inlineStr">
        <is>
          <t>Trusts</t>
        </is>
      </c>
      <c r="B40" s="27" t="n">
        <v>603016.5258102887</v>
      </c>
      <c r="C40" s="27" t="n">
        <v>0</v>
      </c>
      <c r="D40" s="27" t="n">
        <v>-603016.5258102887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5928977.585458326</v>
      </c>
      <c r="C43" s="30" t="n">
        <v>4584854.059682235</v>
      </c>
      <c r="D43" s="30" t="n">
        <v>-1344123.525776091</v>
      </c>
      <c r="E43" s="31" t="n">
        <v>-0.226704099720793</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71730.38861635074</v>
      </c>
      <c r="AP3" s="28" t="n">
        <v>356260.5086163507</v>
      </c>
      <c r="AQ3" s="27" t="n">
        <v>395058.63</v>
      </c>
      <c r="AR3" s="27" t="n">
        <v>10185.82581734</v>
      </c>
      <c r="AS3" s="27" t="n">
        <v>0</v>
      </c>
      <c r="AT3" s="28" t="n">
        <v>0</v>
      </c>
      <c r="AU3" s="28" t="n">
        <v>-48983.9472009893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48983.94720098929</v>
      </c>
      <c r="BO3" s="27" t="n">
        <v>5928977.585458326</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224998.0885639524</v>
      </c>
      <c r="P4" s="28" t="n">
        <v>273360</v>
      </c>
      <c r="Q4" s="27" t="n">
        <v>234220.32</v>
      </c>
      <c r="R4" s="27" t="n">
        <v>41328.9144</v>
      </c>
      <c r="S4" s="27" t="n">
        <v>2170.570616084357</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50033.65753566806</v>
      </c>
      <c r="AP4" s="28" t="n">
        <v>449291.6860160843</v>
      </c>
      <c r="AQ4" s="27" t="n">
        <v>95957.62</v>
      </c>
      <c r="AR4" s="27" t="n">
        <v>11685.91143604763</v>
      </c>
      <c r="AS4" s="27" t="n">
        <v>0</v>
      </c>
      <c r="AT4" s="28" t="n">
        <v>346015.1296210223</v>
      </c>
      <c r="AU4" s="28" t="n">
        <v>-4366.975040985679</v>
      </c>
      <c r="AV4" s="27" t="n">
        <v>150804.0369649756</v>
      </c>
      <c r="AW4" s="27" t="n">
        <v>195211.0821502052</v>
      </c>
      <c r="AX4" s="28" t="n">
        <v>346015.1191151808</v>
      </c>
      <c r="AY4" s="27" t="n">
        <v>0</v>
      </c>
      <c r="AZ4" s="27" t="n">
        <v>0</v>
      </c>
      <c r="BA4" s="27" t="n">
        <v>0</v>
      </c>
      <c r="BB4" s="28" t="n">
        <v>0</v>
      </c>
      <c r="BC4" s="27" t="n">
        <v>0</v>
      </c>
      <c r="BD4" s="27" t="n">
        <v>0.008903791390422477</v>
      </c>
      <c r="BE4" s="27" t="n">
        <v>0</v>
      </c>
      <c r="BF4" s="28" t="n">
        <v>0.008903791390422477</v>
      </c>
      <c r="BG4" s="27" t="n">
        <v>0</v>
      </c>
      <c r="BH4" s="27" t="n">
        <v>0.001602050162825499</v>
      </c>
      <c r="BI4" s="27" t="n">
        <v>224998.0885639524</v>
      </c>
      <c r="BJ4" s="28" t="n">
        <v>224998.0901660025</v>
      </c>
      <c r="BK4" s="27" t="n">
        <v>0</v>
      </c>
      <c r="BL4" s="28" t="n">
        <v>0</v>
      </c>
      <c r="BM4" s="28" t="n">
        <v>346015.1296210223</v>
      </c>
      <c r="BN4" s="27" t="n">
        <v>0</v>
      </c>
      <c r="BO4" s="27" t="n">
        <v>5815350.308540481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214071.7570796345</v>
      </c>
      <c r="P5" s="28" t="n">
        <v>278827.2</v>
      </c>
      <c r="Q5" s="27" t="n">
        <v>239324.7264</v>
      </c>
      <c r="R5" s="27" t="n">
        <v>42256.292688</v>
      </c>
      <c r="S5" s="27" t="n">
        <v>1615.283786283559</v>
      </c>
      <c r="T5" s="27" t="n">
        <v>1095.433600000001</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52931.23779046487</v>
      </c>
      <c r="AP5" s="28" t="n">
        <v>410512.8465517836</v>
      </c>
      <c r="AQ5" s="27" t="n">
        <v>118855.0672378694</v>
      </c>
      <c r="AR5" s="27" t="n">
        <v>5181.995682496136</v>
      </c>
      <c r="AS5" s="27" t="n">
        <v>0</v>
      </c>
      <c r="AT5" s="28" t="n">
        <v>297235.7840644229</v>
      </c>
      <c r="AU5" s="28" t="n">
        <v>-10760.00043300487</v>
      </c>
      <c r="AV5" s="27" t="n">
        <v>116338.7042973719</v>
      </c>
      <c r="AW5" s="27" t="n">
        <v>151102.3334469526</v>
      </c>
      <c r="AX5" s="28" t="n">
        <v>267441.0377443245</v>
      </c>
      <c r="AY5" s="27" t="n">
        <v>0</v>
      </c>
      <c r="AZ5" s="27" t="n">
        <v>0</v>
      </c>
      <c r="BA5" s="27" t="n">
        <v>0</v>
      </c>
      <c r="BB5" s="28" t="n">
        <v>0</v>
      </c>
      <c r="BC5" s="27" t="n">
        <v>0</v>
      </c>
      <c r="BD5" s="27" t="n">
        <v>28686.76729220174</v>
      </c>
      <c r="BE5" s="27" t="n">
        <v>0</v>
      </c>
      <c r="BF5" s="28" t="n">
        <v>28686.76729220174</v>
      </c>
      <c r="BG5" s="27" t="n">
        <v>0</v>
      </c>
      <c r="BH5" s="27" t="n">
        <v>1107.97902789665</v>
      </c>
      <c r="BI5" s="27" t="n">
        <v>214071.7570796345</v>
      </c>
      <c r="BJ5" s="28" t="n">
        <v>215179.7361075311</v>
      </c>
      <c r="BK5" s="27" t="n">
        <v>0</v>
      </c>
      <c r="BL5" s="28" t="n">
        <v>0</v>
      </c>
      <c r="BM5" s="28" t="n">
        <v>297235.7840644229</v>
      </c>
      <c r="BN5" s="27" t="n">
        <v>0</v>
      </c>
      <c r="BO5" s="27" t="n">
        <v>5753186.674732819</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242628.2269751293</v>
      </c>
      <c r="R6" s="27" t="n">
        <v>42745.49999307103</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46523.34641438743</v>
      </c>
      <c r="AP6" s="28" t="n">
        <v>365519.6248251812</v>
      </c>
      <c r="AQ6" s="27" t="n">
        <v>198024.6890029636</v>
      </c>
      <c r="AR6" s="27" t="n">
        <v>0</v>
      </c>
      <c r="AS6" s="27" t="n">
        <v>0</v>
      </c>
      <c r="AT6" s="28" t="n">
        <v>220388.0734502863</v>
      </c>
      <c r="AU6" s="28" t="n">
        <v>-52893.13762806871</v>
      </c>
      <c r="AV6" s="27" t="n">
        <v>0</v>
      </c>
      <c r="AW6" s="27" t="n">
        <v>0</v>
      </c>
      <c r="AX6" s="28" t="n">
        <v>0</v>
      </c>
      <c r="AY6" s="27" t="n">
        <v>0</v>
      </c>
      <c r="AZ6" s="27" t="n">
        <v>0</v>
      </c>
      <c r="BA6" s="27" t="n">
        <v>0</v>
      </c>
      <c r="BB6" s="28" t="n">
        <v>0</v>
      </c>
      <c r="BC6" s="27" t="n">
        <v>0</v>
      </c>
      <c r="BD6" s="27" t="n">
        <v>220388.0734502863</v>
      </c>
      <c r="BE6" s="27" t="n">
        <v>84811.71708081116</v>
      </c>
      <c r="BF6" s="28" t="n">
        <v>305199.7905310974</v>
      </c>
      <c r="BG6" s="27" t="n">
        <v>0</v>
      </c>
      <c r="BH6" s="27" t="n">
        <v>0</v>
      </c>
      <c r="BI6" s="27" t="n">
        <v>60848.95791622531</v>
      </c>
      <c r="BJ6" s="28" t="n">
        <v>60848.95791622531</v>
      </c>
      <c r="BK6" s="27" t="n">
        <v>0</v>
      </c>
      <c r="BL6" s="28" t="n">
        <v>0</v>
      </c>
      <c r="BM6" s="28" t="n">
        <v>220388.0734502863</v>
      </c>
      <c r="BN6" s="27" t="n">
        <v>0</v>
      </c>
      <c r="BO6" s="27" t="n">
        <v>5741017.757405721</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155296.7902390079</v>
      </c>
      <c r="P7" s="28" t="n">
        <v>287184.5138177453</v>
      </c>
      <c r="Q7" s="27" t="n">
        <v>250529.0311515052</v>
      </c>
      <c r="R7" s="27" t="n">
        <v>44331.98750578206</v>
      </c>
      <c r="S7" s="27" t="n">
        <v>1445.079983339725</v>
      </c>
      <c r="T7" s="27" t="n">
        <v>1109.354330644637</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49053.62181976642</v>
      </c>
      <c r="AP7" s="28" t="n">
        <v>374994.2817358095</v>
      </c>
      <c r="AQ7" s="27" t="n">
        <v>192667.8019535354</v>
      </c>
      <c r="AR7" s="27" t="n">
        <v>1408.846687456744</v>
      </c>
      <c r="AS7" s="27" t="n">
        <v>0</v>
      </c>
      <c r="AT7" s="28" t="n">
        <v>218667.0887177132</v>
      </c>
      <c r="AU7" s="28" t="n">
        <v>-37749.4556228958</v>
      </c>
      <c r="AV7" s="27" t="n">
        <v>66000</v>
      </c>
      <c r="AW7" s="27" t="n">
        <v>0</v>
      </c>
      <c r="AX7" s="28" t="n">
        <v>66000</v>
      </c>
      <c r="AY7" s="27" t="n">
        <v>0</v>
      </c>
      <c r="AZ7" s="27" t="n">
        <v>0</v>
      </c>
      <c r="BA7" s="27" t="n">
        <v>0</v>
      </c>
      <c r="BB7" s="28" t="n">
        <v>0</v>
      </c>
      <c r="BC7" s="27" t="n">
        <v>0</v>
      </c>
      <c r="BD7" s="27" t="n">
        <v>152667.0887177132</v>
      </c>
      <c r="BE7" s="27" t="n">
        <v>155296.7902390079</v>
      </c>
      <c r="BF7" s="28" t="n">
        <v>307963.878956721</v>
      </c>
      <c r="BG7" s="27" t="n">
        <v>0</v>
      </c>
      <c r="BH7" s="27" t="n">
        <v>0</v>
      </c>
      <c r="BI7" s="27" t="n">
        <v>0</v>
      </c>
      <c r="BJ7" s="28" t="n">
        <v>0</v>
      </c>
      <c r="BK7" s="27" t="n">
        <v>0</v>
      </c>
      <c r="BL7" s="28" t="n">
        <v>0</v>
      </c>
      <c r="BM7" s="28" t="n">
        <v>218667.0887177132</v>
      </c>
      <c r="BN7" s="27" t="n">
        <v>0</v>
      </c>
      <c r="BO7" s="27" t="n">
        <v>5646457.145132785</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8" t="n">
        <v>355618.5721351309</v>
      </c>
      <c r="AQ8" s="27" t="n">
        <v>237421.2676207162</v>
      </c>
      <c r="AR8" s="27" t="n">
        <v>0</v>
      </c>
      <c r="AS8" s="27" t="n">
        <v>0</v>
      </c>
      <c r="AT8" s="28" t="n">
        <v>152219.0369612194</v>
      </c>
      <c r="AU8" s="28" t="n">
        <v>-34021.73244680479</v>
      </c>
      <c r="AV8" s="27" t="n">
        <v>0</v>
      </c>
      <c r="AW8" s="27" t="n">
        <v>0</v>
      </c>
      <c r="AX8" s="28" t="n">
        <v>0</v>
      </c>
      <c r="AY8" s="27" t="n">
        <v>10461.81843286616</v>
      </c>
      <c r="AZ8" s="27" t="n">
        <v>0</v>
      </c>
      <c r="BA8" s="27" t="n">
        <v>0</v>
      </c>
      <c r="BB8" s="28" t="n">
        <v>0</v>
      </c>
      <c r="BC8" s="27" t="n">
        <v>0</v>
      </c>
      <c r="BD8" s="27" t="n">
        <v>141757.2185283533</v>
      </c>
      <c r="BE8" s="27" t="n">
        <v>125267.2076368838</v>
      </c>
      <c r="BF8" s="28" t="n">
        <v>267024.4261652371</v>
      </c>
      <c r="BG8" s="27" t="n">
        <v>0</v>
      </c>
      <c r="BH8" s="27" t="n">
        <v>0</v>
      </c>
      <c r="BI8" s="27" t="n">
        <v>0</v>
      </c>
      <c r="BJ8" s="28" t="n">
        <v>0</v>
      </c>
      <c r="BK8" s="27" t="n">
        <v>0</v>
      </c>
      <c r="BL8" s="28" t="n">
        <v>0</v>
      </c>
      <c r="BM8" s="28" t="n">
        <v>152219.0369612194</v>
      </c>
      <c r="BN8" s="27" t="n">
        <v>0</v>
      </c>
      <c r="BO8" s="27" t="n">
        <v>5618747.368983794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49023.42673617806</v>
      </c>
      <c r="AP9" s="28" t="n">
        <v>463970.6007659188</v>
      </c>
      <c r="AQ9" s="27" t="n">
        <v>265294.4802262721</v>
      </c>
      <c r="AR9" s="27" t="n">
        <v>0</v>
      </c>
      <c r="AS9" s="27" t="n">
        <v>0</v>
      </c>
      <c r="AT9" s="28" t="n">
        <v>257913.9920135863</v>
      </c>
      <c r="AU9" s="28" t="n">
        <v>-59237.87147393957</v>
      </c>
      <c r="AV9" s="27" t="n">
        <v>0</v>
      </c>
      <c r="AW9" s="27" t="n">
        <v>0</v>
      </c>
      <c r="AX9" s="28" t="n">
        <v>0</v>
      </c>
      <c r="AY9" s="27" t="n">
        <v>11089.52753883813</v>
      </c>
      <c r="AZ9" s="27" t="n">
        <v>0</v>
      </c>
      <c r="BA9" s="27" t="n">
        <v>0</v>
      </c>
      <c r="BB9" s="28" t="n">
        <v>0</v>
      </c>
      <c r="BC9" s="27" t="n">
        <v>0</v>
      </c>
      <c r="BD9" s="27" t="n">
        <v>246824.4644747482</v>
      </c>
      <c r="BE9" s="27" t="n">
        <v>108908.4900564799</v>
      </c>
      <c r="BF9" s="28" t="n">
        <v>355732.9545312282</v>
      </c>
      <c r="BG9" s="27" t="n">
        <v>0</v>
      </c>
      <c r="BH9" s="27" t="n">
        <v>0</v>
      </c>
      <c r="BI9" s="27" t="n">
        <v>0</v>
      </c>
      <c r="BJ9" s="28" t="n">
        <v>0</v>
      </c>
      <c r="BK9" s="27" t="n">
        <v>0</v>
      </c>
      <c r="BL9" s="28" t="n">
        <v>0</v>
      </c>
      <c r="BM9" s="28" t="n">
        <v>257913.9920135863</v>
      </c>
      <c r="BN9" s="27" t="n">
        <v>0</v>
      </c>
      <c r="BO9" s="27" t="n">
        <v>5479337.659179814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49851.05900828451</v>
      </c>
      <c r="AP10" s="28" t="n">
        <v>372928.7030651785</v>
      </c>
      <c r="AQ10" s="27" t="n">
        <v>264323.8309282422</v>
      </c>
      <c r="AR10" s="27" t="n">
        <v>0</v>
      </c>
      <c r="AS10" s="27" t="n">
        <v>0</v>
      </c>
      <c r="AT10" s="28" t="n">
        <v>139189.0741198104</v>
      </c>
      <c r="AU10" s="28" t="n">
        <v>-30584.20198287407</v>
      </c>
      <c r="AV10" s="27" t="n">
        <v>0</v>
      </c>
      <c r="AW10" s="27" t="n">
        <v>0</v>
      </c>
      <c r="AX10" s="28" t="n">
        <v>0</v>
      </c>
      <c r="AY10" s="27" t="n">
        <v>11754.89919116841</v>
      </c>
      <c r="AZ10" s="27" t="n">
        <v>0</v>
      </c>
      <c r="BA10" s="27" t="n">
        <v>0</v>
      </c>
      <c r="BB10" s="28" t="n">
        <v>0</v>
      </c>
      <c r="BC10" s="27" t="n">
        <v>0</v>
      </c>
      <c r="BD10" s="27" t="n">
        <v>127434.1749286419</v>
      </c>
      <c r="BE10" s="27" t="n">
        <v>116223.4463601649</v>
      </c>
      <c r="BF10" s="28" t="n">
        <v>243657.6212888068</v>
      </c>
      <c r="BG10" s="27" t="n">
        <v>0</v>
      </c>
      <c r="BH10" s="27" t="n">
        <v>0</v>
      </c>
      <c r="BI10" s="27" t="n">
        <v>0</v>
      </c>
      <c r="BJ10" s="28" t="n">
        <v>0</v>
      </c>
      <c r="BK10" s="27" t="n">
        <v>0</v>
      </c>
      <c r="BL10" s="28" t="n">
        <v>0</v>
      </c>
      <c r="BM10" s="28" t="n">
        <v>139189.0741198104</v>
      </c>
      <c r="BN10" s="27" t="n">
        <v>0</v>
      </c>
      <c r="BO10" s="27" t="n">
        <v>5467077.284250851</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50697.30652970363</v>
      </c>
      <c r="AP11" s="28" t="n">
        <v>382174.7044055656</v>
      </c>
      <c r="AQ11" s="27" t="n">
        <v>204049.9918138473</v>
      </c>
      <c r="AR11" s="27" t="n">
        <v>0</v>
      </c>
      <c r="AS11" s="27" t="n">
        <v>0</v>
      </c>
      <c r="AT11" s="28" t="n">
        <v>228878.474164853</v>
      </c>
      <c r="AU11" s="28" t="n">
        <v>-50753.76157313475</v>
      </c>
      <c r="AV11" s="27" t="n">
        <v>0</v>
      </c>
      <c r="AW11" s="27" t="n">
        <v>0</v>
      </c>
      <c r="AX11" s="28" t="n">
        <v>0</v>
      </c>
      <c r="AY11" s="27" t="n">
        <v>12460.19314263852</v>
      </c>
      <c r="AZ11" s="27" t="n">
        <v>2470.344180985163</v>
      </c>
      <c r="BA11" s="27" t="n">
        <v>2473.930286501231</v>
      </c>
      <c r="BB11" s="28" t="n">
        <v>4944.274467486393</v>
      </c>
      <c r="BC11" s="27" t="n">
        <v>0</v>
      </c>
      <c r="BD11" s="27" t="n">
        <v>211474.0065547281</v>
      </c>
      <c r="BE11" s="27" t="n">
        <v>123594.1810203279</v>
      </c>
      <c r="BF11" s="28" t="n">
        <v>335068.187575056</v>
      </c>
      <c r="BG11" s="27" t="n">
        <v>0</v>
      </c>
      <c r="BH11" s="27" t="n">
        <v>0</v>
      </c>
      <c r="BI11" s="27" t="n">
        <v>0</v>
      </c>
      <c r="BJ11" s="28" t="n">
        <v>0</v>
      </c>
      <c r="BK11" s="27" t="n">
        <v>0</v>
      </c>
      <c r="BL11" s="28" t="n">
        <v>0</v>
      </c>
      <c r="BM11" s="28" t="n">
        <v>228878.474164853</v>
      </c>
      <c r="BN11" s="27" t="n">
        <v>0</v>
      </c>
      <c r="BO11" s="27" t="n">
        <v>5419605.829076955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8" t="n">
        <v>327687.712153961</v>
      </c>
      <c r="AQ12" s="27" t="n">
        <v>208551.2972013312</v>
      </c>
      <c r="AR12" s="27" t="n">
        <v>0</v>
      </c>
      <c r="AS12" s="27" t="n">
        <v>0</v>
      </c>
      <c r="AT12" s="28" t="n">
        <v>119136.4149526297</v>
      </c>
      <c r="AU12" s="28" t="n">
        <v>1.455191522836685e-11</v>
      </c>
      <c r="AV12" s="27" t="n">
        <v>0</v>
      </c>
      <c r="AW12" s="27" t="n">
        <v>0</v>
      </c>
      <c r="AX12" s="28" t="n">
        <v>0</v>
      </c>
      <c r="AY12" s="27" t="n">
        <v>13207.80473119683</v>
      </c>
      <c r="AZ12" s="27" t="n">
        <v>52925.88985121553</v>
      </c>
      <c r="BA12" s="27" t="n">
        <v>53002.72037021735</v>
      </c>
      <c r="BB12" s="28" t="n">
        <v>105928.6102214329</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5479425.12700064</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25173.98303035425</v>
      </c>
      <c r="AP13" s="28" t="n">
        <v>338300.7746482049</v>
      </c>
      <c r="AQ13" s="27" t="n">
        <v>218283.1996170003</v>
      </c>
      <c r="AR13" s="27" t="n">
        <v>0</v>
      </c>
      <c r="AS13" s="27" t="n">
        <v>0</v>
      </c>
      <c r="AT13" s="28" t="n">
        <v>120017.5750312046</v>
      </c>
      <c r="AU13" s="28" t="n">
        <v>0</v>
      </c>
      <c r="AV13" s="27" t="n">
        <v>0</v>
      </c>
      <c r="AW13" s="27" t="n">
        <v>0</v>
      </c>
      <c r="AX13" s="28" t="n">
        <v>0</v>
      </c>
      <c r="AY13" s="27" t="n">
        <v>14000.27301506864</v>
      </c>
      <c r="AZ13" s="27" t="n">
        <v>52970.20358427923</v>
      </c>
      <c r="BA13" s="27" t="n">
        <v>53047.09843185672</v>
      </c>
      <c r="BB13" s="28" t="n">
        <v>106017.3020161359</v>
      </c>
      <c r="BC13" s="27" t="n">
        <v>0</v>
      </c>
      <c r="BD13" s="27" t="n">
        <v>0</v>
      </c>
      <c r="BE13" s="27" t="n">
        <v>0</v>
      </c>
      <c r="BF13" s="28" t="n">
        <v>0</v>
      </c>
      <c r="BG13" s="27" t="n">
        <v>0</v>
      </c>
      <c r="BH13" s="27" t="n">
        <v>0</v>
      </c>
      <c r="BI13" s="27" t="n">
        <v>0</v>
      </c>
      <c r="BJ13" s="28" t="n">
        <v>0</v>
      </c>
      <c r="BK13" s="27" t="n">
        <v>0</v>
      </c>
      <c r="BL13" s="28" t="n">
        <v>0</v>
      </c>
      <c r="BM13" s="28" t="n">
        <v>120017.5750312046</v>
      </c>
      <c r="BN13" s="27" t="n">
        <v>0</v>
      </c>
      <c r="BO13" s="27" t="n">
        <v>5504083.98236572</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8" t="n">
        <v>345033.9010262659</v>
      </c>
      <c r="AQ14" s="27" t="n">
        <v>218848.0055933741</v>
      </c>
      <c r="AR14" s="27" t="n">
        <v>0</v>
      </c>
      <c r="AS14" s="27" t="n">
        <v>0</v>
      </c>
      <c r="AT14" s="28" t="n">
        <v>126185.8954328918</v>
      </c>
      <c r="AU14" s="28" t="n">
        <v>0</v>
      </c>
      <c r="AV14" s="27" t="n">
        <v>0</v>
      </c>
      <c r="AW14" s="27" t="n">
        <v>0</v>
      </c>
      <c r="AX14" s="28" t="n">
        <v>0</v>
      </c>
      <c r="AY14" s="27" t="n">
        <v>14840.28939597276</v>
      </c>
      <c r="AZ14" s="27" t="n">
        <v>55632.42327269253</v>
      </c>
      <c r="BA14" s="27" t="n">
        <v>55713.18276422656</v>
      </c>
      <c r="BB14" s="28" t="n">
        <v>111345.6060369191</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5513746.291250715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8" t="n">
        <v>354266.1489529979</v>
      </c>
      <c r="AQ15" s="27" t="n">
        <v>219541.179726957</v>
      </c>
      <c r="AR15" s="27" t="n">
        <v>0</v>
      </c>
      <c r="AS15" s="27" t="n">
        <v>0</v>
      </c>
      <c r="AT15" s="28" t="n">
        <v>134724.9692260409</v>
      </c>
      <c r="AU15" s="28" t="n">
        <v>0</v>
      </c>
      <c r="AV15" s="27" t="n">
        <v>0</v>
      </c>
      <c r="AW15" s="27" t="n">
        <v>0</v>
      </c>
      <c r="AX15" s="28" t="n">
        <v>0</v>
      </c>
      <c r="AY15" s="27" t="n">
        <v>15730.70675973113</v>
      </c>
      <c r="AZ15" s="27" t="n">
        <v>59453.9776841542</v>
      </c>
      <c r="BA15" s="27" t="n">
        <v>59540.28478215553</v>
      </c>
      <c r="BB15" s="28" t="n">
        <v>118994.2624663097</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5514708.066605354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8" t="n">
        <v>363847.4353607812</v>
      </c>
      <c r="AQ16" s="27" t="n">
        <v>220385.1979228624</v>
      </c>
      <c r="AR16" s="27" t="n">
        <v>0</v>
      </c>
      <c r="AS16" s="27" t="n">
        <v>0</v>
      </c>
      <c r="AT16" s="28" t="n">
        <v>143462.2374379188</v>
      </c>
      <c r="AU16" s="28" t="n">
        <v>0</v>
      </c>
      <c r="AV16" s="27" t="n">
        <v>0</v>
      </c>
      <c r="AW16" s="27" t="n">
        <v>0</v>
      </c>
      <c r="AX16" s="28" t="n">
        <v>0</v>
      </c>
      <c r="AY16" s="27" t="n">
        <v>16674.54916531499</v>
      </c>
      <c r="AZ16" s="27" t="n">
        <v>63347.86428311276</v>
      </c>
      <c r="BA16" s="27" t="n">
        <v>63439.82398949109</v>
      </c>
      <c r="BB16" s="28" t="n">
        <v>126787.6882726038</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5506092.159405518</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8" t="n">
        <v>373789.133376211</v>
      </c>
      <c r="AQ17" s="27" t="n">
        <v>221373.831242794</v>
      </c>
      <c r="AR17" s="27" t="n">
        <v>0</v>
      </c>
      <c r="AS17" s="27" t="n">
        <v>0</v>
      </c>
      <c r="AT17" s="28" t="n">
        <v>152415.302133417</v>
      </c>
      <c r="AU17" s="28" t="n">
        <v>0</v>
      </c>
      <c r="AV17" s="27" t="n">
        <v>0</v>
      </c>
      <c r="AW17" s="27" t="n">
        <v>0</v>
      </c>
      <c r="AX17" s="28" t="n">
        <v>0</v>
      </c>
      <c r="AY17" s="27" t="n">
        <v>17675.02211523389</v>
      </c>
      <c r="AZ17" s="27" t="n">
        <v>67321.27612981187</v>
      </c>
      <c r="BA17" s="27" t="n">
        <v>67419.00388837124</v>
      </c>
      <c r="BB17" s="28" t="n">
        <v>134740.2800181831</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5486925.639099048</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8" t="n">
        <v>378657.7555375644</v>
      </c>
      <c r="AQ18" s="27" t="n">
        <v>222501.2466663256</v>
      </c>
      <c r="AR18" s="27" t="n">
        <v>0</v>
      </c>
      <c r="AS18" s="27" t="n">
        <v>0</v>
      </c>
      <c r="AT18" s="28" t="n">
        <v>156156.5088712388</v>
      </c>
      <c r="AU18" s="28" t="n">
        <v>0</v>
      </c>
      <c r="AV18" s="27" t="n">
        <v>0</v>
      </c>
      <c r="AW18" s="27" t="n">
        <v>0</v>
      </c>
      <c r="AX18" s="28" t="n">
        <v>0</v>
      </c>
      <c r="AY18" s="27" t="n">
        <v>0</v>
      </c>
      <c r="AZ18" s="27" t="n">
        <v>78021.62391060346</v>
      </c>
      <c r="BA18" s="27" t="n">
        <v>78134.8849606353</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0</v>
      </c>
      <c r="BO18" s="27" t="n">
        <v>5461936.417624128</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0</v>
      </c>
      <c r="AS19" s="27" t="n">
        <v>0</v>
      </c>
      <c r="AT19" s="28" t="n">
        <v>160013.4437032918</v>
      </c>
      <c r="AU19" s="28" t="n">
        <v>2.91038304567337e-11</v>
      </c>
      <c r="AV19" s="27" t="n">
        <v>0</v>
      </c>
      <c r="AW19" s="27" t="n">
        <v>0</v>
      </c>
      <c r="AX19" s="28" t="n">
        <v>0</v>
      </c>
      <c r="AY19" s="27" t="n">
        <v>0</v>
      </c>
      <c r="AZ19" s="27" t="n">
        <v>79948.69260014672</v>
      </c>
      <c r="BA19" s="27" t="n">
        <v>80064.75110314507</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5430494.296238394</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0</v>
      </c>
      <c r="AS20" s="27" t="n">
        <v>0</v>
      </c>
      <c r="AT20" s="28" t="n">
        <v>164001.2595526302</v>
      </c>
      <c r="AU20" s="28" t="n">
        <v>0</v>
      </c>
      <c r="AV20" s="27" t="n">
        <v>0</v>
      </c>
      <c r="AW20" s="27" t="n">
        <v>0</v>
      </c>
      <c r="AX20" s="28" t="n">
        <v>0</v>
      </c>
      <c r="AY20" s="27" t="n">
        <v>0</v>
      </c>
      <c r="AZ20" s="27" t="n">
        <v>81941.15433402412</v>
      </c>
      <c r="BA20" s="27" t="n">
        <v>82060.10521860614</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5391920.228223524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84006.74147721245</v>
      </c>
      <c r="BA21" s="27" t="n">
        <v>84128.69089677802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5345482.633821354</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2.91038304567337e-11</v>
      </c>
      <c r="AV22" s="27" t="n">
        <v>0</v>
      </c>
      <c r="AW22" s="27" t="n">
        <v>0</v>
      </c>
      <c r="AX22" s="28" t="n">
        <v>0</v>
      </c>
      <c r="AY22" s="27" t="n">
        <v>0</v>
      </c>
      <c r="AZ22" s="27" t="n">
        <v>86153.37002581712</v>
      </c>
      <c r="BA22" s="27" t="n">
        <v>86278.43562511924</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5290393.463916695</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67921.31308746233</v>
      </c>
      <c r="BA23" s="27" t="n">
        <v>68019.91189705185</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5269227.330955615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73649.26888642981</v>
      </c>
      <c r="BA24" s="27" t="n">
        <v>73756.18275350993</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5233050.534539553</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84981.03769832141</v>
      </c>
      <c r="BA25" s="27" t="n">
        <v>85104.40146698037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5179538.459849194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86511.39989687786</v>
      </c>
      <c r="BA26" s="27" t="n">
        <v>86636.98523464613</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5142503.582461203</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88168.30037518051</v>
      </c>
      <c r="BA27" s="27" t="n">
        <v>88296.29097290832</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5096310.830787915</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89960.59008194905</v>
      </c>
      <c r="BA28" s="27" t="n">
        <v>90091.18247907524</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5040037.611211098</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91884.67906506399</v>
      </c>
      <c r="BA29" s="27" t="n">
        <v>92018.06458962918</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4972714.506978899</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93913.66383659396</v>
      </c>
      <c r="BA30" s="27" t="n">
        <v>94049.99476185968</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4893336.759373558</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2.91038304567337e-11</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4801932.030846246</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4697028.976056012</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4584854.059682235</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2026-07-01</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262813.1588045288</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603016.5258102887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5928977.585458327</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0</v>
      </c>
      <c r="J3" s="27" t="n">
        <v>9180</v>
      </c>
      <c r="K3" s="27" t="n">
        <v>2725.2</v>
      </c>
      <c r="L3" s="27" t="n">
        <v>71730.38861635074</v>
      </c>
      <c r="M3" s="29" t="n">
        <v>0.2226250279560506</v>
      </c>
      <c r="N3" s="29" t="n">
        <v>0.24</v>
      </c>
    </row>
    <row r="4" ht="15" customHeight="1">
      <c r="A4" s="26" t="n">
        <v>2027</v>
      </c>
      <c r="B4" s="40" t="n">
        <v>65</v>
      </c>
      <c r="C4" s="40" t="n">
        <v>66</v>
      </c>
      <c r="D4" s="41" t="inlineStr">
        <is>
          <t>MFJ</t>
        </is>
      </c>
      <c r="E4" s="27" t="n">
        <v>273360</v>
      </c>
      <c r="F4" s="27" t="n">
        <v>234220.32</v>
      </c>
      <c r="G4" s="27" t="n">
        <v>41328.9144</v>
      </c>
      <c r="H4" s="27" t="n">
        <v>2170.570616084357</v>
      </c>
      <c r="I4" s="27" t="n">
        <v>887.6799999999999</v>
      </c>
      <c r="J4" s="27" t="n">
        <v>0</v>
      </c>
      <c r="K4" s="27" t="n">
        <v>2167.2</v>
      </c>
      <c r="L4" s="27" t="n">
        <v>50033.65753566806</v>
      </c>
      <c r="M4" s="29" t="n">
        <v>0.1830321098027073</v>
      </c>
      <c r="N4" s="29" t="n">
        <v>0.24</v>
      </c>
    </row>
    <row r="5" ht="15" customHeight="1">
      <c r="A5" s="26" t="n">
        <v>2028</v>
      </c>
      <c r="B5" s="40" t="n">
        <v>66</v>
      </c>
      <c r="C5" s="40" t="n">
        <v>67</v>
      </c>
      <c r="D5" s="41" t="inlineStr">
        <is>
          <t>MFJ</t>
        </is>
      </c>
      <c r="E5" s="27" t="n">
        <v>278827.2</v>
      </c>
      <c r="F5" s="27" t="n">
        <v>239324.7264</v>
      </c>
      <c r="G5" s="27" t="n">
        <v>42256.292688</v>
      </c>
      <c r="H5" s="27" t="n">
        <v>1615.283786283559</v>
      </c>
      <c r="I5" s="27" t="n">
        <v>1095.433600000001</v>
      </c>
      <c r="J5" s="27" t="n">
        <v>0</v>
      </c>
      <c r="K5" s="27" t="n">
        <v>5450.4</v>
      </c>
      <c r="L5" s="27" t="n">
        <v>52931.23779046487</v>
      </c>
      <c r="M5" s="29" t="n">
        <v>0.1898352735689519</v>
      </c>
      <c r="N5" s="29" t="n">
        <v>0.24</v>
      </c>
    </row>
    <row r="6" ht="15" customHeight="1">
      <c r="A6" s="26" t="n">
        <v>2029</v>
      </c>
      <c r="B6" s="40" t="n">
        <v>67</v>
      </c>
      <c r="C6" s="40" t="n">
        <v>68</v>
      </c>
      <c r="D6" s="41" t="inlineStr">
        <is>
          <t>MFJ</t>
        </is>
      </c>
      <c r="E6" s="27" t="n">
        <v>281484.7492599302</v>
      </c>
      <c r="F6" s="27" t="n">
        <v>242628.2269751293</v>
      </c>
      <c r="G6" s="27" t="n">
        <v>42745.49999307103</v>
      </c>
      <c r="H6" s="27" t="n">
        <v>1610.646421316397</v>
      </c>
      <c r="I6" s="27" t="n">
        <v>0</v>
      </c>
      <c r="J6" s="27" t="n">
        <v>0</v>
      </c>
      <c r="K6" s="27" t="n">
        <v>2167.2</v>
      </c>
      <c r="L6" s="27" t="n">
        <v>46523.34641438743</v>
      </c>
      <c r="M6" s="29" t="n">
        <v>0.1652783908780315</v>
      </c>
      <c r="N6" s="29" t="n">
        <v>0.24</v>
      </c>
    </row>
    <row r="7" ht="15" customHeight="1">
      <c r="A7" s="26" t="n">
        <v>2030</v>
      </c>
      <c r="B7" s="40" t="n">
        <v>68</v>
      </c>
      <c r="C7" s="40" t="n">
        <v>69</v>
      </c>
      <c r="D7" s="41" t="inlineStr">
        <is>
          <t>MFJ</t>
        </is>
      </c>
      <c r="E7" s="27" t="n">
        <v>287184.5138177453</v>
      </c>
      <c r="F7" s="27" t="n">
        <v>250529.0311515052</v>
      </c>
      <c r="G7" s="27" t="n">
        <v>44331.98750578206</v>
      </c>
      <c r="H7" s="27" t="n">
        <v>1445.079983339725</v>
      </c>
      <c r="I7" s="27" t="n">
        <v>1109.354330644637</v>
      </c>
      <c r="J7" s="27" t="n">
        <v>0</v>
      </c>
      <c r="K7" s="27" t="n">
        <v>2167.2</v>
      </c>
      <c r="L7" s="27" t="n">
        <v>49053.62181976642</v>
      </c>
      <c r="M7" s="29" t="n">
        <v>0.1708087290907933</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793006.7212638899</v>
      </c>
    </row>
    <row r="36" ht="30" customHeight="1">
      <c r="A36" s="35" t="inlineStr">
        <is>
          <t>Lifetime State Tax (Il)</t>
        </is>
      </c>
      <c r="B36" s="3" t="n"/>
      <c r="C36" s="3" t="n"/>
      <c r="D36" s="3" t="n"/>
      <c r="E36" s="3" t="n"/>
      <c r="F36" s="4" t="n"/>
      <c r="G36" s="42" t="n">
        <v>35338.49916662707</v>
      </c>
    </row>
    <row r="37" ht="30" customHeight="1">
      <c r="A37" s="35" t="inlineStr">
        <is>
          <t>Lifetime NIIT</t>
        </is>
      </c>
      <c r="B37" s="3" t="n"/>
      <c r="C37" s="3" t="n"/>
      <c r="D37" s="3" t="n"/>
      <c r="E37" s="3" t="n"/>
      <c r="F37" s="4" t="n"/>
      <c r="G37" s="42" t="n">
        <v>3092.467930644638</v>
      </c>
    </row>
    <row r="38" ht="30" customHeight="1">
      <c r="A38" s="35" t="inlineStr">
        <is>
          <t>Lifetime Total Tax</t>
        </is>
      </c>
      <c r="B38" s="3" t="n"/>
      <c r="C38" s="3" t="n"/>
      <c r="D38" s="3" t="n"/>
      <c r="E38" s="3" t="n"/>
      <c r="F38" s="4" t="n"/>
      <c r="G38" s="42" t="n">
        <v>874291.2085969265</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(182 days elapsed)</t>
        </is>
      </c>
    </row>
    <row r="2" ht="36" customHeight="1">
      <c r="A2" s="44" t="inlineStr">
        <is>
          <t>Model core spending assumption (annual)</t>
        </is>
      </c>
      <c r="B2" s="45" t="n">
        <v>154158</v>
      </c>
    </row>
    <row r="3" ht="30" customHeight="1">
      <c r="A3" s="44" t="inlineStr">
        <is>
          <t>YTD core spending — actual (182 days)</t>
        </is>
      </c>
      <c r="B3" s="46" t="n">
        <v>78558.53</v>
      </c>
    </row>
    <row r="4" ht="15" customHeight="1">
      <c r="A4" s="44" t="inlineStr">
        <is>
          <t>Annualized at current pace</t>
        </is>
      </c>
      <c r="B4" s="46" t="n">
        <v>157548.7</v>
      </c>
    </row>
    <row r="5" ht="30" customHeight="1">
      <c r="A5" s="44" t="inlineStr">
        <is>
          <t>Annualized vs model (102%  OVER budget)</t>
        </is>
      </c>
      <c r="B5" s="47" t="n">
        <v>3390.700000000012</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6456.85</v>
      </c>
      <c r="D8" s="50" t="n">
        <v>0.04098320067852593</v>
      </c>
      <c r="E8" s="49" t="n">
        <v>5241.37</v>
      </c>
    </row>
    <row r="9" hidden="1" outlineLevel="1" ht="15" customHeight="1">
      <c r="A9" s="12" t="inlineStr">
        <is>
          <t xml:space="preserve">    Auto Insurance</t>
        </is>
      </c>
      <c r="B9" s="27" t="n">
        <v>1164</v>
      </c>
      <c r="C9" s="27" t="n">
        <v>2334.4</v>
      </c>
      <c r="D9" s="29" t="n">
        <v>0.01481697786351145</v>
      </c>
      <c r="E9" s="33" t="inlineStr"/>
    </row>
    <row r="10" hidden="1" outlineLevel="1" ht="15" customHeight="1">
      <c r="A10" s="12" t="inlineStr">
        <is>
          <t xml:space="preserve">    Taxi &amp; Ride Shares</t>
        </is>
      </c>
      <c r="B10" s="27" t="n">
        <v>628.74</v>
      </c>
      <c r="C10" s="27" t="n">
        <v>1260.94</v>
      </c>
      <c r="D10" s="29" t="n">
        <v>0.008003459331532807</v>
      </c>
      <c r="E10" s="33" t="inlineStr"/>
    </row>
    <row r="11" hidden="1" outlineLevel="1" ht="15" customHeight="1">
      <c r="A11" s="12" t="inlineStr">
        <is>
          <t xml:space="preserve">    Auto Fuel</t>
        </is>
      </c>
      <c r="B11" s="27" t="n">
        <v>575.6799999999999</v>
      </c>
      <c r="C11" s="27" t="n">
        <v>1154.53</v>
      </c>
      <c r="D11" s="29" t="n">
        <v>0.007328039361225318</v>
      </c>
      <c r="E11" s="33" t="inlineStr"/>
    </row>
    <row r="12" hidden="1" outlineLevel="1" ht="15" customHeight="1">
      <c r="A12" s="12" t="inlineStr">
        <is>
          <t xml:space="preserve">    Auto Maintenance</t>
        </is>
      </c>
      <c r="B12" s="27" t="n">
        <v>405.86</v>
      </c>
      <c r="C12" s="27" t="n">
        <v>813.95</v>
      </c>
      <c r="D12" s="29" t="n">
        <v>0.005166339034093434</v>
      </c>
      <c r="E12" s="33" t="inlineStr"/>
    </row>
    <row r="13" hidden="1" outlineLevel="1" ht="15" customHeight="1">
      <c r="A13" s="12" t="inlineStr">
        <is>
          <t xml:space="preserve">    Parking &amp; Tolls</t>
        </is>
      </c>
      <c r="B13" s="27" t="n">
        <v>269.8</v>
      </c>
      <c r="C13" s="27" t="n">
        <v>541.08</v>
      </c>
      <c r="D13" s="29" t="n">
        <v>0.003434381982453083</v>
      </c>
      <c r="E13" s="33" t="inlineStr"/>
    </row>
    <row r="14" hidden="1" outlineLevel="1" ht="15" customHeight="1">
      <c r="A14" s="12" t="inlineStr">
        <is>
          <t xml:space="preserve">    Car Wash</t>
        </is>
      </c>
      <c r="B14" s="27" t="n">
        <v>170</v>
      </c>
      <c r="C14" s="27" t="n">
        <v>340.94</v>
      </c>
      <c r="D14" s="29" t="n">
        <v>0.002163991612368511</v>
      </c>
      <c r="E14" s="33" t="inlineStr"/>
    </row>
    <row r="15" hidden="1" outlineLevel="1" ht="15" customHeight="1">
      <c r="A15" s="12" t="inlineStr">
        <is>
          <t xml:space="preserve">    Public Transit</t>
        </is>
      </c>
      <c r="B15" s="27" t="n">
        <v>5.5</v>
      </c>
      <c r="C15" s="27" t="n">
        <v>11.03</v>
      </c>
      <c r="D15" s="29" t="n">
        <v>7.001149334133417e-05</v>
      </c>
      <c r="E15" s="33" t="inlineStr"/>
    </row>
    <row r="16" ht="45" customHeight="1">
      <c r="A16" s="48" t="inlineStr">
        <is>
          <t>Business</t>
        </is>
      </c>
      <c r="B16" s="49" t="n">
        <v>4046.79</v>
      </c>
      <c r="C16" s="49" t="n">
        <v>8115.82</v>
      </c>
      <c r="D16" s="50" t="n">
        <v>0.05151305657068685</v>
      </c>
      <c r="E16" s="51" t="inlineStr"/>
    </row>
    <row r="17" hidden="1" outlineLevel="1" ht="15" customHeight="1">
      <c r="A17" s="12" t="inlineStr">
        <is>
          <t xml:space="preserve">    Business Services</t>
        </is>
      </c>
      <c r="B17" s="27" t="n">
        <v>1577.94</v>
      </c>
      <c r="C17" s="27" t="n">
        <v>3164.56</v>
      </c>
      <c r="D17" s="29" t="n">
        <v>0.02008617014600451</v>
      </c>
      <c r="E17" s="33" t="inlineStr"/>
    </row>
    <row r="18" hidden="1" outlineLevel="1" ht="15" customHeight="1">
      <c r="A18" s="12" t="inlineStr">
        <is>
          <t xml:space="preserve">    Business Memberships</t>
        </is>
      </c>
      <c r="B18" s="27" t="n">
        <v>1004.85</v>
      </c>
      <c r="C18" s="27" t="n">
        <v>2015.23</v>
      </c>
      <c r="D18" s="29" t="n">
        <v>0.01279109983346175</v>
      </c>
      <c r="E18" s="33" t="inlineStr"/>
    </row>
    <row r="19" hidden="1" outlineLevel="1" ht="15" customHeight="1">
      <c r="A19" s="12" t="inlineStr">
        <is>
          <t xml:space="preserve">    Business Travel &amp; Meals</t>
        </is>
      </c>
      <c r="B19" s="27" t="n">
        <v>800.37</v>
      </c>
      <c r="C19" s="27" t="n">
        <v>1605.14</v>
      </c>
      <c r="D19" s="29" t="n">
        <v>0.0101881998046552</v>
      </c>
      <c r="E19" s="33" t="inlineStr"/>
    </row>
    <row r="20" hidden="1" outlineLevel="1" ht="15" customHeight="1">
      <c r="A20" s="12" t="inlineStr">
        <is>
          <t xml:space="preserve">    Business Events</t>
        </is>
      </c>
      <c r="B20" s="27" t="n">
        <v>301.73</v>
      </c>
      <c r="C20" s="27" t="n">
        <v>605.12</v>
      </c>
      <c r="D20" s="29" t="n">
        <v>0.003840830524705592</v>
      </c>
      <c r="E20" s="33" t="inlineStr"/>
    </row>
    <row r="21" hidden="1" outlineLevel="1" ht="30" customHeight="1">
      <c r="A21" s="12" t="inlineStr">
        <is>
          <t xml:space="preserve">    Business Hardware and Software</t>
        </is>
      </c>
      <c r="B21" s="27" t="n">
        <v>162.01</v>
      </c>
      <c r="C21" s="27" t="n">
        <v>324.91</v>
      </c>
      <c r="D21" s="29" t="n">
        <v>0.002062284006587191</v>
      </c>
      <c r="E21" s="33" t="inlineStr"/>
    </row>
    <row r="22" hidden="1" outlineLevel="1" ht="15" customHeight="1">
      <c r="A22" s="12" t="inlineStr">
        <is>
          <t xml:space="preserve">    Business Auto Expenses</t>
        </is>
      </c>
      <c r="B22" s="27" t="n">
        <v>99.73999999999999</v>
      </c>
      <c r="C22" s="27" t="n">
        <v>200.03</v>
      </c>
      <c r="D22" s="29" t="n">
        <v>0.001269626608339031</v>
      </c>
      <c r="E22" s="33" t="inlineStr"/>
    </row>
    <row r="23" hidden="1" outlineLevel="1" ht="30" customHeight="1">
      <c r="A23" s="12" t="inlineStr">
        <is>
          <t xml:space="preserve">    Office Supplies &amp; Expenses</t>
        </is>
      </c>
      <c r="B23" s="27" t="n">
        <v>75.70999999999999</v>
      </c>
      <c r="C23" s="27" t="n">
        <v>151.84</v>
      </c>
      <c r="D23" s="29" t="n">
        <v>0.0009637400292495289</v>
      </c>
      <c r="E23" s="33" t="inlineStr"/>
    </row>
    <row r="24" hidden="1" outlineLevel="1" ht="15" customHeight="1">
      <c r="A24" s="12" t="inlineStr">
        <is>
          <t xml:space="preserve">    Business Taxi - Uber</t>
        </is>
      </c>
      <c r="B24" s="27" t="n">
        <v>24.44</v>
      </c>
      <c r="C24" s="27" t="n">
        <v>49.01</v>
      </c>
      <c r="D24" s="29" t="n">
        <v>0.0003111056176840376</v>
      </c>
      <c r="E24" s="33" t="inlineStr"/>
    </row>
    <row r="25" ht="45" customHeight="1">
      <c r="A25" s="48" t="inlineStr">
        <is>
          <t>Financial</t>
        </is>
      </c>
      <c r="B25" s="49" t="n">
        <v>1958.74</v>
      </c>
      <c r="C25" s="49" t="n">
        <v>3928.24</v>
      </c>
      <c r="D25" s="50" t="n">
        <v>0.02493351135770998</v>
      </c>
      <c r="E25" s="49" t="n">
        <v>3853.95</v>
      </c>
    </row>
    <row r="26" hidden="1" outlineLevel="1" ht="15" customHeight="1">
      <c r="A26" s="12" t="inlineStr">
        <is>
          <t xml:space="preserve">    Cash &amp; ATM</t>
        </is>
      </c>
      <c r="B26" s="27" t="n">
        <v>1116.26</v>
      </c>
      <c r="C26" s="27" t="n">
        <v>2238.66</v>
      </c>
      <c r="D26" s="29" t="n">
        <v>0.01420927810130867</v>
      </c>
      <c r="E26" s="33" t="inlineStr"/>
    </row>
    <row r="27" hidden="1" outlineLevel="1" ht="30" customHeight="1">
      <c r="A27" s="12" t="inlineStr">
        <is>
          <t xml:space="preserve">    Financial &amp; Legal Services</t>
        </is>
      </c>
      <c r="B27" s="27" t="n">
        <v>749.99</v>
      </c>
      <c r="C27" s="27" t="n">
        <v>1504.1</v>
      </c>
      <c r="D27" s="29" t="n">
        <v>0.009546894525648584</v>
      </c>
      <c r="E27" s="33" t="inlineStr"/>
    </row>
    <row r="28" hidden="1" outlineLevel="1" ht="15" customHeight="1">
      <c r="A28" s="12" t="inlineStr">
        <is>
          <t xml:space="preserve">    Financial Fees</t>
        </is>
      </c>
      <c r="B28" s="27" t="n">
        <v>92.48999999999999</v>
      </c>
      <c r="C28" s="27" t="n">
        <v>185.49</v>
      </c>
      <c r="D28" s="29" t="n">
        <v>0.001177338730752727</v>
      </c>
      <c r="E28" s="33" t="inlineStr"/>
    </row>
    <row r="29" ht="45" customHeight="1">
      <c r="A29" s="48" t="inlineStr">
        <is>
          <t>Food &amp; Dining</t>
        </is>
      </c>
      <c r="B29" s="49" t="n">
        <v>16116.37</v>
      </c>
      <c r="C29" s="49" t="n">
        <v>32321.29</v>
      </c>
      <c r="D29" s="50" t="n">
        <v>0.2051511147166323</v>
      </c>
      <c r="E29" s="49" t="n">
        <v>25744.39</v>
      </c>
    </row>
    <row r="30" hidden="1" outlineLevel="1" ht="15" customHeight="1">
      <c r="A30" s="12" t="inlineStr">
        <is>
          <t xml:space="preserve">    Restaurants &amp; Bars</t>
        </is>
      </c>
      <c r="B30" s="27" t="n">
        <v>7857.88</v>
      </c>
      <c r="C30" s="27" t="n">
        <v>15758.98</v>
      </c>
      <c r="D30" s="29" t="n">
        <v>0.1000258024176369</v>
      </c>
      <c r="E30" s="33" t="inlineStr"/>
    </row>
    <row r="31" hidden="1" outlineLevel="1" ht="15" customHeight="1">
      <c r="A31" s="12" t="inlineStr">
        <is>
          <t xml:space="preserve">    Groceries</t>
        </is>
      </c>
      <c r="B31" s="27" t="n">
        <v>7175.5</v>
      </c>
      <c r="C31" s="27" t="n">
        <v>14390.47</v>
      </c>
      <c r="D31" s="29" t="n">
        <v>0.09133954008558968</v>
      </c>
      <c r="E31" s="33" t="inlineStr"/>
    </row>
    <row r="32" hidden="1" outlineLevel="1" ht="15" customHeight="1">
      <c r="A32" s="12" t="inlineStr">
        <is>
          <t xml:space="preserve">    Fast Food</t>
        </is>
      </c>
      <c r="B32" s="27" t="n">
        <v>884.34</v>
      </c>
      <c r="C32" s="27" t="n">
        <v>1773.54</v>
      </c>
      <c r="D32" s="29" t="n">
        <v>0.01125708436754099</v>
      </c>
      <c r="E32" s="33" t="inlineStr"/>
    </row>
    <row r="33" hidden="1" outlineLevel="1" ht="15" customHeight="1">
      <c r="A33" s="12" t="inlineStr">
        <is>
          <t xml:space="preserve">    Coffee Shops</t>
        </is>
      </c>
      <c r="B33" s="27" t="n">
        <v>198.65</v>
      </c>
      <c r="C33" s="27" t="n">
        <v>398.39</v>
      </c>
      <c r="D33" s="29" t="n">
        <v>0.002528687845864733</v>
      </c>
      <c r="E33" s="33" t="inlineStr"/>
    </row>
    <row r="34" ht="45" customHeight="1">
      <c r="A34" s="48" t="inlineStr">
        <is>
          <t>Gifts Charity</t>
        </is>
      </c>
      <c r="B34" s="49" t="n">
        <v>42411.79</v>
      </c>
      <c r="C34" s="49" t="n">
        <v>85056.61</v>
      </c>
      <c r="D34" s="50" t="n">
        <v>0.5398750460325569</v>
      </c>
      <c r="E34" s="51" t="inlineStr"/>
    </row>
    <row r="35" hidden="1" outlineLevel="1" ht="15" customHeight="1">
      <c r="A35" s="12" t="inlineStr">
        <is>
          <t xml:space="preserve">    Gifts - Family 12</t>
        </is>
      </c>
      <c r="B35" s="27" t="n">
        <v>40868.65</v>
      </c>
      <c r="C35" s="27" t="n">
        <v>81962.08</v>
      </c>
      <c r="D35" s="29" t="n">
        <v>0.5202318576989666</v>
      </c>
      <c r="E35" s="33" t="inlineStr"/>
    </row>
    <row r="36" hidden="1" outlineLevel="1" ht="15" customHeight="1">
      <c r="A36" s="12" t="inlineStr">
        <is>
          <t xml:space="preserve">    Gifts - Other</t>
        </is>
      </c>
      <c r="B36" s="27" t="n">
        <v>813.14</v>
      </c>
      <c r="C36" s="27" t="n">
        <v>1630.75</v>
      </c>
      <c r="D36" s="29" t="n">
        <v>0.01035075376283136</v>
      </c>
      <c r="E36" s="33" t="inlineStr"/>
    </row>
    <row r="37" hidden="1" outlineLevel="1" ht="15" customHeight="1">
      <c r="A37" s="12" t="inlineStr">
        <is>
          <t xml:space="preserve">    Church</t>
        </is>
      </c>
      <c r="B37" s="27" t="n">
        <v>625</v>
      </c>
      <c r="C37" s="27" t="n">
        <v>1253.44</v>
      </c>
      <c r="D37" s="29" t="n">
        <v>0.007955851516060701</v>
      </c>
      <c r="E37" s="33" t="inlineStr"/>
    </row>
    <row r="38" hidden="1" outlineLevel="1" ht="15" customHeight="1">
      <c r="A38" s="12" t="inlineStr">
        <is>
          <t xml:space="preserve">    Donation</t>
        </is>
      </c>
      <c r="B38" s="27" t="n">
        <v>105</v>
      </c>
      <c r="C38" s="27" t="n">
        <v>210.58</v>
      </c>
      <c r="D38" s="29" t="n">
        <v>0.001336583054698198</v>
      </c>
      <c r="E38" s="33" t="inlineStr"/>
    </row>
    <row r="39" ht="45" customHeight="1">
      <c r="A39" s="48" t="inlineStr">
        <is>
          <t>Lifestyle</t>
        </is>
      </c>
      <c r="B39" s="49" t="n">
        <v>8481.84</v>
      </c>
      <c r="C39" s="49" t="n">
        <v>17010.28</v>
      </c>
      <c r="D39" s="50" t="n">
        <v>0.1079684153967749</v>
      </c>
      <c r="E39" s="49" t="n">
        <v>24973.6</v>
      </c>
    </row>
    <row r="40" hidden="1" outlineLevel="1" ht="15" customHeight="1">
      <c r="A40" s="12" t="inlineStr">
        <is>
          <t xml:space="preserve">    Cubs Tickets</t>
        </is>
      </c>
      <c r="B40" s="27" t="n">
        <v>5076.64</v>
      </c>
      <c r="C40" s="27" t="n">
        <v>10181.2</v>
      </c>
      <c r="D40" s="29" t="n">
        <v>0.06462239046479104</v>
      </c>
      <c r="E40" s="33" t="inlineStr"/>
    </row>
    <row r="41" hidden="1" outlineLevel="1" ht="15" customHeight="1">
      <c r="A41" s="12" t="inlineStr">
        <is>
          <t xml:space="preserve">    Hair/Make-up</t>
        </is>
      </c>
      <c r="B41" s="27" t="n">
        <v>1754.09</v>
      </c>
      <c r="C41" s="27" t="n">
        <v>3517.83</v>
      </c>
      <c r="D41" s="29" t="n">
        <v>0.02232844733729106</v>
      </c>
      <c r="E41" s="33" t="inlineStr"/>
    </row>
    <row r="42" hidden="1" outlineLevel="1" ht="15" customHeight="1">
      <c r="A42" s="12" t="inlineStr">
        <is>
          <t xml:space="preserve">    Electronics</t>
        </is>
      </c>
      <c r="B42" s="27" t="n">
        <v>614.58</v>
      </c>
      <c r="C42" s="27" t="n">
        <v>1232.54</v>
      </c>
      <c r="D42" s="29" t="n">
        <v>0.007823211559584937</v>
      </c>
      <c r="E42" s="33" t="inlineStr"/>
    </row>
    <row r="43" hidden="1" outlineLevel="1" ht="15" customHeight="1">
      <c r="A43" s="12" t="inlineStr">
        <is>
          <t xml:space="preserve">    Mani-Pedi</t>
        </is>
      </c>
      <c r="B43" s="27" t="n">
        <v>524.77</v>
      </c>
      <c r="C43" s="27" t="n">
        <v>1052.43</v>
      </c>
      <c r="D43" s="29" t="n">
        <v>0.006679987520133077</v>
      </c>
      <c r="E43" s="33" t="inlineStr"/>
    </row>
    <row r="44" hidden="1" outlineLevel="1" ht="15" customHeight="1">
      <c r="A44" s="12" t="inlineStr">
        <is>
          <t xml:space="preserve">    Personal</t>
        </is>
      </c>
      <c r="B44" s="27" t="n">
        <v>360</v>
      </c>
      <c r="C44" s="27" t="n">
        <v>721.98</v>
      </c>
      <c r="D44" s="29" t="n">
        <v>0.004582570473250964</v>
      </c>
      <c r="E44" s="33" t="inlineStr"/>
    </row>
    <row r="45" hidden="1" outlineLevel="1" ht="15" customHeight="1">
      <c r="A45" s="12" t="inlineStr">
        <is>
          <t xml:space="preserve">    Movie Theater</t>
        </is>
      </c>
      <c r="B45" s="27" t="n">
        <v>151.76</v>
      </c>
      <c r="C45" s="27" t="n">
        <v>304.35</v>
      </c>
      <c r="D45" s="29" t="n">
        <v>0.001931808041723795</v>
      </c>
      <c r="E45" s="33" t="inlineStr"/>
    </row>
    <row r="46" ht="45" customHeight="1">
      <c r="A46" s="48" t="inlineStr">
        <is>
          <t>Other</t>
        </is>
      </c>
      <c r="B46" s="49" t="n">
        <v>20.6</v>
      </c>
      <c r="C46" s="49" t="n">
        <v>41.31</v>
      </c>
      <c r="D46" s="50" t="n">
        <v>0.0002622248659693607</v>
      </c>
      <c r="E46" s="49" t="n">
        <v>5087.21</v>
      </c>
    </row>
    <row r="47" hidden="1" outlineLevel="1" ht="15" customHeight="1">
      <c r="A47" s="12" t="inlineStr">
        <is>
          <t xml:space="preserve">    Postage &amp; Shipping</t>
        </is>
      </c>
      <c r="B47" s="27" t="n">
        <v>20.6</v>
      </c>
      <c r="C47" s="27" t="n">
        <v>41.31</v>
      </c>
      <c r="D47" s="29" t="n">
        <v>0.0002622248659693607</v>
      </c>
      <c r="E47" s="33" t="inlineStr"/>
    </row>
    <row r="48" ht="45" customHeight="1">
      <c r="A48" s="48" t="inlineStr">
        <is>
          <t>Shopping</t>
        </is>
      </c>
      <c r="B48" s="49" t="n">
        <v>6349.61</v>
      </c>
      <c r="C48" s="49" t="n">
        <v>12734.11</v>
      </c>
      <c r="D48" s="50" t="n">
        <v>0.08082648695183069</v>
      </c>
      <c r="E48" s="49" t="n">
        <v>10945.22</v>
      </c>
    </row>
    <row r="49" hidden="1" outlineLevel="1" ht="15" customHeight="1">
      <c r="A49" s="12" t="inlineStr">
        <is>
          <t xml:space="preserve">    Clothing &amp; Jewelry</t>
        </is>
      </c>
      <c r="B49" s="27" t="n">
        <v>6326.62</v>
      </c>
      <c r="C49" s="27" t="n">
        <v>12688.04</v>
      </c>
      <c r="D49" s="29" t="n">
        <v>0.08053383890966391</v>
      </c>
      <c r="E49" s="33" t="inlineStr"/>
    </row>
    <row r="50" hidden="1" outlineLevel="1" ht="15" customHeight="1">
      <c r="A50" s="12" t="inlineStr">
        <is>
          <t xml:space="preserve">    Shopping</t>
        </is>
      </c>
      <c r="B50" s="27" t="n">
        <v>22.99</v>
      </c>
      <c r="C50" s="27" t="n">
        <v>46.11</v>
      </c>
      <c r="D50" s="29" t="n">
        <v>0.0002926480421667768</v>
      </c>
      <c r="E50" s="33" t="inlineStr"/>
    </row>
    <row r="51"/>
    <row r="52" ht="30" customHeight="1">
      <c r="A52" s="11" t="inlineStr">
        <is>
          <t>TOTAL CORE SPENDING</t>
        </is>
      </c>
      <c r="B52" s="30" t="n">
        <v>78558.53</v>
      </c>
      <c r="C52" s="30" t="n">
        <v>157548.7</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(182 days elapsed)</t>
        </is>
      </c>
    </row>
    <row r="2" ht="36" customHeight="1">
      <c r="A2" s="44" t="inlineStr">
        <is>
          <t>YTD total spending — actual (182 days)</t>
        </is>
      </c>
      <c r="B2" s="45" t="n">
        <v>178072.81</v>
      </c>
    </row>
    <row r="3" ht="15" customHeight="1">
      <c r="A3" s="44" t="inlineStr">
        <is>
          <t>Annualized at current pace</t>
        </is>
      </c>
      <c r="B3" s="46" t="n">
        <v>357124.04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706937.66</v>
      </c>
      <c r="D7" s="59" t="inlineStr"/>
      <c r="E7" s="59" t="inlineStr"/>
      <c r="F7" s="60" t="n">
        <v>1.979529721578493</v>
      </c>
    </row>
    <row r="8" hidden="1" outlineLevel="1" ht="45" customHeight="1">
      <c r="A8" s="6" t="inlineStr">
        <is>
          <t xml:space="preserve">  Income</t>
        </is>
      </c>
      <c r="B8" s="61" t="n">
        <v>352500.42</v>
      </c>
      <c r="C8" s="61" t="n">
        <v>706937.66</v>
      </c>
      <c r="D8" s="62" t="inlineStr"/>
      <c r="E8" s="62" t="inlineStr"/>
      <c r="F8" s="63" t="n">
        <v>1.979529721578493</v>
      </c>
    </row>
    <row r="9" hidden="1" outlineLevel="2" ht="30" customHeight="1">
      <c r="A9" s="12" t="inlineStr">
        <is>
          <t xml:space="preserve">    Dividends &amp; Capital Gains</t>
        </is>
      </c>
      <c r="B9" s="27" t="n">
        <v>14994.06</v>
      </c>
      <c r="C9" s="27" t="n">
        <v>30070.5</v>
      </c>
      <c r="D9" s="64" t="inlineStr"/>
      <c r="E9" s="64" t="inlineStr"/>
      <c r="F9" s="29" t="n">
        <v>0.08420184979391294</v>
      </c>
    </row>
    <row r="10" hidden="1" outlineLevel="2" ht="15" customHeight="1">
      <c r="A10" s="12" t="inlineStr">
        <is>
          <t xml:space="preserve">    Interest</t>
        </is>
      </c>
      <c r="B10" s="27" t="n">
        <v>2.88</v>
      </c>
      <c r="C10" s="27" t="n">
        <v>5.78</v>
      </c>
      <c r="D10" s="64" t="inlineStr"/>
      <c r="E10" s="64" t="inlineStr"/>
      <c r="F10" s="29" t="n">
        <v>1.617315973168503e-05</v>
      </c>
    </row>
    <row r="11" hidden="1" outlineLevel="2" ht="15" customHeight="1">
      <c r="A11" s="12" t="inlineStr">
        <is>
          <t xml:space="preserve">    Other Income</t>
        </is>
      </c>
      <c r="B11" s="27" t="n">
        <v>6.85</v>
      </c>
      <c r="C11" s="27" t="n">
        <v>13.74</v>
      </c>
      <c r="D11" s="64" t="inlineStr"/>
      <c r="E11" s="64" t="inlineStr"/>
      <c r="F11" s="29" t="n">
        <v>3.846741116737586e-05</v>
      </c>
    </row>
    <row r="12" hidden="1" outlineLevel="2" ht="15" customHeight="1">
      <c r="A12" s="12" t="inlineStr">
        <is>
          <t xml:space="preserve">    Paychecks</t>
        </is>
      </c>
      <c r="B12" s="27" t="n">
        <v>236950</v>
      </c>
      <c r="C12" s="27" t="n">
        <v>475201.92</v>
      </c>
      <c r="D12" s="64" t="inlineStr"/>
      <c r="E12" s="64" t="inlineStr"/>
      <c r="F12" s="29" t="n">
        <v>1.330635485563461</v>
      </c>
    </row>
    <row r="13" hidden="1" outlineLevel="2" ht="15" customHeight="1">
      <c r="A13" s="12" t="inlineStr">
        <is>
          <t xml:space="preserve">    RedMane Annual Note P&amp;I</t>
        </is>
      </c>
      <c r="B13" s="27" t="n">
        <v>100546.63</v>
      </c>
      <c r="C13" s="27" t="n">
        <v>201645.71</v>
      </c>
      <c r="D13" s="64" t="inlineStr"/>
      <c r="E13" s="64" t="inlineStr"/>
      <c r="F13" s="29" t="n">
        <v>0.5646377456502203</v>
      </c>
    </row>
    <row r="14" ht="45" customHeight="1">
      <c r="A14" s="57" t="inlineStr">
        <is>
          <t>Core Expenses</t>
        </is>
      </c>
      <c r="B14" s="58" t="n">
        <v>73407.7</v>
      </c>
      <c r="C14" s="58" t="n">
        <v>147218.74</v>
      </c>
      <c r="D14" s="58" t="n">
        <v>137241</v>
      </c>
      <c r="E14" s="65" t="n">
        <v>9977.739999999991</v>
      </c>
      <c r="F14" s="60" t="n">
        <v>0.4122341866790331</v>
      </c>
    </row>
    <row r="15" hidden="1" outlineLevel="1" ht="45" customHeight="1">
      <c r="A15" s="6" t="inlineStr">
        <is>
          <t xml:space="preserve">  Auto &amp; Transport</t>
        </is>
      </c>
      <c r="B15" s="61" t="n">
        <v>3219.58</v>
      </c>
      <c r="C15" s="61" t="n">
        <v>6456.85</v>
      </c>
      <c r="D15" s="61" t="n">
        <v>6036</v>
      </c>
      <c r="E15" s="66" t="n">
        <v>420.8500000000004</v>
      </c>
      <c r="F15" s="63" t="n">
        <v>0.01808013250310364</v>
      </c>
    </row>
    <row r="16" hidden="1" outlineLevel="2" ht="15" customHeight="1">
      <c r="A16" s="12" t="inlineStr">
        <is>
          <t xml:space="preserve">    Auto Fuel</t>
        </is>
      </c>
      <c r="B16" s="27" t="n">
        <v>575.6799999999999</v>
      </c>
      <c r="C16" s="27" t="n">
        <v>1154.52</v>
      </c>
      <c r="D16" s="27" t="n">
        <v>950</v>
      </c>
      <c r="E16" s="67" t="n">
        <v>204.52</v>
      </c>
      <c r="F16" s="29" t="n">
        <v>0.003232834928589042</v>
      </c>
    </row>
    <row r="17" hidden="1" outlineLevel="2" ht="15" customHeight="1">
      <c r="A17" s="12" t="inlineStr">
        <is>
          <t xml:space="preserve">    Auto Insurance</t>
        </is>
      </c>
      <c r="B17" s="27" t="n">
        <v>1164</v>
      </c>
      <c r="C17" s="27" t="n">
        <v>2334.4</v>
      </c>
      <c r="D17" s="27" t="n">
        <v>2442</v>
      </c>
      <c r="E17" s="27" t="n">
        <v>-107.5999999999999</v>
      </c>
      <c r="F17" s="29" t="n">
        <v>0.006536652058222701</v>
      </c>
    </row>
    <row r="18" hidden="1" outlineLevel="2" ht="15" customHeight="1">
      <c r="A18" s="12" t="inlineStr">
        <is>
          <t xml:space="preserve">    Auto Maintenance</t>
        </is>
      </c>
      <c r="B18" s="27" t="n">
        <v>405.86</v>
      </c>
      <c r="C18" s="27" t="n">
        <v>813.95</v>
      </c>
      <c r="D18" s="27" t="n">
        <v>851</v>
      </c>
      <c r="E18" s="27" t="n">
        <v>-37.04999999999995</v>
      </c>
      <c r="F18" s="29" t="n">
        <v>0.002279180072465864</v>
      </c>
    </row>
    <row r="19" hidden="1" outlineLevel="2" ht="15" customHeight="1">
      <c r="A19" s="12" t="inlineStr">
        <is>
          <t xml:space="preserve">    Car Wash</t>
        </is>
      </c>
      <c r="B19" s="27" t="n">
        <v>170</v>
      </c>
      <c r="C19" s="27" t="n">
        <v>340.93</v>
      </c>
      <c r="D19" s="27" t="n">
        <v>266</v>
      </c>
      <c r="E19" s="67" t="n">
        <v>74.93000000000001</v>
      </c>
      <c r="F19" s="29" t="n">
        <v>0.0009546656786064082</v>
      </c>
    </row>
    <row r="20" hidden="1" outlineLevel="2" ht="15" customHeight="1">
      <c r="A20" s="12" t="inlineStr">
        <is>
          <t xml:space="preserve">    Parking / Tolls</t>
        </is>
      </c>
      <c r="B20" s="27" t="n">
        <v>269.8</v>
      </c>
      <c r="C20" s="27" t="n">
        <v>541.08</v>
      </c>
      <c r="D20" s="27" t="n">
        <v>535</v>
      </c>
      <c r="E20" s="67" t="n">
        <v>6.080000000000041</v>
      </c>
      <c r="F20" s="29" t="n">
        <v>0.001515110588752994</v>
      </c>
    </row>
    <row r="21" hidden="1" outlineLevel="2" ht="15" customHeight="1">
      <c r="A21" s="12" t="inlineStr">
        <is>
          <t xml:space="preserve">    Public Transit</t>
        </is>
      </c>
      <c r="B21" s="27" t="n">
        <v>5.5</v>
      </c>
      <c r="C21" s="27" t="n">
        <v>11.03</v>
      </c>
      <c r="D21" s="27" t="n">
        <v>20</v>
      </c>
      <c r="E21" s="27" t="n">
        <v>-8.970000000000001</v>
      </c>
      <c r="F21" s="29" t="n">
        <v>3.08862425431485e-05</v>
      </c>
    </row>
    <row r="22" hidden="1" outlineLevel="2" ht="15" customHeight="1">
      <c r="A22" s="12" t="inlineStr">
        <is>
          <t xml:space="preserve">    Taxi &amp; Ride Shares</t>
        </is>
      </c>
      <c r="B22" s="27" t="n">
        <v>628.74</v>
      </c>
      <c r="C22" s="27" t="n">
        <v>1260.93</v>
      </c>
      <c r="D22" s="27" t="n">
        <v>972</v>
      </c>
      <c r="E22" s="67" t="n">
        <v>288.9300000000001</v>
      </c>
      <c r="F22" s="29" t="n">
        <v>0.003530802933923489</v>
      </c>
    </row>
    <row r="23" hidden="1" outlineLevel="1" ht="45" customHeight="1">
      <c r="A23" s="6" t="inlineStr">
        <is>
          <t xml:space="preserve">  Financial</t>
        </is>
      </c>
      <c r="B23" s="61" t="n">
        <v>1958.74</v>
      </c>
      <c r="C23" s="61" t="n">
        <v>3928.24</v>
      </c>
      <c r="D23" s="61" t="n">
        <v>2494</v>
      </c>
      <c r="E23" s="66" t="n">
        <v>1434.24</v>
      </c>
      <c r="F23" s="63" t="n">
        <v>0.01099965794890304</v>
      </c>
    </row>
    <row r="24" hidden="1" outlineLevel="2" ht="15" customHeight="1">
      <c r="A24" s="12" t="inlineStr">
        <is>
          <t xml:space="preserve">    Cash &amp; ATM</t>
        </is>
      </c>
      <c r="B24" s="27" t="n">
        <v>1116.26</v>
      </c>
      <c r="C24" s="27" t="n">
        <v>2238.65</v>
      </c>
      <c r="D24" s="27" t="n">
        <v>2090</v>
      </c>
      <c r="E24" s="67" t="n">
        <v>148.6500000000001</v>
      </c>
      <c r="F24" s="29" t="n">
        <v>0.006268559472948172</v>
      </c>
    </row>
    <row r="25" hidden="1" outlineLevel="2" ht="30" customHeight="1">
      <c r="A25" s="12" t="inlineStr">
        <is>
          <t xml:space="preserve">    Financial &amp; Legal Services</t>
        </is>
      </c>
      <c r="B25" s="27" t="n">
        <v>749.99</v>
      </c>
      <c r="C25" s="27" t="n">
        <v>1504.1</v>
      </c>
      <c r="D25" s="27" t="n">
        <v>210</v>
      </c>
      <c r="E25" s="67" t="n">
        <v>1294.1</v>
      </c>
      <c r="F25" s="29" t="n">
        <v>0.004211704189988353</v>
      </c>
    </row>
    <row r="26" hidden="1" outlineLevel="2" ht="15" customHeight="1">
      <c r="A26" s="12" t="inlineStr">
        <is>
          <t xml:space="preserve">    Financial Fees</t>
        </is>
      </c>
      <c r="B26" s="27" t="n">
        <v>92.48999999999999</v>
      </c>
      <c r="C26" s="27" t="n">
        <v>185.49</v>
      </c>
      <c r="D26" s="27" t="n">
        <v>194</v>
      </c>
      <c r="E26" s="27" t="n">
        <v>-8.509999999999991</v>
      </c>
      <c r="F26" s="29" t="n">
        <v>0.00051939428596651</v>
      </c>
    </row>
    <row r="27" hidden="1" outlineLevel="1" ht="45" customHeight="1">
      <c r="A27" s="6" t="inlineStr">
        <is>
          <t xml:space="preserve">  Food &amp; Dining</t>
        </is>
      </c>
      <c r="B27" s="61" t="n">
        <v>15769.65</v>
      </c>
      <c r="C27" s="61" t="n">
        <v>31625.95</v>
      </c>
      <c r="D27" s="61" t="n">
        <v>25443</v>
      </c>
      <c r="E27" s="66" t="n">
        <v>6182.950000000001</v>
      </c>
      <c r="F27" s="63" t="n">
        <v>0.0885573154037385</v>
      </c>
    </row>
    <row r="28" hidden="1" outlineLevel="2" ht="15" customHeight="1">
      <c r="A28" s="12" t="inlineStr">
        <is>
          <t xml:space="preserve">    Coffee Shops</t>
        </is>
      </c>
      <c r="B28" s="27" t="n">
        <v>198.65</v>
      </c>
      <c r="C28" s="27" t="n">
        <v>398.39</v>
      </c>
      <c r="D28" s="27" t="n">
        <v>218</v>
      </c>
      <c r="E28" s="67" t="n">
        <v>180.39</v>
      </c>
      <c r="F28" s="29" t="n">
        <v>0.0011155549238539</v>
      </c>
    </row>
    <row r="29" hidden="1" outlineLevel="2" ht="15" customHeight="1">
      <c r="A29" s="12" t="inlineStr">
        <is>
          <t xml:space="preserve">    Fast Food / Takeout</t>
        </is>
      </c>
      <c r="B29" s="27" t="n">
        <v>884.34</v>
      </c>
      <c r="C29" s="27" t="n">
        <v>1773.54</v>
      </c>
      <c r="D29" s="27" t="n">
        <v>1352</v>
      </c>
      <c r="E29" s="67" t="n">
        <v>421.54</v>
      </c>
      <c r="F29" s="29" t="n">
        <v>0.004966170860110536</v>
      </c>
    </row>
    <row r="30" hidden="1" outlineLevel="2" ht="15" customHeight="1">
      <c r="A30" s="12" t="inlineStr">
        <is>
          <t xml:space="preserve">    Groceries</t>
        </is>
      </c>
      <c r="B30" s="27" t="n">
        <v>7079.89</v>
      </c>
      <c r="C30" s="27" t="n">
        <v>14198.68</v>
      </c>
      <c r="D30" s="27" t="n">
        <v>10568</v>
      </c>
      <c r="E30" s="67" t="n">
        <v>3630.68</v>
      </c>
      <c r="F30" s="29" t="n">
        <v>0.03975839994887485</v>
      </c>
    </row>
    <row r="31" hidden="1" outlineLevel="2" ht="15" customHeight="1">
      <c r="A31" s="12" t="inlineStr">
        <is>
          <t xml:space="preserve">    Restaurants &amp; Bars</t>
        </is>
      </c>
      <c r="B31" s="27" t="n">
        <v>7606.77</v>
      </c>
      <c r="C31" s="27" t="n">
        <v>15255.34</v>
      </c>
      <c r="D31" s="27" t="n">
        <v>13305</v>
      </c>
      <c r="E31" s="67" t="n">
        <v>1950.34</v>
      </c>
      <c r="F31" s="29" t="n">
        <v>0.04271718967089923</v>
      </c>
    </row>
    <row r="32" hidden="1" outlineLevel="1" ht="45" customHeight="1">
      <c r="A32" s="6" t="inlineStr">
        <is>
          <t xml:space="preserve">  Gifts Charity</t>
        </is>
      </c>
      <c r="B32" s="61" t="n">
        <v>42411.79</v>
      </c>
      <c r="C32" s="61" t="n">
        <v>85056.61</v>
      </c>
      <c r="D32" s="61" t="n">
        <v>71260</v>
      </c>
      <c r="E32" s="66" t="n">
        <v>13796.61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1253.43</v>
      </c>
      <c r="D34" s="27" t="n">
        <v>1101</v>
      </c>
      <c r="E34" s="67" t="n">
        <v>152.4300000000001</v>
      </c>
      <c r="F34" s="29" t="n">
        <v>0.003509800288994148</v>
      </c>
    </row>
    <row r="35" hidden="1" outlineLevel="2" ht="15" customHeight="1">
      <c r="A35" s="12" t="inlineStr">
        <is>
          <t xml:space="preserve">    Donation</t>
        </is>
      </c>
      <c r="B35" s="27" t="n">
        <v>105</v>
      </c>
      <c r="C35" s="27" t="n">
        <v>210.58</v>
      </c>
      <c r="D35" s="27" t="n">
        <v>220</v>
      </c>
      <c r="E35" s="27" t="n">
        <v>-9.419999999999987</v>
      </c>
      <c r="F35" s="29" t="n">
        <v>0.0005896464485510168</v>
      </c>
    </row>
    <row r="36" hidden="1" outlineLevel="2" ht="15" customHeight="1">
      <c r="A36" s="12" t="inlineStr">
        <is>
          <t xml:space="preserve">    Gifts - Family 12</t>
        </is>
      </c>
      <c r="B36" s="27" t="n">
        <v>40868.65</v>
      </c>
      <c r="C36" s="27" t="n">
        <v>81961.85000000001</v>
      </c>
      <c r="D36" s="27" t="n">
        <v>64169</v>
      </c>
      <c r="E36" s="67" t="n">
        <v>17792.85000000001</v>
      </c>
      <c r="F36" s="29" t="n">
        <v>0.2295052793292811</v>
      </c>
    </row>
    <row r="37" hidden="1" outlineLevel="2" ht="15" customHeight="1">
      <c r="A37" s="12" t="inlineStr">
        <is>
          <t xml:space="preserve">    Gifts - Other</t>
        </is>
      </c>
      <c r="B37" s="27" t="n">
        <v>813.14</v>
      </c>
      <c r="C37" s="27" t="n">
        <v>1630.75</v>
      </c>
      <c r="D37" s="27" t="n">
        <v>770</v>
      </c>
      <c r="E37" s="67" t="n">
        <v>860.75</v>
      </c>
      <c r="F37" s="29" t="n">
        <v>0.004566334411188322</v>
      </c>
    </row>
    <row r="38" hidden="1" outlineLevel="1" ht="45" customHeight="1">
      <c r="A38" s="6" t="inlineStr">
        <is>
          <t xml:space="preserve">  Lifestyle</t>
        </is>
      </c>
      <c r="B38" s="61" t="n">
        <v>5822.34</v>
      </c>
      <c r="C38" s="61" t="n">
        <v>11676.67</v>
      </c>
      <c r="D38" s="61" t="n">
        <v>15224</v>
      </c>
      <c r="E38" s="61" t="n">
        <v>-3547.33</v>
      </c>
      <c r="F38" s="63" t="n">
        <v>0.0326964009833955</v>
      </c>
    </row>
    <row r="39" hidden="1" outlineLevel="2" ht="15" customHeight="1">
      <c r="A39" s="12" t="inlineStr">
        <is>
          <t xml:space="preserve">    Cubs Tickets</t>
        </is>
      </c>
      <c r="B39" s="27" t="n">
        <v>2417.14</v>
      </c>
      <c r="C39" s="27" t="n">
        <v>4847.56</v>
      </c>
      <c r="D39" s="27" t="n">
        <v>10649</v>
      </c>
      <c r="E39" s="27" t="n">
        <v>-5801.44</v>
      </c>
      <c r="F39" s="29" t="n">
        <v>0.0135738858728629</v>
      </c>
    </row>
    <row r="40" hidden="1" outlineLevel="2" ht="15" customHeight="1">
      <c r="A40" s="12" t="inlineStr">
        <is>
          <t xml:space="preserve">    Electronics</t>
        </is>
      </c>
      <c r="B40" s="27" t="n">
        <v>614.58</v>
      </c>
      <c r="C40" s="27" t="n">
        <v>1232.54</v>
      </c>
      <c r="D40" s="27" t="n">
        <v>244</v>
      </c>
      <c r="E40" s="67" t="n">
        <v>988.54</v>
      </c>
      <c r="F40" s="29" t="n">
        <v>0.003451284898576038</v>
      </c>
    </row>
    <row r="41" hidden="1" outlineLevel="2" ht="15" customHeight="1">
      <c r="A41" s="12" t="inlineStr">
        <is>
          <t xml:space="preserve">    Hair/Make-up</t>
        </is>
      </c>
      <c r="B41" s="27" t="n">
        <v>1754.09</v>
      </c>
      <c r="C41" s="27" t="n">
        <v>3517.82</v>
      </c>
      <c r="D41" s="27" t="n">
        <v>2442</v>
      </c>
      <c r="E41" s="67" t="n">
        <v>1075.82</v>
      </c>
      <c r="F41" s="29" t="n">
        <v>0.009850408942274791</v>
      </c>
    </row>
    <row r="42" hidden="1" outlineLevel="2" ht="15" customHeight="1">
      <c r="A42" s="12" t="inlineStr">
        <is>
          <t xml:space="preserve">    Mani-Pedi</t>
        </is>
      </c>
      <c r="B42" s="27" t="n">
        <v>524.77</v>
      </c>
      <c r="C42" s="27" t="n">
        <v>1052.42</v>
      </c>
      <c r="D42" s="27" t="n">
        <v>996</v>
      </c>
      <c r="E42" s="67" t="n">
        <v>56.42000000000007</v>
      </c>
      <c r="F42" s="29" t="n">
        <v>0.002946940636248735</v>
      </c>
    </row>
    <row r="43" hidden="1" outlineLevel="2" ht="15" customHeight="1">
      <c r="A43" s="12" t="inlineStr">
        <is>
          <t xml:space="preserve">    Movie Theater</t>
        </is>
      </c>
      <c r="B43" s="27" t="n">
        <v>151.76</v>
      </c>
      <c r="C43" s="27" t="n">
        <v>304.35</v>
      </c>
      <c r="D43" s="27" t="n">
        <v>138</v>
      </c>
      <c r="E43" s="67" t="n">
        <v>166.35</v>
      </c>
      <c r="F43" s="29" t="n">
        <v>0.000852235666972403</v>
      </c>
    </row>
    <row r="44" hidden="1" outlineLevel="2" ht="15" customHeight="1">
      <c r="A44" s="12" t="inlineStr">
        <is>
          <t xml:space="preserve">    Personal</t>
        </is>
      </c>
      <c r="B44" s="27" t="n">
        <v>360</v>
      </c>
      <c r="C44" s="27" t="n">
        <v>721.98</v>
      </c>
      <c r="D44" s="27" t="n">
        <v>755</v>
      </c>
      <c r="E44" s="27" t="n">
        <v>-33.01999999999998</v>
      </c>
      <c r="F44" s="29" t="n">
        <v>0.002021644966460629</v>
      </c>
    </row>
    <row r="45" hidden="1" outlineLevel="1" ht="60" customHeight="1">
      <c r="A45" s="6" t="inlineStr">
        <is>
          <t xml:space="preserve">  Other</t>
        </is>
      </c>
      <c r="B45" s="61" t="n">
        <v>20.6</v>
      </c>
      <c r="C45" s="61" t="n">
        <v>41.31</v>
      </c>
      <c r="D45" s="61" t="n">
        <v>6164</v>
      </c>
      <c r="E45" s="61" t="n">
        <v>-6122.69</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41.31</v>
      </c>
      <c r="D48" s="27" t="n">
        <v>3857</v>
      </c>
      <c r="E48" s="27" t="n">
        <v>-3815.69</v>
      </c>
      <c r="F48" s="29" t="n">
        <v>0.0001156830175252471</v>
      </c>
    </row>
    <row r="49" hidden="1" outlineLevel="1" ht="45" customHeight="1">
      <c r="A49" s="6" t="inlineStr">
        <is>
          <t xml:space="preserve">  Shopping</t>
        </is>
      </c>
      <c r="B49" s="61" t="n">
        <v>4205</v>
      </c>
      <c r="C49" s="61" t="n">
        <v>8433.1</v>
      </c>
      <c r="D49" s="61" t="n">
        <v>10620</v>
      </c>
      <c r="E49" s="61" t="n">
        <v>-2186.9</v>
      </c>
      <c r="F49" s="63" t="n">
        <v>0.02361393634435263</v>
      </c>
    </row>
    <row r="50" hidden="1" outlineLevel="2" ht="15" customHeight="1">
      <c r="A50" s="12" t="inlineStr">
        <is>
          <t xml:space="preserve">    Clothing &amp; Jewelry</t>
        </is>
      </c>
      <c r="B50" s="27" t="n">
        <v>4243.01</v>
      </c>
      <c r="C50" s="27" t="n">
        <v>8509.33</v>
      </c>
      <c r="D50" s="27" t="n">
        <v>9604</v>
      </c>
      <c r="E50" s="27" t="n">
        <v>-1094.67</v>
      </c>
      <c r="F50" s="29" t="n">
        <v>0.0238273883587281</v>
      </c>
    </row>
    <row r="51" hidden="1" outlineLevel="2" ht="15" customHeight="1">
      <c r="A51" s="12" t="inlineStr">
        <is>
          <t xml:space="preserve">    Shopping</t>
        </is>
      </c>
      <c r="B51" s="27" t="n">
        <v>-38.01</v>
      </c>
      <c r="C51" s="27" t="n">
        <v>-76.23</v>
      </c>
      <c r="D51" s="27" t="n">
        <v>1016</v>
      </c>
      <c r="E51" s="27" t="n">
        <v>-1092.23</v>
      </c>
      <c r="F51" s="29" t="n">
        <v>-0.0002134520143754681</v>
      </c>
    </row>
    <row r="52" ht="45" customHeight="1">
      <c r="A52" s="57" t="inlineStr">
        <is>
          <t>Wellness</t>
        </is>
      </c>
      <c r="B52" s="58" t="n">
        <v>18388.85</v>
      </c>
      <c r="C52" s="58" t="n">
        <v>36878.74</v>
      </c>
      <c r="D52" s="58" t="n">
        <v>50364</v>
      </c>
      <c r="E52" s="58" t="n">
        <v>-13485.26</v>
      </c>
      <c r="F52" s="60" t="n">
        <v>0.103265905670832</v>
      </c>
    </row>
    <row r="53" hidden="1" outlineLevel="1" ht="45" customHeight="1">
      <c r="A53" s="6" t="inlineStr">
        <is>
          <t xml:space="preserve">  Healthcare Premium</t>
        </is>
      </c>
      <c r="B53" s="61" t="n">
        <v>8790.610000000001</v>
      </c>
      <c r="C53" s="61" t="n">
        <v>17629.52</v>
      </c>
      <c r="D53" s="61" t="n">
        <v>23760</v>
      </c>
      <c r="E53" s="61" t="n">
        <v>-6130.48</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17629.52</v>
      </c>
      <c r="D57" s="27" t="n">
        <v>12000</v>
      </c>
      <c r="E57" s="67" t="n">
        <v>5629.52</v>
      </c>
      <c r="F57" s="29" t="n">
        <v>0.04936525682949576</v>
      </c>
    </row>
    <row r="58" hidden="1" outlineLevel="1" ht="45" customHeight="1">
      <c r="A58" s="6" t="inlineStr">
        <is>
          <t xml:space="preserve">  Wellness Budget Detail</t>
        </is>
      </c>
      <c r="B58" s="61" t="n">
        <v>9598.24</v>
      </c>
      <c r="C58" s="61" t="n">
        <v>19249.22</v>
      </c>
      <c r="D58" s="61" t="n">
        <v>26604</v>
      </c>
      <c r="E58" s="61" t="n">
        <v>-7354.779999999999</v>
      </c>
      <c r="F58" s="63" t="n">
        <v>0.0539006488413363</v>
      </c>
    </row>
    <row r="59" hidden="1" outlineLevel="2" ht="15" customHeight="1">
      <c r="A59" s="12" t="inlineStr">
        <is>
          <t xml:space="preserve">    Dentist</t>
        </is>
      </c>
      <c r="B59" s="27" t="n">
        <v>400.9</v>
      </c>
      <c r="C59" s="27" t="n">
        <v>804</v>
      </c>
      <c r="D59" s="27" t="n">
        <v>2900</v>
      </c>
      <c r="E59" s="27" t="n">
        <v>-2096</v>
      </c>
      <c r="F59" s="29" t="n">
        <v>0.002251326297372406</v>
      </c>
    </row>
    <row r="60" hidden="1" outlineLevel="2" ht="15" customHeight="1">
      <c r="A60" s="12" t="inlineStr">
        <is>
          <t xml:space="preserve">    Dermatologist</t>
        </is>
      </c>
      <c r="B60" s="27" t="n">
        <v>728</v>
      </c>
      <c r="C60" s="27" t="n">
        <v>1460</v>
      </c>
      <c r="D60" s="27" t="n">
        <v>1527</v>
      </c>
      <c r="E60" s="27" t="n">
        <v>-67</v>
      </c>
      <c r="F60" s="29" t="n">
        <v>0.004088215376620383</v>
      </c>
    </row>
    <row r="61" hidden="1" outlineLevel="2" ht="15" customHeight="1">
      <c r="A61" s="12" t="inlineStr">
        <is>
          <t xml:space="preserve">    Drugs - Rx and OTC</t>
        </is>
      </c>
      <c r="B61" s="27" t="n">
        <v>3278.39</v>
      </c>
      <c r="C61" s="27" t="n">
        <v>6574.79</v>
      </c>
      <c r="D61" s="27" t="n">
        <v>5000</v>
      </c>
      <c r="E61" s="67" t="n">
        <v>1574.79</v>
      </c>
      <c r="F61" s="29" t="n">
        <v>0.01841039067109684</v>
      </c>
    </row>
    <row r="62" hidden="1" outlineLevel="2" ht="30" customHeight="1">
      <c r="A62" s="12" t="inlineStr">
        <is>
          <t xml:space="preserve">    Exercise &amp; Health Equipment</t>
        </is>
      </c>
      <c r="B62" s="27" t="n">
        <v>102.69</v>
      </c>
      <c r="C62" s="27" t="n">
        <v>205.94</v>
      </c>
      <c r="D62" s="27" t="n">
        <v>485</v>
      </c>
      <c r="E62" s="27" t="n">
        <v>-279.06</v>
      </c>
      <c r="F62" s="29" t="n">
        <v>0.0005766742266828945</v>
      </c>
    </row>
    <row r="63" hidden="1" outlineLevel="2" ht="15" customHeight="1">
      <c r="A63" s="12" t="inlineStr">
        <is>
          <t xml:space="preserve">    Health Club</t>
        </is>
      </c>
      <c r="B63" s="27" t="n">
        <v>1616.25</v>
      </c>
      <c r="C63" s="27" t="n">
        <v>3241.38</v>
      </c>
      <c r="D63" s="27" t="n">
        <v>2668</v>
      </c>
      <c r="E63" s="67" t="n">
        <v>573.3800000000001</v>
      </c>
      <c r="F63" s="29" t="n">
        <v>0.009076343547338868</v>
      </c>
    </row>
    <row r="64" hidden="1" outlineLevel="2" ht="15" customHeight="1">
      <c r="A64" s="12" t="inlineStr">
        <is>
          <t xml:space="preserve">    Medical</t>
        </is>
      </c>
      <c r="B64" s="27" t="n">
        <v>590.45</v>
      </c>
      <c r="C64" s="27" t="n">
        <v>1184.14</v>
      </c>
      <c r="D64" s="27" t="n">
        <v>10000</v>
      </c>
      <c r="E64" s="27" t="n">
        <v>-8815.860000000001</v>
      </c>
      <c r="F64" s="29" t="n">
        <v>0.003315778529018552</v>
      </c>
    </row>
    <row r="65" hidden="1" outlineLevel="2" ht="15" customHeight="1">
      <c r="A65" s="12" t="inlineStr">
        <is>
          <t xml:space="preserve">    Vision</t>
        </is>
      </c>
      <c r="B65" s="27" t="n">
        <v>1335</v>
      </c>
      <c r="C65" s="27" t="n">
        <v>2677.34</v>
      </c>
      <c r="D65" s="27" t="n">
        <v>2100</v>
      </c>
      <c r="E65" s="67" t="n">
        <v>577.3400000000001</v>
      </c>
      <c r="F65" s="29" t="n">
        <v>0.0074969334172915</v>
      </c>
    </row>
    <row r="66" hidden="1" outlineLevel="2" ht="15" customHeight="1">
      <c r="A66" s="12" t="inlineStr">
        <is>
          <t xml:space="preserve">    Vitamins &amp; Supplements</t>
        </is>
      </c>
      <c r="B66" s="27" t="n">
        <v>1546.56</v>
      </c>
      <c r="C66" s="27" t="n">
        <v>3101.62</v>
      </c>
      <c r="D66" s="27" t="n">
        <v>1924</v>
      </c>
      <c r="E66" s="67" t="n">
        <v>1177.62</v>
      </c>
      <c r="F66" s="29" t="n">
        <v>0.008684986775914862</v>
      </c>
    </row>
    <row r="67" ht="45" customHeight="1">
      <c r="A67" s="57" t="inlineStr">
        <is>
          <t>Housing</t>
        </is>
      </c>
      <c r="B67" s="58" t="n">
        <v>66947.95</v>
      </c>
      <c r="C67" s="58" t="n">
        <v>134263.75</v>
      </c>
      <c r="D67" s="58" t="n">
        <v>101612</v>
      </c>
      <c r="E67" s="65" t="n">
        <v>32651.75</v>
      </c>
      <c r="F67" s="60" t="n">
        <v>0.3759582948121052</v>
      </c>
    </row>
    <row r="68" hidden="1" outlineLevel="1" ht="45" customHeight="1">
      <c r="A68" s="6" t="inlineStr">
        <is>
          <t xml:space="preserve">  Home Improvement</t>
        </is>
      </c>
      <c r="B68" s="61" t="n">
        <v>25689.11</v>
      </c>
      <c r="C68" s="61" t="n">
        <v>51519.37</v>
      </c>
      <c r="D68" s="61" t="n">
        <v>25000</v>
      </c>
      <c r="E68" s="66" t="n">
        <v>26519.37</v>
      </c>
      <c r="F68" s="63" t="n">
        <v>0.1442618331232039</v>
      </c>
    </row>
    <row r="69" hidden="1" outlineLevel="2" ht="15" customHeight="1">
      <c r="A69" s="12" t="inlineStr">
        <is>
          <t xml:space="preserve">    Home Improvement</t>
        </is>
      </c>
      <c r="B69" s="27" t="n">
        <v>25689.11</v>
      </c>
      <c r="C69" s="27" t="n">
        <v>51519.37</v>
      </c>
      <c r="D69" s="27" t="n">
        <v>25000</v>
      </c>
      <c r="E69" s="67" t="n">
        <v>26519.37</v>
      </c>
      <c r="F69" s="29" t="n">
        <v>0.1442618331232039</v>
      </c>
    </row>
    <row r="70" hidden="1" outlineLevel="1" ht="45" customHeight="1">
      <c r="A70" s="6" t="inlineStr">
        <is>
          <t xml:space="preserve">  Maintenance</t>
        </is>
      </c>
      <c r="B70" s="61" t="n">
        <v>2214.24</v>
      </c>
      <c r="C70" s="61" t="n">
        <v>4440.65</v>
      </c>
      <c r="D70" s="61" t="n">
        <v>2100</v>
      </c>
      <c r="E70" s="66" t="n">
        <v>2340.65</v>
      </c>
      <c r="F70" s="63" t="n">
        <v>0.01243446430704384</v>
      </c>
    </row>
    <row r="71" hidden="1" outlineLevel="2" ht="15" customHeight="1">
      <c r="A71" s="12" t="inlineStr">
        <is>
          <t xml:space="preserve">    Home Maintenance</t>
        </is>
      </c>
      <c r="B71" s="27" t="n">
        <v>2214.24</v>
      </c>
      <c r="C71" s="27" t="n">
        <v>4440.65</v>
      </c>
      <c r="D71" s="27" t="n">
        <v>2100</v>
      </c>
      <c r="E71" s="67" t="n">
        <v>2340.65</v>
      </c>
      <c r="F71" s="29" t="n">
        <v>0.01243446430704384</v>
      </c>
    </row>
    <row r="72" hidden="1" outlineLevel="1" ht="45" customHeight="1">
      <c r="A72" s="6" t="inlineStr">
        <is>
          <t xml:space="preserve">  Mortgage</t>
        </is>
      </c>
      <c r="B72" s="61" t="n">
        <v>18000</v>
      </c>
      <c r="C72" s="61" t="n">
        <v>36098.9</v>
      </c>
      <c r="D72" s="61" t="n">
        <v>36000</v>
      </c>
      <c r="E72" s="66" t="n">
        <v>98.90000000000146</v>
      </c>
      <c r="F72" s="63" t="n">
        <v>0.1010822483230315</v>
      </c>
    </row>
    <row r="73" hidden="1" outlineLevel="2" ht="15" customHeight="1">
      <c r="A73" s="12" t="inlineStr">
        <is>
          <t xml:space="preserve">    Mortgage</t>
        </is>
      </c>
      <c r="B73" s="27" t="n">
        <v>18000</v>
      </c>
      <c r="C73" s="27" t="n">
        <v>36098.9</v>
      </c>
      <c r="D73" s="27" t="n">
        <v>36000</v>
      </c>
      <c r="E73" s="67" t="n">
        <v>98.90000000000146</v>
      </c>
      <c r="F73" s="29" t="n">
        <v>0.1010822483230315</v>
      </c>
    </row>
    <row r="74" hidden="1" outlineLevel="1" ht="45" customHeight="1">
      <c r="A74" s="6" t="inlineStr">
        <is>
          <t xml:space="preserve">  Other</t>
        </is>
      </c>
      <c r="B74" s="61" t="n">
        <v>5841.79</v>
      </c>
      <c r="C74" s="61" t="n">
        <v>11715.68</v>
      </c>
      <c r="D74" s="61" t="n">
        <v>8936</v>
      </c>
      <c r="E74" s="66" t="n">
        <v>2779.68</v>
      </c>
      <c r="F74" s="63" t="n">
        <v>0.032805625968389</v>
      </c>
    </row>
    <row r="75" hidden="1" outlineLevel="2" ht="30" customHeight="1">
      <c r="A75" s="12" t="inlineStr">
        <is>
          <t xml:space="preserve">    Furniture/Home Decor/Kitchenware</t>
        </is>
      </c>
      <c r="B75" s="27" t="n">
        <v>2149.85</v>
      </c>
      <c r="C75" s="27" t="n">
        <v>4311.51</v>
      </c>
      <c r="D75" s="27" t="n">
        <v>2115</v>
      </c>
      <c r="E75" s="67" t="n">
        <v>2196.51</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3208.79</v>
      </c>
      <c r="D77" s="27" t="n">
        <v>2517</v>
      </c>
      <c r="E77" s="67" t="n">
        <v>691.79</v>
      </c>
      <c r="F77" s="29" t="n">
        <v>0.008985088739825019</v>
      </c>
    </row>
    <row r="78" hidden="1" outlineLevel="2" ht="30" customHeight="1">
      <c r="A78" s="12" t="inlineStr">
        <is>
          <t xml:space="preserve">    Lawn Service/Garden/Flowers</t>
        </is>
      </c>
      <c r="B78" s="27" t="n">
        <v>2091.94</v>
      </c>
      <c r="C78" s="27" t="n">
        <v>4195.37</v>
      </c>
      <c r="D78" s="27" t="n">
        <v>2304</v>
      </c>
      <c r="E78" s="67" t="n">
        <v>1891.37</v>
      </c>
      <c r="F78" s="29" t="n">
        <v>0.01174766658649347</v>
      </c>
    </row>
    <row r="79" hidden="1" outlineLevel="1" ht="45" customHeight="1">
      <c r="A79" s="6" t="inlineStr">
        <is>
          <t xml:space="preserve">  Real Estate Taxes</t>
        </is>
      </c>
      <c r="B79" s="61" t="n">
        <v>8645.74</v>
      </c>
      <c r="C79" s="61" t="n">
        <v>17338.98</v>
      </c>
      <c r="D79" s="61" t="n">
        <v>18000</v>
      </c>
      <c r="E79" s="61" t="n">
        <v>-661.0200000000004</v>
      </c>
      <c r="F79" s="63" t="n">
        <v>0.04855171320090922</v>
      </c>
    </row>
    <row r="80" hidden="1" outlineLevel="2" ht="15" customHeight="1">
      <c r="A80" s="12" t="inlineStr">
        <is>
          <t xml:space="preserve">    Real Estate Taxes</t>
        </is>
      </c>
      <c r="B80" s="27" t="n">
        <v>8645.74</v>
      </c>
      <c r="C80" s="27" t="n">
        <v>17338.98</v>
      </c>
      <c r="D80" s="27" t="n">
        <v>18000</v>
      </c>
      <c r="E80" s="27" t="n">
        <v>-661.0200000000004</v>
      </c>
      <c r="F80" s="29" t="n">
        <v>0.04855171320090922</v>
      </c>
    </row>
    <row r="81" hidden="1" outlineLevel="1" ht="45" customHeight="1">
      <c r="A81" s="6" t="inlineStr">
        <is>
          <t xml:space="preserve">  Utilities</t>
        </is>
      </c>
      <c r="B81" s="61" t="n">
        <v>6557.07</v>
      </c>
      <c r="C81" s="61" t="n">
        <v>13150.17</v>
      </c>
      <c r="D81" s="61" t="n">
        <v>11576</v>
      </c>
      <c r="E81" s="66" t="n">
        <v>1574.17</v>
      </c>
      <c r="F81" s="63" t="n">
        <v>0.03682240988952777</v>
      </c>
    </row>
    <row r="82" hidden="1" outlineLevel="2" ht="15" customHeight="1">
      <c r="A82" s="12" t="inlineStr">
        <is>
          <t xml:space="preserve">    Dry Cleaners</t>
        </is>
      </c>
      <c r="B82" s="27" t="n">
        <v>131.34</v>
      </c>
      <c r="C82" s="27" t="n">
        <v>263.4</v>
      </c>
      <c r="D82" s="64" t="inlineStr"/>
      <c r="E82" s="64" t="inlineStr"/>
      <c r="F82" s="29" t="n">
        <v>0.0007375634719303863</v>
      </c>
    </row>
    <row r="83" hidden="1" outlineLevel="2" ht="15" customHeight="1">
      <c r="A83" s="12" t="inlineStr">
        <is>
          <t xml:space="preserve">    Garbage</t>
        </is>
      </c>
      <c r="B83" s="27" t="n">
        <v>231.8</v>
      </c>
      <c r="C83" s="27" t="n">
        <v>464.87</v>
      </c>
      <c r="D83" s="27" t="n">
        <v>486</v>
      </c>
      <c r="E83" s="27" t="n">
        <v>-21.13</v>
      </c>
      <c r="F83" s="29" t="n">
        <v>0.00130171473118215</v>
      </c>
    </row>
    <row r="84" hidden="1" outlineLevel="2" ht="15" customHeight="1">
      <c r="A84" s="12" t="inlineStr">
        <is>
          <t xml:space="preserve">    Gas &amp; Electric</t>
        </is>
      </c>
      <c r="B84" s="27" t="n">
        <v>2692.38</v>
      </c>
      <c r="C84" s="27" t="n">
        <v>5399.55</v>
      </c>
      <c r="D84" s="27" t="n">
        <v>4957</v>
      </c>
      <c r="E84" s="67" t="n">
        <v>442.5500000000002</v>
      </c>
      <c r="F84" s="29" t="n">
        <v>0.0151195457633313</v>
      </c>
    </row>
    <row r="85" hidden="1" outlineLevel="2" ht="15" customHeight="1">
      <c r="A85" s="12" t="inlineStr">
        <is>
          <t xml:space="preserve">    Internet &amp; Cable</t>
        </is>
      </c>
      <c r="B85" s="27" t="n">
        <v>2261</v>
      </c>
      <c r="C85" s="27" t="n">
        <v>4534.42</v>
      </c>
      <c r="D85" s="27" t="n">
        <v>2371</v>
      </c>
      <c r="E85" s="67" t="n">
        <v>2163.42</v>
      </c>
      <c r="F85" s="29" t="n">
        <v>0.01269705352546523</v>
      </c>
    </row>
    <row r="86" hidden="1" outlineLevel="2" ht="15" customHeight="1">
      <c r="A86" s="12" t="inlineStr">
        <is>
          <t xml:space="preserve">    Pest Control</t>
        </is>
      </c>
      <c r="B86" s="27" t="n">
        <v>319.44</v>
      </c>
      <c r="C86" s="27" t="n">
        <v>640.64</v>
      </c>
      <c r="D86" s="27" t="n">
        <v>558</v>
      </c>
      <c r="E86" s="67" t="n">
        <v>82.63999999999999</v>
      </c>
      <c r="F86" s="29" t="n">
        <v>0.001793872966906065</v>
      </c>
    </row>
    <row r="87" hidden="1" outlineLevel="2" ht="15" customHeight="1">
      <c r="A87" s="12" t="inlineStr">
        <is>
          <t xml:space="preserve">    Phone</t>
        </is>
      </c>
      <c r="B87" s="27" t="n">
        <v>672</v>
      </c>
      <c r="C87" s="27" t="n">
        <v>1347.69</v>
      </c>
      <c r="D87" s="27" t="n">
        <v>780</v>
      </c>
      <c r="E87" s="67" t="n">
        <v>567.6900000000001</v>
      </c>
      <c r="F87" s="29" t="n">
        <v>0.003773737270726508</v>
      </c>
    </row>
    <row r="88" hidden="1" outlineLevel="2" ht="15" customHeight="1">
      <c r="A88" s="12" t="inlineStr">
        <is>
          <t xml:space="preserve">    Sewer</t>
        </is>
      </c>
      <c r="B88" s="27" t="n">
        <v>93.34</v>
      </c>
      <c r="C88" s="27" t="n">
        <v>187.19</v>
      </c>
      <c r="D88" s="27" t="n">
        <v>90</v>
      </c>
      <c r="E88" s="67" t="n">
        <v>97.19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312.4</v>
      </c>
      <c r="D90" s="27" t="n">
        <v>234</v>
      </c>
      <c r="E90" s="67" t="n">
        <v>78.39999999999998</v>
      </c>
      <c r="F90" s="29" t="n">
        <v>0.0008747545456265895</v>
      </c>
    </row>
    <row r="91" ht="45" customHeight="1">
      <c r="A91" s="57" t="inlineStr">
        <is>
          <t>Travel</t>
        </is>
      </c>
      <c r="B91" s="58" t="n">
        <v>16222.26</v>
      </c>
      <c r="C91" s="58" t="n">
        <v>32533.65</v>
      </c>
      <c r="D91" s="58" t="n">
        <v>41917</v>
      </c>
      <c r="E91" s="58" t="n">
        <v>-9383.349999999999</v>
      </c>
      <c r="F91" s="60" t="n">
        <v>0.09109902853782113</v>
      </c>
    </row>
    <row r="92" hidden="1" outlineLevel="1" ht="45" customHeight="1">
      <c r="A92" s="6" t="inlineStr">
        <is>
          <t xml:space="preserve">  Travel</t>
        </is>
      </c>
      <c r="B92" s="61" t="n">
        <v>16222.26</v>
      </c>
      <c r="C92" s="61" t="n">
        <v>32533.65</v>
      </c>
      <c r="D92" s="61" t="n">
        <v>41917</v>
      </c>
      <c r="E92" s="61" t="n">
        <v>-9383.349999999999</v>
      </c>
      <c r="F92" s="63" t="n">
        <v>0.09109902853782113</v>
      </c>
    </row>
    <row r="93" hidden="1" outlineLevel="2" ht="30" customHeight="1">
      <c r="A93" s="12" t="inlineStr">
        <is>
          <t xml:space="preserve">    Entertainment &amp; Recreation</t>
        </is>
      </c>
      <c r="B93" s="27" t="n">
        <v>8761.709999999999</v>
      </c>
      <c r="C93" s="27" t="n">
        <v>17571.56</v>
      </c>
      <c r="D93" s="27" t="n">
        <v>3270</v>
      </c>
      <c r="E93" s="67" t="n">
        <v>14301.56</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7464.49</v>
      </c>
      <c r="D95" s="27" t="n">
        <v>8127</v>
      </c>
      <c r="E95" s="27" t="n">
        <v>-662.5100000000002</v>
      </c>
      <c r="F95" s="29" t="n">
        <v>0.0209016749946272</v>
      </c>
    </row>
    <row r="96" hidden="1" outlineLevel="2" ht="15" customHeight="1">
      <c r="A96" s="12" t="inlineStr">
        <is>
          <t xml:space="preserve">    Travel - Housing</t>
        </is>
      </c>
      <c r="B96" s="27" t="n">
        <v>2248</v>
      </c>
      <c r="C96" s="27" t="n">
        <v>4508.35</v>
      </c>
      <c r="D96" s="27" t="n">
        <v>2617</v>
      </c>
      <c r="E96" s="67" t="n">
        <v>1891.35</v>
      </c>
      <c r="F96" s="29" t="n">
        <v>0.01262404967945415</v>
      </c>
    </row>
    <row r="97" hidden="1" outlineLevel="2" ht="15" customHeight="1">
      <c r="A97" s="12" t="inlineStr">
        <is>
          <t xml:space="preserve">    Travel - Insurance</t>
        </is>
      </c>
      <c r="B97" s="27" t="n">
        <v>76</v>
      </c>
      <c r="C97" s="27" t="n">
        <v>152.42</v>
      </c>
      <c r="D97" s="27" t="n">
        <v>159</v>
      </c>
      <c r="E97" s="27" t="n">
        <v>-6.580000000000013</v>
      </c>
      <c r="F97" s="29" t="n">
        <v>0.0004267917151416884</v>
      </c>
    </row>
    <row r="98" hidden="1" outlineLevel="2" ht="30" customHeight="1">
      <c r="A98" s="12" t="inlineStr">
        <is>
          <t xml:space="preserve">    Travel - Plane/Train/Bus</t>
        </is>
      </c>
      <c r="B98" s="27" t="n">
        <v>1414.53</v>
      </c>
      <c r="C98" s="27" t="n">
        <v>2836.83</v>
      </c>
      <c r="D98" s="27" t="n">
        <v>2744</v>
      </c>
      <c r="E98" s="67" t="n">
        <v>92.82999999999993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6229.17</v>
      </c>
      <c r="D102" s="58" t="n">
        <v>5060</v>
      </c>
      <c r="E102" s="65" t="n">
        <v>1169.17</v>
      </c>
      <c r="F102" s="60" t="n">
        <v>0.01744258430020844</v>
      </c>
    </row>
    <row r="103" hidden="1" outlineLevel="1" ht="45" customHeight="1">
      <c r="A103" s="6" t="inlineStr">
        <is>
          <t xml:space="preserve">  Business</t>
        </is>
      </c>
      <c r="B103" s="61" t="n">
        <v>3106.05</v>
      </c>
      <c r="C103" s="61" t="n">
        <v>6229.17</v>
      </c>
      <c r="D103" s="61" t="n">
        <v>5060</v>
      </c>
      <c r="E103" s="66" t="n">
        <v>1169.17</v>
      </c>
      <c r="F103" s="63" t="n">
        <v>0.01744258430020844</v>
      </c>
    </row>
    <row r="104" hidden="1" outlineLevel="2" ht="15" customHeight="1">
      <c r="A104" s="12" t="inlineStr">
        <is>
          <t xml:space="preserve">    Business Auto Expenses</t>
        </is>
      </c>
      <c r="B104" s="27" t="n">
        <v>99.73999999999999</v>
      </c>
      <c r="C104" s="27" t="n">
        <v>200.03</v>
      </c>
      <c r="D104" s="27" t="n">
        <v>131</v>
      </c>
      <c r="E104" s="67" t="n">
        <v>69.03</v>
      </c>
      <c r="F104" s="29" t="n">
        <v>0.0005601079693188421</v>
      </c>
    </row>
    <row r="105" hidden="1" outlineLevel="2" ht="15" customHeight="1">
      <c r="A105" s="12" t="inlineStr">
        <is>
          <t xml:space="preserve">    Business Events</t>
        </is>
      </c>
      <c r="B105" s="27" t="n">
        <v>-48.27</v>
      </c>
      <c r="C105" s="27" t="n">
        <v>-96.81</v>
      </c>
      <c r="D105" s="27" t="n">
        <v>633</v>
      </c>
      <c r="E105" s="27" t="n">
        <v>-729.8099999999999</v>
      </c>
      <c r="F105" s="29" t="n">
        <v>-0.0002710688959195961</v>
      </c>
    </row>
    <row r="106" hidden="1" outlineLevel="2" ht="30" customHeight="1">
      <c r="A106" s="12" t="inlineStr">
        <is>
          <t xml:space="preserve">    Business Hardware and Software</t>
        </is>
      </c>
      <c r="B106" s="27" t="n">
        <v>379.95</v>
      </c>
      <c r="C106" s="27" t="n">
        <v>761.99</v>
      </c>
      <c r="D106" s="27" t="n">
        <v>340</v>
      </c>
      <c r="E106" s="67" t="n">
        <v>421.99</v>
      </c>
      <c r="F106" s="29" t="n">
        <v>0.002133677791685322</v>
      </c>
    </row>
    <row r="107" hidden="1" outlineLevel="2" ht="15" customHeight="1">
      <c r="A107" s="12" t="inlineStr">
        <is>
          <t xml:space="preserve">    Business Memberships</t>
        </is>
      </c>
      <c r="B107" s="27" t="n">
        <v>495</v>
      </c>
      <c r="C107" s="27" t="n">
        <v>992.72</v>
      </c>
      <c r="D107" s="27" t="n">
        <v>2108</v>
      </c>
      <c r="E107" s="27" t="n">
        <v>-1115.28</v>
      </c>
      <c r="F107" s="29" t="n">
        <v>0.002779761828883365</v>
      </c>
    </row>
    <row r="108" hidden="1" outlineLevel="2" ht="15" customHeight="1">
      <c r="A108" s="12" t="inlineStr">
        <is>
          <t xml:space="preserve">    Business Taxi - Uber</t>
        </is>
      </c>
      <c r="B108" s="27" t="n">
        <v>24.44</v>
      </c>
      <c r="C108" s="27" t="n">
        <v>49.01</v>
      </c>
      <c r="D108" s="27" t="n">
        <v>28</v>
      </c>
      <c r="E108" s="67" t="n">
        <v>21.01</v>
      </c>
      <c r="F108" s="29" t="n">
        <v>0.0001372472305008272</v>
      </c>
    </row>
    <row r="109" hidden="1" outlineLevel="2" ht="15" customHeight="1">
      <c r="A109" s="12" t="inlineStr">
        <is>
          <t xml:space="preserve">    Business Travel &amp; Meals</t>
        </is>
      </c>
      <c r="B109" s="27" t="n">
        <v>800.37</v>
      </c>
      <c r="C109" s="27" t="n">
        <v>1605.14</v>
      </c>
      <c r="D109" s="27" t="n">
        <v>1679</v>
      </c>
      <c r="E109" s="27" t="n">
        <v>-73.8599999999999</v>
      </c>
      <c r="F109" s="29" t="n">
        <v>0.004494622171683594</v>
      </c>
    </row>
    <row r="110" hidden="1" outlineLevel="2" ht="30" customHeight="1">
      <c r="A110" s="12" t="inlineStr">
        <is>
          <t xml:space="preserve">    Office Supplies &amp; Expenses</t>
        </is>
      </c>
      <c r="B110" s="27" t="n">
        <v>1354.82</v>
      </c>
      <c r="C110" s="27" t="n">
        <v>2717.08</v>
      </c>
      <c r="D110" s="27" t="n">
        <v>141</v>
      </c>
      <c r="E110" s="67" t="n">
        <v>2576.08</v>
      </c>
      <c r="F110" s="29" t="n">
        <v>0.007608236204056082</v>
      </c>
    </row>
    <row r="111"/>
    <row r="112" ht="30" customHeight="1">
      <c r="A112" s="11" t="inlineStr">
        <is>
          <t>TOTAL SPENDING</t>
        </is>
      </c>
      <c r="B112" s="30" t="n">
        <v>178072.81</v>
      </c>
      <c r="C112" s="30" t="n">
        <v>357124.04</v>
      </c>
      <c r="D112" s="30" t="n">
        <v>336194</v>
      </c>
      <c r="E112" s="68" t="n">
        <v>20930.03999999998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$224,998→Wife_Roth</t>
        </is>
      </c>
      <c r="D15" s="27" t="n">
        <v>48361.91143604762</v>
      </c>
      <c r="E15" s="27" t="n">
        <v>215050.68</v>
      </c>
      <c r="F15" s="27" t="n">
        <v>166688.7685639524</v>
      </c>
      <c r="G15" s="27" t="n">
        <v>1429203.3388384</v>
      </c>
      <c r="H15" s="27" t="n">
        <v>482153.19713486</v>
      </c>
      <c r="I15" s="27" t="n">
        <v>304682.4224866473</v>
      </c>
      <c r="J15" s="28" t="n">
        <v>224998.0885639524</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$214,072→Wife_Roth</t>
        </is>
      </c>
      <c r="D16" s="27" t="n">
        <v>64755.44292036552</v>
      </c>
      <c r="E16" s="27" t="n">
        <v>219351.6936</v>
      </c>
      <c r="F16" s="27" t="n">
        <v>154596.2506796345</v>
      </c>
      <c r="G16" s="27" t="n">
        <v>1514955.529730685</v>
      </c>
      <c r="H16" s="27" t="n">
        <v>272584.413386989</v>
      </c>
      <c r="I16" s="27" t="n">
        <v>26919.6130688699</v>
      </c>
      <c r="J16" s="28" t="n">
        <v>214071.7570796345</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Wife_IRA $60,849→Wife_Roth + Husband_401k $43,258→Husband_Roth + Husband_IRA $41,554→Husband_Roth</t>
        </is>
      </c>
      <c r="D17" s="27" t="n">
        <v>138743.0690029636</v>
      </c>
      <c r="E17" s="27" t="n">
        <v>223738.727472</v>
      </c>
      <c r="F17" s="27" t="n">
        <v>84995.6584690364</v>
      </c>
      <c r="G17" s="27" t="n">
        <v>1575444.888184792</v>
      </c>
      <c r="H17" s="27" t="n">
        <v>60848.95791622531</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$155,297→Husband_Roth</t>
        </is>
      </c>
      <c r="D18" s="27" t="n">
        <v>134795.0286409921</v>
      </c>
      <c r="E18" s="27" t="n">
        <v>228213.50202144</v>
      </c>
      <c r="F18" s="27" t="n">
        <v>93418.47338044789</v>
      </c>
      <c r="G18" s="27" t="n">
        <v>1346459.803512917</v>
      </c>
      <c r="H18" s="27" t="n">
        <v>0</v>
      </c>
      <c r="I18" s="27" t="n">
        <v>-79668.54456287916</v>
      </c>
      <c r="J18" s="28" t="n">
        <v>155296.7902390079</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1100805.680029567</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883808.1290961901</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$116,223→Husband_Roth</t>
        </is>
      </c>
      <c r="D21" s="27" t="n">
        <v>191624.3125698421</v>
      </c>
      <c r="E21" s="27" t="n">
        <v>242181.9940531683</v>
      </c>
      <c r="F21" s="27" t="n">
        <v>50557.68148332619</v>
      </c>
      <c r="G21" s="27" t="n">
        <v>559759.6850388597</v>
      </c>
      <c r="H21" s="27" t="n">
        <v>0</v>
      </c>
      <c r="I21" s="27" t="n">
        <v>-81023.36703733982</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Husband_IRA $123,594→Husband_Roth</t>
        </is>
      </c>
      <c r="D22" s="27" t="n">
        <v>190410.5330882793</v>
      </c>
      <c r="E22" s="27" t="n">
        <v>247025.6339342317</v>
      </c>
      <c r="F22" s="27" t="n">
        <v>56615.1008459524</v>
      </c>
      <c r="G22" s="27" t="n">
        <v>335068.187575056</v>
      </c>
      <c r="H22" s="27" t="n">
        <v>0</v>
      </c>
      <c r="I22" s="27" t="n">
        <v>-148908.7465654061</v>
      </c>
      <c r="J22" s="28" t="n">
        <v>123594.1810203279</v>
      </c>
      <c r="K22" s="12" t="inlineStr">
        <is>
          <t>Tier 2</t>
        </is>
      </c>
      <c r="L22" s="12" t="inlineStr">
        <is>
          <t>IRA balance</t>
        </is>
      </c>
      <c r="M22" s="27" t="n">
        <v>311138.0727082647</v>
      </c>
      <c r="N22" s="27" t="n">
        <v>314004.7141086072</v>
      </c>
      <c r="O22" s="75" t="inlineStr">
        <is>
          <t>✓ OK</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$1,214,021</t>
        </is>
      </c>
      <c r="B31" s="3" t="n"/>
      <c r="C31" s="3" t="n"/>
      <c r="D31" s="3" t="n"/>
      <c r="E31" s="3" t="n"/>
      <c r="F31" s="3" t="n"/>
      <c r="G31" s="3" t="n"/>
      <c r="H31" s="4" t="n"/>
      <c r="I31" s="11" t="inlineStr">
        <is>
          <t>Forced</t>
        </is>
      </c>
      <c r="J31" s="76" t="n">
        <v>0</v>
      </c>
      <c r="K31" s="11" t="inlineStr">
        <is>
          <t>Voluntary</t>
        </is>
      </c>
      <c r="L31" s="76" t="n">
        <v>1214020.635953488</v>
      </c>
      <c r="M31" s="11" t="inlineStr">
        <is>
          <t>Grand Total</t>
        </is>
      </c>
      <c r="N31" s="76" t="n">
        <v>1214020.635953488</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90" customHeight="1">
      <c r="A5" s="77" t="inlineStr">
        <is>
          <t>CACHE — as of 06/29/2026 09:35 AM</t>
        </is>
      </c>
      <c r="B5"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1214020.635953488</v>
      </c>
      <c r="C9" s="107" t="inlineStr">
        <is>
          <t>Exempt in IL (retirement distribution)</t>
        </is>
      </c>
    </row>
    <row r="10" ht="30" customHeight="1">
      <c r="A10" s="2" t="inlineStr">
        <is>
          <t>Total AGI</t>
        </is>
      </c>
      <c r="B10" s="105" t="n">
        <v>6796536.800892284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218732.1304958794</v>
      </c>
      <c r="F14" s="105" t="n">
        <v>46788.32477457881</v>
      </c>
      <c r="G14" s="105" t="n">
        <v>1631142.95966165</v>
      </c>
      <c r="H14" s="2" t="inlineStr">
        <is>
          <t>Baseline</t>
        </is>
      </c>
      <c r="I14" s="2" t="inlineStr">
        <is>
          <t>Exempt</t>
        </is>
      </c>
    </row>
    <row r="15" ht="30" customHeight="1">
      <c r="A15" s="12" t="inlineStr">
        <is>
          <t>New York</t>
        </is>
      </c>
      <c r="B15" s="12" t="inlineStr">
        <is>
          <t>6.9%</t>
        </is>
      </c>
      <c r="C15" s="103" t="n">
        <v>212164.7412291101</v>
      </c>
      <c r="D15" s="108" t="n">
        <v>1030988.053870389</v>
      </c>
      <c r="E15" s="108" t="n">
        <v>199983.6621676612</v>
      </c>
      <c r="F15" s="108" t="n">
        <v>0</v>
      </c>
      <c r="G15" s="109" t="n">
        <v>1443136.457267161</v>
      </c>
      <c r="H15" s="109" t="n">
        <v>-188006.5023944888</v>
      </c>
      <c r="I15" s="110" t="n">
        <v>3897266.314439924</v>
      </c>
    </row>
    <row r="16" ht="15" customHeight="1">
      <c r="A16" s="12" t="inlineStr">
        <is>
          <t>Texas</t>
        </is>
      </c>
      <c r="B16" s="12" t="inlineStr">
        <is>
          <t>None</t>
        </is>
      </c>
      <c r="C16" s="103" t="n">
        <v>0</v>
      </c>
      <c r="D16" s="108" t="n">
        <v>1104630.057718274</v>
      </c>
      <c r="E16" s="108" t="n">
        <v>204983.2537218528</v>
      </c>
      <c r="F16" s="108" t="n">
        <v>0</v>
      </c>
      <c r="G16" s="109" t="n">
        <v>1309613.311440127</v>
      </c>
      <c r="H16" s="109" t="n">
        <v>-321529.6482215226</v>
      </c>
      <c r="I16" s="75" t="inlineStr">
        <is>
          <t>Exempt</t>
        </is>
      </c>
    </row>
    <row r="17" ht="30" customHeight="1">
      <c r="A17" s="12" t="inlineStr">
        <is>
          <t>North Carolina</t>
        </is>
      </c>
      <c r="B17" s="12" t="inlineStr">
        <is>
          <t>4.5%</t>
        </is>
      </c>
      <c r="C17" s="103" t="n">
        <v>206222.0764000436</v>
      </c>
      <c r="D17" s="108" t="n">
        <v>521630.8605891851</v>
      </c>
      <c r="E17" s="108" t="n">
        <v>174985.7043967036</v>
      </c>
      <c r="F17" s="108" t="n">
        <v>0</v>
      </c>
      <c r="G17" s="109" t="n">
        <v>902838.6413859323</v>
      </c>
      <c r="H17" s="109" t="n">
        <v>-728304.3182757174</v>
      </c>
      <c r="I17" s="110" t="n">
        <v>3897266.314439924</v>
      </c>
    </row>
    <row r="18" ht="30" customHeight="1">
      <c r="A18" s="12" t="inlineStr">
        <is>
          <t>California</t>
        </is>
      </c>
      <c r="B18" s="12" t="inlineStr">
        <is>
          <t>9.3%</t>
        </is>
      </c>
      <c r="C18" s="103" t="n">
        <v>228715.3079472797</v>
      </c>
      <c r="D18" s="108" t="n">
        <v>447988.8567413002</v>
      </c>
      <c r="E18" s="108" t="n">
        <v>218732.1304958794</v>
      </c>
      <c r="F18" s="108" t="n">
        <v>0</v>
      </c>
      <c r="G18" s="109" t="n">
        <v>895436.2951844594</v>
      </c>
      <c r="H18" s="109" t="n">
        <v>-735706.6644771904</v>
      </c>
      <c r="I18" s="110" t="n">
        <v>3897266.314439924</v>
      </c>
    </row>
    <row r="19" ht="30" customHeight="1">
      <c r="A19" s="12" t="inlineStr">
        <is>
          <t>Indiana</t>
        </is>
      </c>
      <c r="B19" s="12" t="inlineStr">
        <is>
          <t>3.0%</t>
        </is>
      </c>
      <c r="C19" s="103" t="n">
        <v>139772.7406711406</v>
      </c>
      <c r="D19" s="108" t="n">
        <v>533904.5278971659</v>
      </c>
      <c r="E19" s="108" t="n">
        <v>174985.7043967036</v>
      </c>
      <c r="F19" s="108" t="n">
        <v>0</v>
      </c>
      <c r="G19" s="109" t="n">
        <v>848662.9729650101</v>
      </c>
      <c r="H19" s="109" t="n">
        <v>-782479.9866966397</v>
      </c>
      <c r="I19" s="110" t="n">
        <v>3897266.314439924</v>
      </c>
    </row>
    <row r="20" ht="30" customHeight="1">
      <c r="A20" s="12" t="inlineStr">
        <is>
          <t>Arizona</t>
        </is>
      </c>
      <c r="B20" s="12" t="inlineStr">
        <is>
          <t>2.5%</t>
        </is>
      </c>
      <c r="C20" s="103" t="n">
        <v>114567.8202222465</v>
      </c>
      <c r="D20" s="108" t="n">
        <v>386620.520201396</v>
      </c>
      <c r="E20" s="108" t="n">
        <v>209982.8452760443</v>
      </c>
      <c r="F20" s="108" t="n">
        <v>0</v>
      </c>
      <c r="G20" s="109" t="n">
        <v>711171.1856996868</v>
      </c>
      <c r="H20" s="109" t="n">
        <v>-919971.773961963</v>
      </c>
      <c r="I20" s="110" t="n">
        <v>3897266.314439924</v>
      </c>
    </row>
    <row r="21" ht="30" customHeight="1">
      <c r="A21" s="12" t="inlineStr">
        <is>
          <t>Colorado</t>
        </is>
      </c>
      <c r="B21" s="12" t="inlineStr">
        <is>
          <t>4.4%</t>
        </is>
      </c>
      <c r="C21" s="103" t="n">
        <v>169760.8355911537</v>
      </c>
      <c r="D21" s="108" t="n">
        <v>337525.8509694727</v>
      </c>
      <c r="E21" s="108" t="n">
        <v>192484.2748363739</v>
      </c>
      <c r="F21" s="108" t="n">
        <v>0</v>
      </c>
      <c r="G21" s="109" t="n">
        <v>699770.9613970004</v>
      </c>
      <c r="H21" s="109" t="n">
        <v>-931371.9982646494</v>
      </c>
      <c r="I21" s="110" t="n">
        <v>3172754.314439924</v>
      </c>
    </row>
    <row r="22" ht="15" customHeight="1">
      <c r="A22" s="12" t="inlineStr">
        <is>
          <t>Florida</t>
        </is>
      </c>
      <c r="B22" s="12" t="inlineStr">
        <is>
          <t>None</t>
        </is>
      </c>
      <c r="C22" s="103" t="n">
        <v>0</v>
      </c>
      <c r="D22" s="108" t="n">
        <v>509357.1932812044</v>
      </c>
      <c r="E22" s="108" t="n">
        <v>176735.5614406706</v>
      </c>
      <c r="F22" s="108" t="n">
        <v>0</v>
      </c>
      <c r="G22" s="109" t="n">
        <v>686092.754721875</v>
      </c>
      <c r="H22" s="109" t="n">
        <v>-945050.2049397748</v>
      </c>
      <c r="I22" s="75" t="inlineStr">
        <is>
          <t>Exempt</t>
        </is>
      </c>
    </row>
    <row r="23" ht="15" customHeight="1">
      <c r="A23" s="12" t="inlineStr">
        <is>
          <t>Tennessee</t>
        </is>
      </c>
      <c r="B23" s="12" t="inlineStr">
        <is>
          <t>None</t>
        </is>
      </c>
      <c r="C23" s="103" t="n">
        <v>0</v>
      </c>
      <c r="D23" s="108" t="n">
        <v>435715.1894333194</v>
      </c>
      <c r="E23" s="108" t="n">
        <v>238730.4967126456</v>
      </c>
      <c r="F23" s="108" t="n">
        <v>0</v>
      </c>
      <c r="G23" s="109" t="n">
        <v>674445.686145965</v>
      </c>
      <c r="H23" s="109" t="n">
        <v>-956697.2735156848</v>
      </c>
      <c r="I23" s="75" t="inlineStr">
        <is>
          <t>Exempt</t>
        </is>
      </c>
    </row>
    <row r="24" ht="15" customHeight="1">
      <c r="A24" s="12" t="inlineStr">
        <is>
          <t>Nevada</t>
        </is>
      </c>
      <c r="B24" s="12" t="inlineStr">
        <is>
          <t>None</t>
        </is>
      </c>
      <c r="C24" s="103" t="n">
        <v>0</v>
      </c>
      <c r="D24" s="108" t="n">
        <v>337525.8509694727</v>
      </c>
      <c r="E24" s="108" t="n">
        <v>205733.1924549815</v>
      </c>
      <c r="F24" s="108" t="n">
        <v>0</v>
      </c>
      <c r="G24" s="109" t="n">
        <v>543259.0434244542</v>
      </c>
      <c r="H24" s="109" t="n">
        <v>-1087883.916237195</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3728073.032124032</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361580.8756473166</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10918786.73733069</v>
      </c>
      <c r="E12" s="111" t="n">
        <v>8346830.83005958</v>
      </c>
      <c r="F12" s="111" t="n">
        <v>3761976.770377344</v>
      </c>
      <c r="G12" s="111" t="n">
        <v>3861406.753164189</v>
      </c>
      <c r="H12" s="111" t="n">
        <v>1143284.257048528</v>
      </c>
      <c r="I12" s="111" t="n">
        <v>1231087.645893081</v>
      </c>
      <c r="J12" s="111" t="n">
        <v>58363.2</v>
      </c>
    </row>
    <row r="13" ht="15" customHeight="1">
      <c r="A13" s="12" t="n">
        <v>2</v>
      </c>
      <c r="B13" s="12" t="n">
        <v>62</v>
      </c>
      <c r="C13" s="12" t="n">
        <v>63</v>
      </c>
      <c r="D13" s="108" t="n">
        <v>10820750.29858425</v>
      </c>
      <c r="E13" s="108" t="n">
        <v>8260909.027660308</v>
      </c>
      <c r="F13" s="108" t="n">
        <v>3676054.967978073</v>
      </c>
      <c r="G13" s="108" t="n">
        <v>3828424.589535601</v>
      </c>
      <c r="H13" s="108" t="n">
        <v>1110302.09341994</v>
      </c>
      <c r="I13" s="108" t="n">
        <v>1212387.318611661</v>
      </c>
      <c r="J13" s="108" t="n">
        <v>56196</v>
      </c>
    </row>
    <row r="14" ht="15" customHeight="1">
      <c r="A14" s="12" t="n">
        <v>3</v>
      </c>
      <c r="B14" s="12" t="n">
        <v>63</v>
      </c>
      <c r="C14" s="12" t="n">
        <v>62</v>
      </c>
      <c r="D14" s="108" t="n">
        <v>10797138.74672845</v>
      </c>
      <c r="E14" s="108" t="n">
        <v>8242601.68181888</v>
      </c>
      <c r="F14" s="108" t="n">
        <v>3657747.622136645</v>
      </c>
      <c r="G14" s="108" t="n">
        <v>3818675.058887597</v>
      </c>
      <c r="H14" s="108" t="n">
        <v>1100552.562771935</v>
      </c>
      <c r="I14" s="108" t="n">
        <v>1207941.993978032</v>
      </c>
      <c r="J14" s="108" t="n">
        <v>56196</v>
      </c>
    </row>
    <row r="15" ht="15" customHeight="1">
      <c r="A15" s="12" t="n">
        <v>4</v>
      </c>
      <c r="B15" s="12" t="n">
        <v>62</v>
      </c>
      <c r="C15" s="12" t="n">
        <v>64</v>
      </c>
      <c r="D15" s="108" t="n">
        <v>10752803.3475482</v>
      </c>
      <c r="E15" s="108" t="n">
        <v>8204474.276167406</v>
      </c>
      <c r="F15" s="108" t="n">
        <v>3619620.216485171</v>
      </c>
      <c r="G15" s="108" t="n">
        <v>3796089.134997769</v>
      </c>
      <c r="H15" s="108" t="n">
        <v>1077966.638882108</v>
      </c>
      <c r="I15" s="108" t="n">
        <v>1193731.263616978</v>
      </c>
      <c r="J15" s="108" t="n">
        <v>54028.8</v>
      </c>
    </row>
    <row r="16" ht="15" customHeight="1">
      <c r="A16" s="12" t="n">
        <v>5</v>
      </c>
      <c r="B16" s="12" t="n">
        <v>63</v>
      </c>
      <c r="C16" s="12" t="n">
        <v>63</v>
      </c>
      <c r="D16" s="108" t="n">
        <v>10721487.38312175</v>
      </c>
      <c r="E16" s="108" t="n">
        <v>8180192.826173966</v>
      </c>
      <c r="F16" s="108" t="n">
        <v>3595338.766491731</v>
      </c>
      <c r="G16" s="108" t="n">
        <v>3785692.895259009</v>
      </c>
      <c r="H16" s="108" t="n">
        <v>1067570.399143348</v>
      </c>
      <c r="I16" s="108" t="n">
        <v>1190369.538311228</v>
      </c>
      <c r="J16" s="108" t="n">
        <v>54028.8</v>
      </c>
    </row>
    <row r="17" ht="15" customHeight="1">
      <c r="A17" s="12" t="n">
        <v>6</v>
      </c>
      <c r="B17" s="12" t="n">
        <v>64</v>
      </c>
      <c r="C17" s="12" t="n">
        <v>62</v>
      </c>
      <c r="D17" s="108" t="n">
        <v>10700065.47873857</v>
      </c>
      <c r="E17" s="108" t="n">
        <v>8163813.141295178</v>
      </c>
      <c r="F17" s="108" t="n">
        <v>3578959.081612943</v>
      </c>
      <c r="G17" s="108" t="n">
        <v>3776781.240969369</v>
      </c>
      <c r="H17" s="108" t="n">
        <v>1058658.744853708</v>
      </c>
      <c r="I17" s="108" t="n">
        <v>1186500.103525976</v>
      </c>
      <c r="J17" s="108" t="n">
        <v>54028.8</v>
      </c>
    </row>
    <row r="18" ht="15" customHeight="1">
      <c r="A18" s="12" t="n">
        <v>7</v>
      </c>
      <c r="B18" s="12" t="n">
        <v>62</v>
      </c>
      <c r="C18" s="12" t="n">
        <v>65</v>
      </c>
      <c r="D18" s="108" t="n">
        <v>10658351.79778752</v>
      </c>
      <c r="E18" s="108" t="n">
        <v>8123108.241788847</v>
      </c>
      <c r="F18" s="108" t="n">
        <v>3538254.182106612</v>
      </c>
      <c r="G18" s="108" t="n">
        <v>3764387.708980287</v>
      </c>
      <c r="H18" s="108" t="n">
        <v>1046265.212864626</v>
      </c>
      <c r="I18" s="108" t="n">
        <v>1177282.552981614</v>
      </c>
      <c r="J18" s="108" t="n">
        <v>51861.6</v>
      </c>
    </row>
    <row r="19" ht="15" customHeight="1">
      <c r="A19" s="12" t="n">
        <v>8</v>
      </c>
      <c r="B19" s="12" t="n">
        <v>63</v>
      </c>
      <c r="C19" s="12" t="n">
        <v>64</v>
      </c>
      <c r="D19" s="108" t="n">
        <v>10627447.02279323</v>
      </c>
      <c r="E19" s="108" t="n">
        <v>8099137.378737472</v>
      </c>
      <c r="F19" s="108" t="n">
        <v>3514283.319055237</v>
      </c>
      <c r="G19" s="108" t="n">
        <v>3753357.440721177</v>
      </c>
      <c r="H19" s="108" t="n">
        <v>1035234.944605516</v>
      </c>
      <c r="I19" s="108" t="n">
        <v>1173186.196665424</v>
      </c>
      <c r="J19" s="108" t="n">
        <v>51861.6</v>
      </c>
    </row>
    <row r="20" ht="15" customHeight="1">
      <c r="A20" s="12" t="n">
        <v>9</v>
      </c>
      <c r="B20" s="12" t="n">
        <v>64</v>
      </c>
      <c r="C20" s="12" t="n">
        <v>63</v>
      </c>
      <c r="D20" s="108" t="n">
        <v>10601363.7219867</v>
      </c>
      <c r="E20" s="108" t="n">
        <v>8079179.914830332</v>
      </c>
      <c r="F20" s="108" t="n">
        <v>3494325.855148097</v>
      </c>
      <c r="G20" s="108" t="n">
        <v>3743799.077340781</v>
      </c>
      <c r="H20" s="108" t="n">
        <v>1025676.58122512</v>
      </c>
      <c r="I20" s="108" t="n">
        <v>1169753.670184412</v>
      </c>
      <c r="J20" s="108" t="n">
        <v>51861.6</v>
      </c>
    </row>
    <row r="21" ht="15" customHeight="1">
      <c r="A21" s="12" t="n">
        <v>10</v>
      </c>
      <c r="B21" s="12" t="n">
        <v>63</v>
      </c>
      <c r="C21" s="12" t="n">
        <v>65</v>
      </c>
      <c r="D21" s="108" t="n">
        <v>10569698.61750923</v>
      </c>
      <c r="E21" s="108" t="n">
        <v>8056122.159867764</v>
      </c>
      <c r="F21" s="108" t="n">
        <v>3471268.100185528</v>
      </c>
      <c r="G21" s="108" t="n">
        <v>3721656.014703695</v>
      </c>
      <c r="H21" s="108" t="n">
        <v>1003533.518588034</v>
      </c>
      <c r="I21" s="108" t="n">
        <v>1158845.957062233</v>
      </c>
      <c r="J21" s="108" t="n">
        <v>49233.6</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10918786.73733069</v>
      </c>
      <c r="D26" s="111" t="n">
        <v>8346830.83005958</v>
      </c>
      <c r="E26" s="111" t="n">
        <v>3761976.770377344</v>
      </c>
      <c r="F26" s="111" t="n">
        <v>3861406.753164189</v>
      </c>
      <c r="G26" s="111" t="n">
        <v>1143284.257048528</v>
      </c>
      <c r="H26" s="111" t="n">
        <v>1231087.645893081</v>
      </c>
      <c r="I26" s="111" t="n">
        <v>58363.2</v>
      </c>
      <c r="J26" s="75" t="n">
        <v>2</v>
      </c>
    </row>
    <row r="27" ht="30" customHeight="1">
      <c r="A27" s="12" t="n">
        <v>62</v>
      </c>
      <c r="B27" s="12" t="n">
        <v>63</v>
      </c>
      <c r="C27" s="103" t="n">
        <v>10820750.29858425</v>
      </c>
      <c r="D27" s="108" t="n">
        <v>8260909.027660308</v>
      </c>
      <c r="E27" s="108" t="n">
        <v>3676054.967978073</v>
      </c>
      <c r="F27" s="108" t="n">
        <v>3828424.589535601</v>
      </c>
      <c r="G27" s="108" t="n">
        <v>1110302.09341994</v>
      </c>
      <c r="H27" s="108" t="n">
        <v>1212387.318611661</v>
      </c>
      <c r="I27" s="108" t="n">
        <v>56196</v>
      </c>
      <c r="J27" s="33" t="n">
        <v>2</v>
      </c>
    </row>
    <row r="28" ht="30" customHeight="1">
      <c r="A28" s="12" t="n">
        <v>62</v>
      </c>
      <c r="B28" s="12" t="n">
        <v>64</v>
      </c>
      <c r="C28" s="103" t="n">
        <v>10752803.3475482</v>
      </c>
      <c r="D28" s="108" t="n">
        <v>8204474.276167406</v>
      </c>
      <c r="E28" s="108" t="n">
        <v>3619620.216485171</v>
      </c>
      <c r="F28" s="108" t="n">
        <v>3796089.134997769</v>
      </c>
      <c r="G28" s="108" t="n">
        <v>1077966.638882108</v>
      </c>
      <c r="H28" s="108" t="n">
        <v>1193731.263616978</v>
      </c>
      <c r="I28" s="108" t="n">
        <v>54028.8</v>
      </c>
      <c r="J28" s="33" t="n">
        <v>2</v>
      </c>
    </row>
    <row r="29" ht="30" customHeight="1">
      <c r="A29" s="12" t="n">
        <v>62</v>
      </c>
      <c r="B29" s="12" t="n">
        <v>65</v>
      </c>
      <c r="C29" s="103" t="n">
        <v>10658351.79778752</v>
      </c>
      <c r="D29" s="108" t="n">
        <v>8123108.241788847</v>
      </c>
      <c r="E29" s="108" t="n">
        <v>3538254.182106612</v>
      </c>
      <c r="F29" s="108" t="n">
        <v>3764387.708980287</v>
      </c>
      <c r="G29" s="108" t="n">
        <v>1046265.212864626</v>
      </c>
      <c r="H29" s="108" t="n">
        <v>1177282.552981614</v>
      </c>
      <c r="I29" s="108" t="n">
        <v>51861.6</v>
      </c>
      <c r="J29" s="33" t="n">
        <v>2</v>
      </c>
    </row>
    <row r="30" ht="30" customHeight="1">
      <c r="A30" s="12" t="n">
        <v>62</v>
      </c>
      <c r="B30" s="12" t="n">
        <v>66</v>
      </c>
      <c r="C30" s="103" t="n">
        <v>10381734.02496014</v>
      </c>
      <c r="D30" s="108" t="n">
        <v>7864543.346587637</v>
      </c>
      <c r="E30" s="108" t="n">
        <v>3279689.286905402</v>
      </c>
      <c r="F30" s="108" t="n">
        <v>3684201.997198442</v>
      </c>
      <c r="G30" s="108" t="n">
        <v>966079.5010827812</v>
      </c>
      <c r="H30" s="108" t="n">
        <v>1121258.91882594</v>
      </c>
      <c r="I30" s="108" t="n">
        <v>45752.4</v>
      </c>
      <c r="J30" s="33" t="n">
        <v>3</v>
      </c>
    </row>
    <row r="31" ht="30" customHeight="1">
      <c r="A31" s="12" t="n">
        <v>62</v>
      </c>
      <c r="B31" s="12" t="n">
        <v>67</v>
      </c>
      <c r="C31" s="103" t="n">
        <v>10021633.77427453</v>
      </c>
      <c r="D31" s="108" t="n">
        <v>7534183.80454416</v>
      </c>
      <c r="E31" s="108" t="n">
        <v>2949329.744861925</v>
      </c>
      <c r="F31" s="108" t="n">
        <v>3605588.554275065</v>
      </c>
      <c r="G31" s="108" t="n">
        <v>887466.058159404</v>
      </c>
      <c r="H31" s="108" t="n">
        <v>1074553.384544695</v>
      </c>
      <c r="I31" s="108" t="n">
        <v>43585.2</v>
      </c>
      <c r="J31" s="33" t="n">
        <v>4</v>
      </c>
    </row>
    <row r="32" ht="30" customHeight="1">
      <c r="A32" s="12" t="n">
        <v>62</v>
      </c>
      <c r="B32" s="12" t="n">
        <v>68</v>
      </c>
      <c r="C32" s="103" t="n">
        <v>9722088.869266087</v>
      </c>
      <c r="D32" s="108" t="n">
        <v>7272279.121831209</v>
      </c>
      <c r="E32" s="108" t="n">
        <v>2687425.062148974</v>
      </c>
      <c r="F32" s="108" t="n">
        <v>3528516.551409009</v>
      </c>
      <c r="G32" s="108" t="n">
        <v>810394.0552933477</v>
      </c>
      <c r="H32" s="108" t="n">
        <v>1038404.803974132</v>
      </c>
      <c r="I32" s="108" t="n">
        <v>40302</v>
      </c>
      <c r="J32" s="33" t="n">
        <v>5</v>
      </c>
    </row>
    <row r="33" ht="30" customHeight="1">
      <c r="A33" s="12" t="n">
        <v>62</v>
      </c>
      <c r="B33" s="12" t="n">
        <v>69</v>
      </c>
      <c r="C33" s="103" t="n">
        <v>9407090.957381656</v>
      </c>
      <c r="D33" s="108" t="n">
        <v>7007308.528416655</v>
      </c>
      <c r="E33" s="108" t="n">
        <v>2422454.46873442</v>
      </c>
      <c r="F33" s="108" t="n">
        <v>3452955.764285424</v>
      </c>
      <c r="G33" s="108" t="n">
        <v>734833.268169763</v>
      </c>
      <c r="H33" s="108" t="n">
        <v>1012871.335320422</v>
      </c>
      <c r="I33" s="108" t="n">
        <v>40302</v>
      </c>
      <c r="J33" s="33" t="n">
        <v>6</v>
      </c>
    </row>
    <row r="34" ht="30" customHeight="1">
      <c r="A34" s="12" t="n">
        <v>62</v>
      </c>
      <c r="B34" s="12" t="n">
        <v>70</v>
      </c>
      <c r="C34" s="103" t="n">
        <v>9105722.097317608</v>
      </c>
      <c r="D34" s="108" t="n">
        <v>6760369.316589261</v>
      </c>
      <c r="E34" s="108" t="n">
        <v>2175515.256907026</v>
      </c>
      <c r="F34" s="108" t="n">
        <v>3378876.561223086</v>
      </c>
      <c r="G34" s="108" t="n">
        <v>660754.0651074252</v>
      </c>
      <c r="H34" s="108" t="n">
        <v>993221.7804947403</v>
      </c>
      <c r="I34" s="108" t="n">
        <v>40302</v>
      </c>
      <c r="J34" s="33" t="n">
        <v>7</v>
      </c>
    </row>
    <row r="35" ht="30" customHeight="1">
      <c r="A35" s="12" t="n">
        <v>63</v>
      </c>
      <c r="B35" s="12" t="n">
        <v>62</v>
      </c>
      <c r="C35" s="103" t="n">
        <v>10797138.74672845</v>
      </c>
      <c r="D35" s="108" t="n">
        <v>8242601.68181888</v>
      </c>
      <c r="E35" s="108" t="n">
        <v>3657747.622136645</v>
      </c>
      <c r="F35" s="108" t="n">
        <v>3818675.058887597</v>
      </c>
      <c r="G35" s="108" t="n">
        <v>1100552.562771935</v>
      </c>
      <c r="H35" s="108" t="n">
        <v>1207941.993978032</v>
      </c>
      <c r="I35" s="108" t="n">
        <v>56196</v>
      </c>
      <c r="J35" s="33" t="n">
        <v>2</v>
      </c>
    </row>
    <row r="36" ht="30" customHeight="1">
      <c r="A36" s="12" t="n">
        <v>63</v>
      </c>
      <c r="B36" s="12" t="n">
        <v>63</v>
      </c>
      <c r="C36" s="103" t="n">
        <v>10721487.38312175</v>
      </c>
      <c r="D36" s="108" t="n">
        <v>8180192.826173966</v>
      </c>
      <c r="E36" s="108" t="n">
        <v>3595338.766491731</v>
      </c>
      <c r="F36" s="108" t="n">
        <v>3785692.895259009</v>
      </c>
      <c r="G36" s="108" t="n">
        <v>1067570.399143348</v>
      </c>
      <c r="H36" s="108" t="n">
        <v>1190369.538311228</v>
      </c>
      <c r="I36" s="108" t="n">
        <v>54028.8</v>
      </c>
      <c r="J36" s="33" t="n">
        <v>2</v>
      </c>
    </row>
    <row r="37" ht="30" customHeight="1">
      <c r="A37" s="12" t="n">
        <v>63</v>
      </c>
      <c r="B37" s="12" t="n">
        <v>64</v>
      </c>
      <c r="C37" s="103" t="n">
        <v>10627447.02279323</v>
      </c>
      <c r="D37" s="108" t="n">
        <v>8099137.378737472</v>
      </c>
      <c r="E37" s="108" t="n">
        <v>3514283.319055237</v>
      </c>
      <c r="F37" s="108" t="n">
        <v>3753357.440721177</v>
      </c>
      <c r="G37" s="108" t="n">
        <v>1035234.944605516</v>
      </c>
      <c r="H37" s="108" t="n">
        <v>1173186.196665424</v>
      </c>
      <c r="I37" s="108" t="n">
        <v>51861.6</v>
      </c>
      <c r="J37" s="33" t="n">
        <v>2</v>
      </c>
    </row>
    <row r="38" ht="30" customHeight="1">
      <c r="A38" s="12" t="n">
        <v>63</v>
      </c>
      <c r="B38" s="12" t="n">
        <v>65</v>
      </c>
      <c r="C38" s="103" t="n">
        <v>10569698.61750923</v>
      </c>
      <c r="D38" s="108" t="n">
        <v>8056122.159867764</v>
      </c>
      <c r="E38" s="108" t="n">
        <v>3471268.100185528</v>
      </c>
      <c r="F38" s="108" t="n">
        <v>3721656.014703695</v>
      </c>
      <c r="G38" s="108" t="n">
        <v>1003533.518588034</v>
      </c>
      <c r="H38" s="108" t="n">
        <v>1158845.957062233</v>
      </c>
      <c r="I38" s="108" t="n">
        <v>49233.6</v>
      </c>
      <c r="J38" s="33" t="n">
        <v>2</v>
      </c>
    </row>
    <row r="39" ht="30" customHeight="1">
      <c r="A39" s="12" t="n">
        <v>63</v>
      </c>
      <c r="B39" s="12" t="n">
        <v>66</v>
      </c>
      <c r="C39" s="103" t="n">
        <v>10251546.20548443</v>
      </c>
      <c r="D39" s="108" t="n">
        <v>7758535.489172266</v>
      </c>
      <c r="E39" s="108" t="n">
        <v>3173681.429490031</v>
      </c>
      <c r="F39" s="108" t="n">
        <v>3641470.30292185</v>
      </c>
      <c r="G39" s="108" t="n">
        <v>923347.806806189</v>
      </c>
      <c r="H39" s="108" t="n">
        <v>1104874.386609686</v>
      </c>
      <c r="I39" s="108" t="n">
        <v>43585.2</v>
      </c>
      <c r="J39" s="33" t="n">
        <v>3</v>
      </c>
    </row>
    <row r="40" ht="30" customHeight="1">
      <c r="A40" s="12" t="n">
        <v>63</v>
      </c>
      <c r="B40" s="12" t="n">
        <v>67</v>
      </c>
      <c r="C40" s="103" t="n">
        <v>9893662.637584249</v>
      </c>
      <c r="D40" s="108" t="n">
        <v>7436497.933064532</v>
      </c>
      <c r="E40" s="108" t="n">
        <v>2851643.873382296</v>
      </c>
      <c r="F40" s="108" t="n">
        <v>3562856.859998473</v>
      </c>
      <c r="G40" s="108" t="n">
        <v>844734.3638828117</v>
      </c>
      <c r="H40" s="108" t="n">
        <v>1062106.955478756</v>
      </c>
      <c r="I40" s="108" t="n">
        <v>43585.2</v>
      </c>
      <c r="J40" s="33" t="n">
        <v>4</v>
      </c>
    </row>
    <row r="41" ht="30" customHeight="1">
      <c r="A41" s="12" t="n">
        <v>63</v>
      </c>
      <c r="B41" s="12" t="n">
        <v>68</v>
      </c>
      <c r="C41" s="103" t="n">
        <v>9590512.869817659</v>
      </c>
      <c r="D41" s="108" t="n">
        <v>7173617.451153703</v>
      </c>
      <c r="E41" s="108" t="n">
        <v>2588763.391471468</v>
      </c>
      <c r="F41" s="108" t="n">
        <v>3485784.857132417</v>
      </c>
      <c r="G41" s="108" t="n">
        <v>767662.3610167555</v>
      </c>
      <c r="H41" s="108" t="n">
        <v>1028587.43846846</v>
      </c>
      <c r="I41" s="108" t="n">
        <v>40302</v>
      </c>
      <c r="J41" s="33" t="n">
        <v>5</v>
      </c>
    </row>
    <row r="42" ht="30" customHeight="1">
      <c r="A42" s="12" t="n">
        <v>63</v>
      </c>
      <c r="B42" s="12" t="n">
        <v>69</v>
      </c>
      <c r="C42" s="103" t="n">
        <v>9274830.637365172</v>
      </c>
      <c r="D42" s="108" t="n">
        <v>6908781.230682355</v>
      </c>
      <c r="E42" s="108" t="n">
        <v>2323927.17100012</v>
      </c>
      <c r="F42" s="108" t="n">
        <v>3410224.070008832</v>
      </c>
      <c r="G42" s="108" t="n">
        <v>692101.5738931708</v>
      </c>
      <c r="H42" s="108" t="n">
        <v>1003872.663326016</v>
      </c>
      <c r="I42" s="108" t="n">
        <v>40302</v>
      </c>
      <c r="J42" s="33" t="n">
        <v>6</v>
      </c>
    </row>
    <row r="43" ht="30" customHeight="1">
      <c r="A43" s="12" t="n">
        <v>63</v>
      </c>
      <c r="B43" s="12" t="n">
        <v>70</v>
      </c>
      <c r="C43" s="103" t="n">
        <v>8969168.29011932</v>
      </c>
      <c r="D43" s="108" t="n">
        <v>6659326.497089846</v>
      </c>
      <c r="E43" s="108" t="n">
        <v>2074472.437407611</v>
      </c>
      <c r="F43" s="108" t="n">
        <v>3336144.866946495</v>
      </c>
      <c r="G43" s="108" t="n">
        <v>618022.3708308334</v>
      </c>
      <c r="H43" s="108" t="n">
        <v>986001.0739170199</v>
      </c>
      <c r="I43" s="108" t="n">
        <v>40302</v>
      </c>
      <c r="J43" s="33" t="n">
        <v>7</v>
      </c>
    </row>
    <row r="44" ht="30" customHeight="1">
      <c r="A44" s="12" t="n">
        <v>64</v>
      </c>
      <c r="B44" s="12" t="n">
        <v>62</v>
      </c>
      <c r="C44" s="103" t="n">
        <v>10700065.47873857</v>
      </c>
      <c r="D44" s="108" t="n">
        <v>8163813.141295178</v>
      </c>
      <c r="E44" s="108" t="n">
        <v>3578959.081612943</v>
      </c>
      <c r="F44" s="108" t="n">
        <v>3776781.240969369</v>
      </c>
      <c r="G44" s="108" t="n">
        <v>1058658.744853708</v>
      </c>
      <c r="H44" s="108" t="n">
        <v>1186500.103525976</v>
      </c>
      <c r="I44" s="108" t="n">
        <v>54028.8</v>
      </c>
      <c r="J44" s="33" t="n">
        <v>2</v>
      </c>
    </row>
    <row r="45" ht="30" customHeight="1">
      <c r="A45" s="12" t="n">
        <v>64</v>
      </c>
      <c r="B45" s="12" t="n">
        <v>63</v>
      </c>
      <c r="C45" s="103" t="n">
        <v>10601363.7219867</v>
      </c>
      <c r="D45" s="108" t="n">
        <v>8079179.914830332</v>
      </c>
      <c r="E45" s="108" t="n">
        <v>3494325.855148097</v>
      </c>
      <c r="F45" s="108" t="n">
        <v>3743799.077340781</v>
      </c>
      <c r="G45" s="108" t="n">
        <v>1025676.58122512</v>
      </c>
      <c r="H45" s="108" t="n">
        <v>1169753.670184412</v>
      </c>
      <c r="I45" s="108" t="n">
        <v>51861.6</v>
      </c>
      <c r="J45" s="33" t="n">
        <v>2</v>
      </c>
    </row>
    <row r="46" ht="30" customHeight="1">
      <c r="A46" s="12" t="n">
        <v>64</v>
      </c>
      <c r="B46" s="12" t="n">
        <v>64</v>
      </c>
      <c r="C46" s="103" t="n">
        <v>10540729.3043633</v>
      </c>
      <c r="D46" s="108" t="n">
        <v>8033778.499477321</v>
      </c>
      <c r="E46" s="108" t="n">
        <v>3448924.439795086</v>
      </c>
      <c r="F46" s="108" t="n">
        <v>3711463.62280295</v>
      </c>
      <c r="G46" s="108" t="n">
        <v>993341.1266872883</v>
      </c>
      <c r="H46" s="108" t="n">
        <v>1155279.217916969</v>
      </c>
      <c r="I46" s="108" t="n">
        <v>49233.6</v>
      </c>
      <c r="J46" s="33" t="n">
        <v>2</v>
      </c>
    </row>
    <row r="47" ht="30" customHeight="1">
      <c r="A47" s="12" t="n">
        <v>64</v>
      </c>
      <c r="B47" s="12" t="n">
        <v>65</v>
      </c>
      <c r="C47" s="103" t="n">
        <v>10447318.48958325</v>
      </c>
      <c r="D47" s="108" t="n">
        <v>7954648.400459387</v>
      </c>
      <c r="E47" s="108" t="n">
        <v>3369794.340777152</v>
      </c>
      <c r="F47" s="108" t="n">
        <v>3679762.196785468</v>
      </c>
      <c r="G47" s="108" t="n">
        <v>961639.7006698065</v>
      </c>
      <c r="H47" s="108" t="n">
        <v>1140025.707661602</v>
      </c>
      <c r="I47" s="108" t="n">
        <v>47066.4</v>
      </c>
      <c r="J47" s="33" t="n">
        <v>2</v>
      </c>
    </row>
    <row r="48" ht="30" customHeight="1">
      <c r="A48" s="12" t="n">
        <v>64</v>
      </c>
      <c r="B48" s="12" t="n">
        <v>66</v>
      </c>
      <c r="C48" s="103" t="n">
        <v>10111693.9581428</v>
      </c>
      <c r="D48" s="108" t="n">
        <v>7647196.995139721</v>
      </c>
      <c r="E48" s="108" t="n">
        <v>3062342.935457486</v>
      </c>
      <c r="F48" s="108" t="n">
        <v>3599576.485003623</v>
      </c>
      <c r="G48" s="108" t="n">
        <v>881453.9888879615</v>
      </c>
      <c r="H48" s="108" t="n">
        <v>1091494.322000543</v>
      </c>
      <c r="I48" s="108" t="n">
        <v>43585.2</v>
      </c>
      <c r="J48" s="33" t="n">
        <v>3</v>
      </c>
    </row>
    <row r="49" ht="30" customHeight="1">
      <c r="A49" s="12" t="n">
        <v>64</v>
      </c>
      <c r="B49" s="12" t="n">
        <v>67</v>
      </c>
      <c r="C49" s="103" t="n">
        <v>9765493.337158676</v>
      </c>
      <c r="D49" s="108" t="n">
        <v>7339408.803447036</v>
      </c>
      <c r="E49" s="108" t="n">
        <v>2754554.743764801</v>
      </c>
      <c r="F49" s="108" t="n">
        <v>3520963.042080245</v>
      </c>
      <c r="G49" s="108" t="n">
        <v>802840.5459645842</v>
      </c>
      <c r="H49" s="108" t="n">
        <v>1051293.308368606</v>
      </c>
      <c r="I49" s="108" t="n">
        <v>43585.2</v>
      </c>
      <c r="J49" s="33" t="n">
        <v>4</v>
      </c>
    </row>
    <row r="50" ht="30" customHeight="1">
      <c r="A50" s="12" t="n">
        <v>64</v>
      </c>
      <c r="B50" s="12" t="n">
        <v>68</v>
      </c>
      <c r="C50" s="103" t="n">
        <v>9461806.763956187</v>
      </c>
      <c r="D50" s="108" t="n">
        <v>7077071.015937839</v>
      </c>
      <c r="E50" s="108" t="n">
        <v>2492216.956255604</v>
      </c>
      <c r="F50" s="108" t="n">
        <v>3443891.039214189</v>
      </c>
      <c r="G50" s="108" t="n">
        <v>725768.5430985279</v>
      </c>
      <c r="H50" s="108" t="n">
        <v>1018853.291195841</v>
      </c>
      <c r="I50" s="108" t="n">
        <v>40302</v>
      </c>
      <c r="J50" s="33" t="n">
        <v>5</v>
      </c>
    </row>
    <row r="51" ht="30" customHeight="1">
      <c r="A51" s="12" t="n">
        <v>64</v>
      </c>
      <c r="B51" s="12" t="n">
        <v>69</v>
      </c>
      <c r="C51" s="103" t="n">
        <v>9144643.982768759</v>
      </c>
      <c r="D51" s="108" t="n">
        <v>6812239.586829674</v>
      </c>
      <c r="E51" s="108" t="n">
        <v>2227385.527147439</v>
      </c>
      <c r="F51" s="108" t="n">
        <v>3368330.252090605</v>
      </c>
      <c r="G51" s="108" t="n">
        <v>650207.7559749437</v>
      </c>
      <c r="H51" s="108" t="n">
        <v>995623.8561515209</v>
      </c>
      <c r="I51" s="108" t="n">
        <v>40302</v>
      </c>
      <c r="J51" s="33" t="n">
        <v>6</v>
      </c>
    </row>
    <row r="52" ht="30" customHeight="1">
      <c r="A52" s="12" t="n">
        <v>64</v>
      </c>
      <c r="B52" s="12" t="n">
        <v>70</v>
      </c>
      <c r="C52" s="103" t="n">
        <v>8840718.482327873</v>
      </c>
      <c r="D52" s="108" t="n">
        <v>6564951.81205417</v>
      </c>
      <c r="E52" s="108" t="n">
        <v>1980097.752371935</v>
      </c>
      <c r="F52" s="108" t="n">
        <v>3294251.049028267</v>
      </c>
      <c r="G52" s="108" t="n">
        <v>576128.5529126055</v>
      </c>
      <c r="H52" s="108" t="n">
        <v>978182.3787545644</v>
      </c>
      <c r="I52" s="108" t="n">
        <v>40302</v>
      </c>
      <c r="J52" s="33" t="n">
        <v>7</v>
      </c>
    </row>
    <row r="53" ht="30" customHeight="1">
      <c r="A53" s="12" t="n">
        <v>65</v>
      </c>
      <c r="B53" s="12" t="n">
        <v>62</v>
      </c>
      <c r="C53" s="103" t="n">
        <v>10343967.33891066</v>
      </c>
      <c r="D53" s="108" t="n">
        <v>7830319.508119394</v>
      </c>
      <c r="E53" s="108" t="n">
        <v>3245465.448437159</v>
      </c>
      <c r="F53" s="108" t="n">
        <v>3675944.16457895</v>
      </c>
      <c r="G53" s="108" t="n">
        <v>957821.6684632888</v>
      </c>
      <c r="H53" s="108" t="n">
        <v>1116543.933787682</v>
      </c>
      <c r="I53" s="108" t="n">
        <v>45752.4</v>
      </c>
      <c r="J53" s="33" t="n">
        <v>3</v>
      </c>
    </row>
    <row r="54" ht="30" customHeight="1">
      <c r="A54" s="12" t="n">
        <v>65</v>
      </c>
      <c r="B54" s="12" t="n">
        <v>63</v>
      </c>
      <c r="C54" s="103" t="n">
        <v>10242938.53654245</v>
      </c>
      <c r="D54" s="108" t="n">
        <v>7746318.790656012</v>
      </c>
      <c r="E54" s="108" t="n">
        <v>3161464.730973776</v>
      </c>
      <c r="F54" s="108" t="n">
        <v>3642962.000950362</v>
      </c>
      <c r="G54" s="108" t="n">
        <v>924839.5048347008</v>
      </c>
      <c r="H54" s="108" t="n">
        <v>1102757.055063923</v>
      </c>
      <c r="I54" s="108" t="n">
        <v>43585.2</v>
      </c>
      <c r="J54" s="33" t="n">
        <v>3</v>
      </c>
    </row>
    <row r="55" ht="30" customHeight="1">
      <c r="A55" s="12" t="n">
        <v>65</v>
      </c>
      <c r="B55" s="12" t="n">
        <v>64</v>
      </c>
      <c r="C55" s="103" t="n">
        <v>10130359.84762882</v>
      </c>
      <c r="D55" s="108" t="n">
        <v>7655475.043926675</v>
      </c>
      <c r="E55" s="108" t="n">
        <v>3070620.98424444</v>
      </c>
      <c r="F55" s="108" t="n">
        <v>3610626.54641253</v>
      </c>
      <c r="G55" s="108" t="n">
        <v>892504.0502968691</v>
      </c>
      <c r="H55" s="108" t="n">
        <v>1092156.542710389</v>
      </c>
      <c r="I55" s="108" t="n">
        <v>43585.2</v>
      </c>
      <c r="J55" s="33" t="n">
        <v>3</v>
      </c>
    </row>
    <row r="56" ht="30" customHeight="1">
      <c r="A56" s="12" t="n">
        <v>65</v>
      </c>
      <c r="B56" s="12" t="n">
        <v>65</v>
      </c>
      <c r="C56" s="103" t="n">
        <v>10021729.14763971</v>
      </c>
      <c r="D56" s="108" t="n">
        <v>7567845.799656969</v>
      </c>
      <c r="E56" s="108" t="n">
        <v>2982991.739974733</v>
      </c>
      <c r="F56" s="108" t="n">
        <v>3578925.120395049</v>
      </c>
      <c r="G56" s="108" t="n">
        <v>860802.6242793873</v>
      </c>
      <c r="H56" s="108" t="n">
        <v>1081456.57241231</v>
      </c>
      <c r="I56" s="108" t="n">
        <v>43585.2</v>
      </c>
      <c r="J56" s="33" t="n">
        <v>3</v>
      </c>
    </row>
    <row r="57" ht="30" customHeight="1">
      <c r="A57" s="12" t="n">
        <v>65</v>
      </c>
      <c r="B57" s="12" t="n">
        <v>66</v>
      </c>
      <c r="C57" s="103" t="n">
        <v>9687574.697503956</v>
      </c>
      <c r="D57" s="108" t="n">
        <v>7270355.763863559</v>
      </c>
      <c r="E57" s="108" t="n">
        <v>2685501.704181324</v>
      </c>
      <c r="F57" s="108" t="n">
        <v>3498739.408613204</v>
      </c>
      <c r="G57" s="108" t="n">
        <v>780616.9124975423</v>
      </c>
      <c r="H57" s="108" t="n">
        <v>1041823.274972808</v>
      </c>
      <c r="I57" s="108" t="n">
        <v>39697.2</v>
      </c>
      <c r="J57" s="33" t="n">
        <v>2</v>
      </c>
    </row>
    <row r="58" ht="30" customHeight="1">
      <c r="A58" s="12" t="n">
        <v>65</v>
      </c>
      <c r="B58" s="12" t="n">
        <v>67</v>
      </c>
      <c r="C58" s="103" t="n">
        <v>9345308.95803964</v>
      </c>
      <c r="D58" s="108" t="n">
        <v>6974386.675092293</v>
      </c>
      <c r="E58" s="108" t="n">
        <v>2389532.615410058</v>
      </c>
      <c r="F58" s="108" t="n">
        <v>3420125.965689826</v>
      </c>
      <c r="G58" s="108" t="n">
        <v>702003.4695741651</v>
      </c>
      <c r="H58" s="108" t="n">
        <v>1009506.48274248</v>
      </c>
      <c r="I58" s="108" t="n">
        <v>39697.2</v>
      </c>
      <c r="J58" s="33" t="n">
        <v>3</v>
      </c>
    </row>
    <row r="59" ht="30" customHeight="1">
      <c r="A59" s="12" t="n">
        <v>65</v>
      </c>
      <c r="B59" s="12" t="n">
        <v>68</v>
      </c>
      <c r="C59" s="103" t="n">
        <v>9037327.775773793</v>
      </c>
      <c r="D59" s="108" t="n">
        <v>6711903.255360855</v>
      </c>
      <c r="E59" s="108" t="n">
        <v>2127049.19567862</v>
      </c>
      <c r="F59" s="108" t="n">
        <v>3343053.96282377</v>
      </c>
      <c r="G59" s="108" t="n">
        <v>624931.4667081088</v>
      </c>
      <c r="H59" s="108" t="n">
        <v>981215.442410831</v>
      </c>
      <c r="I59" s="108" t="n">
        <v>36414</v>
      </c>
      <c r="J59" s="33" t="n">
        <v>4</v>
      </c>
    </row>
    <row r="60" ht="30" customHeight="1">
      <c r="A60" s="12" t="n">
        <v>65</v>
      </c>
      <c r="B60" s="12" t="n">
        <v>69</v>
      </c>
      <c r="C60" s="103" t="n">
        <v>8717538.910453266</v>
      </c>
      <c r="D60" s="108" t="n">
        <v>6448588.72723523</v>
      </c>
      <c r="E60" s="108" t="n">
        <v>1863734.667552995</v>
      </c>
      <c r="F60" s="108" t="n">
        <v>3267493.175700185</v>
      </c>
      <c r="G60" s="108" t="n">
        <v>549370.6795845241</v>
      </c>
      <c r="H60" s="108" t="n">
        <v>962128.9924821499</v>
      </c>
      <c r="I60" s="108" t="n">
        <v>36414</v>
      </c>
      <c r="J60" s="33" t="n">
        <v>5</v>
      </c>
    </row>
    <row r="61" ht="30" customHeight="1">
      <c r="A61" s="12" t="n">
        <v>65</v>
      </c>
      <c r="B61" s="12" t="n">
        <v>70</v>
      </c>
      <c r="C61" s="103" t="n">
        <v>8410284.234555131</v>
      </c>
      <c r="D61" s="108" t="n">
        <v>6201002.335367726</v>
      </c>
      <c r="E61" s="108" t="n">
        <v>1616148.275685491</v>
      </c>
      <c r="F61" s="108" t="n">
        <v>3193413.972637848</v>
      </c>
      <c r="G61" s="108" t="n">
        <v>475291.4765221863</v>
      </c>
      <c r="H61" s="108" t="n">
        <v>947718.0734504423</v>
      </c>
      <c r="I61" s="108" t="n">
        <v>36414</v>
      </c>
      <c r="J61" s="33" t="n">
        <v>6</v>
      </c>
    </row>
    <row r="62" ht="30" customHeight="1">
      <c r="A62" s="12" t="n">
        <v>66</v>
      </c>
      <c r="B62" s="12" t="n">
        <v>62</v>
      </c>
      <c r="C62" s="103" t="n">
        <v>9908680.551782465</v>
      </c>
      <c r="D62" s="108" t="n">
        <v>7436053.575268805</v>
      </c>
      <c r="E62" s="108" t="n">
        <v>2851199.51558657</v>
      </c>
      <c r="F62" s="108" t="n">
        <v>3577084.285764813</v>
      </c>
      <c r="G62" s="108" t="n">
        <v>858961.7896491522</v>
      </c>
      <c r="H62" s="108" t="n">
        <v>1060872.109251155</v>
      </c>
      <c r="I62" s="108" t="n">
        <v>43585.2</v>
      </c>
      <c r="J62" s="33" t="n">
        <v>4</v>
      </c>
    </row>
    <row r="63" ht="30" customHeight="1">
      <c r="A63" s="12" t="n">
        <v>66</v>
      </c>
      <c r="B63" s="12" t="n">
        <v>63</v>
      </c>
      <c r="C63" s="103" t="n">
        <v>9806690.987523839</v>
      </c>
      <c r="D63" s="108" t="n">
        <v>7357840.7007988</v>
      </c>
      <c r="E63" s="108" t="n">
        <v>2772986.641116565</v>
      </c>
      <c r="F63" s="108" t="n">
        <v>3544102.122136225</v>
      </c>
      <c r="G63" s="108" t="n">
        <v>825979.6260205642</v>
      </c>
      <c r="H63" s="108" t="n">
        <v>1051666.635411187</v>
      </c>
      <c r="I63" s="108" t="n">
        <v>43585.2</v>
      </c>
      <c r="J63" s="33" t="n">
        <v>4</v>
      </c>
    </row>
    <row r="64" ht="30" customHeight="1">
      <c r="A64" s="12" t="n">
        <v>66</v>
      </c>
      <c r="B64" s="12" t="n">
        <v>64</v>
      </c>
      <c r="C64" s="103" t="n">
        <v>9703631.002395531</v>
      </c>
      <c r="D64" s="108" t="n">
        <v>7278839.814895314</v>
      </c>
      <c r="E64" s="108" t="n">
        <v>2693985.755213079</v>
      </c>
      <c r="F64" s="108" t="n">
        <v>3511766.667598394</v>
      </c>
      <c r="G64" s="108" t="n">
        <v>793644.1714827325</v>
      </c>
      <c r="H64" s="108" t="n">
        <v>1043390.280098177</v>
      </c>
      <c r="I64" s="108" t="n">
        <v>43585.2</v>
      </c>
      <c r="J64" s="33" t="n">
        <v>4</v>
      </c>
    </row>
    <row r="65" ht="30" customHeight="1">
      <c r="A65" s="12" t="n">
        <v>66</v>
      </c>
      <c r="B65" s="12" t="n">
        <v>65</v>
      </c>
      <c r="C65" s="103" t="n">
        <v>9602299.359685233</v>
      </c>
      <c r="D65" s="108" t="n">
        <v>7201338.658602064</v>
      </c>
      <c r="E65" s="108" t="n">
        <v>2616484.598919829</v>
      </c>
      <c r="F65" s="108" t="n">
        <v>3480065.241580912</v>
      </c>
      <c r="G65" s="108" t="n">
        <v>761942.7454652512</v>
      </c>
      <c r="H65" s="108" t="n">
        <v>1035519.340497745</v>
      </c>
      <c r="I65" s="108" t="n">
        <v>43585.2</v>
      </c>
      <c r="J65" s="33" t="n">
        <v>4</v>
      </c>
    </row>
    <row r="66" ht="30" customHeight="1">
      <c r="A66" s="12" t="n">
        <v>66</v>
      </c>
      <c r="B66" s="12" t="n">
        <v>66</v>
      </c>
      <c r="C66" s="103" t="n">
        <v>9263537.292152213</v>
      </c>
      <c r="D66" s="108" t="n">
        <v>6906247.508899736</v>
      </c>
      <c r="E66" s="108" t="n">
        <v>2321393.449217501</v>
      </c>
      <c r="F66" s="108" t="n">
        <v>3399879.529799067</v>
      </c>
      <c r="G66" s="108" t="n">
        <v>681757.0336834057</v>
      </c>
      <c r="H66" s="108" t="n">
        <v>1002892.546546591</v>
      </c>
      <c r="I66" s="108" t="n">
        <v>39697.2</v>
      </c>
      <c r="J66" s="33" t="n">
        <v>3</v>
      </c>
    </row>
    <row r="67" ht="30" customHeight="1">
      <c r="A67" s="12" t="n">
        <v>66</v>
      </c>
      <c r="B67" s="12" t="n">
        <v>67</v>
      </c>
      <c r="C67" s="103" t="n">
        <v>8965427.583436657</v>
      </c>
      <c r="D67" s="108" t="n">
        <v>6648860.142535308</v>
      </c>
      <c r="E67" s="108" t="n">
        <v>2064006.082853073</v>
      </c>
      <c r="F67" s="108" t="n">
        <v>3321266.08687569</v>
      </c>
      <c r="G67" s="108" t="n">
        <v>603143.5907600285</v>
      </c>
      <c r="H67" s="108" t="n">
        <v>971567.8459743413</v>
      </c>
      <c r="I67" s="108" t="n">
        <v>33130.8</v>
      </c>
      <c r="J67" s="33" t="n">
        <v>2</v>
      </c>
    </row>
    <row r="68" ht="30" customHeight="1">
      <c r="A68" s="12" t="n">
        <v>66</v>
      </c>
      <c r="B68" s="12" t="n">
        <v>68</v>
      </c>
      <c r="C68" s="103" t="n">
        <v>8652696.290558171</v>
      </c>
      <c r="D68" s="108" t="n">
        <v>6386272.978582084</v>
      </c>
      <c r="E68" s="108" t="n">
        <v>1801418.918899849</v>
      </c>
      <c r="F68" s="108" t="n">
        <v>3244194.084009633</v>
      </c>
      <c r="G68" s="108" t="n">
        <v>526071.5878939722</v>
      </c>
      <c r="H68" s="108" t="n">
        <v>947923.1720335457</v>
      </c>
      <c r="I68" s="108" t="n">
        <v>29847.6</v>
      </c>
      <c r="J68" s="33" t="n">
        <v>3</v>
      </c>
    </row>
    <row r="69" ht="30" customHeight="1">
      <c r="A69" s="12" t="n">
        <v>66</v>
      </c>
      <c r="B69" s="12" t="n">
        <v>69</v>
      </c>
      <c r="C69" s="103" t="n">
        <v>8327074.571942208</v>
      </c>
      <c r="D69" s="108" t="n">
        <v>6121440.230091671</v>
      </c>
      <c r="E69" s="108" t="n">
        <v>1536586.170409436</v>
      </c>
      <c r="F69" s="108" t="n">
        <v>3168633.296886049</v>
      </c>
      <c r="G69" s="108" t="n">
        <v>450510.8007703875</v>
      </c>
      <c r="H69" s="108" t="n">
        <v>933151.3550355113</v>
      </c>
      <c r="I69" s="108" t="n">
        <v>29847.6</v>
      </c>
      <c r="J69" s="33" t="n">
        <v>4</v>
      </c>
    </row>
    <row r="70" ht="30" customHeight="1">
      <c r="A70" s="12" t="n">
        <v>66</v>
      </c>
      <c r="B70" s="12" t="n">
        <v>70</v>
      </c>
      <c r="C70" s="103" t="n">
        <v>8011342.260908853</v>
      </c>
      <c r="D70" s="108" t="n">
        <v>5869700.621584364</v>
      </c>
      <c r="E70" s="108" t="n">
        <v>1284846.561902129</v>
      </c>
      <c r="F70" s="108" t="n">
        <v>3094554.093823711</v>
      </c>
      <c r="G70" s="108" t="n">
        <v>376431.5977080502</v>
      </c>
      <c r="H70" s="108" t="n">
        <v>923064.8544992222</v>
      </c>
      <c r="I70" s="108" t="n">
        <v>29847.6</v>
      </c>
      <c r="J70" s="33" t="n">
        <v>5</v>
      </c>
    </row>
    <row r="71" ht="30" customHeight="1">
      <c r="A71" s="12" t="n">
        <v>67</v>
      </c>
      <c r="B71" s="12" t="n">
        <v>62</v>
      </c>
      <c r="C71" s="103" t="n">
        <v>9531625.021959107</v>
      </c>
      <c r="D71" s="108" t="n">
        <v>7111956.091961195</v>
      </c>
      <c r="E71" s="108" t="n">
        <v>2527102.03227896</v>
      </c>
      <c r="F71" s="108" t="n">
        <v>3480162.835947033</v>
      </c>
      <c r="G71" s="108" t="n">
        <v>762040.3398313713</v>
      </c>
      <c r="H71" s="108" t="n">
        <v>1020191.905949119</v>
      </c>
      <c r="I71" s="108" t="n">
        <v>40302</v>
      </c>
      <c r="J71" s="33" t="n">
        <v>5</v>
      </c>
    </row>
    <row r="72" ht="30" customHeight="1">
      <c r="A72" s="12" t="n">
        <v>67</v>
      </c>
      <c r="B72" s="12" t="n">
        <v>63</v>
      </c>
      <c r="C72" s="103" t="n">
        <v>9425739.563237077</v>
      </c>
      <c r="D72" s="108" t="n">
        <v>7031558.410595393</v>
      </c>
      <c r="E72" s="108" t="n">
        <v>2446704.350913158</v>
      </c>
      <c r="F72" s="108" t="n">
        <v>3447180.672318445</v>
      </c>
      <c r="G72" s="108" t="n">
        <v>729058.1762027834</v>
      </c>
      <c r="H72" s="108" t="n">
        <v>1012697.519676763</v>
      </c>
      <c r="I72" s="108" t="n">
        <v>40302</v>
      </c>
      <c r="J72" s="33" t="n">
        <v>5</v>
      </c>
    </row>
    <row r="73" ht="30" customHeight="1">
      <c r="A73" s="12" t="n">
        <v>67</v>
      </c>
      <c r="B73" s="12" t="n">
        <v>64</v>
      </c>
      <c r="C73" s="103" t="n">
        <v>9321625.041630546</v>
      </c>
      <c r="D73" s="108" t="n">
        <v>6952913.667517669</v>
      </c>
      <c r="E73" s="108" t="n">
        <v>2368059.607835434</v>
      </c>
      <c r="F73" s="108" t="n">
        <v>3414845.217780613</v>
      </c>
      <c r="G73" s="108" t="n">
        <v>696722.7216649521</v>
      </c>
      <c r="H73" s="108" t="n">
        <v>1005831.843667737</v>
      </c>
      <c r="I73" s="108" t="n">
        <v>40302</v>
      </c>
      <c r="J73" s="33" t="n">
        <v>5</v>
      </c>
    </row>
    <row r="74" ht="30" customHeight="1">
      <c r="A74" s="12" t="n">
        <v>67</v>
      </c>
      <c r="B74" s="12" t="n">
        <v>65</v>
      </c>
      <c r="C74" s="103" t="n">
        <v>9219592.356950413</v>
      </c>
      <c r="D74" s="108" t="n">
        <v>6875836.984880332</v>
      </c>
      <c r="E74" s="108" t="n">
        <v>2290982.925198097</v>
      </c>
      <c r="F74" s="108" t="n">
        <v>3383143.791763131</v>
      </c>
      <c r="G74" s="108" t="n">
        <v>665021.2956474698</v>
      </c>
      <c r="H74" s="108" t="n">
        <v>999086.4196930493</v>
      </c>
      <c r="I74" s="108" t="n">
        <v>40302</v>
      </c>
      <c r="J74" s="33" t="n">
        <v>5</v>
      </c>
    </row>
    <row r="75" ht="30" customHeight="1">
      <c r="A75" s="12" t="n">
        <v>67</v>
      </c>
      <c r="B75" s="12" t="n">
        <v>66</v>
      </c>
      <c r="C75" s="103" t="n">
        <v>8881396.904073864</v>
      </c>
      <c r="D75" s="108" t="n">
        <v>6584486.803248831</v>
      </c>
      <c r="E75" s="108" t="n">
        <v>1999632.743566596</v>
      </c>
      <c r="F75" s="108" t="n">
        <v>3302958.079981287</v>
      </c>
      <c r="G75" s="108" t="n">
        <v>584835.5838656253</v>
      </c>
      <c r="H75" s="108" t="n">
        <v>969633.9791562547</v>
      </c>
      <c r="I75" s="108" t="n">
        <v>36414</v>
      </c>
      <c r="J75" s="33" t="n">
        <v>4</v>
      </c>
    </row>
    <row r="76" ht="30" customHeight="1">
      <c r="A76" s="12" t="n">
        <v>67</v>
      </c>
      <c r="B76" s="12" t="n">
        <v>67</v>
      </c>
      <c r="C76" s="103" t="n">
        <v>8573522.946929689</v>
      </c>
      <c r="D76" s="108" t="n">
        <v>6322368.78809183</v>
      </c>
      <c r="E76" s="108" t="n">
        <v>1737514.728409595</v>
      </c>
      <c r="F76" s="108" t="n">
        <v>3224344.637057909</v>
      </c>
      <c r="G76" s="108" t="n">
        <v>506222.1409422476</v>
      </c>
      <c r="H76" s="108" t="n">
        <v>943342.8782200492</v>
      </c>
      <c r="I76" s="108" t="n">
        <v>29847.6</v>
      </c>
      <c r="J76" s="33" t="n">
        <v>3</v>
      </c>
    </row>
    <row r="77" ht="30" customHeight="1">
      <c r="A77" s="12" t="n">
        <v>67</v>
      </c>
      <c r="B77" s="12" t="n">
        <v>68</v>
      </c>
      <c r="C77" s="103" t="n">
        <v>8236203.925922491</v>
      </c>
      <c r="D77" s="108" t="n">
        <v>6046334.78579485</v>
      </c>
      <c r="E77" s="108" t="n">
        <v>1461480.726112614</v>
      </c>
      <c r="F77" s="108" t="n">
        <v>3147272.634191853</v>
      </c>
      <c r="G77" s="108" t="n">
        <v>429150.1380761913</v>
      </c>
      <c r="H77" s="108" t="n">
        <v>927555.894064212</v>
      </c>
      <c r="I77" s="108" t="n">
        <v>29847.6</v>
      </c>
      <c r="J77" s="33" t="n">
        <v>2</v>
      </c>
    </row>
    <row r="78" ht="30" customHeight="1">
      <c r="A78" s="12" t="n">
        <v>67</v>
      </c>
      <c r="B78" s="12" t="n">
        <v>69</v>
      </c>
      <c r="C78" s="103" t="n">
        <v>7901290.755458044</v>
      </c>
      <c r="D78" s="108" t="n">
        <v>5777396.601199029</v>
      </c>
      <c r="E78" s="108" t="n">
        <v>1192542.541516794</v>
      </c>
      <c r="F78" s="108" t="n">
        <v>3071711.847068268</v>
      </c>
      <c r="G78" s="108" t="n">
        <v>353589.3509526071</v>
      </c>
      <c r="H78" s="108" t="n">
        <v>917970.0928092542</v>
      </c>
      <c r="I78" s="108" t="n">
        <v>29847.6</v>
      </c>
      <c r="J78" s="33" t="n">
        <v>3</v>
      </c>
    </row>
    <row r="79" ht="30" customHeight="1">
      <c r="A79" s="12" t="n">
        <v>67</v>
      </c>
      <c r="B79" s="12" t="n">
        <v>70</v>
      </c>
      <c r="C79" s="103" t="n">
        <v>7582017.210537655</v>
      </c>
      <c r="D79" s="108" t="n">
        <v>5525656.992691726</v>
      </c>
      <c r="E79" s="108" t="n">
        <v>940802.9330094913</v>
      </c>
      <c r="F79" s="108" t="n">
        <v>2997632.644005931</v>
      </c>
      <c r="G79" s="108" t="n">
        <v>279510.1478902693</v>
      </c>
      <c r="H79" s="108" t="n">
        <v>911424.826160002</v>
      </c>
      <c r="I79" s="108" t="n">
        <v>29847.6</v>
      </c>
      <c r="J79" s="33" t="n">
        <v>4</v>
      </c>
    </row>
    <row r="80" ht="30" customHeight="1">
      <c r="A80" s="12" t="n">
        <v>68</v>
      </c>
      <c r="B80" s="12" t="n">
        <v>62</v>
      </c>
      <c r="C80" s="103" t="n">
        <v>9139341.12546289</v>
      </c>
      <c r="D80" s="108" t="n">
        <v>6786733.778707973</v>
      </c>
      <c r="E80" s="108" t="n">
        <v>2201879.719025738</v>
      </c>
      <c r="F80" s="108" t="n">
        <v>3385141.806713914</v>
      </c>
      <c r="G80" s="108" t="n">
        <v>667019.3105982528</v>
      </c>
      <c r="H80" s="108" t="n">
        <v>992232.4599589965</v>
      </c>
      <c r="I80" s="108" t="n">
        <v>40302</v>
      </c>
      <c r="J80" s="33" t="n">
        <v>6</v>
      </c>
    </row>
    <row r="81" ht="30" customHeight="1">
      <c r="A81" s="12" t="n">
        <v>68</v>
      </c>
      <c r="B81" s="12" t="n">
        <v>63</v>
      </c>
      <c r="C81" s="103" t="n">
        <v>9035121.015605615</v>
      </c>
      <c r="D81" s="108" t="n">
        <v>6708742.165770755</v>
      </c>
      <c r="E81" s="108" t="n">
        <v>2123888.10608852</v>
      </c>
      <c r="F81" s="108" t="n">
        <v>3352159.643085326</v>
      </c>
      <c r="G81" s="108" t="n">
        <v>634037.1469696648</v>
      </c>
      <c r="H81" s="108" t="n">
        <v>985478.7932504655</v>
      </c>
      <c r="I81" s="108" t="n">
        <v>40302</v>
      </c>
      <c r="J81" s="33" t="n">
        <v>6</v>
      </c>
    </row>
    <row r="82" ht="30" customHeight="1">
      <c r="A82" s="12" t="n">
        <v>68</v>
      </c>
      <c r="B82" s="12" t="n">
        <v>64</v>
      </c>
      <c r="C82" s="103" t="n">
        <v>8929998.565413099</v>
      </c>
      <c r="D82" s="108" t="n">
        <v>6629956.938514446</v>
      </c>
      <c r="E82" s="108" t="n">
        <v>2045102.878832211</v>
      </c>
      <c r="F82" s="108" t="n">
        <v>3319824.188547494</v>
      </c>
      <c r="G82" s="108" t="n">
        <v>601701.6924318331</v>
      </c>
      <c r="H82" s="108" t="n">
        <v>979480.561648841</v>
      </c>
      <c r="I82" s="108" t="n">
        <v>40302</v>
      </c>
      <c r="J82" s="33" t="n">
        <v>6</v>
      </c>
    </row>
    <row r="83" ht="30" customHeight="1">
      <c r="A83" s="12" t="n">
        <v>68</v>
      </c>
      <c r="B83" s="12" t="n">
        <v>65</v>
      </c>
      <c r="C83" s="103" t="n">
        <v>8826533.272244912</v>
      </c>
      <c r="D83" s="108" t="n">
        <v>6552717.288235474</v>
      </c>
      <c r="E83" s="108" t="n">
        <v>1967863.228553239</v>
      </c>
      <c r="F83" s="108" t="n">
        <v>3288122.762530013</v>
      </c>
      <c r="G83" s="108" t="n">
        <v>570000.2664143518</v>
      </c>
      <c r="H83" s="108" t="n">
        <v>974004.7785205768</v>
      </c>
      <c r="I83" s="108" t="n">
        <v>40302</v>
      </c>
      <c r="J83" s="33" t="n">
        <v>6</v>
      </c>
    </row>
    <row r="84" ht="30" customHeight="1">
      <c r="A84" s="12" t="n">
        <v>68</v>
      </c>
      <c r="B84" s="12" t="n">
        <v>66</v>
      </c>
      <c r="C84" s="103" t="n">
        <v>8478617.753850425</v>
      </c>
      <c r="D84" s="108" t="n">
        <v>6256068.602134335</v>
      </c>
      <c r="E84" s="108" t="n">
        <v>1671214.5424521</v>
      </c>
      <c r="F84" s="108" t="n">
        <v>3207937.050748168</v>
      </c>
      <c r="G84" s="108" t="n">
        <v>489814.5546325068</v>
      </c>
      <c r="H84" s="108" t="n">
        <v>948973.8990320781</v>
      </c>
      <c r="I84" s="108" t="n">
        <v>36414</v>
      </c>
      <c r="J84" s="33" t="n">
        <v>5</v>
      </c>
    </row>
    <row r="85" ht="30" customHeight="1">
      <c r="A85" s="12" t="n">
        <v>68</v>
      </c>
      <c r="B85" s="12" t="n">
        <v>67</v>
      </c>
      <c r="C85" s="103" t="n">
        <v>8169407.980802155</v>
      </c>
      <c r="D85" s="108" t="n">
        <v>5996439.363090772</v>
      </c>
      <c r="E85" s="108" t="n">
        <v>1411585.303408537</v>
      </c>
      <c r="F85" s="108" t="n">
        <v>3129323.60782479</v>
      </c>
      <c r="G85" s="108" t="n">
        <v>411201.1117091291</v>
      </c>
      <c r="H85" s="108" t="n">
        <v>926507.3901134083</v>
      </c>
      <c r="I85" s="108" t="n">
        <v>29847.6</v>
      </c>
      <c r="J85" s="33" t="n">
        <v>4</v>
      </c>
    </row>
    <row r="86" ht="30" customHeight="1">
      <c r="A86" s="12" t="n">
        <v>68</v>
      </c>
      <c r="B86" s="12" t="n">
        <v>68</v>
      </c>
      <c r="C86" s="103" t="n">
        <v>7823103.682140168</v>
      </c>
      <c r="D86" s="108" t="n">
        <v>5716306.000792796</v>
      </c>
      <c r="E86" s="108" t="n">
        <v>1131451.941110561</v>
      </c>
      <c r="F86" s="108" t="n">
        <v>3052251.604958734</v>
      </c>
      <c r="G86" s="108" t="n">
        <v>334129.1088430728</v>
      </c>
      <c r="H86" s="108" t="n">
        <v>915606.3236113617</v>
      </c>
      <c r="I86" s="108" t="n">
        <v>29847.6</v>
      </c>
      <c r="J86" s="33" t="n">
        <v>3</v>
      </c>
    </row>
    <row r="87" ht="30" customHeight="1">
      <c r="A87" s="12" t="n">
        <v>68</v>
      </c>
      <c r="B87" s="12" t="n">
        <v>69</v>
      </c>
      <c r="C87" s="103" t="n">
        <v>7484699.540817758</v>
      </c>
      <c r="D87" s="108" t="n">
        <v>5447367.81619698</v>
      </c>
      <c r="E87" s="108" t="n">
        <v>862513.7565147448</v>
      </c>
      <c r="F87" s="108" t="n">
        <v>2976690.81783515</v>
      </c>
      <c r="G87" s="108" t="n">
        <v>258568.3217194886</v>
      </c>
      <c r="H87" s="108" t="n">
        <v>909511.4932143721</v>
      </c>
      <c r="I87" s="108" t="n">
        <v>29847.6</v>
      </c>
      <c r="J87" s="33" t="n">
        <v>2</v>
      </c>
    </row>
    <row r="88" ht="30" customHeight="1">
      <c r="A88" s="12" t="n">
        <v>68</v>
      </c>
      <c r="B88" s="12" t="n">
        <v>70</v>
      </c>
      <c r="C88" s="103" t="n">
        <v>7162455.987669745</v>
      </c>
      <c r="D88" s="108" t="n">
        <v>5195628.207689676</v>
      </c>
      <c r="E88" s="108" t="n">
        <v>610774.1480074404</v>
      </c>
      <c r="F88" s="108" t="n">
        <v>2902611.614772812</v>
      </c>
      <c r="G88" s="108" t="n">
        <v>184489.1186571508</v>
      </c>
      <c r="H88" s="108" t="n">
        <v>905936.2347927442</v>
      </c>
      <c r="I88" s="108" t="n">
        <v>29847.6</v>
      </c>
      <c r="J88" s="33" t="n">
        <v>3</v>
      </c>
    </row>
    <row r="89" ht="30" customHeight="1">
      <c r="A89" s="12" t="n">
        <v>69</v>
      </c>
      <c r="B89" s="12" t="n">
        <v>62</v>
      </c>
      <c r="C89" s="103" t="n">
        <v>8765638.400610292</v>
      </c>
      <c r="D89" s="108" t="n">
        <v>6485158.642933926</v>
      </c>
      <c r="E89" s="108" t="n">
        <v>1900304.58325169</v>
      </c>
      <c r="F89" s="108" t="n">
        <v>3292103.233900905</v>
      </c>
      <c r="G89" s="108" t="n">
        <v>573980.7377852439</v>
      </c>
      <c r="H89" s="108" t="n">
        <v>971321.4762245377</v>
      </c>
      <c r="I89" s="108" t="n">
        <v>40302</v>
      </c>
      <c r="J89" s="33" t="n">
        <v>7</v>
      </c>
    </row>
    <row r="90" ht="30" customHeight="1">
      <c r="A90" s="12" t="n">
        <v>69</v>
      </c>
      <c r="B90" s="12" t="n">
        <v>63</v>
      </c>
      <c r="C90" s="103" t="n">
        <v>8657088.704583116</v>
      </c>
      <c r="D90" s="108" t="n">
        <v>6404544.765506271</v>
      </c>
      <c r="E90" s="108" t="n">
        <v>1819690.705824036</v>
      </c>
      <c r="F90" s="108" t="n">
        <v>3259001.771288151</v>
      </c>
      <c r="G90" s="108" t="n">
        <v>540879.2751724902</v>
      </c>
      <c r="H90" s="108" t="n">
        <v>966155.8322113056</v>
      </c>
      <c r="I90" s="108" t="n">
        <v>40302</v>
      </c>
      <c r="J90" s="33" t="n">
        <v>7</v>
      </c>
    </row>
    <row r="91" ht="30" customHeight="1">
      <c r="A91" s="12" t="n">
        <v>69</v>
      </c>
      <c r="B91" s="12" t="n">
        <v>64</v>
      </c>
      <c r="C91" s="103" t="n">
        <v>8550863.253296908</v>
      </c>
      <c r="D91" s="108" t="n">
        <v>6325612.289582629</v>
      </c>
      <c r="E91" s="108" t="n">
        <v>1740758.229900394</v>
      </c>
      <c r="F91" s="108" t="n">
        <v>3226666.31675032</v>
      </c>
      <c r="G91" s="108" t="n">
        <v>508543.8206346589</v>
      </c>
      <c r="H91" s="108" t="n">
        <v>961113.3530360408</v>
      </c>
      <c r="I91" s="108" t="n">
        <v>40302</v>
      </c>
      <c r="J91" s="33" t="n">
        <v>7</v>
      </c>
    </row>
    <row r="92" ht="30" customHeight="1">
      <c r="A92" s="12" t="n">
        <v>69</v>
      </c>
      <c r="B92" s="12" t="n">
        <v>65</v>
      </c>
      <c r="C92" s="103" t="n">
        <v>8446720.593602188</v>
      </c>
      <c r="D92" s="108" t="n">
        <v>6248227.454873066</v>
      </c>
      <c r="E92" s="108" t="n">
        <v>1663373.395190831</v>
      </c>
      <c r="F92" s="108" t="n">
        <v>3194964.890732838</v>
      </c>
      <c r="G92" s="108" t="n">
        <v>476842.3946171771</v>
      </c>
      <c r="H92" s="108" t="n">
        <v>956169.752003716</v>
      </c>
      <c r="I92" s="108" t="n">
        <v>40302</v>
      </c>
      <c r="J92" s="33" t="n">
        <v>7</v>
      </c>
    </row>
    <row r="93" ht="30" customHeight="1">
      <c r="A93" s="12" t="n">
        <v>69</v>
      </c>
      <c r="B93" s="12" t="n">
        <v>66</v>
      </c>
      <c r="C93" s="103" t="n">
        <v>8095589.071642929</v>
      </c>
      <c r="D93" s="108" t="n">
        <v>5951119.236714575</v>
      </c>
      <c r="E93" s="108" t="n">
        <v>1366265.177032339</v>
      </c>
      <c r="F93" s="108" t="n">
        <v>3114779.178950993</v>
      </c>
      <c r="G93" s="108" t="n">
        <v>396656.6828353321</v>
      </c>
      <c r="H93" s="108" t="n">
        <v>933895.344022638</v>
      </c>
      <c r="I93" s="108" t="n">
        <v>36414</v>
      </c>
      <c r="J93" s="33" t="n">
        <v>6</v>
      </c>
    </row>
    <row r="94" ht="30" customHeight="1">
      <c r="A94" s="12" t="n">
        <v>69</v>
      </c>
      <c r="B94" s="12" t="n">
        <v>67</v>
      </c>
      <c r="C94" s="103" t="n">
        <v>7773344.961031145</v>
      </c>
      <c r="D94" s="108" t="n">
        <v>5683309.092910079</v>
      </c>
      <c r="E94" s="108" t="n">
        <v>1098455.033227844</v>
      </c>
      <c r="F94" s="108" t="n">
        <v>3036165.736027616</v>
      </c>
      <c r="G94" s="108" t="n">
        <v>318043.2399119544</v>
      </c>
      <c r="H94" s="108" t="n">
        <v>916282.2679065493</v>
      </c>
      <c r="I94" s="108" t="n">
        <v>29847.6</v>
      </c>
      <c r="J94" s="33" t="n">
        <v>5</v>
      </c>
    </row>
    <row r="95" ht="30" customHeight="1">
      <c r="A95" s="12" t="n">
        <v>69</v>
      </c>
      <c r="B95" s="12" t="n">
        <v>68</v>
      </c>
      <c r="C95" s="103" t="n">
        <v>7423341.169230846</v>
      </c>
      <c r="D95" s="108" t="n">
        <v>5403175.730612103</v>
      </c>
      <c r="E95" s="108" t="n">
        <v>818321.6709298678</v>
      </c>
      <c r="F95" s="108" t="n">
        <v>2959093.73316156</v>
      </c>
      <c r="G95" s="108" t="n">
        <v>240971.2370458986</v>
      </c>
      <c r="H95" s="108" t="n">
        <v>909080.6945428172</v>
      </c>
      <c r="I95" s="108" t="n">
        <v>29847.6</v>
      </c>
      <c r="J95" s="33" t="n">
        <v>4</v>
      </c>
    </row>
    <row r="96" ht="30" customHeight="1">
      <c r="A96" s="12" t="n">
        <v>69</v>
      </c>
      <c r="B96" s="12" t="n">
        <v>69</v>
      </c>
      <c r="C96" s="103" t="n">
        <v>7082231.997310699</v>
      </c>
      <c r="D96" s="108" t="n">
        <v>5134237.546016287</v>
      </c>
      <c r="E96" s="108" t="n">
        <v>549383.4863340519</v>
      </c>
      <c r="F96" s="108" t="n">
        <v>2883532.946037975</v>
      </c>
      <c r="G96" s="108" t="n">
        <v>165410.4499223139</v>
      </c>
      <c r="H96" s="108" t="n">
        <v>905690.8947435637</v>
      </c>
      <c r="I96" s="108" t="n">
        <v>29847.6</v>
      </c>
      <c r="J96" s="33" t="n">
        <v>3</v>
      </c>
    </row>
    <row r="97" ht="30" customHeight="1">
      <c r="A97" s="12" t="n">
        <v>69</v>
      </c>
      <c r="B97" s="12" t="n">
        <v>70</v>
      </c>
      <c r="C97" s="103" t="n">
        <v>6772646.845267368</v>
      </c>
      <c r="D97" s="108" t="n">
        <v>4895277.867298318</v>
      </c>
      <c r="E97" s="108" t="n">
        <v>310423.807616083</v>
      </c>
      <c r="F97" s="108" t="n">
        <v>2809453.742975637</v>
      </c>
      <c r="G97" s="108" t="n">
        <v>91331.24685997609</v>
      </c>
      <c r="H97" s="108" t="n">
        <v>902237.1650065875</v>
      </c>
      <c r="I97" s="108" t="n">
        <v>29847.6</v>
      </c>
      <c r="J97" s="33" t="n">
        <v>2</v>
      </c>
    </row>
    <row r="98" ht="30" customHeight="1">
      <c r="A98" s="12" t="n">
        <v>70</v>
      </c>
      <c r="B98" s="12" t="n">
        <v>62</v>
      </c>
      <c r="C98" s="103" t="n">
        <v>8401475.937845893</v>
      </c>
      <c r="D98" s="108" t="n">
        <v>6197240.492633367</v>
      </c>
      <c r="E98" s="108" t="n">
        <v>1612386.432951132</v>
      </c>
      <c r="F98" s="108" t="n">
        <v>3202359.136392723</v>
      </c>
      <c r="G98" s="108" t="n">
        <v>484236.6402770616</v>
      </c>
      <c r="H98" s="108" t="n">
        <v>957821.6911801966</v>
      </c>
      <c r="I98" s="108" t="n">
        <v>40302</v>
      </c>
      <c r="J98" s="33" t="n">
        <v>8</v>
      </c>
    </row>
    <row r="99" ht="30" customHeight="1">
      <c r="A99" s="12" t="n">
        <v>70</v>
      </c>
      <c r="B99" s="12" t="n">
        <v>63</v>
      </c>
      <c r="C99" s="103" t="n">
        <v>8289989.609360829</v>
      </c>
      <c r="D99" s="108" t="n">
        <v>6115353.587627383</v>
      </c>
      <c r="E99" s="108" t="n">
        <v>1530499.527945148</v>
      </c>
      <c r="F99" s="108" t="n">
        <v>3167787.484216573</v>
      </c>
      <c r="G99" s="108" t="n">
        <v>449664.988100912</v>
      </c>
      <c r="H99" s="108" t="n">
        <v>952849.462483127</v>
      </c>
      <c r="I99" s="108" t="n">
        <v>40302</v>
      </c>
      <c r="J99" s="33" t="n">
        <v>8</v>
      </c>
    </row>
    <row r="100" ht="30" customHeight="1">
      <c r="A100" s="12" t="n">
        <v>70</v>
      </c>
      <c r="B100" s="12" t="n">
        <v>64</v>
      </c>
      <c r="C100" s="103" t="n">
        <v>8183109.119354761</v>
      </c>
      <c r="D100" s="108" t="n">
        <v>6036320.318097298</v>
      </c>
      <c r="E100" s="108" t="n">
        <v>1451466.258415063</v>
      </c>
      <c r="F100" s="108" t="n">
        <v>3135335.069890344</v>
      </c>
      <c r="G100" s="108" t="n">
        <v>417212.5737746828</v>
      </c>
      <c r="H100" s="108" t="n">
        <v>948244.2686328806</v>
      </c>
      <c r="I100" s="108" t="n">
        <v>40302</v>
      </c>
      <c r="J100" s="33" t="n">
        <v>8</v>
      </c>
    </row>
    <row r="101" ht="30" customHeight="1">
      <c r="A101" s="12" t="n">
        <v>70</v>
      </c>
      <c r="B101" s="12" t="n">
        <v>65</v>
      </c>
      <c r="C101" s="103" t="n">
        <v>8078202.401177519</v>
      </c>
      <c r="D101" s="108" t="n">
        <v>5958935.483387735</v>
      </c>
      <c r="E101" s="108" t="n">
        <v>1374081.4237055</v>
      </c>
      <c r="F101" s="108" t="n">
        <v>3103633.643872862</v>
      </c>
      <c r="G101" s="108" t="n">
        <v>385511.147757201</v>
      </c>
      <c r="H101" s="108" t="n">
        <v>944064.7260830781</v>
      </c>
      <c r="I101" s="108" t="n">
        <v>40302</v>
      </c>
      <c r="J101" s="33" t="n">
        <v>8</v>
      </c>
    </row>
    <row r="102" ht="30" customHeight="1">
      <c r="A102" s="12" t="n">
        <v>70</v>
      </c>
      <c r="B102" s="12" t="n">
        <v>66</v>
      </c>
      <c r="C102" s="103" t="n">
        <v>7724916.740190001</v>
      </c>
      <c r="D102" s="108" t="n">
        <v>5661827.26522924</v>
      </c>
      <c r="E102" s="108" t="n">
        <v>1076973.205547005</v>
      </c>
      <c r="F102" s="108" t="n">
        <v>3023447.932091017</v>
      </c>
      <c r="G102" s="108" t="n">
        <v>305325.435975356</v>
      </c>
      <c r="H102" s="108" t="n">
        <v>923944.4571302547</v>
      </c>
      <c r="I102" s="108" t="n">
        <v>36414</v>
      </c>
      <c r="J102" s="33" t="n">
        <v>7</v>
      </c>
    </row>
    <row r="103" ht="30" customHeight="1">
      <c r="A103" s="12" t="n">
        <v>70</v>
      </c>
      <c r="B103" s="12" t="n">
        <v>67</v>
      </c>
      <c r="C103" s="103" t="n">
        <v>7396714.596251547</v>
      </c>
      <c r="D103" s="108" t="n">
        <v>5391650.685087569</v>
      </c>
      <c r="E103" s="108" t="n">
        <v>806796.6254053339</v>
      </c>
      <c r="F103" s="108" t="n">
        <v>2944834.48916764</v>
      </c>
      <c r="G103" s="108" t="n">
        <v>226711.9930519788</v>
      </c>
      <c r="H103" s="108" t="n">
        <v>909922.9780036625</v>
      </c>
      <c r="I103" s="108" t="n">
        <v>29847.6</v>
      </c>
      <c r="J103" s="33" t="n">
        <v>6</v>
      </c>
    </row>
    <row r="104" ht="30" customHeight="1">
      <c r="A104" s="12" t="n">
        <v>70</v>
      </c>
      <c r="B104" s="12" t="n">
        <v>68</v>
      </c>
      <c r="C104" s="103" t="n">
        <v>7047104.187948006</v>
      </c>
      <c r="D104" s="108" t="n">
        <v>5113883.759126769</v>
      </c>
      <c r="E104" s="108" t="n">
        <v>529029.6994445343</v>
      </c>
      <c r="F104" s="108" t="n">
        <v>2867762.486301584</v>
      </c>
      <c r="G104" s="108" t="n">
        <v>149639.9901859225</v>
      </c>
      <c r="H104" s="108" t="n">
        <v>904694.4574803479</v>
      </c>
      <c r="I104" s="108" t="n">
        <v>29847.6</v>
      </c>
      <c r="J104" s="33" t="n">
        <v>5</v>
      </c>
    </row>
    <row r="105" ht="30" customHeight="1">
      <c r="A105" s="12" t="n">
        <v>70</v>
      </c>
      <c r="B105" s="12" t="n">
        <v>69</v>
      </c>
      <c r="C105" s="103" t="n">
        <v>6715494.624187928</v>
      </c>
      <c r="D105" s="108" t="n">
        <v>4855204.880747456</v>
      </c>
      <c r="E105" s="108" t="n">
        <v>270350.821065221</v>
      </c>
      <c r="F105" s="108" t="n">
        <v>2792201.699177999</v>
      </c>
      <c r="G105" s="108" t="n">
        <v>74079.20306233782</v>
      </c>
      <c r="H105" s="108" t="n">
        <v>902064.3557375277</v>
      </c>
      <c r="I105" s="108" t="n">
        <v>29847.6</v>
      </c>
      <c r="J105" s="33" t="n">
        <v>4</v>
      </c>
    </row>
    <row r="106" ht="30" customHeight="1">
      <c r="A106" s="112" t="n">
        <v>70</v>
      </c>
      <c r="B106" s="112" t="n">
        <v>70</v>
      </c>
      <c r="C106" s="113" t="n">
        <v>6439693.123805444</v>
      </c>
      <c r="D106" s="113" t="n">
        <v>4618757.797935547</v>
      </c>
      <c r="E106" s="113" t="n">
        <v>33903.73825331219</v>
      </c>
      <c r="F106" s="113" t="n">
        <v>2718122.496115661</v>
      </c>
      <c r="G106" s="113" t="n">
        <v>0</v>
      </c>
      <c r="H106" s="113" t="n">
        <v>869506.7702457645</v>
      </c>
      <c r="I106" s="113" t="n">
        <v>27680.4</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4801932.030846246</v>
      </c>
    </row>
    <row r="5" ht="30" customHeight="1">
      <c r="A5" s="11" t="inlineStr">
        <is>
          <t>At Second Death (2056)</t>
        </is>
      </c>
      <c r="B5" s="105" t="n">
        <v>4584854.059682235</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4584854.059682235</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584854.0596822351</v>
      </c>
    </row>
    <row r="16" ht="45" customHeight="1">
      <c r="A16" s="2" t="inlineStr">
        <is>
          <t>Est. IL Estate Tax (cliff/interrelated calc)</t>
        </is>
      </c>
      <c r="B16" s="116" t="n">
        <v>316388.2486163773</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4584854.059682235</v>
      </c>
    </row>
    <row r="7" ht="30" customHeight="1">
      <c r="A7" s="121" t="inlineStr">
        <is>
          <t>Monte Carlo success</t>
        </is>
      </c>
      <c r="B7" s="70" t="n">
        <v>0.6875</v>
      </c>
    </row>
    <row r="8" ht="30" customHeight="1">
      <c r="A8" s="121" t="inlineStr">
        <is>
          <t>Core annual spending</t>
        </is>
      </c>
      <c r="B8" s="103" t="n">
        <v>154158</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$2,802,110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3368828.160624176</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7644450.192184215</v>
      </c>
      <c r="G34" s="4" t="n"/>
      <c r="H34" s="128" t="inlineStr">
        <is>
          <t>On Track</t>
        </is>
      </c>
      <c r="I34" s="3" t="n"/>
      <c r="J34" s="4" t="n"/>
    </row>
    <row r="35" ht="15" customHeight="1">
      <c r="A35" s="11" t="inlineStr">
        <is>
          <t>P90 Terminal Liquid Assets</t>
        </is>
      </c>
      <c r="B35" s="3" t="n"/>
      <c r="C35" s="3" t="n"/>
      <c r="D35" s="3" t="n"/>
      <c r="E35" s="4" t="n"/>
      <c r="F35" s="83" t="n">
        <v>14504235.84498962</v>
      </c>
      <c r="G35" s="4" t="n"/>
      <c r="H35" s="128" t="inlineStr">
        <is>
          <t>On Track</t>
        </is>
      </c>
      <c r="I35" s="3" t="n"/>
      <c r="J35" s="4" t="n"/>
    </row>
    <row r="36" ht="15" customHeight="1">
      <c r="A36" s="11" t="inlineStr">
        <is>
          <t>Mean Terminal Liquid Assets</t>
        </is>
      </c>
      <c r="B36" s="3" t="n"/>
      <c r="C36" s="3" t="n"/>
      <c r="D36" s="3" t="n"/>
      <c r="E36" s="4" t="n"/>
      <c r="F36" s="83" t="n">
        <v>5541820.62837247</v>
      </c>
      <c r="G36" s="4" t="n"/>
      <c r="H36" s="128" t="inlineStr">
        <is>
          <t>On Track</t>
        </is>
      </c>
      <c r="I36" s="3" t="n"/>
      <c r="J36" s="4" t="n"/>
    </row>
    <row r="37" ht="15" customHeight="1">
      <c r="A37" s="11" t="inlineStr">
        <is>
          <t>Median Terminal Total Net Worth</t>
        </is>
      </c>
      <c r="B37" s="3" t="n"/>
      <c r="C37" s="3" t="n"/>
      <c r="D37" s="3" t="n"/>
      <c r="E37" s="4" t="n"/>
      <c r="F37" s="83" t="n">
        <v>6791331.216986451</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4584854.059682235</v>
      </c>
      <c r="D41" s="4" t="n"/>
      <c r="E41" s="78" t="n">
        <v>3390274.137803574</v>
      </c>
      <c r="F41" s="83" t="n">
        <v>6791331.216986451</v>
      </c>
      <c r="G41" s="78" t="n">
        <v>17926104.85158822</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1194579.921878661</v>
      </c>
      <c r="D42" s="4" t="n"/>
      <c r="E42" s="78" t="n">
        <v>0</v>
      </c>
      <c r="F42" s="83" t="n">
        <v>3368828.160624176</v>
      </c>
      <c r="G42" s="78" t="n">
        <v>14504235.84498962</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-3368828.160624176</v>
      </c>
      <c r="F47" s="4" t="n"/>
      <c r="G47" s="12" t="inlineStr">
        <is>
          <t>Catastrophic — total portfolio loss</t>
        </is>
      </c>
      <c r="H47" s="3" t="n"/>
      <c r="I47" s="3" t="n"/>
      <c r="J47" s="4" t="n"/>
    </row>
    <row r="48" ht="15" customHeight="1">
      <c r="A48" s="41" t="inlineStr">
        <is>
          <t>P5</t>
        </is>
      </c>
      <c r="B48" s="78" t="n">
        <v>0</v>
      </c>
      <c r="C48" s="3" t="n"/>
      <c r="D48" s="4" t="n"/>
      <c r="E48" s="27" t="n">
        <v>-3368828.160624176</v>
      </c>
      <c r="F48" s="4" t="n"/>
      <c r="G48" s="12" t="inlineStr">
        <is>
          <t>Very bad luck — significant shortfall</t>
        </is>
      </c>
      <c r="H48" s="3" t="n"/>
      <c r="I48" s="3" t="n"/>
      <c r="J48" s="4" t="n"/>
    </row>
    <row r="49" ht="15" customHeight="1">
      <c r="A49" s="41" t="inlineStr">
        <is>
          <t>P10</t>
        </is>
      </c>
      <c r="B49" s="78" t="n">
        <v>0</v>
      </c>
      <c r="C49" s="3" t="n"/>
      <c r="D49" s="4" t="n"/>
      <c r="E49" s="27" t="n">
        <v>-3368828.160624176</v>
      </c>
      <c r="F49" s="4" t="n"/>
      <c r="G49" s="12" t="inlineStr">
        <is>
          <t>Poor sequence — stress-test floor</t>
        </is>
      </c>
      <c r="H49" s="3" t="n"/>
      <c r="I49" s="3" t="n"/>
      <c r="J49" s="4" t="n"/>
    </row>
    <row r="50" ht="15" customHeight="1">
      <c r="A50" s="130" t="inlineStr">
        <is>
          <t>P25</t>
        </is>
      </c>
      <c r="B50" s="131" t="n">
        <v>0</v>
      </c>
      <c r="C50" s="3" t="n"/>
      <c r="D50" s="4" t="n"/>
      <c r="E50" s="131" t="n">
        <v>-3368828.160624176</v>
      </c>
      <c r="F50" s="4" t="n"/>
      <c r="G50" s="97" t="inlineStr">
        <is>
          <t>1-in-4 downside scenario</t>
        </is>
      </c>
      <c r="H50" s="3" t="n"/>
      <c r="I50" s="3" t="n"/>
      <c r="J50" s="4" t="n"/>
    </row>
    <row r="51" ht="15" customHeight="1">
      <c r="A51" s="132" t="inlineStr">
        <is>
          <t>P50</t>
        </is>
      </c>
      <c r="B51" s="133" t="n">
        <v>3368828.160624176</v>
      </c>
      <c r="C51" s="3" t="n"/>
      <c r="D51" s="4" t="n"/>
      <c r="E51" s="134" t="n">
        <v>0</v>
      </c>
      <c r="F51" s="4" t="n"/>
      <c r="G51" s="19" t="inlineStr">
        <is>
          <t>Base case — median outcome</t>
        </is>
      </c>
      <c r="H51" s="3" t="n"/>
      <c r="I51" s="3" t="n"/>
      <c r="J51" s="4" t="n"/>
    </row>
    <row r="52" ht="15" customHeight="1">
      <c r="A52" s="130" t="inlineStr">
        <is>
          <t>P75</t>
        </is>
      </c>
      <c r="B52" s="131" t="n">
        <v>7644450.192184215</v>
      </c>
      <c r="C52" s="3" t="n"/>
      <c r="D52" s="4" t="n"/>
      <c r="E52" s="131" t="n">
        <v>4275622.031560039</v>
      </c>
      <c r="F52" s="4" t="n"/>
      <c r="G52" s="97" t="inlineStr">
        <is>
          <t>3-in-4 scenarios end above this</t>
        </is>
      </c>
      <c r="H52" s="3" t="n"/>
      <c r="I52" s="3" t="n"/>
      <c r="J52" s="4" t="n"/>
    </row>
    <row r="53" ht="15" customHeight="1">
      <c r="A53" s="41" t="inlineStr">
        <is>
          <t>P90</t>
        </is>
      </c>
      <c r="B53" s="78" t="n">
        <v>14504235.84498962</v>
      </c>
      <c r="C53" s="3" t="n"/>
      <c r="D53" s="4" t="n"/>
      <c r="E53" s="27" t="n">
        <v>11135407.68436544</v>
      </c>
      <c r="F53" s="4" t="n"/>
      <c r="G53" s="12" t="inlineStr">
        <is>
          <t>Good sequence — upside scenario</t>
        </is>
      </c>
      <c r="H53" s="3" t="n"/>
      <c r="I53" s="3" t="n"/>
      <c r="J53" s="4" t="n"/>
    </row>
    <row r="54" ht="15" customHeight="1">
      <c r="A54" s="41" t="inlineStr">
        <is>
          <t>P95</t>
        </is>
      </c>
      <c r="B54" s="78" t="n">
        <v>18469628.31246945</v>
      </c>
      <c r="C54" s="3" t="n"/>
      <c r="D54" s="4" t="n"/>
      <c r="E54" s="27" t="n">
        <v>15100800.15184527</v>
      </c>
      <c r="F54" s="4" t="n"/>
      <c r="G54" s="12" t="inlineStr">
        <is>
          <t>Very good luck</t>
        </is>
      </c>
      <c r="H54" s="3" t="n"/>
      <c r="I54" s="3" t="n"/>
      <c r="J54" s="4" t="n"/>
    </row>
    <row r="55" ht="15" customHeight="1">
      <c r="A55" s="41" t="inlineStr">
        <is>
          <t>P99</t>
        </is>
      </c>
      <c r="B55" s="78" t="n">
        <v>22607466.31823067</v>
      </c>
      <c r="C55" s="3" t="n"/>
      <c r="D55" s="4" t="n"/>
      <c r="E55" s="27" t="n">
        <v>19238638.1576065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5" t="n">
        <v>2026</v>
      </c>
      <c r="B59" s="135" t="n">
        <v>64</v>
      </c>
      <c r="C59" s="135" t="n">
        <v>65</v>
      </c>
      <c r="D59" s="108" t="n">
        <v>2824261.566411526</v>
      </c>
      <c r="E59" s="108" t="n">
        <v>2889849.379050591</v>
      </c>
      <c r="F59" s="136" t="n">
        <v>3044841.555748565</v>
      </c>
      <c r="G59" s="103" t="n">
        <v>3173412.258475909</v>
      </c>
      <c r="H59" s="108" t="n">
        <v>3267364.998620885</v>
      </c>
      <c r="I59" s="108" t="n">
        <v>3006014.160652555</v>
      </c>
      <c r="J59" s="137" t="n">
        <v>1</v>
      </c>
    </row>
    <row r="60" ht="15" customHeight="1">
      <c r="A60" s="135" t="n">
        <v>2027</v>
      </c>
      <c r="B60" s="135" t="n">
        <v>65</v>
      </c>
      <c r="C60" s="135" t="n">
        <v>66</v>
      </c>
      <c r="D60" s="108" t="n">
        <v>2246412.344002302</v>
      </c>
      <c r="E60" s="108" t="n">
        <v>2641823.411107827</v>
      </c>
      <c r="F60" s="136" t="n">
        <v>2935761.896874867</v>
      </c>
      <c r="G60" s="103" t="n">
        <v>3164098.89974542</v>
      </c>
      <c r="H60" s="108" t="n">
        <v>3457270.393830811</v>
      </c>
      <c r="I60" s="108" t="n">
        <v>2868575.112648392</v>
      </c>
      <c r="J60" s="137" t="n">
        <v>1</v>
      </c>
    </row>
    <row r="61" ht="15" customHeight="1">
      <c r="A61" s="135" t="n">
        <v>2028</v>
      </c>
      <c r="B61" s="135" t="n">
        <v>66</v>
      </c>
      <c r="C61" s="135" t="n">
        <v>67</v>
      </c>
      <c r="D61" s="108" t="n">
        <v>2010527.677911592</v>
      </c>
      <c r="E61" s="108" t="n">
        <v>2353925.035885464</v>
      </c>
      <c r="F61" s="136" t="n">
        <v>2814857.348793494</v>
      </c>
      <c r="G61" s="103" t="n">
        <v>3099207.071968315</v>
      </c>
      <c r="H61" s="108" t="n">
        <v>3640581.943833902</v>
      </c>
      <c r="I61" s="108" t="n">
        <v>2792486.723933382</v>
      </c>
      <c r="J61" s="137" t="n">
        <v>1</v>
      </c>
    </row>
    <row r="62" ht="15" customHeight="1">
      <c r="A62" s="135" t="n">
        <v>2029</v>
      </c>
      <c r="B62" s="135" t="n">
        <v>67</v>
      </c>
      <c r="C62" s="135" t="n">
        <v>68</v>
      </c>
      <c r="D62" s="108" t="n">
        <v>1662977.799883716</v>
      </c>
      <c r="E62" s="108" t="n">
        <v>2234431.94074718</v>
      </c>
      <c r="F62" s="136" t="n">
        <v>2963629.097710442</v>
      </c>
      <c r="G62" s="103" t="n">
        <v>3324063.970274829</v>
      </c>
      <c r="H62" s="108" t="n">
        <v>3854858.12009956</v>
      </c>
      <c r="I62" s="108" t="n">
        <v>2806000.255838546</v>
      </c>
      <c r="J62" s="137" t="n">
        <v>1</v>
      </c>
    </row>
    <row r="63" ht="15" customHeight="1">
      <c r="A63" s="135" t="n">
        <v>2030</v>
      </c>
      <c r="B63" s="135" t="n">
        <v>68</v>
      </c>
      <c r="C63" s="135" t="n">
        <v>69</v>
      </c>
      <c r="D63" s="108" t="n">
        <v>1474851.5723172</v>
      </c>
      <c r="E63" s="108" t="n">
        <v>2103512.783828534</v>
      </c>
      <c r="F63" s="136" t="n">
        <v>3009414.540681572</v>
      </c>
      <c r="G63" s="103" t="n">
        <v>3545062.221590798</v>
      </c>
      <c r="H63" s="108" t="n">
        <v>4267479.279593123</v>
      </c>
      <c r="I63" s="108" t="n">
        <v>2839615.369227784</v>
      </c>
      <c r="J63" s="137" t="n">
        <v>1</v>
      </c>
    </row>
    <row r="64" ht="15" customHeight="1">
      <c r="A64" s="135" t="n">
        <v>2031</v>
      </c>
      <c r="B64" s="135" t="n">
        <v>69</v>
      </c>
      <c r="C64" s="135" t="n">
        <v>70</v>
      </c>
      <c r="D64" s="108" t="n">
        <v>1336507.189701004</v>
      </c>
      <c r="E64" s="108" t="n">
        <v>2165773.352461258</v>
      </c>
      <c r="F64" s="136" t="n">
        <v>3062385.916915812</v>
      </c>
      <c r="G64" s="103" t="n">
        <v>3895145.429074651</v>
      </c>
      <c r="H64" s="108" t="n">
        <v>4279949.717548939</v>
      </c>
      <c r="I64" s="108" t="n">
        <v>2976245.813870301</v>
      </c>
      <c r="J64" s="137" t="n">
        <v>1</v>
      </c>
    </row>
    <row r="65" ht="15" customHeight="1">
      <c r="A65" s="135" t="n">
        <v>2032</v>
      </c>
      <c r="B65" s="135" t="n">
        <v>70</v>
      </c>
      <c r="C65" s="135" t="n">
        <v>71</v>
      </c>
      <c r="D65" s="108" t="n">
        <v>1016108.23572152</v>
      </c>
      <c r="E65" s="108" t="n">
        <v>1839465.913493437</v>
      </c>
      <c r="F65" s="136" t="n">
        <v>2976780.738519694</v>
      </c>
      <c r="G65" s="103" t="n">
        <v>3845348.62351876</v>
      </c>
      <c r="H65" s="108" t="n">
        <v>4692372.053559468</v>
      </c>
      <c r="I65" s="108" t="n">
        <v>2914621.664388645</v>
      </c>
      <c r="J65" s="137" t="n">
        <v>1</v>
      </c>
    </row>
    <row r="66" ht="15" customHeight="1">
      <c r="A66" s="135" t="n">
        <v>2033</v>
      </c>
      <c r="B66" s="135" t="n">
        <v>71</v>
      </c>
      <c r="C66" s="135" t="n">
        <v>72</v>
      </c>
      <c r="D66" s="108" t="n">
        <v>1061516.354463588</v>
      </c>
      <c r="E66" s="108" t="n">
        <v>1771904.770771541</v>
      </c>
      <c r="F66" s="136" t="n">
        <v>3086018.975683676</v>
      </c>
      <c r="G66" s="103" t="n">
        <v>3961978.668457491</v>
      </c>
      <c r="H66" s="108" t="n">
        <v>5361635.761415113</v>
      </c>
      <c r="I66" s="108" t="n">
        <v>3064223.567137027</v>
      </c>
      <c r="J66" s="137" t="n">
        <v>1</v>
      </c>
    </row>
    <row r="67" ht="15" customHeight="1">
      <c r="A67" s="135" t="n">
        <v>2034</v>
      </c>
      <c r="B67" s="135" t="n">
        <v>72</v>
      </c>
      <c r="C67" s="135" t="n">
        <v>73</v>
      </c>
      <c r="D67" s="108" t="n">
        <v>831399.7325679023</v>
      </c>
      <c r="E67" s="108" t="n">
        <v>1757896.528369291</v>
      </c>
      <c r="F67" s="136" t="n">
        <v>2943916.111259261</v>
      </c>
      <c r="G67" s="103" t="n">
        <v>3741024.183232463</v>
      </c>
      <c r="H67" s="108" t="n">
        <v>5200204.421880864</v>
      </c>
      <c r="I67" s="108" t="n">
        <v>3021661.292816494</v>
      </c>
      <c r="J67" s="137" t="n">
        <v>1</v>
      </c>
    </row>
    <row r="68" ht="15" customHeight="1">
      <c r="A68" s="135" t="n">
        <v>2035</v>
      </c>
      <c r="B68" s="135" t="n">
        <v>73</v>
      </c>
      <c r="C68" s="135" t="n">
        <v>74</v>
      </c>
      <c r="D68" s="108" t="n">
        <v>667953.9959542559</v>
      </c>
      <c r="E68" s="108" t="n">
        <v>1634273.579266024</v>
      </c>
      <c r="F68" s="136" t="n">
        <v>3128001.911424699</v>
      </c>
      <c r="G68" s="103" t="n">
        <v>3608712.561697125</v>
      </c>
      <c r="H68" s="108" t="n">
        <v>5233227.42702086</v>
      </c>
      <c r="I68" s="108" t="n">
        <v>2927886.511071751</v>
      </c>
      <c r="J68" s="137" t="n">
        <v>0.9375</v>
      </c>
    </row>
    <row r="69" ht="15" customHeight="1">
      <c r="A69" s="135" t="n">
        <v>2036</v>
      </c>
      <c r="B69" s="135" t="n">
        <v>74</v>
      </c>
      <c r="C69" s="135" t="n">
        <v>75</v>
      </c>
      <c r="D69" s="108" t="n">
        <v>562570.0860410586</v>
      </c>
      <c r="E69" s="108" t="n">
        <v>1317004.313097005</v>
      </c>
      <c r="F69" s="136" t="n">
        <v>3205424.078994974</v>
      </c>
      <c r="G69" s="103" t="n">
        <v>3815529.53711171</v>
      </c>
      <c r="H69" s="108" t="n">
        <v>6248172.822291642</v>
      </c>
      <c r="I69" s="108" t="n">
        <v>3033270.619749575</v>
      </c>
      <c r="J69" s="137" t="n">
        <v>0.9375</v>
      </c>
    </row>
    <row r="70" ht="15" customHeight="1">
      <c r="A70" s="135" t="n">
        <v>2037</v>
      </c>
      <c r="B70" s="135" t="n">
        <v>75</v>
      </c>
      <c r="C70" s="135" t="n">
        <v>76</v>
      </c>
      <c r="D70" s="108" t="n">
        <v>388748.2765051444</v>
      </c>
      <c r="E70" s="108" t="n">
        <v>862042.5208989268</v>
      </c>
      <c r="F70" s="136" t="n">
        <v>3026016.50028921</v>
      </c>
      <c r="G70" s="103" t="n">
        <v>3946268.874242685</v>
      </c>
      <c r="H70" s="108" t="n">
        <v>6130961.419972388</v>
      </c>
      <c r="I70" s="108" t="n">
        <v>3012389.479386051</v>
      </c>
      <c r="J70" s="137" t="n">
        <v>0.9375</v>
      </c>
    </row>
    <row r="71" ht="15" customHeight="1">
      <c r="A71" s="135" t="n">
        <v>2038</v>
      </c>
      <c r="B71" s="135" t="n">
        <v>76</v>
      </c>
      <c r="C71" s="135" t="n">
        <v>77</v>
      </c>
      <c r="D71" s="108" t="n">
        <v>250365.0228114238</v>
      </c>
      <c r="E71" s="108" t="n">
        <v>781592.8623688074</v>
      </c>
      <c r="F71" s="136" t="n">
        <v>2898057.303908812</v>
      </c>
      <c r="G71" s="103" t="n">
        <v>4302208.352820237</v>
      </c>
      <c r="H71" s="108" t="n">
        <v>6291152.554689971</v>
      </c>
      <c r="I71" s="108" t="n">
        <v>3008401.613085367</v>
      </c>
      <c r="J71" s="137" t="n">
        <v>0.9375</v>
      </c>
    </row>
    <row r="72" ht="15" customHeight="1">
      <c r="A72" s="135" t="n">
        <v>2039</v>
      </c>
      <c r="B72" s="135" t="n">
        <v>77</v>
      </c>
      <c r="C72" s="135" t="n">
        <v>78</v>
      </c>
      <c r="D72" s="108" t="n">
        <v>101180.9406294358</v>
      </c>
      <c r="E72" s="108" t="n">
        <v>641403.6269054828</v>
      </c>
      <c r="F72" s="136" t="n">
        <v>2643437.376780658</v>
      </c>
      <c r="G72" s="103" t="n">
        <v>4436554.905449288</v>
      </c>
      <c r="H72" s="108" t="n">
        <v>6731709.049083786</v>
      </c>
      <c r="I72" s="108" t="n">
        <v>3110859.171951323</v>
      </c>
      <c r="J72" s="137" t="n">
        <v>0.9375</v>
      </c>
    </row>
    <row r="73" ht="30" customHeight="1">
      <c r="A73" s="138" t="n">
        <v>2040</v>
      </c>
      <c r="B73" s="138" t="n">
        <v>78</v>
      </c>
      <c r="C73" s="138" t="n">
        <v>79</v>
      </c>
      <c r="D73" s="139" t="n">
        <v>6762.474980109393</v>
      </c>
      <c r="E73" s="139" t="n">
        <v>463059.3581791786</v>
      </c>
      <c r="F73" s="76" t="n">
        <v>2542702.255137003</v>
      </c>
      <c r="G73" s="139" t="n">
        <v>4753768.658117916</v>
      </c>
      <c r="H73" s="139" t="n">
        <v>6697354.527767714</v>
      </c>
      <c r="I73" s="139" t="n">
        <v>3002473.833746119</v>
      </c>
      <c r="J73" s="140" t="n">
        <v>0.875</v>
      </c>
    </row>
    <row r="74" ht="30" customHeight="1">
      <c r="A74" s="138" t="n">
        <v>2041</v>
      </c>
      <c r="B74" s="138" t="n">
        <v>79</v>
      </c>
      <c r="C74" s="138" t="n">
        <v>80</v>
      </c>
      <c r="D74" s="139" t="n">
        <v>0</v>
      </c>
      <c r="E74" s="139" t="n">
        <v>294675.8557803074</v>
      </c>
      <c r="F74" s="76" t="n">
        <v>2360384.823133576</v>
      </c>
      <c r="G74" s="139" t="n">
        <v>5185436.293801331</v>
      </c>
      <c r="H74" s="139" t="n">
        <v>7554011.155187562</v>
      </c>
      <c r="I74" s="139" t="n">
        <v>3163011.532898863</v>
      </c>
      <c r="J74" s="140" t="n">
        <v>0.8125</v>
      </c>
    </row>
    <row r="75" ht="30" customHeight="1">
      <c r="A75" s="138" t="n">
        <v>2042</v>
      </c>
      <c r="B75" s="138" t="n">
        <v>80</v>
      </c>
      <c r="C75" s="138" t="n">
        <v>81</v>
      </c>
      <c r="D75" s="139" t="n">
        <v>0</v>
      </c>
      <c r="E75" s="139" t="n">
        <v>106585.8075723864</v>
      </c>
      <c r="F75" s="76" t="n">
        <v>2503214.717367117</v>
      </c>
      <c r="G75" s="139" t="n">
        <v>4717553.821612627</v>
      </c>
      <c r="H75" s="139" t="n">
        <v>7391323.194891601</v>
      </c>
      <c r="I75" s="139" t="n">
        <v>3093432.300701875</v>
      </c>
      <c r="J75" s="140" t="n">
        <v>0.8125</v>
      </c>
    </row>
    <row r="76" ht="30" customHeight="1">
      <c r="A76" s="141" t="n">
        <v>2043</v>
      </c>
      <c r="B76" s="141" t="n">
        <v>81</v>
      </c>
      <c r="C76" s="141" t="n">
        <v>82</v>
      </c>
      <c r="D76" s="142" t="n">
        <v>0</v>
      </c>
      <c r="E76" s="142" t="n">
        <v>0</v>
      </c>
      <c r="F76" s="116" t="n">
        <v>2420273.906301874</v>
      </c>
      <c r="G76" s="142" t="n">
        <v>5128577.858649792</v>
      </c>
      <c r="H76" s="142" t="n">
        <v>6667652.909906719</v>
      </c>
      <c r="I76" s="142" t="n">
        <v>3015183.97949829</v>
      </c>
      <c r="J76" s="143" t="n">
        <v>0.6875</v>
      </c>
    </row>
    <row r="77" ht="30" customHeight="1">
      <c r="A77" s="141" t="n">
        <v>2044</v>
      </c>
      <c r="B77" s="141" t="n">
        <v>82</v>
      </c>
      <c r="C77" s="141" t="n">
        <v>83</v>
      </c>
      <c r="D77" s="142" t="n">
        <v>0</v>
      </c>
      <c r="E77" s="142" t="n">
        <v>0</v>
      </c>
      <c r="F77" s="116" t="n">
        <v>2483894.493016078</v>
      </c>
      <c r="G77" s="142" t="n">
        <v>4493270.440058956</v>
      </c>
      <c r="H77" s="142" t="n">
        <v>6737861.758884007</v>
      </c>
      <c r="I77" s="142" t="n">
        <v>2962648.659843586</v>
      </c>
      <c r="J77" s="143" t="n">
        <v>0.6875</v>
      </c>
    </row>
    <row r="78" ht="30" customHeight="1">
      <c r="A78" s="141" t="n">
        <v>2045</v>
      </c>
      <c r="B78" s="141" t="n">
        <v>83</v>
      </c>
      <c r="C78" s="141" t="n">
        <v>84</v>
      </c>
      <c r="D78" s="142" t="n">
        <v>0</v>
      </c>
      <c r="E78" s="142" t="n">
        <v>0</v>
      </c>
      <c r="F78" s="116" t="n">
        <v>2369856.517486303</v>
      </c>
      <c r="G78" s="142" t="n">
        <v>4637869.736386999</v>
      </c>
      <c r="H78" s="142" t="n">
        <v>6490692.970159905</v>
      </c>
      <c r="I78" s="142" t="n">
        <v>2944182.57540459</v>
      </c>
      <c r="J78" s="143" t="n">
        <v>0.6875</v>
      </c>
    </row>
    <row r="79" ht="30" customHeight="1">
      <c r="A79" s="141" t="n">
        <v>2046</v>
      </c>
      <c r="B79" s="141" t="n">
        <v>84</v>
      </c>
      <c r="C79" s="141" t="n">
        <v>85</v>
      </c>
      <c r="D79" s="142" t="n">
        <v>0</v>
      </c>
      <c r="E79" s="142" t="n">
        <v>0</v>
      </c>
      <c r="F79" s="116" t="n">
        <v>2455655.875126066</v>
      </c>
      <c r="G79" s="142" t="n">
        <v>4822552.95405297</v>
      </c>
      <c r="H79" s="142" t="n">
        <v>7128027.810867273</v>
      </c>
      <c r="I79" s="142" t="n">
        <v>3215064.102881661</v>
      </c>
      <c r="J79" s="143" t="n">
        <v>0.6875</v>
      </c>
    </row>
    <row r="80" ht="30" customHeight="1">
      <c r="A80" s="141" t="n">
        <v>2047</v>
      </c>
      <c r="B80" s="141" t="n">
        <v>85</v>
      </c>
      <c r="C80" s="141" t="n">
        <v>86</v>
      </c>
      <c r="D80" s="142" t="n">
        <v>0</v>
      </c>
      <c r="E80" s="142" t="n">
        <v>0</v>
      </c>
      <c r="F80" s="116" t="n">
        <v>2613687.936662562</v>
      </c>
      <c r="G80" s="142" t="n">
        <v>5393010.852103625</v>
      </c>
      <c r="H80" s="142" t="n">
        <v>7778099.523545063</v>
      </c>
      <c r="I80" s="142" t="n">
        <v>3443690.055719775</v>
      </c>
      <c r="J80" s="143" t="n">
        <v>0.6875</v>
      </c>
    </row>
    <row r="81" ht="30" customHeight="1">
      <c r="A81" s="141" t="n">
        <v>2048</v>
      </c>
      <c r="B81" s="141" t="n">
        <v>86</v>
      </c>
      <c r="C81" s="141" t="n">
        <v>87</v>
      </c>
      <c r="D81" s="142" t="n">
        <v>0</v>
      </c>
      <c r="E81" s="142" t="n">
        <v>0</v>
      </c>
      <c r="F81" s="116" t="n">
        <v>2801507.530576253</v>
      </c>
      <c r="G81" s="142" t="n">
        <v>6074771.919184493</v>
      </c>
      <c r="H81" s="142" t="n">
        <v>7986679.968943909</v>
      </c>
      <c r="I81" s="142" t="n">
        <v>3551587.038312233</v>
      </c>
      <c r="J81" s="143" t="n">
        <v>0.6875</v>
      </c>
    </row>
    <row r="82" ht="30" customHeight="1">
      <c r="A82" s="141" t="n">
        <v>2049</v>
      </c>
      <c r="B82" s="141" t="n">
        <v>87</v>
      </c>
      <c r="C82" s="141" t="n">
        <v>88</v>
      </c>
      <c r="D82" s="142" t="n">
        <v>0</v>
      </c>
      <c r="E82" s="142" t="n">
        <v>0</v>
      </c>
      <c r="F82" s="116" t="n">
        <v>3188209.9931966</v>
      </c>
      <c r="G82" s="142" t="n">
        <v>6373455.332479867</v>
      </c>
      <c r="H82" s="142" t="n">
        <v>8949108.439368125</v>
      </c>
      <c r="I82" s="142" t="n">
        <v>3656795.534196318</v>
      </c>
      <c r="J82" s="143" t="n">
        <v>0.6875</v>
      </c>
    </row>
    <row r="83" ht="30" customHeight="1">
      <c r="A83" s="141" t="n">
        <v>2050</v>
      </c>
      <c r="B83" s="141" t="n">
        <v>88</v>
      </c>
      <c r="C83" s="141" t="n">
        <v>89</v>
      </c>
      <c r="D83" s="142" t="n">
        <v>0</v>
      </c>
      <c r="E83" s="142" t="n">
        <v>0</v>
      </c>
      <c r="F83" s="116" t="n">
        <v>3285889.936249425</v>
      </c>
      <c r="G83" s="142" t="n">
        <v>6760513.587452745</v>
      </c>
      <c r="H83" s="142" t="n">
        <v>8106342.140001107</v>
      </c>
      <c r="I83" s="142" t="n">
        <v>3855480.305084055</v>
      </c>
      <c r="J83" s="143" t="n">
        <v>0.6875</v>
      </c>
    </row>
    <row r="84" ht="30" customHeight="1">
      <c r="A84" s="141" t="n">
        <v>2051</v>
      </c>
      <c r="B84" s="141" t="n">
        <v>89</v>
      </c>
      <c r="C84" s="141" t="n">
        <v>90</v>
      </c>
      <c r="D84" s="142" t="n">
        <v>0</v>
      </c>
      <c r="E84" s="142" t="n">
        <v>0</v>
      </c>
      <c r="F84" s="116" t="n">
        <v>3158437.263842417</v>
      </c>
      <c r="G84" s="142" t="n">
        <v>7428412.80931334</v>
      </c>
      <c r="H84" s="142" t="n">
        <v>7968333.135432065</v>
      </c>
      <c r="I84" s="142" t="n">
        <v>4027583.999484899</v>
      </c>
      <c r="J84" s="143" t="n">
        <v>0.6875</v>
      </c>
    </row>
    <row r="85" ht="30" customHeight="1">
      <c r="A85" s="141" t="n">
        <v>2052</v>
      </c>
      <c r="B85" s="141" t="n">
        <v>90</v>
      </c>
      <c r="C85" s="141" t="n">
        <v>91</v>
      </c>
      <c r="D85" s="142" t="n">
        <v>0</v>
      </c>
      <c r="E85" s="142" t="n">
        <v>0</v>
      </c>
      <c r="F85" s="116" t="n">
        <v>3208269.428679851</v>
      </c>
      <c r="G85" s="142" t="n">
        <v>6870369.616573944</v>
      </c>
      <c r="H85" s="142" t="n">
        <v>7917148.297199748</v>
      </c>
      <c r="I85" s="142" t="n">
        <v>4007418.948816485</v>
      </c>
      <c r="J85" s="143" t="n">
        <v>0.6875</v>
      </c>
    </row>
    <row r="86" ht="30" customHeight="1">
      <c r="A86" s="141" t="n">
        <v>2053</v>
      </c>
      <c r="B86" s="141" t="n">
        <v>91</v>
      </c>
      <c r="C86" s="141" t="n">
        <v>92</v>
      </c>
      <c r="D86" s="142" t="n">
        <v>0</v>
      </c>
      <c r="E86" s="142" t="n">
        <v>0</v>
      </c>
      <c r="F86" s="116" t="n">
        <v>3169021.207369367</v>
      </c>
      <c r="G86" s="142" t="n">
        <v>8071198.561890602</v>
      </c>
      <c r="H86" s="142" t="n">
        <v>8968429.108000439</v>
      </c>
      <c r="I86" s="142" t="n">
        <v>4381345.758608905</v>
      </c>
      <c r="J86" s="143" t="n">
        <v>0.6875</v>
      </c>
    </row>
    <row r="87" ht="30" customHeight="1">
      <c r="A87" s="141" t="n">
        <v>2054</v>
      </c>
      <c r="B87" s="141" t="n">
        <v>92</v>
      </c>
      <c r="C87" s="141" t="n">
        <v>93</v>
      </c>
      <c r="D87" s="142" t="n">
        <v>0</v>
      </c>
      <c r="E87" s="142" t="n">
        <v>0</v>
      </c>
      <c r="F87" s="116" t="n">
        <v>3220707.669600649</v>
      </c>
      <c r="G87" s="142" t="n">
        <v>8389890.027360119</v>
      </c>
      <c r="H87" s="142" t="n">
        <v>10828901.89131821</v>
      </c>
      <c r="I87" s="142" t="n">
        <v>4726012.958080933</v>
      </c>
      <c r="J87" s="143" t="n">
        <v>0.6875</v>
      </c>
    </row>
    <row r="88" ht="30" customHeight="1">
      <c r="A88" s="141" t="n">
        <v>2055</v>
      </c>
      <c r="B88" s="141" t="n">
        <v>93</v>
      </c>
      <c r="C88" s="141" t="n">
        <v>94</v>
      </c>
      <c r="D88" s="142" t="n">
        <v>0</v>
      </c>
      <c r="E88" s="142" t="n">
        <v>0</v>
      </c>
      <c r="F88" s="116" t="n">
        <v>3175120.990719426</v>
      </c>
      <c r="G88" s="142" t="n">
        <v>7775120.047066532</v>
      </c>
      <c r="H88" s="142" t="n">
        <v>12107809.36023488</v>
      </c>
      <c r="I88" s="142" t="n">
        <v>5028979.170321533</v>
      </c>
      <c r="J88" s="143" t="n">
        <v>0.6875</v>
      </c>
    </row>
    <row r="89" ht="30" customHeight="1">
      <c r="A89" s="141" t="n">
        <v>2056</v>
      </c>
      <c r="B89" s="141" t="n">
        <v>94</v>
      </c>
      <c r="C89" s="141" t="n">
        <v>95</v>
      </c>
      <c r="D89" s="142" t="n">
        <v>0</v>
      </c>
      <c r="E89" s="142" t="n">
        <v>0</v>
      </c>
      <c r="F89" s="116" t="n">
        <v>3368828.160624176</v>
      </c>
      <c r="G89" s="142" t="n">
        <v>7644450.192184215</v>
      </c>
      <c r="H89" s="142" t="n">
        <v>14504235.84498962</v>
      </c>
      <c r="I89" s="142" t="n">
        <v>5541820.62837247</v>
      </c>
      <c r="J89" s="143" t="n">
        <v>0.6875</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207565.3627197714</v>
      </c>
      <c r="F94" s="149" t="n">
        <v>86485.56779990475</v>
      </c>
      <c r="G94" s="151" t="n">
        <v>0.3333333333333333</v>
      </c>
      <c r="H94" s="82" t="inlineStr">
        <is>
          <t>Below-avg early returns: monitor spending levels</t>
        </is>
      </c>
      <c r="I94" s="3" t="n"/>
      <c r="J94" s="4" t="n"/>
    </row>
    <row r="95" ht="30" customHeight="1">
      <c r="A95" s="118" t="inlineStr">
        <is>
          <t>Q3 — Middle 20%</t>
        </is>
      </c>
      <c r="B95" s="152" t="n">
        <v>0.09500277248619693</v>
      </c>
      <c r="C95" s="153" t="n">
        <v>2958810.428833333</v>
      </c>
      <c r="D95" s="154" t="n">
        <v>4774167.08030379</v>
      </c>
      <c r="E95" s="153" t="n">
        <v>5943121.903729045</v>
      </c>
      <c r="F95" s="153" t="n">
        <v>4504832.985284955</v>
      </c>
      <c r="G95" s="155" t="n">
        <v>1</v>
      </c>
      <c r="H95" s="112" t="inlineStr">
        <is>
          <t>Middle outcome: plan as modeled</t>
        </is>
      </c>
      <c r="I95" s="3" t="n"/>
      <c r="J95" s="4" t="n"/>
    </row>
    <row r="96" ht="30" customHeight="1">
      <c r="A96" s="92" t="inlineStr">
        <is>
          <t>Q4</t>
        </is>
      </c>
      <c r="B96" s="81" t="n">
        <v>0.1232819867766737</v>
      </c>
      <c r="C96" s="80" t="n">
        <v>5282665.087056624</v>
      </c>
      <c r="D96" s="93" t="n">
        <v>11871718.93998079</v>
      </c>
      <c r="E96" s="80" t="n">
        <v>12184697.82525773</v>
      </c>
      <c r="F96" s="80" t="n">
        <v>9256687.703461112</v>
      </c>
      <c r="G96" s="156" t="n">
        <v>1</v>
      </c>
      <c r="H96" s="75" t="inlineStr">
        <is>
          <t>Above-avg early returns: strong buffer builds fast</t>
        </is>
      </c>
      <c r="I96" s="3" t="n"/>
      <c r="J96" s="4" t="n"/>
    </row>
    <row r="97" ht="30" customHeight="1">
      <c r="A97" s="119" t="inlineStr">
        <is>
          <t>Q5 — Best 20%</t>
        </is>
      </c>
      <c r="B97" s="157" t="n">
        <v>0.1603843853249111</v>
      </c>
      <c r="C97" s="158" t="n">
        <v>3236330.823625574</v>
      </c>
      <c r="D97" s="159" t="n">
        <v>3589657.055621845</v>
      </c>
      <c r="E97" s="158" t="n">
        <v>14114354.72584618</v>
      </c>
      <c r="F97" s="158" t="n">
        <v>7827728.488216873</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0.3333333333333333</v>
      </c>
      <c r="D103" s="162" t="n">
        <v>0</v>
      </c>
      <c r="E103" s="162" t="n">
        <v>0</v>
      </c>
      <c r="F103" s="162" t="n">
        <v>0.3333333333333333</v>
      </c>
      <c r="G103" s="156" t="n">
        <v>0.3333333333333333</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62" t="n">
        <v>0</v>
      </c>
      <c r="C106" s="162" t="n">
        <v>0.3333333333333333</v>
      </c>
      <c r="D106" s="162" t="n">
        <v>0.3333333333333333</v>
      </c>
      <c r="E106" s="162" t="n">
        <v>0.3333333333333333</v>
      </c>
      <c r="F106" s="162" t="n">
        <v>0.6666666666666666</v>
      </c>
      <c r="G106" s="156" t="n">
        <v>0.6666666666666666</v>
      </c>
    </row>
    <row r="107" ht="30" customHeight="1">
      <c r="A107" s="130" t="inlineStr">
        <is>
          <t>μ=8%</t>
        </is>
      </c>
      <c r="B107" s="162" t="n">
        <v>0.6666666666666666</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$3,368,828 and median total net worth of $6,791,331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4584854.059682235</v>
      </c>
      <c r="F5" s="97" t="inlineStr">
        <is>
          <t>Baseline</t>
        </is>
      </c>
      <c r="G5" s="139" t="n">
        <v>874291.2085969265</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7420691.919771338</v>
      </c>
      <c r="F6" s="109" t="n">
        <v>2835837.860089103</v>
      </c>
      <c r="G6" s="108" t="n">
        <v>797047.6071786168</v>
      </c>
      <c r="H6" s="108" t="n">
        <v>-77243.60141830973</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3776012.540813134</v>
      </c>
      <c r="F7" s="172" t="n">
        <v>-808841.5188691011</v>
      </c>
      <c r="G7" s="108" t="n">
        <v>866249.5095320288</v>
      </c>
      <c r="H7" s="108" t="n">
        <v>-8041.699064897723</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6155918.467668513</v>
      </c>
      <c r="F8" s="109" t="n">
        <v>1571064.407986278</v>
      </c>
      <c r="G8" s="108" t="n">
        <v>804122.5138872031</v>
      </c>
      <c r="H8" s="108" t="n">
        <v>-70168.69470972347</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3769108.771117397</v>
      </c>
      <c r="F9" s="172" t="n">
        <v>-815745.288564838</v>
      </c>
      <c r="G9" s="108" t="n">
        <v>885561.2943436872</v>
      </c>
      <c r="H9" s="108" t="n">
        <v>11270.08574676071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0" t="n">
        <v>4792923.340270114</v>
      </c>
      <c r="F10" s="109" t="n">
        <v>208069.280587879</v>
      </c>
      <c r="G10" s="108" t="n">
        <v>538465.9022229299</v>
      </c>
      <c r="H10" s="108" t="n">
        <v>-335825.3063739967</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2026-07-01</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06/29/2026 09:35 AM</t>
        </is>
      </c>
      <c r="C33" s="12" t="inlineStr">
        <is>
          <t>text</t>
        </is>
      </c>
      <c r="D33"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0.6127254017331175</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0.2168105267671031</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0.05734553579520389</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48983.94720098929</v>
      </c>
      <c r="H11" s="27" t="n">
        <v>0</v>
      </c>
      <c r="I11" s="27" t="n">
        <v>0</v>
      </c>
      <c r="J11" s="27" t="n">
        <v>0</v>
      </c>
      <c r="K11" s="27" t="n">
        <v>0</v>
      </c>
      <c r="L11" s="27" t="n">
        <v>0</v>
      </c>
      <c r="M11" s="27" t="n">
        <v>9780.676593539512</v>
      </c>
      <c r="N11" s="27" t="n">
        <v>262813.1588045288</v>
      </c>
      <c r="O11" s="27" t="n">
        <v>262813.1588045288</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0.0002444769381223411</v>
      </c>
      <c r="M18" s="27" t="n">
        <v>2354.551485331383</v>
      </c>
      <c r="N18" s="27" t="n">
        <v>41597.07624085444</v>
      </c>
      <c r="O18" s="27" t="n">
        <v>41597.07624085444</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0.008659314452300136</v>
      </c>
      <c r="M19" s="27" t="n">
        <v>83397.64831074513</v>
      </c>
      <c r="N19" s="27" t="n">
        <v>1473358.453489831</v>
      </c>
      <c r="O19" s="27" t="n">
        <v>1473358.453489831</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262813.1588045288</v>
      </c>
      <c r="G21" s="27" t="n">
        <v>0</v>
      </c>
      <c r="H21" s="27" t="n">
        <v>0</v>
      </c>
      <c r="I21" s="27" t="n">
        <v>0</v>
      </c>
      <c r="J21" s="27" t="n">
        <v>0</v>
      </c>
      <c r="K21" s="27" t="n">
        <v>0</v>
      </c>
      <c r="L21" s="27" t="n">
        <v>150804.0369649756</v>
      </c>
      <c r="M21" s="27" t="n">
        <v>4329.582457818747</v>
      </c>
      <c r="N21" s="27" t="n">
        <v>116338.704297372</v>
      </c>
      <c r="O21" s="27" t="n">
        <v>116338.7042973719</v>
      </c>
      <c r="P21" s="27" t="n">
        <v>-1.455191522836685e-11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224998.0885639524</v>
      </c>
      <c r="L22" s="27" t="n">
        <v>0.001602050162825499</v>
      </c>
      <c r="M22" s="27" t="n">
        <v>15429.30641813145</v>
      </c>
      <c r="N22" s="27" t="n">
        <v>272584.413386989</v>
      </c>
      <c r="O22" s="27" t="n">
        <v>272584.413386989</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224998.0885639524</v>
      </c>
      <c r="K23" s="27" t="n">
        <v>0</v>
      </c>
      <c r="L23" s="27" t="n">
        <v>0</v>
      </c>
      <c r="M23" s="27" t="n">
        <v>26469.97702713194</v>
      </c>
      <c r="N23" s="27" t="n">
        <v>467636.2608126643</v>
      </c>
      <c r="O23" s="27" t="n">
        <v>467636.2608126643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195211.0821502052</v>
      </c>
      <c r="M24" s="27" t="n">
        <v>6110.048591397793</v>
      </c>
      <c r="N24" s="27" t="n">
        <v>151102.3334469526</v>
      </c>
      <c r="O24" s="27" t="n">
        <v>151102.3334469526</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41597.07624085444</v>
      </c>
      <c r="G28" s="27" t="n">
        <v>0</v>
      </c>
      <c r="H28" s="27" t="n">
        <v>0</v>
      </c>
      <c r="I28" s="27" t="n">
        <v>0</v>
      </c>
      <c r="J28" s="27" t="n">
        <v>0</v>
      </c>
      <c r="K28" s="27" t="n">
        <v>0</v>
      </c>
      <c r="L28" s="27" t="n">
        <v>787.6704119291851</v>
      </c>
      <c r="M28" s="27" t="n">
        <v>2448.564349735515</v>
      </c>
      <c r="N28" s="27" t="n">
        <v>43257.97017866077</v>
      </c>
      <c r="O28" s="27" t="n">
        <v>43257.97017866077</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1473358.453489831</v>
      </c>
      <c r="G29" s="27" t="n">
        <v>0</v>
      </c>
      <c r="H29" s="27" t="n">
        <v>0</v>
      </c>
      <c r="I29" s="27" t="n">
        <v>0</v>
      </c>
      <c r="J29" s="27" t="n">
        <v>0</v>
      </c>
      <c r="K29" s="27" t="n">
        <v>0</v>
      </c>
      <c r="L29" s="27" t="n">
        <v>27899.09688027256</v>
      </c>
      <c r="M29" s="27" t="n">
        <v>86727.5613965735</v>
      </c>
      <c r="N29" s="27" t="n">
        <v>1532186.918006132</v>
      </c>
      <c r="O29" s="27" t="n">
        <v>1532186.918006132</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116338.7042973719</v>
      </c>
      <c r="G31" s="27" t="n">
        <v>0</v>
      </c>
      <c r="H31" s="27" t="n">
        <v>0</v>
      </c>
      <c r="I31" s="27" t="n">
        <v>0</v>
      </c>
      <c r="J31" s="27" t="n">
        <v>0</v>
      </c>
      <c r="K31" s="27" t="n">
        <v>0</v>
      </c>
      <c r="L31" s="27" t="n">
        <v>116338.7042973719</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272584.413386989</v>
      </c>
      <c r="G32" s="27" t="n">
        <v>0</v>
      </c>
      <c r="H32" s="27" t="n">
        <v>0</v>
      </c>
      <c r="I32" s="27" t="n">
        <v>0</v>
      </c>
      <c r="J32" s="27" t="n">
        <v>0</v>
      </c>
      <c r="K32" s="27" t="n">
        <v>214071.7570796345</v>
      </c>
      <c r="L32" s="27" t="n">
        <v>1107.97902789665</v>
      </c>
      <c r="M32" s="27" t="n">
        <v>3444.28063676747</v>
      </c>
      <c r="N32" s="27" t="n">
        <v>60848.95791622531</v>
      </c>
      <c r="O32" s="27" t="n">
        <v>60848.95791622531</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467636.2608126643</v>
      </c>
      <c r="G33" s="27" t="n">
        <v>0</v>
      </c>
      <c r="H33" s="27" t="n">
        <v>0</v>
      </c>
      <c r="I33" s="27" t="n">
        <v>0</v>
      </c>
      <c r="J33" s="27" t="n">
        <v>214071.7570796345</v>
      </c>
      <c r="K33" s="27" t="n">
        <v>0</v>
      </c>
      <c r="L33" s="27" t="n">
        <v>0</v>
      </c>
      <c r="M33" s="27" t="n">
        <v>40902.48107353793</v>
      </c>
      <c r="N33" s="27" t="n">
        <v>722610.4989658368</v>
      </c>
      <c r="O33" s="27" t="n">
        <v>722610.4989658368</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151102.3334469526</v>
      </c>
      <c r="G34" s="27" t="n">
        <v>0</v>
      </c>
      <c r="H34" s="27" t="n">
        <v>0</v>
      </c>
      <c r="I34" s="27" t="n">
        <v>0</v>
      </c>
      <c r="J34" s="27" t="n">
        <v>0</v>
      </c>
      <c r="K34" s="27" t="n">
        <v>0</v>
      </c>
      <c r="L34" s="27" t="n">
        <v>151102.3334469526</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43257.97017866077</v>
      </c>
      <c r="G38" s="27" t="n">
        <v>0</v>
      </c>
      <c r="H38" s="27" t="n">
        <v>0</v>
      </c>
      <c r="I38" s="27" t="n">
        <v>0</v>
      </c>
      <c r="J38" s="27" t="n">
        <v>0</v>
      </c>
      <c r="K38" s="27" t="n">
        <v>43257.97017866077</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1532186.918006132</v>
      </c>
      <c r="G39" s="27" t="n">
        <v>0</v>
      </c>
      <c r="H39" s="27" t="n">
        <v>0</v>
      </c>
      <c r="I39" s="27" t="n">
        <v>0</v>
      </c>
      <c r="J39" s="27" t="n">
        <v>0</v>
      </c>
      <c r="K39" s="27" t="n">
        <v>41553.74690215039</v>
      </c>
      <c r="L39" s="27" t="n">
        <v>220388.0734502863</v>
      </c>
      <c r="M39" s="27" t="n">
        <v>76214.70585922169</v>
      </c>
      <c r="N39" s="27" t="n">
        <v>1346459.803512917</v>
      </c>
      <c r="O39" s="27" t="n">
        <v>1346459.803512917</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84811.71708081116</v>
      </c>
      <c r="K40" s="27" t="n">
        <v>0</v>
      </c>
      <c r="L40" s="27" t="n">
        <v>0</v>
      </c>
      <c r="M40" s="27" t="n">
        <v>14908.30359574553</v>
      </c>
      <c r="N40" s="27" t="n">
        <v>263380.0301915043</v>
      </c>
      <c r="O40" s="27" t="n">
        <v>263380.0301915043</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60848.95791622531</v>
      </c>
      <c r="G42" s="27" t="n">
        <v>0</v>
      </c>
      <c r="H42" s="27" t="n">
        <v>0</v>
      </c>
      <c r="I42" s="27" t="n">
        <v>0</v>
      </c>
      <c r="J42" s="27" t="n">
        <v>0</v>
      </c>
      <c r="K42" s="27" t="n">
        <v>60848.95791622531</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722610.4989658368</v>
      </c>
      <c r="G43" s="27" t="n">
        <v>0</v>
      </c>
      <c r="H43" s="27" t="n">
        <v>0</v>
      </c>
      <c r="I43" s="27" t="n">
        <v>0</v>
      </c>
      <c r="J43" s="27" t="n">
        <v>60848.95791622531</v>
      </c>
      <c r="K43" s="27" t="n">
        <v>0</v>
      </c>
      <c r="L43" s="27" t="n">
        <v>0</v>
      </c>
      <c r="M43" s="27" t="n">
        <v>47007.56741292372</v>
      </c>
      <c r="N43" s="27" t="n">
        <v>830467.0242949858</v>
      </c>
      <c r="O43" s="27" t="n">
        <v>830467.0242949858</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1346459.803512917</v>
      </c>
      <c r="G49" s="27" t="n">
        <v>0</v>
      </c>
      <c r="H49" s="27" t="n">
        <v>0</v>
      </c>
      <c r="I49" s="27" t="n">
        <v>0</v>
      </c>
      <c r="J49" s="27" t="n">
        <v>0</v>
      </c>
      <c r="K49" s="27" t="n">
        <v>155296.7902390079</v>
      </c>
      <c r="L49" s="27" t="n">
        <v>152667.0887177132</v>
      </c>
      <c r="M49" s="27" t="n">
        <v>62309.75547337173</v>
      </c>
      <c r="N49" s="27" t="n">
        <v>1100805.680029567</v>
      </c>
      <c r="O49" s="27" t="n">
        <v>1100805.680029567</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263380.0301915043</v>
      </c>
      <c r="G50" s="27" t="n">
        <v>0</v>
      </c>
      <c r="H50" s="27" t="n">
        <v>0</v>
      </c>
      <c r="I50" s="27" t="n">
        <v>0</v>
      </c>
      <c r="J50" s="27" t="n">
        <v>155296.7902390079</v>
      </c>
      <c r="K50" s="27" t="n">
        <v>0</v>
      </c>
      <c r="L50" s="27" t="n">
        <v>0</v>
      </c>
      <c r="M50" s="27" t="n">
        <v>25120.60922583073</v>
      </c>
      <c r="N50" s="27" t="n">
        <v>443797.4296563429</v>
      </c>
      <c r="O50" s="27" t="n">
        <v>443797.4296563429</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830467.0242949858</v>
      </c>
      <c r="G53" s="27" t="n">
        <v>0</v>
      </c>
      <c r="H53" s="27" t="n">
        <v>0</v>
      </c>
      <c r="I53" s="27" t="n">
        <v>0</v>
      </c>
      <c r="J53" s="27" t="n">
        <v>0</v>
      </c>
      <c r="K53" s="27" t="n">
        <v>0</v>
      </c>
      <c r="L53" s="27" t="n">
        <v>0</v>
      </c>
      <c r="M53" s="27" t="n">
        <v>49828.02145769915</v>
      </c>
      <c r="N53" s="27" t="n">
        <v>880295.0457526849</v>
      </c>
      <c r="O53" s="27" t="n">
        <v>880295.0457526849</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1100805.680029567</v>
      </c>
      <c r="G59" s="27" t="n">
        <v>0</v>
      </c>
      <c r="H59" s="27" t="n">
        <v>0</v>
      </c>
      <c r="I59" s="27" t="n">
        <v>0</v>
      </c>
      <c r="J59" s="27" t="n">
        <v>0</v>
      </c>
      <c r="K59" s="27" t="n">
        <v>125267.2076368838</v>
      </c>
      <c r="L59" s="27" t="n">
        <v>141757.2185283533</v>
      </c>
      <c r="M59" s="27" t="n">
        <v>50026.87523185981</v>
      </c>
      <c r="N59" s="27" t="n">
        <v>883808.1290961901</v>
      </c>
      <c r="O59" s="27" t="n">
        <v>883808.1290961901</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443797.4296563429</v>
      </c>
      <c r="G60" s="27" t="n">
        <v>0</v>
      </c>
      <c r="H60" s="27" t="n">
        <v>0</v>
      </c>
      <c r="I60" s="27" t="n">
        <v>0</v>
      </c>
      <c r="J60" s="27" t="n">
        <v>125267.2076368838</v>
      </c>
      <c r="K60" s="27" t="n">
        <v>0</v>
      </c>
      <c r="L60" s="27" t="n">
        <v>0</v>
      </c>
      <c r="M60" s="27" t="n">
        <v>34143.8782375936</v>
      </c>
      <c r="N60" s="27" t="n">
        <v>603208.5155308202</v>
      </c>
      <c r="O60" s="27" t="n">
        <v>603208.5155308202</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880295.0457526849</v>
      </c>
      <c r="G63" s="27" t="n">
        <v>0</v>
      </c>
      <c r="H63" s="27" t="n">
        <v>0</v>
      </c>
      <c r="I63" s="27" t="n">
        <v>0</v>
      </c>
      <c r="J63" s="27" t="n">
        <v>0</v>
      </c>
      <c r="K63" s="27" t="n">
        <v>0</v>
      </c>
      <c r="L63" s="27" t="n">
        <v>0</v>
      </c>
      <c r="M63" s="27" t="n">
        <v>52817.70274516109</v>
      </c>
      <c r="N63" s="27" t="n">
        <v>933112.7484978461</v>
      </c>
      <c r="O63" s="27" t="n">
        <v>933112.7484978461</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883808.1290961901</v>
      </c>
      <c r="G69" s="27" t="n">
        <v>0</v>
      </c>
      <c r="H69" s="27" t="n">
        <v>0</v>
      </c>
      <c r="I69" s="27" t="n">
        <v>0</v>
      </c>
      <c r="J69" s="27" t="n">
        <v>0</v>
      </c>
      <c r="K69" s="27" t="n">
        <v>108908.4900564799</v>
      </c>
      <c r="L69" s="27" t="n">
        <v>246824.4644747482</v>
      </c>
      <c r="M69" s="27" t="n">
        <v>31684.51047389772</v>
      </c>
      <c r="N69" s="27" t="n">
        <v>559759.6850388596</v>
      </c>
      <c r="O69" s="27" t="n">
        <v>559759.6850388597</v>
      </c>
      <c r="P69" s="27" t="n">
        <v>1.164153218269348e-10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603208.5155308202</v>
      </c>
      <c r="G70" s="27" t="n">
        <v>0</v>
      </c>
      <c r="H70" s="27" t="n">
        <v>0</v>
      </c>
      <c r="I70" s="27" t="n">
        <v>0</v>
      </c>
      <c r="J70" s="27" t="n">
        <v>108908.4900564799</v>
      </c>
      <c r="K70" s="27" t="n">
        <v>0</v>
      </c>
      <c r="L70" s="27" t="n">
        <v>0</v>
      </c>
      <c r="M70" s="27" t="n">
        <v>42727.02033523801</v>
      </c>
      <c r="N70" s="27" t="n">
        <v>754844.0259225381</v>
      </c>
      <c r="O70" s="27" t="n">
        <v>754844.0259225381</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933112.7484978461</v>
      </c>
      <c r="G73" s="27" t="n">
        <v>0</v>
      </c>
      <c r="H73" s="27" t="n">
        <v>0</v>
      </c>
      <c r="I73" s="27" t="n">
        <v>0</v>
      </c>
      <c r="J73" s="27" t="n">
        <v>0</v>
      </c>
      <c r="K73" s="27" t="n">
        <v>0</v>
      </c>
      <c r="L73" s="27" t="n">
        <v>0</v>
      </c>
      <c r="M73" s="27" t="n">
        <v>55986.76490987076</v>
      </c>
      <c r="N73" s="27" t="n">
        <v>989099.5134077169</v>
      </c>
      <c r="O73" s="27" t="n">
        <v>989099.5134077169</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559759.6850388597</v>
      </c>
      <c r="G79" s="27" t="n">
        <v>0</v>
      </c>
      <c r="H79" s="27" t="n">
        <v>0</v>
      </c>
      <c r="I79" s="27" t="n">
        <v>0</v>
      </c>
      <c r="J79" s="27" t="n">
        <v>0</v>
      </c>
      <c r="K79" s="27" t="n">
        <v>116223.4463601649</v>
      </c>
      <c r="L79" s="27" t="n">
        <v>127434.1749286419</v>
      </c>
      <c r="M79" s="27" t="n">
        <v>18966.12382500317</v>
      </c>
      <c r="N79" s="27" t="n">
        <v>335068.187575056</v>
      </c>
      <c r="O79" s="27" t="n">
        <v>335068.187575056</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754844.0259225381</v>
      </c>
      <c r="G80" s="27" t="n">
        <v>0</v>
      </c>
      <c r="H80" s="27" t="n">
        <v>0</v>
      </c>
      <c r="I80" s="27" t="n">
        <v>0</v>
      </c>
      <c r="J80" s="27" t="n">
        <v>116223.4463601649</v>
      </c>
      <c r="K80" s="27" t="n">
        <v>0</v>
      </c>
      <c r="L80" s="27" t="n">
        <v>0</v>
      </c>
      <c r="M80" s="27" t="n">
        <v>52264.04833696218</v>
      </c>
      <c r="N80" s="27" t="n">
        <v>923331.5206196653</v>
      </c>
      <c r="O80" s="27" t="n">
        <v>923331.5206196653</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989099.5134077169</v>
      </c>
      <c r="G83" s="27" t="n">
        <v>0</v>
      </c>
      <c r="H83" s="27" t="n">
        <v>0</v>
      </c>
      <c r="I83" s="27" t="n">
        <v>0</v>
      </c>
      <c r="J83" s="27" t="n">
        <v>0</v>
      </c>
      <c r="K83" s="27" t="n">
        <v>0</v>
      </c>
      <c r="L83" s="27" t="n">
        <v>0</v>
      </c>
      <c r="M83" s="27" t="n">
        <v>59345.97080446301</v>
      </c>
      <c r="N83" s="27" t="n">
        <v>1048445.48421218</v>
      </c>
      <c r="O83" s="27" t="n">
        <v>1048445.48421218</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12460.19314263852</v>
      </c>
      <c r="M87" s="27" t="n">
        <v>4485.669531349867</v>
      </c>
      <c r="N87" s="27" t="n">
        <v>79246.82838718098</v>
      </c>
      <c r="O87" s="27" t="n">
        <v>79246.82838718098</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335068.187575056</v>
      </c>
      <c r="G89" s="27" t="n">
        <v>0</v>
      </c>
      <c r="H89" s="27" t="n">
        <v>0</v>
      </c>
      <c r="I89" s="27" t="n">
        <v>0</v>
      </c>
      <c r="J89" s="27" t="n">
        <v>0</v>
      </c>
      <c r="K89" s="27" t="n">
        <v>123594.1810203279</v>
      </c>
      <c r="L89" s="27" t="n">
        <v>211474.0065547281</v>
      </c>
      <c r="M89" s="27" t="n">
        <v>0</v>
      </c>
      <c r="N89" s="27" t="n">
        <v>0</v>
      </c>
      <c r="O89" s="27" t="n">
        <v>0</v>
      </c>
      <c r="P89" s="27" t="n">
        <v>0</v>
      </c>
      <c r="Q89" s="12" t="inlineStr">
        <is>
          <t>Roth conversion; withdrawal</t>
        </is>
      </c>
    </row>
    <row r="90" ht="60" customHeight="1">
      <c r="A90" s="26" t="n">
        <v>2034</v>
      </c>
      <c r="B90" s="12" t="inlineStr">
        <is>
          <t>Husband_Roth</t>
        </is>
      </c>
      <c r="C90" s="12" t="inlineStr">
        <is>
          <t>Matthew</t>
        </is>
      </c>
      <c r="D90" s="41" t="inlineStr">
        <is>
          <t>roth</t>
        </is>
      </c>
      <c r="E90" s="12" t="inlineStr">
        <is>
          <t>roth_ira</t>
        </is>
      </c>
      <c r="F90" s="27" t="n">
        <v>923331.5206196653</v>
      </c>
      <c r="G90" s="27" t="n">
        <v>0</v>
      </c>
      <c r="H90" s="27" t="n">
        <v>0</v>
      </c>
      <c r="I90" s="27" t="n">
        <v>0</v>
      </c>
      <c r="J90" s="27" t="n">
        <v>123594.1810203279</v>
      </c>
      <c r="K90" s="27" t="n">
        <v>0</v>
      </c>
      <c r="L90" s="27" t="n">
        <v>2470.344180985163</v>
      </c>
      <c r="M90" s="27" t="n">
        <v>62667.32144754047</v>
      </c>
      <c r="N90" s="27" t="n">
        <v>1107122.678906549</v>
      </c>
      <c r="O90" s="27" t="n">
        <v>1107122.678906549</v>
      </c>
      <c r="P90" s="27" t="n">
        <v>0</v>
      </c>
      <c r="Q90" s="12" t="inlineStr">
        <is>
          <t>Roth conversion; 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1048445.48421218</v>
      </c>
      <c r="G93" s="27" t="n">
        <v>0</v>
      </c>
      <c r="H93" s="27" t="n">
        <v>0</v>
      </c>
      <c r="I93" s="27" t="n">
        <v>0</v>
      </c>
      <c r="J93" s="27" t="n">
        <v>0</v>
      </c>
      <c r="K93" s="27" t="n">
        <v>0</v>
      </c>
      <c r="L93" s="27" t="n">
        <v>2473.930286501231</v>
      </c>
      <c r="M93" s="27" t="n">
        <v>62758.29323554072</v>
      </c>
      <c r="N93" s="27" t="n">
        <v>1108729.847161219</v>
      </c>
      <c r="O93" s="27" t="n">
        <v>1108729.847161219</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79246.82838718098</v>
      </c>
      <c r="G97" s="27" t="n">
        <v>0</v>
      </c>
      <c r="H97" s="27" t="n">
        <v>0</v>
      </c>
      <c r="I97" s="27" t="n">
        <v>0</v>
      </c>
      <c r="J97" s="27" t="n">
        <v>0</v>
      </c>
      <c r="K97" s="27" t="n">
        <v>0</v>
      </c>
      <c r="L97" s="27" t="n">
        <v>13207.80473119683</v>
      </c>
      <c r="M97" s="27" t="n">
        <v>3962.341419359049</v>
      </c>
      <c r="N97" s="27" t="n">
        <v>70001.3650753432</v>
      </c>
      <c r="O97" s="27" t="n">
        <v>70001.3650753432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1107122.678906549</v>
      </c>
      <c r="G100" s="27" t="n">
        <v>0</v>
      </c>
      <c r="H100" s="27" t="n">
        <v>0</v>
      </c>
      <c r="I100" s="27" t="n">
        <v>0</v>
      </c>
      <c r="J100" s="27" t="n">
        <v>0</v>
      </c>
      <c r="K100" s="27" t="n">
        <v>0</v>
      </c>
      <c r="L100" s="27" t="n">
        <v>52925.88985121553</v>
      </c>
      <c r="M100" s="27" t="n">
        <v>63251.80734331998</v>
      </c>
      <c r="N100" s="27" t="n">
        <v>1117448.596398653</v>
      </c>
      <c r="O100" s="27" t="n">
        <v>1117448.596398653</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1108729.847161219</v>
      </c>
      <c r="G103" s="27" t="n">
        <v>0</v>
      </c>
      <c r="H103" s="27" t="n">
        <v>0</v>
      </c>
      <c r="I103" s="27" t="n">
        <v>0</v>
      </c>
      <c r="J103" s="27" t="n">
        <v>0</v>
      </c>
      <c r="K103" s="27" t="n">
        <v>0</v>
      </c>
      <c r="L103" s="27" t="n">
        <v>53002.72037021735</v>
      </c>
      <c r="M103" s="27" t="n">
        <v>63343.62760746012</v>
      </c>
      <c r="N103" s="27" t="n">
        <v>1119070.754398462</v>
      </c>
      <c r="O103" s="27" t="n">
        <v>1119070.754398462</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70001.3650753432</v>
      </c>
      <c r="G107" s="27" t="n">
        <v>0</v>
      </c>
      <c r="H107" s="27" t="n">
        <v>0</v>
      </c>
      <c r="I107" s="27" t="n">
        <v>0</v>
      </c>
      <c r="J107" s="27" t="n">
        <v>0</v>
      </c>
      <c r="K107" s="27" t="n">
        <v>0</v>
      </c>
      <c r="L107" s="27" t="n">
        <v>14000.27301506864</v>
      </c>
      <c r="M107" s="27" t="n">
        <v>3360.065523616473</v>
      </c>
      <c r="N107" s="27" t="n">
        <v>59361.15758389104</v>
      </c>
      <c r="O107" s="27" t="n">
        <v>59361.15758389104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1117448.596398653</v>
      </c>
      <c r="G110" s="27" t="n">
        <v>0</v>
      </c>
      <c r="H110" s="27" t="n">
        <v>0</v>
      </c>
      <c r="I110" s="27" t="n">
        <v>0</v>
      </c>
      <c r="J110" s="27" t="n">
        <v>0</v>
      </c>
      <c r="K110" s="27" t="n">
        <v>0</v>
      </c>
      <c r="L110" s="27" t="n">
        <v>52970.20358427923</v>
      </c>
      <c r="M110" s="27" t="n">
        <v>63868.70356886243</v>
      </c>
      <c r="N110" s="27" t="n">
        <v>1128347.096383236</v>
      </c>
      <c r="O110" s="27" t="n">
        <v>1128347.096383236</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1119070.754398462</v>
      </c>
      <c r="G113" s="27" t="n">
        <v>0</v>
      </c>
      <c r="H113" s="27" t="n">
        <v>0</v>
      </c>
      <c r="I113" s="27" t="n">
        <v>0</v>
      </c>
      <c r="J113" s="27" t="n">
        <v>0</v>
      </c>
      <c r="K113" s="27" t="n">
        <v>0</v>
      </c>
      <c r="L113" s="27" t="n">
        <v>53047.09843185672</v>
      </c>
      <c r="M113" s="27" t="n">
        <v>63961.41935799633</v>
      </c>
      <c r="N113" s="27" t="n">
        <v>1129985.075324602</v>
      </c>
      <c r="O113" s="27" t="n">
        <v>1129985.075324602</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59361.15758389104</v>
      </c>
      <c r="G117" s="27" t="n">
        <v>0</v>
      </c>
      <c r="H117" s="27" t="n">
        <v>0</v>
      </c>
      <c r="I117" s="27" t="n">
        <v>0</v>
      </c>
      <c r="J117" s="27" t="n">
        <v>0</v>
      </c>
      <c r="K117" s="27" t="n">
        <v>0</v>
      </c>
      <c r="L117" s="27" t="n">
        <v>14840.28939597276</v>
      </c>
      <c r="M117" s="27" t="n">
        <v>2671.252091275097</v>
      </c>
      <c r="N117" s="27" t="n">
        <v>47192.12027919338</v>
      </c>
      <c r="O117" s="27" t="n">
        <v>47192.12027919338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1128347.096383236</v>
      </c>
      <c r="G120" s="27" t="n">
        <v>0</v>
      </c>
      <c r="H120" s="27" t="n">
        <v>0</v>
      </c>
      <c r="I120" s="27" t="n">
        <v>0</v>
      </c>
      <c r="J120" s="27" t="n">
        <v>0</v>
      </c>
      <c r="K120" s="27" t="n">
        <v>0</v>
      </c>
      <c r="L120" s="27" t="n">
        <v>55632.42327269253</v>
      </c>
      <c r="M120" s="27" t="n">
        <v>64362.88038663262</v>
      </c>
      <c r="N120" s="27" t="n">
        <v>1137077.553497176</v>
      </c>
      <c r="O120" s="27" t="n">
        <v>1137077.553497176</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1129985.075324602</v>
      </c>
      <c r="G123" s="27" t="n">
        <v>0</v>
      </c>
      <c r="H123" s="27" t="n">
        <v>0</v>
      </c>
      <c r="I123" s="27" t="n">
        <v>0</v>
      </c>
      <c r="J123" s="27" t="n">
        <v>0</v>
      </c>
      <c r="K123" s="27" t="n">
        <v>0</v>
      </c>
      <c r="L123" s="27" t="n">
        <v>55713.18276422656</v>
      </c>
      <c r="M123" s="27" t="n">
        <v>64456.31355362252</v>
      </c>
      <c r="N123" s="27" t="n">
        <v>1138728.206113998</v>
      </c>
      <c r="O123" s="27" t="n">
        <v>1138728.206113998</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47192.12027919338</v>
      </c>
      <c r="G127" s="27" t="n">
        <v>0</v>
      </c>
      <c r="H127" s="27" t="n">
        <v>0</v>
      </c>
      <c r="I127" s="27" t="n">
        <v>0</v>
      </c>
      <c r="J127" s="27" t="n">
        <v>0</v>
      </c>
      <c r="K127" s="27" t="n">
        <v>0</v>
      </c>
      <c r="L127" s="27" t="n">
        <v>15730.70675973113</v>
      </c>
      <c r="M127" s="27" t="n">
        <v>1887.684811167735</v>
      </c>
      <c r="N127" s="27" t="n">
        <v>33349.09833062998</v>
      </c>
      <c r="O127" s="27" t="n">
        <v>33349.09833062998</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1137077.553497176</v>
      </c>
      <c r="G130" s="27" t="n">
        <v>0</v>
      </c>
      <c r="H130" s="27" t="n">
        <v>0</v>
      </c>
      <c r="I130" s="27" t="n">
        <v>0</v>
      </c>
      <c r="J130" s="27" t="n">
        <v>0</v>
      </c>
      <c r="K130" s="27" t="n">
        <v>0</v>
      </c>
      <c r="L130" s="27" t="n">
        <v>59453.9776841542</v>
      </c>
      <c r="M130" s="27" t="n">
        <v>64657.41454878133</v>
      </c>
      <c r="N130" s="27" t="n">
        <v>1142280.990361803</v>
      </c>
      <c r="O130" s="27" t="n">
        <v>1142280.990361803</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1138728.206113998</v>
      </c>
      <c r="G133" s="27" t="n">
        <v>0</v>
      </c>
      <c r="H133" s="27" t="n">
        <v>0</v>
      </c>
      <c r="I133" s="27" t="n">
        <v>0</v>
      </c>
      <c r="J133" s="27" t="n">
        <v>0</v>
      </c>
      <c r="K133" s="27" t="n">
        <v>0</v>
      </c>
      <c r="L133" s="27" t="n">
        <v>59540.28478215553</v>
      </c>
      <c r="M133" s="27" t="n">
        <v>64751.27527991054</v>
      </c>
      <c r="N133" s="27" t="n">
        <v>1143939.196611753</v>
      </c>
      <c r="O133" s="27" t="n">
        <v>1143939.196611753</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33349.09833062998</v>
      </c>
      <c r="G137" s="27" t="n">
        <v>0</v>
      </c>
      <c r="H137" s="27" t="n">
        <v>0</v>
      </c>
      <c r="I137" s="27" t="n">
        <v>0</v>
      </c>
      <c r="J137" s="27" t="n">
        <v>0</v>
      </c>
      <c r="K137" s="27" t="n">
        <v>0</v>
      </c>
      <c r="L137" s="27" t="n">
        <v>16674.54916531499</v>
      </c>
      <c r="M137" s="27" t="n">
        <v>1000.472949918899</v>
      </c>
      <c r="N137" s="27" t="n">
        <v>17675.02211523389</v>
      </c>
      <c r="O137" s="27" t="n">
        <v>17675.02211523389</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1142280.990361803</v>
      </c>
      <c r="G140" s="27" t="n">
        <v>0</v>
      </c>
      <c r="H140" s="27" t="n">
        <v>0</v>
      </c>
      <c r="I140" s="27" t="n">
        <v>0</v>
      </c>
      <c r="J140" s="27" t="n">
        <v>0</v>
      </c>
      <c r="K140" s="27" t="n">
        <v>0</v>
      </c>
      <c r="L140" s="27" t="n">
        <v>63347.86428311276</v>
      </c>
      <c r="M140" s="27" t="n">
        <v>64735.98756472144</v>
      </c>
      <c r="N140" s="27" t="n">
        <v>1143669.113643412</v>
      </c>
      <c r="O140" s="27" t="n">
        <v>1143669.113643412</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1143939.196611753</v>
      </c>
      <c r="G143" s="27" t="n">
        <v>0</v>
      </c>
      <c r="H143" s="27" t="n">
        <v>0</v>
      </c>
      <c r="I143" s="27" t="n">
        <v>0</v>
      </c>
      <c r="J143" s="27" t="n">
        <v>0</v>
      </c>
      <c r="K143" s="27" t="n">
        <v>0</v>
      </c>
      <c r="L143" s="27" t="n">
        <v>63439.82398949109</v>
      </c>
      <c r="M143" s="27" t="n">
        <v>64829.96235733572</v>
      </c>
      <c r="N143" s="27" t="n">
        <v>1145329.334979598</v>
      </c>
      <c r="O143" s="27" t="n">
        <v>1145329.334979598</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17675.02211523389</v>
      </c>
      <c r="G147" s="27" t="n">
        <v>0</v>
      </c>
      <c r="H147" s="27" t="n">
        <v>0</v>
      </c>
      <c r="I147" s="27" t="n">
        <v>0</v>
      </c>
      <c r="J147" s="27" t="n">
        <v>0</v>
      </c>
      <c r="K147" s="27" t="n">
        <v>0</v>
      </c>
      <c r="L147" s="27" t="n">
        <v>17675.02211523389</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1143669.113643412</v>
      </c>
      <c r="G150" s="27" t="n">
        <v>0</v>
      </c>
      <c r="H150" s="27" t="n">
        <v>0</v>
      </c>
      <c r="I150" s="27" t="n">
        <v>0</v>
      </c>
      <c r="J150" s="27" t="n">
        <v>0</v>
      </c>
      <c r="K150" s="27" t="n">
        <v>0</v>
      </c>
      <c r="L150" s="27" t="n">
        <v>67321.27612981187</v>
      </c>
      <c r="M150" s="27" t="n">
        <v>64580.87025081601</v>
      </c>
      <c r="N150" s="27" t="n">
        <v>1140928.707764416</v>
      </c>
      <c r="O150" s="27" t="n">
        <v>1140928.707764416</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1145329.334979598</v>
      </c>
      <c r="G153" s="27" t="n">
        <v>0</v>
      </c>
      <c r="H153" s="27" t="n">
        <v>0</v>
      </c>
      <c r="I153" s="27" t="n">
        <v>0</v>
      </c>
      <c r="J153" s="27" t="n">
        <v>0</v>
      </c>
      <c r="K153" s="27" t="n">
        <v>0</v>
      </c>
      <c r="L153" s="27" t="n">
        <v>67419.00388837124</v>
      </c>
      <c r="M153" s="27" t="n">
        <v>64674.61986547359</v>
      </c>
      <c r="N153" s="27" t="n">
        <v>1142584.9509567</v>
      </c>
      <c r="O153" s="27" t="n">
        <v>1142584.9509567</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1140928.707764416</v>
      </c>
      <c r="G160" s="27" t="n">
        <v>0</v>
      </c>
      <c r="H160" s="27" t="n">
        <v>0</v>
      </c>
      <c r="I160" s="27" t="n">
        <v>0</v>
      </c>
      <c r="J160" s="27" t="n">
        <v>0</v>
      </c>
      <c r="K160" s="27" t="n">
        <v>0</v>
      </c>
      <c r="L160" s="27" t="n">
        <v>78021.62391060346</v>
      </c>
      <c r="M160" s="27" t="n">
        <v>63774.42503122877</v>
      </c>
      <c r="N160" s="27" t="n">
        <v>1126681.508885042</v>
      </c>
      <c r="O160" s="27" t="n">
        <v>1126681.508885042</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1142584.9509567</v>
      </c>
      <c r="G163" s="27" t="n">
        <v>0</v>
      </c>
      <c r="H163" s="27" t="n">
        <v>0</v>
      </c>
      <c r="I163" s="27" t="n">
        <v>0</v>
      </c>
      <c r="J163" s="27" t="n">
        <v>0</v>
      </c>
      <c r="K163" s="27" t="n">
        <v>0</v>
      </c>
      <c r="L163" s="27" t="n">
        <v>78134.8849606353</v>
      </c>
      <c r="M163" s="27" t="n">
        <v>63867.00395976388</v>
      </c>
      <c r="N163" s="27" t="n">
        <v>1128317.069955829</v>
      </c>
      <c r="O163" s="27" t="n">
        <v>1128317.069955829</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1126681.508885042</v>
      </c>
      <c r="G170" s="27" t="n">
        <v>0</v>
      </c>
      <c r="H170" s="27" t="n">
        <v>0</v>
      </c>
      <c r="I170" s="27" t="n">
        <v>0</v>
      </c>
      <c r="J170" s="27" t="n">
        <v>0</v>
      </c>
      <c r="K170" s="27" t="n">
        <v>0</v>
      </c>
      <c r="L170" s="27" t="n">
        <v>79948.69260014672</v>
      </c>
      <c r="M170" s="27" t="n">
        <v>62803.96897709369</v>
      </c>
      <c r="N170" s="27" t="n">
        <v>1109536.785261988</v>
      </c>
      <c r="O170" s="27" t="n">
        <v>1109536.785261988</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1128317.069955829</v>
      </c>
      <c r="G173" s="27" t="n">
        <v>0</v>
      </c>
      <c r="H173" s="27" t="n">
        <v>0</v>
      </c>
      <c r="I173" s="27" t="n">
        <v>0</v>
      </c>
      <c r="J173" s="27" t="n">
        <v>0</v>
      </c>
      <c r="K173" s="27" t="n">
        <v>0</v>
      </c>
      <c r="L173" s="27" t="n">
        <v>80064.75110314507</v>
      </c>
      <c r="M173" s="27" t="n">
        <v>62895.13913116101</v>
      </c>
      <c r="N173" s="27" t="n">
        <v>1111147.457983844</v>
      </c>
      <c r="O173" s="27" t="n">
        <v>1111147.457983844</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1109536.785261988</v>
      </c>
      <c r="G180" s="27" t="n">
        <v>0</v>
      </c>
      <c r="H180" s="27" t="n">
        <v>0</v>
      </c>
      <c r="I180" s="27" t="n">
        <v>0</v>
      </c>
      <c r="J180" s="27" t="n">
        <v>0</v>
      </c>
      <c r="K180" s="27" t="n">
        <v>0</v>
      </c>
      <c r="L180" s="27" t="n">
        <v>81941.15433402412</v>
      </c>
      <c r="M180" s="27" t="n">
        <v>61655.73785567786</v>
      </c>
      <c r="N180" s="27" t="n">
        <v>1089251.368783642</v>
      </c>
      <c r="O180" s="27" t="n">
        <v>1089251.368783642</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1111147.457983844</v>
      </c>
      <c r="G183" s="27" t="n">
        <v>0</v>
      </c>
      <c r="H183" s="27" t="n">
        <v>0</v>
      </c>
      <c r="I183" s="27" t="n">
        <v>0</v>
      </c>
      <c r="J183" s="27" t="n">
        <v>0</v>
      </c>
      <c r="K183" s="27" t="n">
        <v>0</v>
      </c>
      <c r="L183" s="27" t="n">
        <v>82060.10521860614</v>
      </c>
      <c r="M183" s="27" t="n">
        <v>61745.2411659143</v>
      </c>
      <c r="N183" s="27" t="n">
        <v>1090832.593931152</v>
      </c>
      <c r="O183" s="27" t="n">
        <v>1090832.593931152</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1089251.368783642</v>
      </c>
      <c r="G190" s="27" t="n">
        <v>0</v>
      </c>
      <c r="H190" s="27" t="n">
        <v>0</v>
      </c>
      <c r="I190" s="27" t="n">
        <v>0</v>
      </c>
      <c r="J190" s="27" t="n">
        <v>0</v>
      </c>
      <c r="K190" s="27" t="n">
        <v>0</v>
      </c>
      <c r="L190" s="27" t="n">
        <v>84006.74147721245</v>
      </c>
      <c r="M190" s="27" t="n">
        <v>60314.67763838579</v>
      </c>
      <c r="N190" s="27" t="n">
        <v>1065559.304944816</v>
      </c>
      <c r="O190" s="27" t="n">
        <v>1065559.304944816</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1090832.593931152</v>
      </c>
      <c r="G193" s="27" t="n">
        <v>0</v>
      </c>
      <c r="H193" s="27" t="n">
        <v>0</v>
      </c>
      <c r="I193" s="27" t="n">
        <v>0</v>
      </c>
      <c r="J193" s="27" t="n">
        <v>0</v>
      </c>
      <c r="K193" s="27" t="n">
        <v>0</v>
      </c>
      <c r="L193" s="27" t="n">
        <v>84128.69089677802</v>
      </c>
      <c r="M193" s="27" t="n">
        <v>60402.23418206246</v>
      </c>
      <c r="N193" s="27" t="n">
        <v>1067106.137216437</v>
      </c>
      <c r="O193" s="27" t="n">
        <v>1067106.137216437</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1065559.304944816</v>
      </c>
      <c r="G200" s="27" t="n">
        <v>0</v>
      </c>
      <c r="H200" s="27" t="n">
        <v>0</v>
      </c>
      <c r="I200" s="27" t="n">
        <v>0</v>
      </c>
      <c r="J200" s="27" t="n">
        <v>0</v>
      </c>
      <c r="K200" s="27" t="n">
        <v>0</v>
      </c>
      <c r="L200" s="27" t="n">
        <v>86153.37002581712</v>
      </c>
      <c r="M200" s="27" t="n">
        <v>58764.3560951399</v>
      </c>
      <c r="N200" s="27" t="n">
        <v>1038170.291014138</v>
      </c>
      <c r="O200" s="27" t="n">
        <v>1038170.291014138</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1067106.137216437</v>
      </c>
      <c r="G203" s="27" t="n">
        <v>0</v>
      </c>
      <c r="H203" s="27" t="n">
        <v>0</v>
      </c>
      <c r="I203" s="27" t="n">
        <v>0</v>
      </c>
      <c r="J203" s="27" t="n">
        <v>0</v>
      </c>
      <c r="K203" s="27" t="n">
        <v>0</v>
      </c>
      <c r="L203" s="27" t="n">
        <v>86278.43562511924</v>
      </c>
      <c r="M203" s="27" t="n">
        <v>58849.66209547906</v>
      </c>
      <c r="N203" s="27" t="n">
        <v>1039677.363686797</v>
      </c>
      <c r="O203" s="27" t="n">
        <v>1039677.363686797</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1038170.291014138</v>
      </c>
      <c r="G210" s="27" t="n">
        <v>0</v>
      </c>
      <c r="H210" s="27" t="n">
        <v>0</v>
      </c>
      <c r="I210" s="27" t="n">
        <v>0</v>
      </c>
      <c r="J210" s="27" t="n">
        <v>0</v>
      </c>
      <c r="K210" s="27" t="n">
        <v>0</v>
      </c>
      <c r="L210" s="27" t="n">
        <v>67921.31308746233</v>
      </c>
      <c r="M210" s="27" t="n">
        <v>58214.93867560056</v>
      </c>
      <c r="N210" s="27" t="n">
        <v>1028463.916602277</v>
      </c>
      <c r="O210" s="27" t="n">
        <v>1028463.916602277</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1039677.363686797</v>
      </c>
      <c r="G213" s="27" t="n">
        <v>0</v>
      </c>
      <c r="H213" s="27" t="n">
        <v>0</v>
      </c>
      <c r="I213" s="27" t="n">
        <v>0</v>
      </c>
      <c r="J213" s="27" t="n">
        <v>0</v>
      </c>
      <c r="K213" s="27" t="n">
        <v>0</v>
      </c>
      <c r="L213" s="27" t="n">
        <v>68019.91189705185</v>
      </c>
      <c r="M213" s="27" t="n">
        <v>58299.44710738469</v>
      </c>
      <c r="N213" s="27" t="n">
        <v>1029956.89889713</v>
      </c>
      <c r="O213" s="27" t="n">
        <v>1029956.89889713</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1028463.916602277</v>
      </c>
      <c r="G220" s="27" t="n">
        <v>0</v>
      </c>
      <c r="H220" s="27" t="n">
        <v>0</v>
      </c>
      <c r="I220" s="27" t="n">
        <v>0</v>
      </c>
      <c r="J220" s="27" t="n">
        <v>0</v>
      </c>
      <c r="K220" s="27" t="n">
        <v>0</v>
      </c>
      <c r="L220" s="27" t="n">
        <v>73649.26888642981</v>
      </c>
      <c r="M220" s="27" t="n">
        <v>57288.87886295081</v>
      </c>
      <c r="N220" s="27" t="n">
        <v>1012103.526578798</v>
      </c>
      <c r="O220" s="27" t="n">
        <v>1012103.526578798</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1029956.89889713</v>
      </c>
      <c r="G223" s="27" t="n">
        <v>0</v>
      </c>
      <c r="H223" s="27" t="n">
        <v>0</v>
      </c>
      <c r="I223" s="27" t="n">
        <v>0</v>
      </c>
      <c r="J223" s="27" t="n">
        <v>0</v>
      </c>
      <c r="K223" s="27" t="n">
        <v>0</v>
      </c>
      <c r="L223" s="27" t="n">
        <v>73756.18275350993</v>
      </c>
      <c r="M223" s="27" t="n">
        <v>57372.04296861718</v>
      </c>
      <c r="N223" s="27" t="n">
        <v>1013572.759112237</v>
      </c>
      <c r="O223" s="27" t="n">
        <v>1013572.759112237</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1012103.526578798</v>
      </c>
      <c r="G230" s="27" t="n">
        <v>0</v>
      </c>
      <c r="H230" s="27" t="n">
        <v>0</v>
      </c>
      <c r="I230" s="27" t="n">
        <v>0</v>
      </c>
      <c r="J230" s="27" t="n">
        <v>0</v>
      </c>
      <c r="K230" s="27" t="n">
        <v>0</v>
      </c>
      <c r="L230" s="27" t="n">
        <v>84981.03769832141</v>
      </c>
      <c r="M230" s="27" t="n">
        <v>55627.34933282857</v>
      </c>
      <c r="N230" s="27" t="n">
        <v>982749.8382133048</v>
      </c>
      <c r="O230" s="27" t="n">
        <v>982749.8382133048</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1013572.759112237</v>
      </c>
      <c r="G233" s="27" t="n">
        <v>0</v>
      </c>
      <c r="H233" s="27" t="n">
        <v>0</v>
      </c>
      <c r="I233" s="27" t="n">
        <v>0</v>
      </c>
      <c r="J233" s="27" t="n">
        <v>0</v>
      </c>
      <c r="K233" s="27" t="n">
        <v>0</v>
      </c>
      <c r="L233" s="27" t="n">
        <v>85104.40146698037</v>
      </c>
      <c r="M233" s="27" t="n">
        <v>55708.10145871538</v>
      </c>
      <c r="N233" s="27" t="n">
        <v>984176.4591039718</v>
      </c>
      <c r="O233" s="27" t="n">
        <v>984176.4591039718</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982749.8382133048</v>
      </c>
      <c r="G240" s="27" t="n">
        <v>0</v>
      </c>
      <c r="H240" s="27" t="n">
        <v>0</v>
      </c>
      <c r="I240" s="27" t="n">
        <v>0</v>
      </c>
      <c r="J240" s="27" t="n">
        <v>0</v>
      </c>
      <c r="K240" s="27" t="n">
        <v>0</v>
      </c>
      <c r="L240" s="27" t="n">
        <v>86511.39989687786</v>
      </c>
      <c r="M240" s="27" t="n">
        <v>53774.30629898561</v>
      </c>
      <c r="N240" s="27" t="n">
        <v>950012.7446154126</v>
      </c>
      <c r="O240" s="27" t="n">
        <v>950012.7446154126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984176.4591039718</v>
      </c>
      <c r="G243" s="27" t="n">
        <v>0</v>
      </c>
      <c r="H243" s="27" t="n">
        <v>0</v>
      </c>
      <c r="I243" s="27" t="n">
        <v>0</v>
      </c>
      <c r="J243" s="27" t="n">
        <v>0</v>
      </c>
      <c r="K243" s="27" t="n">
        <v>0</v>
      </c>
      <c r="L243" s="27" t="n">
        <v>86636.98523464613</v>
      </c>
      <c r="M243" s="27" t="n">
        <v>53852.36843215954</v>
      </c>
      <c r="N243" s="27" t="n">
        <v>951391.8423014852</v>
      </c>
      <c r="O243" s="27" t="n">
        <v>951391.8423014852</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950012.7446154126</v>
      </c>
      <c r="G250" s="27" t="n">
        <v>0</v>
      </c>
      <c r="H250" s="27" t="n">
        <v>0</v>
      </c>
      <c r="I250" s="27" t="n">
        <v>0</v>
      </c>
      <c r="J250" s="27" t="n">
        <v>0</v>
      </c>
      <c r="K250" s="27" t="n">
        <v>0</v>
      </c>
      <c r="L250" s="27" t="n">
        <v>88168.30037518051</v>
      </c>
      <c r="M250" s="27" t="n">
        <v>51710.66665441392</v>
      </c>
      <c r="N250" s="27" t="n">
        <v>913555.1108946459</v>
      </c>
      <c r="O250" s="27" t="n">
        <v>913555.1108946459</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951391.8423014852</v>
      </c>
      <c r="G253" s="27" t="n">
        <v>0</v>
      </c>
      <c r="H253" s="27" t="n">
        <v>0</v>
      </c>
      <c r="I253" s="27" t="n">
        <v>0</v>
      </c>
      <c r="J253" s="27" t="n">
        <v>0</v>
      </c>
      <c r="K253" s="27" t="n">
        <v>0</v>
      </c>
      <c r="L253" s="27" t="n">
        <v>88296.29097290832</v>
      </c>
      <c r="M253" s="27" t="n">
        <v>51785.73307971461</v>
      </c>
      <c r="N253" s="27" t="n">
        <v>914881.2844082915</v>
      </c>
      <c r="O253" s="27" t="n">
        <v>914881.2844082915</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913555.1108946459</v>
      </c>
      <c r="G260" s="27" t="n">
        <v>0</v>
      </c>
      <c r="H260" s="27" t="n">
        <v>0</v>
      </c>
      <c r="I260" s="27" t="n">
        <v>0</v>
      </c>
      <c r="J260" s="27" t="n">
        <v>0</v>
      </c>
      <c r="K260" s="27" t="n">
        <v>0</v>
      </c>
      <c r="L260" s="27" t="n">
        <v>89960.59008194905</v>
      </c>
      <c r="M260" s="27" t="n">
        <v>49415.67124876181</v>
      </c>
      <c r="N260" s="27" t="n">
        <v>873010.1920614587</v>
      </c>
      <c r="O260" s="27" t="n">
        <v>873010.1920614587</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914881.2844082915</v>
      </c>
      <c r="G263" s="27" t="n">
        <v>0</v>
      </c>
      <c r="H263" s="27" t="n">
        <v>0</v>
      </c>
      <c r="I263" s="27" t="n">
        <v>0</v>
      </c>
      <c r="J263" s="27" t="n">
        <v>0</v>
      </c>
      <c r="K263" s="27" t="n">
        <v>0</v>
      </c>
      <c r="L263" s="27" t="n">
        <v>90091.18247907524</v>
      </c>
      <c r="M263" s="27" t="n">
        <v>49487.40611575297</v>
      </c>
      <c r="N263" s="27" t="n">
        <v>874277.5080449692</v>
      </c>
      <c r="O263" s="27" t="n">
        <v>874277.5080449692</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873010.1920614587</v>
      </c>
      <c r="G270" s="27" t="n">
        <v>0</v>
      </c>
      <c r="H270" s="27" t="n">
        <v>0</v>
      </c>
      <c r="I270" s="27" t="n">
        <v>0</v>
      </c>
      <c r="J270" s="27" t="n">
        <v>0</v>
      </c>
      <c r="K270" s="27" t="n">
        <v>0</v>
      </c>
      <c r="L270" s="27" t="n">
        <v>91884.67906506399</v>
      </c>
      <c r="M270" s="27" t="n">
        <v>46867.53077978369</v>
      </c>
      <c r="N270" s="27" t="n">
        <v>827993.0437761785</v>
      </c>
      <c r="O270" s="27" t="n">
        <v>827993.0437761785</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874277.5080449692</v>
      </c>
      <c r="G273" s="27" t="n">
        <v>0</v>
      </c>
      <c r="H273" s="27" t="n">
        <v>0</v>
      </c>
      <c r="I273" s="27" t="n">
        <v>0</v>
      </c>
      <c r="J273" s="27" t="n">
        <v>0</v>
      </c>
      <c r="K273" s="27" t="n">
        <v>0</v>
      </c>
      <c r="L273" s="27" t="n">
        <v>92018.06458962918</v>
      </c>
      <c r="M273" s="27" t="n">
        <v>46935.5666073204</v>
      </c>
      <c r="N273" s="27" t="n">
        <v>829195.0100626604</v>
      </c>
      <c r="O273" s="27" t="n">
        <v>829195.0100626604</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827993.0437761785</v>
      </c>
      <c r="G280" s="27" t="n">
        <v>0</v>
      </c>
      <c r="H280" s="27" t="n">
        <v>0</v>
      </c>
      <c r="I280" s="27" t="n">
        <v>0</v>
      </c>
      <c r="J280" s="27" t="n">
        <v>0</v>
      </c>
      <c r="K280" s="27" t="n">
        <v>0</v>
      </c>
      <c r="L280" s="27" t="n">
        <v>93913.66383659396</v>
      </c>
      <c r="M280" s="27" t="n">
        <v>44044.76279637507</v>
      </c>
      <c r="N280" s="27" t="n">
        <v>778124.1427359596</v>
      </c>
      <c r="O280" s="27" t="n">
        <v>778124.1427359596</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829195.0100626604</v>
      </c>
      <c r="G283" s="27" t="n">
        <v>0</v>
      </c>
      <c r="H283" s="27" t="n">
        <v>0</v>
      </c>
      <c r="I283" s="27" t="n">
        <v>0</v>
      </c>
      <c r="J283" s="27" t="n">
        <v>0</v>
      </c>
      <c r="K283" s="27" t="n">
        <v>0</v>
      </c>
      <c r="L283" s="27" t="n">
        <v>94049.99476185968</v>
      </c>
      <c r="M283" s="27" t="n">
        <v>44108.70091804805</v>
      </c>
      <c r="N283" s="27" t="n">
        <v>779253.7162188488</v>
      </c>
      <c r="O283" s="27" t="n">
        <v>779253.7162188488</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778124.1427359596</v>
      </c>
      <c r="G290" s="27" t="n">
        <v>0</v>
      </c>
      <c r="H290" s="27" t="n">
        <v>0</v>
      </c>
      <c r="I290" s="27" t="n">
        <v>778124.1427359596</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779253.7162188488</v>
      </c>
      <c r="G293" s="27" t="n">
        <v>0</v>
      </c>
      <c r="H293" s="27" t="n">
        <v>778124.1427359596</v>
      </c>
      <c r="I293" s="27" t="n">
        <v>0</v>
      </c>
      <c r="J293" s="27" t="n">
        <v>0</v>
      </c>
      <c r="K293" s="27" t="n">
        <v>0</v>
      </c>
      <c r="L293" s="27" t="n">
        <v>192242.3676354435</v>
      </c>
      <c r="M293" s="27" t="n">
        <v>81908.12947916189</v>
      </c>
      <c r="N293" s="27" t="n">
        <v>1447043.620798527</v>
      </c>
      <c r="O293" s="27" t="n">
        <v>1447043.620798527</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1447043.620798527</v>
      </c>
      <c r="G303" s="27" t="n">
        <v>0</v>
      </c>
      <c r="H303" s="27" t="n">
        <v>0</v>
      </c>
      <c r="I303" s="27" t="n">
        <v>0</v>
      </c>
      <c r="J303" s="27" t="n">
        <v>0</v>
      </c>
      <c r="K303" s="27" t="n">
        <v>0</v>
      </c>
      <c r="L303" s="27" t="n">
        <v>195874.9318859959</v>
      </c>
      <c r="M303" s="27" t="n">
        <v>75070.12133475185</v>
      </c>
      <c r="N303" s="27" t="n">
        <v>1326238.810247283</v>
      </c>
      <c r="O303" s="27" t="n">
        <v>1326238.810247283</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1326238.810247283</v>
      </c>
      <c r="G313" s="27" t="n">
        <v>0</v>
      </c>
      <c r="H313" s="27" t="n">
        <v>0</v>
      </c>
      <c r="I313" s="27" t="n">
        <v>0</v>
      </c>
      <c r="J313" s="27" t="n">
        <v>0</v>
      </c>
      <c r="K313" s="27" t="n">
        <v>0</v>
      </c>
      <c r="L313" s="27" t="n">
        <v>199276.6197957158</v>
      </c>
      <c r="M313" s="27" t="n">
        <v>67617.73142709401</v>
      </c>
      <c r="N313" s="27" t="n">
        <v>1194579.921878661</v>
      </c>
      <c r="O313" s="27" t="n">
        <v>1194579.921878661</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$4,584,854</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NW=5,928,978 vs projection Y0=5,928,978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$2,741,608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$874,291</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$1,214,021  Forced: $0  Voluntary: $1,214,021</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$316,388,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end=$3,368,828</t>
        </is>
      </c>
    </row>
    <row r="24" ht="30" customHeight="1">
      <c r="A24" s="97" t="inlineStr">
        <is>
          <t>17. LTC Stress Test</t>
        </is>
      </c>
      <c r="B24" s="12" t="inlineStr">
        <is>
          <t>Four scenarios modeled with plan-survives flag</t>
        </is>
      </c>
      <c r="C24" s="4" t="n"/>
      <c r="D24" s="128" t="inlineStr">
        <is>
          <t>PASS</t>
        </is>
      </c>
      <c r="E24" s="33" t="inlineStr"/>
    </row>
    <row r="25" ht="75" customHeight="1">
      <c r="A25" s="97" t="inlineStr">
        <is>
          <t>3B. Survivor</t>
        </is>
      </c>
      <c r="B25" s="12" t="inlineStr">
        <is>
          <t>5 early-death scenarios with full projection re-runs</t>
        </is>
      </c>
      <c r="C25" s="4" t="n"/>
      <c r="D25" s="128"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$40,011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$157,549 annualized</t>
        </is>
      </c>
    </row>
    <row r="33" ht="75" customHeight="1">
      <c r="A33" s="97" t="inlineStr">
        <is>
          <t>Spending Summary</t>
        </is>
      </c>
      <c r="B33" s="12" t="inlineStr">
        <is>
          <t>Taxonomy-aware spending summary, 7 tracking types</t>
        </is>
      </c>
      <c r="C33" s="4" t="n"/>
      <c r="D33" s="128" t="inlineStr">
        <is>
          <t>PASS</t>
        </is>
      </c>
      <c r="E33" s="12" t="inlineStr">
        <is>
          <t>$178,073 actual  |  $357,124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1429203.3388384</v>
      </c>
      <c r="H3" s="185" t="n">
        <v>39242.525</v>
      </c>
      <c r="I3" s="186" t="n">
        <v>0</v>
      </c>
      <c r="J3" s="187" t="inlineStr">
        <is>
          <t>N/A</t>
        </is>
      </c>
      <c r="K3" s="185" t="n">
        <v>0</v>
      </c>
      <c r="L3" s="186" t="n">
        <v>0</v>
      </c>
      <c r="M3" s="185" t="n">
        <v>0</v>
      </c>
      <c r="N3" s="188" t="n"/>
      <c r="O3" s="186" t="n">
        <v>482153.19713486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1514955.529730685</v>
      </c>
      <c r="H4" s="185" t="n">
        <v>41597.07624085444</v>
      </c>
      <c r="I4" s="186" t="n">
        <v>0</v>
      </c>
      <c r="J4" s="187" t="inlineStr">
        <is>
          <t>N/A</t>
        </is>
      </c>
      <c r="K4" s="185" t="n">
        <v>0.008903791390422477</v>
      </c>
      <c r="L4" s="186" t="n">
        <v>0</v>
      </c>
      <c r="M4" s="185" t="n">
        <v>0.008903791390422477</v>
      </c>
      <c r="N4" s="188" t="n">
        <v>0</v>
      </c>
      <c r="O4" s="186" t="n">
        <v>272584.413386989</v>
      </c>
      <c r="P4" s="189" t="n">
        <v>0</v>
      </c>
      <c r="Q4" s="184" t="inlineStr">
        <is>
          <t>N/A</t>
        </is>
      </c>
      <c r="R4" s="186" t="n">
        <v>0.001602050162825499</v>
      </c>
      <c r="S4" s="185" t="n">
        <v>224998.0885639524</v>
      </c>
      <c r="T4" s="186" t="n">
        <v>224998.0901660025</v>
      </c>
      <c r="U4" s="190" t="n">
        <v>0</v>
      </c>
      <c r="V4" s="185" t="n">
        <v>0</v>
      </c>
      <c r="W4" s="185" t="n">
        <v>0.01050584155324798</v>
      </c>
      <c r="X4" s="185" t="n">
        <v>224998.0990697939</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1575444.888184792</v>
      </c>
      <c r="H5" s="185" t="n">
        <v>43257.97017866077</v>
      </c>
      <c r="I5" s="186" t="n">
        <v>0</v>
      </c>
      <c r="J5" s="187" t="inlineStr">
        <is>
          <t>N/A</t>
        </is>
      </c>
      <c r="K5" s="185" t="n">
        <v>28686.76729220174</v>
      </c>
      <c r="L5" s="186" t="n">
        <v>0</v>
      </c>
      <c r="M5" s="185" t="n">
        <v>28686.76729220174</v>
      </c>
      <c r="N5" s="188" t="n">
        <v>0</v>
      </c>
      <c r="O5" s="186" t="n">
        <v>60848.95791622531</v>
      </c>
      <c r="P5" s="189" t="n">
        <v>0</v>
      </c>
      <c r="Q5" s="184" t="inlineStr">
        <is>
          <t>N/A</t>
        </is>
      </c>
      <c r="R5" s="186" t="n">
        <v>1107.97902789665</v>
      </c>
      <c r="S5" s="185" t="n">
        <v>214071.7570796345</v>
      </c>
      <c r="T5" s="186" t="n">
        <v>215179.7361075311</v>
      </c>
      <c r="U5" s="190" t="n">
        <v>0</v>
      </c>
      <c r="V5" s="185" t="n">
        <v>0</v>
      </c>
      <c r="W5" s="185" t="n">
        <v>29794.74632009839</v>
      </c>
      <c r="X5" s="185" t="n">
        <v>243866.5033997329</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1346459.803512917</v>
      </c>
      <c r="H6" s="185" t="n">
        <v>0</v>
      </c>
      <c r="I6" s="186" t="n">
        <v>0</v>
      </c>
      <c r="J6" s="187" t="inlineStr">
        <is>
          <t>N/A</t>
        </is>
      </c>
      <c r="K6" s="185" t="n">
        <v>220388.0734502863</v>
      </c>
      <c r="L6" s="186" t="n">
        <v>84811.71708081116</v>
      </c>
      <c r="M6" s="185" t="n">
        <v>305199.7905310974</v>
      </c>
      <c r="N6" s="188" t="n">
        <v>0</v>
      </c>
      <c r="O6" s="186" t="n">
        <v>0</v>
      </c>
      <c r="P6" s="189" t="n">
        <v>0</v>
      </c>
      <c r="Q6" s="184" t="inlineStr">
        <is>
          <t>N/A</t>
        </is>
      </c>
      <c r="R6" s="186" t="n">
        <v>0</v>
      </c>
      <c r="S6" s="185" t="n">
        <v>60848.95791622531</v>
      </c>
      <c r="T6" s="186" t="n">
        <v>60848.95791622531</v>
      </c>
      <c r="U6" s="190" t="n"/>
      <c r="V6" s="185" t="n">
        <v>0</v>
      </c>
      <c r="W6" s="185" t="n">
        <v>220388.0734502863</v>
      </c>
      <c r="X6" s="185" t="n">
        <v>366048.7484473228</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1100805.680029567</v>
      </c>
      <c r="H7" s="185" t="n">
        <v>0</v>
      </c>
      <c r="I7" s="186" t="n">
        <v>0</v>
      </c>
      <c r="J7" s="187" t="inlineStr">
        <is>
          <t>N/A</t>
        </is>
      </c>
      <c r="K7" s="185" t="n">
        <v>152667.0887177132</v>
      </c>
      <c r="L7" s="186" t="n">
        <v>155296.7902390079</v>
      </c>
      <c r="M7" s="185" t="n">
        <v>307963.878956721</v>
      </c>
      <c r="N7" s="188" t="n">
        <v>0</v>
      </c>
      <c r="O7" s="186" t="n">
        <v>0</v>
      </c>
      <c r="P7" s="189" t="n">
        <v>0</v>
      </c>
      <c r="Q7" s="184" t="inlineStr">
        <is>
          <t>N/A</t>
        </is>
      </c>
      <c r="R7" s="186" t="n">
        <v>0</v>
      </c>
      <c r="S7" s="185" t="n">
        <v>0</v>
      </c>
      <c r="T7" s="186" t="n">
        <v>0</v>
      </c>
      <c r="U7" s="190" t="n"/>
      <c r="V7" s="185" t="n">
        <v>0</v>
      </c>
      <c r="W7" s="185" t="n">
        <v>152667.0887177132</v>
      </c>
      <c r="X7" s="185" t="n">
        <v>307963.878956721</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883808.1290961901</v>
      </c>
      <c r="H8" s="185" t="n">
        <v>0</v>
      </c>
      <c r="I8" s="186" t="n">
        <v>0</v>
      </c>
      <c r="J8" s="187" t="inlineStr">
        <is>
          <t>N/A</t>
        </is>
      </c>
      <c r="K8" s="185" t="n">
        <v>141757.2185283533</v>
      </c>
      <c r="L8" s="186" t="n">
        <v>125267.2076368838</v>
      </c>
      <c r="M8" s="185" t="n">
        <v>267024.4261652371</v>
      </c>
      <c r="N8" s="188" t="n">
        <v>0</v>
      </c>
      <c r="O8" s="186" t="n">
        <v>0</v>
      </c>
      <c r="P8" s="189" t="n">
        <v>0</v>
      </c>
      <c r="Q8" s="184" t="inlineStr">
        <is>
          <t>N/A</t>
        </is>
      </c>
      <c r="R8" s="186" t="n">
        <v>0</v>
      </c>
      <c r="S8" s="185" t="n">
        <v>0</v>
      </c>
      <c r="T8" s="186" t="n">
        <v>0</v>
      </c>
      <c r="U8" s="190" t="n"/>
      <c r="V8" s="185" t="n">
        <v>0</v>
      </c>
      <c r="W8" s="185" t="n">
        <v>141757.2185283533</v>
      </c>
      <c r="X8" s="185" t="n">
        <v>267024.4261652371</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559759.6850388597</v>
      </c>
      <c r="H9" s="185" t="n">
        <v>0</v>
      </c>
      <c r="I9" s="186" t="n">
        <v>0</v>
      </c>
      <c r="J9" s="187" t="inlineStr">
        <is>
          <t>N/A</t>
        </is>
      </c>
      <c r="K9" s="185" t="n">
        <v>246824.4644747482</v>
      </c>
      <c r="L9" s="186" t="n">
        <v>108908.4900564799</v>
      </c>
      <c r="M9" s="185" t="n">
        <v>355732.9545312282</v>
      </c>
      <c r="N9" s="188" t="n">
        <v>0</v>
      </c>
      <c r="O9" s="186" t="n">
        <v>0</v>
      </c>
      <c r="P9" s="189" t="n">
        <v>0</v>
      </c>
      <c r="Q9" s="184" t="inlineStr">
        <is>
          <t>N/A</t>
        </is>
      </c>
      <c r="R9" s="186" t="n">
        <v>0</v>
      </c>
      <c r="S9" s="185" t="n">
        <v>0</v>
      </c>
      <c r="T9" s="186" t="n">
        <v>0</v>
      </c>
      <c r="U9" s="190" t="n"/>
      <c r="V9" s="185" t="n">
        <v>0</v>
      </c>
      <c r="W9" s="185" t="n">
        <v>246824.4644747482</v>
      </c>
      <c r="X9" s="185" t="n">
        <v>355732.9545312282</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335068.187575056</v>
      </c>
      <c r="H10" s="185" t="n">
        <v>0</v>
      </c>
      <c r="I10" s="186" t="n">
        <v>0</v>
      </c>
      <c r="J10" s="187" t="inlineStr">
        <is>
          <t>N/A</t>
        </is>
      </c>
      <c r="K10" s="185" t="n">
        <v>127434.1749286419</v>
      </c>
      <c r="L10" s="186" t="n">
        <v>116223.4463601649</v>
      </c>
      <c r="M10" s="185" t="n">
        <v>243657.6212888068</v>
      </c>
      <c r="N10" s="188" t="n">
        <v>0</v>
      </c>
      <c r="O10" s="186" t="n">
        <v>0</v>
      </c>
      <c r="P10" s="189" t="n">
        <v>0</v>
      </c>
      <c r="Q10" s="184" t="inlineStr">
        <is>
          <t>N/A</t>
        </is>
      </c>
      <c r="R10" s="186" t="n">
        <v>0</v>
      </c>
      <c r="S10" s="185" t="n">
        <v>0</v>
      </c>
      <c r="T10" s="186" t="n">
        <v>0</v>
      </c>
      <c r="U10" s="190" t="n"/>
      <c r="V10" s="185" t="n">
        <v>0</v>
      </c>
      <c r="W10" s="185" t="n">
        <v>127434.1749286419</v>
      </c>
      <c r="X10" s="185" t="n">
        <v>243657.6212888068</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0</v>
      </c>
      <c r="H11" s="185" t="n">
        <v>0</v>
      </c>
      <c r="I11" s="186" t="n">
        <v>0</v>
      </c>
      <c r="J11" s="187" t="inlineStr">
        <is>
          <t>N/A</t>
        </is>
      </c>
      <c r="K11" s="185" t="n">
        <v>211474.0065547281</v>
      </c>
      <c r="L11" s="186" t="n">
        <v>123594.1810203279</v>
      </c>
      <c r="M11" s="185" t="n">
        <v>335068.187575056</v>
      </c>
      <c r="N11" s="188" t="n">
        <v>0</v>
      </c>
      <c r="O11" s="186" t="n">
        <v>0</v>
      </c>
      <c r="P11" s="189" t="n">
        <v>0</v>
      </c>
      <c r="Q11" s="184" t="inlineStr">
        <is>
          <t>N/A</t>
        </is>
      </c>
      <c r="R11" s="186" t="n">
        <v>0</v>
      </c>
      <c r="S11" s="185" t="n">
        <v>0</v>
      </c>
      <c r="T11" s="186" t="n">
        <v>0</v>
      </c>
      <c r="U11" s="190" t="n"/>
      <c r="V11" s="185" t="n">
        <v>0</v>
      </c>
      <c r="W11" s="185" t="n">
        <v>211474.0065547281</v>
      </c>
      <c r="X11" s="185" t="n">
        <v>335068.187575056</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0</v>
      </c>
      <c r="L12" s="186" t="n">
        <v>0</v>
      </c>
      <c r="M12" s="185" t="n">
        <v>0</v>
      </c>
      <c r="N12" s="188" t="n"/>
      <c r="O12" s="186" t="n">
        <v>0</v>
      </c>
      <c r="P12" s="189" t="n">
        <v>0</v>
      </c>
      <c r="Q12" s="184" t="inlineStr">
        <is>
          <t>N/A</t>
        </is>
      </c>
      <c r="R12" s="186" t="n">
        <v>0</v>
      </c>
      <c r="S12" s="185" t="n">
        <v>0</v>
      </c>
      <c r="T12" s="186" t="n">
        <v>0</v>
      </c>
      <c r="U12" s="190" t="n"/>
      <c r="V12" s="185" t="n">
        <v>0</v>
      </c>
      <c r="W12" s="185" t="n">
        <v>0</v>
      </c>
      <c r="X12" s="185" t="n">
        <v>0</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Wife_Trust; IRAs/Roths inherited by beneficiaries</t>
        </is>
      </c>
      <c r="AA33" s="194" t="inlineStr">
        <is>
          <t>H died 2054; Rollover: W 2nd death — taxable → Wife_Trust;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4584854.059682235</v>
      </c>
      <c r="D5" s="108" t="n">
        <v>874291.2085969265</v>
      </c>
      <c r="E5" s="212" t="inlineStr">
        <is>
          <t>YES</t>
        </is>
      </c>
      <c r="F5" s="108" t="n">
        <v>0</v>
      </c>
    </row>
    <row r="6">
      <c r="A6" s="33" t="inlineStr">
        <is>
          <t>Allocation — User Defined</t>
        </is>
      </c>
      <c r="B6" s="33" t="inlineStr">
        <is>
          <t>Use user-specified target_pct allocation; implied return 7.22%, volatility 14.02%, geometric approx 6.24%</t>
        </is>
      </c>
      <c r="C6" s="108" t="n">
        <v>7353641.083430049</v>
      </c>
      <c r="D6" s="108" t="n">
        <v>898627.7807142854</v>
      </c>
      <c r="E6" s="212" t="inlineStr">
        <is>
          <t>YES</t>
        </is>
      </c>
      <c r="F6" s="108" t="n">
        <v>2768787.023747814</v>
      </c>
    </row>
    <row r="7">
      <c r="A7" s="33" t="inlineStr">
        <is>
          <t>Allocation — Optimizer Defined</t>
        </is>
      </c>
      <c r="B7" s="33" t="inlineStr">
        <is>
          <t>Use optimizer allocation recommendation; implied return 6.96%, volatility 12.93%, geometric approx 6.13%</t>
        </is>
      </c>
      <c r="C7" s="108" t="n">
        <v>6666839.630796758</v>
      </c>
      <c r="D7" s="108" t="n">
        <v>898624.1227212589</v>
      </c>
      <c r="E7" s="212" t="inlineStr">
        <is>
          <t>YES</t>
        </is>
      </c>
      <c r="F7" s="108" t="n">
        <v>2081985.571114523</v>
      </c>
    </row>
    <row r="8">
      <c r="A8" s="33" t="inlineStr">
        <is>
          <t>Retire Later (2029)</t>
        </is>
      </c>
      <c r="B8" s="33" t="inlineStr">
        <is>
          <t>earn_end 2029 vs 2027; +2 yrs @ 0.0% growth, $50,000 salary</t>
        </is>
      </c>
      <c r="C8" s="108" t="n">
        <v>8375475.886228098</v>
      </c>
      <c r="D8" s="108" t="n">
        <v>1437525.760224273</v>
      </c>
      <c r="E8" s="212" t="inlineStr">
        <is>
          <t>YES</t>
        </is>
      </c>
      <c r="F8" s="108" t="n">
        <v>3790621.826545862</v>
      </c>
    </row>
    <row r="9">
      <c r="A9" s="33" t="inlineStr">
        <is>
          <t>Spend 19% More</t>
        </is>
      </c>
      <c r="B9" s="33" t="inlineStr">
        <is>
          <t>$184,990/yr vs $154,158 base</t>
        </is>
      </c>
      <c r="C9" s="108" t="n">
        <v>3390274.137803574</v>
      </c>
      <c r="D9" s="108" t="n">
        <v>838807.3403277798</v>
      </c>
      <c r="E9" s="212" t="inlineStr">
        <is>
          <t>YES</t>
        </is>
      </c>
      <c r="F9" s="108" t="n">
        <v>-1194579.921878661</v>
      </c>
    </row>
    <row r="10">
      <c r="A10" s="33" t="inlineStr">
        <is>
          <t>Sell Home 2045</t>
        </is>
      </c>
      <c r="B10" s="33" t="inlineStr">
        <is>
          <t>Gross $2,302,353 · basis $800,000 · net $2,055,711 → Member_2_Trust</t>
        </is>
      </c>
      <c r="C10" s="108" t="n">
        <v>6051544.328149976</v>
      </c>
      <c r="D10" s="108" t="n">
        <v>1106329.026831464</v>
      </c>
      <c r="E10" s="212" t="inlineStr">
        <is>
          <t>YES</t>
        </is>
      </c>
      <c r="F10" s="108" t="n">
        <v>1466690.268467741</v>
      </c>
    </row>
    <row r="11">
      <c r="A11" s="33" t="inlineStr">
        <is>
          <t>High Inflation 4.5%</t>
        </is>
      </c>
      <c r="B11" s="33" t="inlineStr">
        <is>
          <t>Inflation 4.5% vs 2.5%</t>
        </is>
      </c>
      <c r="C11" s="108" t="n">
        <v>3390274.137803574</v>
      </c>
      <c r="D11" s="108" t="n">
        <v>868297.0342700592</v>
      </c>
      <c r="E11" s="212" t="inlineStr">
        <is>
          <t>YES</t>
        </is>
      </c>
      <c r="F11" s="108" t="n">
        <v>-1194579.921878661</v>
      </c>
    </row>
    <row r="12">
      <c r="A12" s="33" t="inlineStr">
        <is>
          <t>Low Return 4.0%</t>
        </is>
      </c>
      <c r="B12" s="33" t="inlineStr">
        <is>
          <t>Portfolio return 4.0% vs 6.0%</t>
        </is>
      </c>
      <c r="C12" s="108" t="n">
        <v>3388951.097803574</v>
      </c>
      <c r="D12" s="108" t="n">
        <v>861701.5725736789</v>
      </c>
      <c r="E12" s="212" t="inlineStr">
        <is>
          <t>YES</t>
        </is>
      </c>
      <c r="F12" s="108" t="n">
        <v>-1195902.961878661</v>
      </c>
    </row>
    <row r="13">
      <c r="A13" s="33" t="inlineStr">
        <is>
          <t>PDIA Div 4.5%</t>
        </is>
      </c>
      <c r="B13" s="33" t="inlineStr">
        <is>
          <t>All annuity dividends at 4.5% (vs illustrated 5.50-5.75%). Annuity income at age 80: $104,395 vs $117,223 base</t>
        </is>
      </c>
      <c r="C13" s="108" t="n">
        <v>3952236.312716585</v>
      </c>
      <c r="D13" s="108" t="n">
        <v>820891.8468824219</v>
      </c>
      <c r="E13" s="212" t="inlineStr">
        <is>
          <t>YES</t>
        </is>
      </c>
      <c r="F13" s="108" t="n">
        <v>-632617.7469656505</v>
      </c>
    </row>
    <row r="14">
      <c r="A14" s="33" t="inlineStr">
        <is>
          <t>PDIA 50/50 Split</t>
        </is>
      </c>
      <c r="B14" s="33" t="inlineStr">
        <is>
          <t>50% cash / 50% reinvest (vs 80/20). Less cash now, more income growth later. Annuity income at age 80: $116,475 vs $117,223 base</t>
        </is>
      </c>
      <c r="C14" s="108" t="n">
        <v>4501697.867181149</v>
      </c>
      <c r="D14" s="108" t="n">
        <v>911211.7397310905</v>
      </c>
      <c r="E14" s="212" t="inlineStr">
        <is>
          <t>YES</t>
        </is>
      </c>
      <c r="F14" s="108" t="n">
        <v>-83156.19250108581</v>
      </c>
    </row>
    <row r="15">
      <c r="A15" s="33" t="inlineStr">
        <is>
          <t>COMBINED Stress Test</t>
        </is>
      </c>
      <c r="B15" s="33" t="inlineStr">
        <is>
          <t>Stacked: sell home, low return, pdia low div</t>
        </is>
      </c>
      <c r="C15" s="108" t="n">
        <v>2249633.54749052</v>
      </c>
      <c r="D15" s="108" t="n">
        <v>1014546.13079106</v>
      </c>
      <c r="E15" s="212" t="inlineStr">
        <is>
          <t>YES</t>
        </is>
      </c>
      <c r="F15" s="108" t="n">
        <v>-2335220.512191715</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6327702.56253241</v>
      </c>
    </row>
    <row r="36">
      <c r="A36" s="215" t="inlineStr">
        <is>
          <t>Increase in Terminal NW</t>
        </is>
      </c>
      <c r="B36" s="136" t="n">
        <v>1742848.502850175</v>
      </c>
    </row>
    <row r="37">
      <c r="A37" s="33" t="inlineStr">
        <is>
          <t>A 10% spending reduction ($15,416/yr) adds $1,742,849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1911357</v>
      </c>
      <c r="D5" s="226" t="n">
        <v>361825</v>
      </c>
      <c r="E5" s="226" t="n">
        <v>603017</v>
      </c>
      <c r="F5" s="226" t="n">
        <v>82867</v>
      </c>
      <c r="G5" s="226" t="n">
        <v>1061621</v>
      </c>
      <c r="H5" s="226" t="n">
        <v>547626</v>
      </c>
      <c r="I5" s="227" t="n">
        <v>5928979</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154158</v>
      </c>
      <c r="AE5" s="226" t="n">
        <v>101612</v>
      </c>
      <c r="AF5" s="226" t="n">
        <v>21760</v>
      </c>
      <c r="AG5" s="226" t="n">
        <v>25000</v>
      </c>
      <c r="AH5" s="226" t="n">
        <v>0</v>
      </c>
      <c r="AI5" s="226" t="n">
        <v>44099</v>
      </c>
      <c r="AJ5" s="226" t="n">
        <v>15726</v>
      </c>
      <c r="AK5" s="226" t="n">
        <v>0</v>
      </c>
      <c r="AL5" s="226" t="n">
        <v>32704</v>
      </c>
      <c r="AM5" s="226" t="n">
        <v>0</v>
      </c>
      <c r="AN5" s="227" t="n">
        <v>395059</v>
      </c>
      <c r="AQ5" s="225" t="n">
        <v>2026</v>
      </c>
      <c r="AR5" s="226" t="n">
        <v>5814473.668157523</v>
      </c>
      <c r="AS5" s="226" t="n">
        <v>5880061.480796587</v>
      </c>
      <c r="AT5" s="226" t="n">
        <v>6035053.657494563</v>
      </c>
      <c r="AU5" s="226" t="n">
        <v>6163624.360221907</v>
      </c>
      <c r="AV5" s="226" t="n">
        <v>6257577.100366883</v>
      </c>
    </row>
    <row r="6">
      <c r="A6" s="228" t="n">
        <v>2027</v>
      </c>
      <c r="B6" s="229" t="n">
        <v>1437523</v>
      </c>
      <c r="C6" s="229" t="n">
        <v>1787540</v>
      </c>
      <c r="D6" s="229" t="n">
        <v>622032</v>
      </c>
      <c r="E6" s="229" t="n">
        <v>267441</v>
      </c>
      <c r="F6" s="229" t="n">
        <v>87839</v>
      </c>
      <c r="G6" s="229" t="n">
        <v>1132406</v>
      </c>
      <c r="H6" s="229" t="n">
        <v>480568</v>
      </c>
      <c r="I6" s="230" t="n">
        <v>5815349</v>
      </c>
      <c r="K6" s="228" t="n">
        <v>2027</v>
      </c>
      <c r="L6" s="229" t="n">
        <v>0</v>
      </c>
      <c r="M6" s="229" t="n">
        <v>0</v>
      </c>
      <c r="N6" s="229" t="n">
        <v>0</v>
      </c>
      <c r="O6" s="229" t="n">
        <v>4512</v>
      </c>
      <c r="P6" s="229" t="n">
        <v>0</v>
      </c>
      <c r="Q6" s="229" t="n">
        <v>0</v>
      </c>
      <c r="R6" s="229" t="n">
        <v>0</v>
      </c>
      <c r="S6" s="229" t="n">
        <v>0</v>
      </c>
      <c r="T6" s="229" t="n">
        <v>91446</v>
      </c>
      <c r="U6" s="229" t="n">
        <v>0</v>
      </c>
      <c r="V6" s="229" t="n">
        <v>346015</v>
      </c>
      <c r="W6" s="229" t="n">
        <v>0</v>
      </c>
      <c r="X6" s="229" t="n">
        <v>0</v>
      </c>
      <c r="Y6" s="229" t="n">
        <v>0</v>
      </c>
      <c r="Z6" s="229" t="n">
        <v>0</v>
      </c>
      <c r="AA6" s="230" t="n">
        <v>441973</v>
      </c>
      <c r="AC6" s="228" t="n">
        <v>2027</v>
      </c>
      <c r="AD6" s="229" t="n">
        <v>158012</v>
      </c>
      <c r="AE6" s="229" t="n">
        <v>103252</v>
      </c>
      <c r="AF6" s="229" t="n">
        <v>35186</v>
      </c>
      <c r="AG6" s="229" t="n">
        <v>25625</v>
      </c>
      <c r="AH6" s="229" t="n">
        <v>100000</v>
      </c>
      <c r="AI6" s="229" t="n">
        <v>41329</v>
      </c>
      <c r="AJ6" s="229" t="n">
        <v>2171</v>
      </c>
      <c r="AK6" s="229" t="n">
        <v>888</v>
      </c>
      <c r="AL6" s="229" t="n">
        <v>0</v>
      </c>
      <c r="AM6" s="229" t="n">
        <v>0</v>
      </c>
      <c r="AN6" s="230" t="n">
        <v>466463</v>
      </c>
      <c r="AQ6" s="228" t="n">
        <v>2027</v>
      </c>
      <c r="AR6" s="229" t="n">
        <v>5317476.116500765</v>
      </c>
      <c r="AS6" s="229" t="n">
        <v>5713122.261251746</v>
      </c>
      <c r="AT6" s="229" t="n">
        <v>6007111.767295906</v>
      </c>
      <c r="AU6" s="229" t="n">
        <v>6235212.171832042</v>
      </c>
      <c r="AV6" s="229" t="n">
        <v>6528343.338929269</v>
      </c>
    </row>
    <row r="7">
      <c r="A7" s="225" t="n">
        <v>2028</v>
      </c>
      <c r="B7" s="226" t="n">
        <v>1518992</v>
      </c>
      <c r="C7" s="226" t="n">
        <v>1636294</v>
      </c>
      <c r="D7" s="226" t="n">
        <v>886271</v>
      </c>
      <c r="E7" s="226" t="n">
        <v>0</v>
      </c>
      <c r="F7" s="226" t="n">
        <v>93110</v>
      </c>
      <c r="G7" s="226" t="n">
        <v>1205010</v>
      </c>
      <c r="H7" s="226" t="n">
        <v>413511</v>
      </c>
      <c r="I7" s="227" t="n">
        <v>5753188</v>
      </c>
      <c r="K7" s="225" t="n">
        <v>2028</v>
      </c>
      <c r="L7" s="226" t="n">
        <v>0</v>
      </c>
      <c r="M7" s="226" t="n">
        <v>0</v>
      </c>
      <c r="N7" s="226" t="n">
        <v>0</v>
      </c>
      <c r="O7" s="226" t="n">
        <v>4512</v>
      </c>
      <c r="P7" s="226" t="n">
        <v>0</v>
      </c>
      <c r="Q7" s="226" t="n">
        <v>27611</v>
      </c>
      <c r="R7" s="226" t="n">
        <v>0</v>
      </c>
      <c r="S7" s="226" t="n">
        <v>0</v>
      </c>
      <c r="T7" s="226" t="n">
        <v>86732</v>
      </c>
      <c r="U7" s="226" t="n">
        <v>0</v>
      </c>
      <c r="V7" s="226" t="n">
        <v>267441</v>
      </c>
      <c r="W7" s="226" t="n">
        <v>0</v>
      </c>
      <c r="X7" s="226" t="n">
        <v>0</v>
      </c>
      <c r="Y7" s="226" t="n">
        <v>29795</v>
      </c>
      <c r="Z7" s="226" t="n">
        <v>0</v>
      </c>
      <c r="AA7" s="227" t="n">
        <v>416091</v>
      </c>
      <c r="AC7" s="225" t="n">
        <v>2028</v>
      </c>
      <c r="AD7" s="226" t="n">
        <v>161962</v>
      </c>
      <c r="AE7" s="226" t="n">
        <v>104934</v>
      </c>
      <c r="AF7" s="226" t="n">
        <v>36941</v>
      </c>
      <c r="AG7" s="226" t="n">
        <v>26266</v>
      </c>
      <c r="AH7" s="226" t="n">
        <v>50000</v>
      </c>
      <c r="AI7" s="226" t="n">
        <v>42256</v>
      </c>
      <c r="AJ7" s="226" t="n">
        <v>1615</v>
      </c>
      <c r="AK7" s="226" t="n">
        <v>1095</v>
      </c>
      <c r="AL7" s="226" t="n">
        <v>0</v>
      </c>
      <c r="AM7" s="226" t="n">
        <v>0</v>
      </c>
      <c r="AN7" s="227" t="n">
        <v>425069</v>
      </c>
      <c r="AQ7" s="225" t="n">
        <v>2028</v>
      </c>
      <c r="AR7" s="226" t="n">
        <v>5168933.568102799</v>
      </c>
      <c r="AS7" s="226" t="n">
        <v>5512525.077473768</v>
      </c>
      <c r="AT7" s="226" t="n">
        <v>5973507.676332784</v>
      </c>
      <c r="AU7" s="226" t="n">
        <v>6257814.744570617</v>
      </c>
      <c r="AV7" s="226" t="n">
        <v>6798938.87968975</v>
      </c>
    </row>
    <row r="8">
      <c r="A8" s="228" t="n">
        <v>2029</v>
      </c>
      <c r="B8" s="229" t="n">
        <v>1576080</v>
      </c>
      <c r="C8" s="229" t="n">
        <v>1346460</v>
      </c>
      <c r="D8" s="229" t="n">
        <v>1093847</v>
      </c>
      <c r="E8" s="229" t="n">
        <v>0</v>
      </c>
      <c r="F8" s="229" t="n">
        <v>98696</v>
      </c>
      <c r="G8" s="229" t="n">
        <v>1279481</v>
      </c>
      <c r="H8" s="229" t="n">
        <v>346454</v>
      </c>
      <c r="I8" s="230" t="n">
        <v>5741018</v>
      </c>
      <c r="K8" s="228" t="n">
        <v>2029</v>
      </c>
      <c r="L8" s="229" t="n">
        <v>0</v>
      </c>
      <c r="M8" s="229" t="n">
        <v>0</v>
      </c>
      <c r="N8" s="229" t="n">
        <v>0</v>
      </c>
      <c r="O8" s="229" t="n">
        <v>4512</v>
      </c>
      <c r="P8" s="229" t="n">
        <v>4600</v>
      </c>
      <c r="Q8" s="229" t="n">
        <v>27437</v>
      </c>
      <c r="R8" s="229" t="n">
        <v>8123</v>
      </c>
      <c r="S8" s="229" t="n">
        <v>71336</v>
      </c>
      <c r="T8" s="229" t="n">
        <v>82017</v>
      </c>
      <c r="U8" s="229" t="n">
        <v>0</v>
      </c>
      <c r="V8" s="229" t="n">
        <v>0</v>
      </c>
      <c r="W8" s="229" t="n">
        <v>0</v>
      </c>
      <c r="X8" s="229" t="n">
        <v>0</v>
      </c>
      <c r="Y8" s="229" t="n">
        <v>220388</v>
      </c>
      <c r="Z8" s="229" t="n">
        <v>0</v>
      </c>
      <c r="AA8" s="230" t="n">
        <v>418413</v>
      </c>
      <c r="AC8" s="228" t="n">
        <v>2029</v>
      </c>
      <c r="AD8" s="229" t="n">
        <v>166011</v>
      </c>
      <c r="AE8" s="229" t="n">
        <v>106657</v>
      </c>
      <c r="AF8" s="229" t="n">
        <v>38790</v>
      </c>
      <c r="AG8" s="229" t="n">
        <v>26922</v>
      </c>
      <c r="AH8" s="229" t="n">
        <v>0</v>
      </c>
      <c r="AI8" s="229" t="n">
        <v>42745</v>
      </c>
      <c r="AJ8" s="229" t="n">
        <v>1611</v>
      </c>
      <c r="AK8" s="229" t="n">
        <v>0</v>
      </c>
      <c r="AL8" s="229" t="n">
        <v>0</v>
      </c>
      <c r="AM8" s="229" t="n">
        <v>0</v>
      </c>
      <c r="AN8" s="230" t="n">
        <v>382736</v>
      </c>
      <c r="AQ8" s="228" t="n">
        <v>2029</v>
      </c>
      <c r="AR8" s="229" t="n">
        <v>4886488.435219051</v>
      </c>
      <c r="AS8" s="229" t="n">
        <v>5457744.04851078</v>
      </c>
      <c r="AT8" s="229" t="n">
        <v>6186809.784805903</v>
      </c>
      <c r="AU8" s="229" t="n">
        <v>6547426.35445455</v>
      </c>
      <c r="AV8" s="229" t="n">
        <v>7077840.829524751</v>
      </c>
    </row>
    <row r="9">
      <c r="A9" s="225" t="n">
        <v>2030</v>
      </c>
      <c r="B9" s="226" t="n">
        <v>1547677</v>
      </c>
      <c r="C9" s="226" t="n">
        <v>1100806</v>
      </c>
      <c r="D9" s="226" t="n">
        <v>1324092</v>
      </c>
      <c r="E9" s="226" t="n">
        <v>0</v>
      </c>
      <c r="F9" s="226" t="n">
        <v>104618</v>
      </c>
      <c r="G9" s="226" t="n">
        <v>1355868</v>
      </c>
      <c r="H9" s="226" t="n">
        <v>213396</v>
      </c>
      <c r="I9" s="227" t="n">
        <v>5646457</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152667</v>
      </c>
      <c r="Z9" s="226" t="n">
        <v>0</v>
      </c>
      <c r="AA9" s="227" t="n">
        <v>411336</v>
      </c>
      <c r="AC9" s="225" t="n">
        <v>2030</v>
      </c>
      <c r="AD9" s="226" t="n">
        <v>170162</v>
      </c>
      <c r="AE9" s="226" t="n">
        <v>108423</v>
      </c>
      <c r="AF9" s="226" t="n">
        <v>40738</v>
      </c>
      <c r="AG9" s="226" t="n">
        <v>27595</v>
      </c>
      <c r="AH9" s="226" t="n">
        <v>0</v>
      </c>
      <c r="AI9" s="226" t="n">
        <v>44332</v>
      </c>
      <c r="AJ9" s="226" t="n">
        <v>1445</v>
      </c>
      <c r="AK9" s="226" t="n">
        <v>1109</v>
      </c>
      <c r="AL9" s="226" t="n">
        <v>17532</v>
      </c>
      <c r="AM9" s="226" t="n">
        <v>0</v>
      </c>
      <c r="AN9" s="227" t="n">
        <v>411336</v>
      </c>
      <c r="AQ9" s="225" t="n">
        <v>2030</v>
      </c>
      <c r="AR9" s="226" t="n">
        <v>4613900.345762772</v>
      </c>
      <c r="AS9" s="226" t="n">
        <v>5242124.059565369</v>
      </c>
      <c r="AT9" s="226" t="n">
        <v>6147915.818653224</v>
      </c>
      <c r="AU9" s="226" t="n">
        <v>6682970.782901458</v>
      </c>
      <c r="AV9" s="226" t="n">
        <v>7406007.052293877</v>
      </c>
    </row>
    <row r="10">
      <c r="A10" s="228" t="n">
        <v>2031</v>
      </c>
      <c r="B10" s="229" t="n">
        <v>1518250</v>
      </c>
      <c r="C10" s="229" t="n">
        <v>883808</v>
      </c>
      <c r="D10" s="229" t="n">
        <v>1536321</v>
      </c>
      <c r="E10" s="229" t="n">
        <v>0</v>
      </c>
      <c r="F10" s="229" t="n">
        <v>99806</v>
      </c>
      <c r="G10" s="229" t="n">
        <v>1434223</v>
      </c>
      <c r="H10" s="229" t="n">
        <v>146339</v>
      </c>
      <c r="I10" s="230" t="n">
        <v>5618747</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10462</v>
      </c>
      <c r="X10" s="229" t="n">
        <v>0</v>
      </c>
      <c r="Y10" s="229" t="n">
        <v>141757</v>
      </c>
      <c r="Z10" s="229" t="n">
        <v>0</v>
      </c>
      <c r="AA10" s="230" t="n">
        <v>389641</v>
      </c>
      <c r="AC10" s="228" t="n">
        <v>2031</v>
      </c>
      <c r="AD10" s="229" t="n">
        <v>174416</v>
      </c>
      <c r="AE10" s="229" t="n">
        <v>81949</v>
      </c>
      <c r="AF10" s="229" t="n">
        <v>42792</v>
      </c>
      <c r="AG10" s="229" t="n">
        <v>28285</v>
      </c>
      <c r="AH10" s="229" t="n">
        <v>0</v>
      </c>
      <c r="AI10" s="229" t="n">
        <v>45235</v>
      </c>
      <c r="AJ10" s="229" t="n">
        <v>1140</v>
      </c>
      <c r="AK10" s="229" t="n">
        <v>0</v>
      </c>
      <c r="AL10" s="229" t="n">
        <v>15824</v>
      </c>
      <c r="AM10" s="229" t="n">
        <v>0</v>
      </c>
      <c r="AN10" s="230" t="n">
        <v>389641</v>
      </c>
      <c r="AQ10" s="228" t="n">
        <v>2031</v>
      </c>
      <c r="AR10" s="229" t="n">
        <v>4457900.189014233</v>
      </c>
      <c r="AS10" s="229" t="n">
        <v>5287028.243937667</v>
      </c>
      <c r="AT10" s="229" t="n">
        <v>6183173.580985084</v>
      </c>
      <c r="AU10" s="229" t="n">
        <v>7015458.204589879</v>
      </c>
      <c r="AV10" s="229" t="n">
        <v>7400912.567760022</v>
      </c>
    </row>
    <row r="11">
      <c r="A11" s="225" t="n">
        <v>2032</v>
      </c>
      <c r="B11" s="226" t="n">
        <v>1487715</v>
      </c>
      <c r="C11" s="226" t="n">
        <v>559760</v>
      </c>
      <c r="D11" s="226" t="n">
        <v>1743944</v>
      </c>
      <c r="E11" s="226" t="n">
        <v>0</v>
      </c>
      <c r="F11" s="226" t="n">
        <v>94039</v>
      </c>
      <c r="G11" s="226" t="n">
        <v>1514599</v>
      </c>
      <c r="H11" s="226" t="n">
        <v>79282</v>
      </c>
      <c r="I11" s="227" t="n">
        <v>5479339</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11090</v>
      </c>
      <c r="X11" s="226" t="n">
        <v>0</v>
      </c>
      <c r="Y11" s="226" t="n">
        <v>246824</v>
      </c>
      <c r="Z11" s="226" t="n">
        <v>0</v>
      </c>
      <c r="AA11" s="227" t="n">
        <v>523208</v>
      </c>
      <c r="AC11" s="225" t="n">
        <v>2032</v>
      </c>
      <c r="AD11" s="226" t="n">
        <v>178776</v>
      </c>
      <c r="AE11" s="226" t="n">
        <v>83097</v>
      </c>
      <c r="AF11" s="226" t="n">
        <v>44956</v>
      </c>
      <c r="AG11" s="226" t="n">
        <v>28992</v>
      </c>
      <c r="AH11" s="226" t="n">
        <v>100000</v>
      </c>
      <c r="AI11" s="226" t="n">
        <v>46156</v>
      </c>
      <c r="AJ11" s="226" t="n">
        <v>700</v>
      </c>
      <c r="AK11" s="226" t="n">
        <v>0</v>
      </c>
      <c r="AL11" s="226" t="n">
        <v>0</v>
      </c>
      <c r="AM11" s="226" t="n">
        <v>0</v>
      </c>
      <c r="AN11" s="227" t="n">
        <v>482677</v>
      </c>
      <c r="AQ11" s="225" t="n">
        <v>2032</v>
      </c>
      <c r="AR11" s="226" t="n">
        <v>4120676.556885828</v>
      </c>
      <c r="AS11" s="226" t="n">
        <v>4944065.195280408</v>
      </c>
      <c r="AT11" s="226" t="n">
        <v>6080728.52828774</v>
      </c>
      <c r="AU11" s="226" t="n">
        <v>6948879.89274731</v>
      </c>
      <c r="AV11" s="226" t="n">
        <v>7796027.327204047</v>
      </c>
    </row>
    <row r="12">
      <c r="A12" s="228" t="n">
        <v>2033</v>
      </c>
      <c r="B12" s="229" t="n">
        <v>1455962</v>
      </c>
      <c r="C12" s="229" t="n">
        <v>335068</v>
      </c>
      <c r="D12" s="229" t="n">
        <v>1971777</v>
      </c>
      <c r="E12" s="229" t="n">
        <v>0</v>
      </c>
      <c r="F12" s="229" t="n">
        <v>87221</v>
      </c>
      <c r="G12" s="229" t="n">
        <v>1597049</v>
      </c>
      <c r="H12" s="229" t="n">
        <v>20000</v>
      </c>
      <c r="I12" s="230" t="n">
        <v>5467077</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11755</v>
      </c>
      <c r="X12" s="229" t="n">
        <v>0</v>
      </c>
      <c r="Y12" s="229" t="n">
        <v>127434</v>
      </c>
      <c r="Z12" s="229" t="n">
        <v>0</v>
      </c>
      <c r="AA12" s="230" t="n">
        <v>403513</v>
      </c>
      <c r="AC12" s="228" t="n">
        <v>2033</v>
      </c>
      <c r="AD12" s="229" t="n">
        <v>183245</v>
      </c>
      <c r="AE12" s="229" t="n">
        <v>84275</v>
      </c>
      <c r="AF12" s="229" t="n">
        <v>47237</v>
      </c>
      <c r="AG12" s="229" t="n">
        <v>29717</v>
      </c>
      <c r="AH12" s="229" t="n">
        <v>0</v>
      </c>
      <c r="AI12" s="229" t="n">
        <v>47096</v>
      </c>
      <c r="AJ12" s="229" t="n">
        <v>588</v>
      </c>
      <c r="AK12" s="229" t="n">
        <v>0</v>
      </c>
      <c r="AL12" s="229" t="n">
        <v>11355</v>
      </c>
      <c r="AM12" s="229" t="n">
        <v>0</v>
      </c>
      <c r="AN12" s="230" t="n">
        <v>403513</v>
      </c>
      <c r="AQ12" s="228" t="n">
        <v>2033</v>
      </c>
      <c r="AR12" s="229" t="n">
        <v>4157751.701024841</v>
      </c>
      <c r="AS12" s="229" t="n">
        <v>4868409.195093646</v>
      </c>
      <c r="AT12" s="229" t="n">
        <v>6181500.889397279</v>
      </c>
      <c r="AU12" s="229" t="n">
        <v>7058200.954242419</v>
      </c>
      <c r="AV12" s="229" t="n">
        <v>8457062.174834799</v>
      </c>
    </row>
    <row r="13">
      <c r="A13" s="225" t="n">
        <v>2034</v>
      </c>
      <c r="B13" s="226" t="n">
        <v>1422877</v>
      </c>
      <c r="C13" s="226" t="n">
        <v>0</v>
      </c>
      <c r="D13" s="226" t="n">
        <v>2215853</v>
      </c>
      <c r="E13" s="226" t="n">
        <v>0</v>
      </c>
      <c r="F13" s="226" t="n">
        <v>79247</v>
      </c>
      <c r="G13" s="226" t="n">
        <v>1681629</v>
      </c>
      <c r="H13" s="226" t="n">
        <v>20000</v>
      </c>
      <c r="I13" s="227" t="n">
        <v>5419606</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12460</v>
      </c>
      <c r="X13" s="226" t="n">
        <v>4944</v>
      </c>
      <c r="Y13" s="226" t="n">
        <v>211474</v>
      </c>
      <c r="Z13" s="226" t="n">
        <v>0</v>
      </c>
      <c r="AA13" s="227" t="n">
        <v>432929</v>
      </c>
      <c r="AC13" s="225" t="n">
        <v>2034</v>
      </c>
      <c r="AD13" s="226" t="n">
        <v>187827</v>
      </c>
      <c r="AE13" s="226" t="n">
        <v>85482</v>
      </c>
      <c r="AF13" s="226" t="n">
        <v>49640</v>
      </c>
      <c r="AG13" s="226" t="n">
        <v>30460</v>
      </c>
      <c r="AH13" s="226" t="n">
        <v>0</v>
      </c>
      <c r="AI13" s="226" t="n">
        <v>48054</v>
      </c>
      <c r="AJ13" s="226" t="n">
        <v>476</v>
      </c>
      <c r="AK13" s="226" t="n">
        <v>0</v>
      </c>
      <c r="AL13" s="226" t="n">
        <v>30990</v>
      </c>
      <c r="AM13" s="226" t="n">
        <v>0</v>
      </c>
      <c r="AN13" s="227" t="n">
        <v>432929</v>
      </c>
      <c r="AQ13" s="225" t="n">
        <v>2034</v>
      </c>
      <c r="AR13" s="226" t="n">
        <v>3979542.914687419</v>
      </c>
      <c r="AS13" s="226" t="n">
        <v>4905290.242248903</v>
      </c>
      <c r="AT13" s="226" t="n">
        <v>6091638.553156344</v>
      </c>
      <c r="AU13" s="226" t="n">
        <v>6888561.345537664</v>
      </c>
      <c r="AV13" s="226" t="n">
        <v>8347476.741479889</v>
      </c>
    </row>
    <row r="14">
      <c r="A14" s="228" t="n">
        <v>2035</v>
      </c>
      <c r="B14" s="229" t="n">
        <v>1388342</v>
      </c>
      <c r="C14" s="229" t="n">
        <v>0</v>
      </c>
      <c r="D14" s="229" t="n">
        <v>2236519</v>
      </c>
      <c r="E14" s="229" t="n">
        <v>0</v>
      </c>
      <c r="F14" s="229" t="n">
        <v>70001</v>
      </c>
      <c r="G14" s="229" t="n">
        <v>1764562</v>
      </c>
      <c r="H14" s="229" t="n">
        <v>20000</v>
      </c>
      <c r="I14" s="230" t="n">
        <v>5479424</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13208</v>
      </c>
      <c r="X14" s="229" t="n">
        <v>105929</v>
      </c>
      <c r="Y14" s="229" t="n">
        <v>0</v>
      </c>
      <c r="Z14" s="229" t="n">
        <v>0</v>
      </c>
      <c r="AA14" s="230" t="n">
        <v>327688</v>
      </c>
      <c r="AC14" s="228" t="n">
        <v>2035</v>
      </c>
      <c r="AD14" s="229" t="n">
        <v>192522</v>
      </c>
      <c r="AE14" s="229" t="n">
        <v>50719</v>
      </c>
      <c r="AF14" s="229" t="n">
        <v>52174</v>
      </c>
      <c r="AG14" s="229" t="n">
        <v>31222</v>
      </c>
      <c r="AH14" s="229" t="n">
        <v>0</v>
      </c>
      <c r="AI14" s="229" t="n">
        <v>20889</v>
      </c>
      <c r="AJ14" s="229" t="n">
        <v>475</v>
      </c>
      <c r="AK14" s="229" t="n">
        <v>0</v>
      </c>
      <c r="AL14" s="229" t="n">
        <v>0</v>
      </c>
      <c r="AM14" s="229" t="n">
        <v>0</v>
      </c>
      <c r="AN14" s="230" t="n">
        <v>348001</v>
      </c>
      <c r="AQ14" s="228" t="n">
        <v>2035</v>
      </c>
      <c r="AR14" s="229" t="n">
        <v>3864901.024978836</v>
      </c>
      <c r="AS14" s="229" t="n">
        <v>4830505.279259826</v>
      </c>
      <c r="AT14" s="229" t="n">
        <v>6323758.945343707</v>
      </c>
      <c r="AU14" s="229" t="n">
        <v>6805147.232190648</v>
      </c>
      <c r="AV14" s="229" t="n">
        <v>8428984.855497323</v>
      </c>
    </row>
    <row r="15">
      <c r="A15" s="225" t="n">
        <v>2036</v>
      </c>
      <c r="B15" s="226" t="n">
        <v>1348892</v>
      </c>
      <c r="C15" s="226" t="n">
        <v>0</v>
      </c>
      <c r="D15" s="226" t="n">
        <v>2258332</v>
      </c>
      <c r="E15" s="226" t="n">
        <v>0</v>
      </c>
      <c r="F15" s="226" t="n">
        <v>59361</v>
      </c>
      <c r="G15" s="226" t="n">
        <v>1817499</v>
      </c>
      <c r="H15" s="226" t="n">
        <v>20000</v>
      </c>
      <c r="I15" s="227" t="n">
        <v>5504084</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14000</v>
      </c>
      <c r="X15" s="226" t="n">
        <v>106017</v>
      </c>
      <c r="Y15" s="226" t="n">
        <v>0</v>
      </c>
      <c r="Z15" s="226" t="n">
        <v>0</v>
      </c>
      <c r="AA15" s="227" t="n">
        <v>338300</v>
      </c>
      <c r="AC15" s="225" t="n">
        <v>2036</v>
      </c>
      <c r="AD15" s="226" t="n">
        <v>197335</v>
      </c>
      <c r="AE15" s="226" t="n">
        <v>51987</v>
      </c>
      <c r="AF15" s="226" t="n">
        <v>54844</v>
      </c>
      <c r="AG15" s="226" t="n">
        <v>32002</v>
      </c>
      <c r="AH15" s="226" t="n">
        <v>0</v>
      </c>
      <c r="AI15" s="226" t="n">
        <v>22498</v>
      </c>
      <c r="AJ15" s="226" t="n">
        <v>509</v>
      </c>
      <c r="AK15" s="226" t="n">
        <v>0</v>
      </c>
      <c r="AL15" s="226" t="n">
        <v>0</v>
      </c>
      <c r="AM15" s="226" t="n">
        <v>0</v>
      </c>
      <c r="AN15" s="227" t="n">
        <v>359175</v>
      </c>
      <c r="AQ15" s="225" t="n">
        <v>2036</v>
      </c>
      <c r="AR15" s="226" t="n">
        <v>3773309.055508117</v>
      </c>
      <c r="AS15" s="226" t="n">
        <v>4527875.286257747</v>
      </c>
      <c r="AT15" s="226" t="n">
        <v>6414977.328060849</v>
      </c>
      <c r="AU15" s="226" t="n">
        <v>7025620.686826909</v>
      </c>
      <c r="AV15" s="226" t="n">
        <v>9457406.911269432</v>
      </c>
    </row>
    <row r="16">
      <c r="A16" s="228" t="n">
        <v>2037</v>
      </c>
      <c r="B16" s="229" t="n">
        <v>1298724</v>
      </c>
      <c r="C16" s="229" t="n">
        <v>0</v>
      </c>
      <c r="D16" s="229" t="n">
        <v>2275806</v>
      </c>
      <c r="E16" s="229" t="n">
        <v>0</v>
      </c>
      <c r="F16" s="229" t="n">
        <v>47192</v>
      </c>
      <c r="G16" s="229" t="n">
        <v>1872024</v>
      </c>
      <c r="H16" s="229" t="n">
        <v>20000</v>
      </c>
      <c r="I16" s="230" t="n">
        <v>5513746</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14840</v>
      </c>
      <c r="X16" s="229" t="n">
        <v>111346</v>
      </c>
      <c r="Y16" s="229" t="n">
        <v>0</v>
      </c>
      <c r="Z16" s="229" t="n">
        <v>0</v>
      </c>
      <c r="AA16" s="230" t="n">
        <v>345034</v>
      </c>
      <c r="AC16" s="228" t="n">
        <v>2037</v>
      </c>
      <c r="AD16" s="229" t="n">
        <v>202269</v>
      </c>
      <c r="AE16" s="229" t="n">
        <v>53286</v>
      </c>
      <c r="AF16" s="229" t="n">
        <v>57659</v>
      </c>
      <c r="AG16" s="229" t="n">
        <v>32802</v>
      </c>
      <c r="AH16" s="229" t="n">
        <v>0</v>
      </c>
      <c r="AI16" s="229" t="n">
        <v>22130</v>
      </c>
      <c r="AJ16" s="229" t="n">
        <v>505</v>
      </c>
      <c r="AK16" s="229" t="n">
        <v>0</v>
      </c>
      <c r="AL16" s="229" t="n">
        <v>0</v>
      </c>
      <c r="AM16" s="229" t="n">
        <v>0</v>
      </c>
      <c r="AN16" s="230" t="n">
        <v>368651</v>
      </c>
      <c r="AQ16" s="228" t="n">
        <v>2037</v>
      </c>
      <c r="AR16" s="229" t="n">
        <v>3604333.923886446</v>
      </c>
      <c r="AS16" s="229" t="n">
        <v>4077671.300845957</v>
      </c>
      <c r="AT16" s="229" t="n">
        <v>6240313.19077429</v>
      </c>
      <c r="AU16" s="229" t="n">
        <v>7161215.894886149</v>
      </c>
      <c r="AV16" s="229" t="n">
        <v>9345193.208813716</v>
      </c>
    </row>
    <row r="17">
      <c r="A17" s="225" t="n">
        <v>2038</v>
      </c>
      <c r="B17" s="226" t="n">
        <v>1246954</v>
      </c>
      <c r="C17" s="226" t="n">
        <v>0</v>
      </c>
      <c r="D17" s="226" t="n">
        <v>2286220</v>
      </c>
      <c r="E17" s="226" t="n">
        <v>0</v>
      </c>
      <c r="F17" s="226" t="n">
        <v>33349</v>
      </c>
      <c r="G17" s="226" t="n">
        <v>1928185</v>
      </c>
      <c r="H17" s="226" t="n">
        <v>20000</v>
      </c>
      <c r="I17" s="227" t="n">
        <v>5514708</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15731</v>
      </c>
      <c r="X17" s="226" t="n">
        <v>118994</v>
      </c>
      <c r="Y17" s="226" t="n">
        <v>0</v>
      </c>
      <c r="Z17" s="226" t="n">
        <v>0</v>
      </c>
      <c r="AA17" s="227" t="n">
        <v>354267</v>
      </c>
      <c r="AC17" s="225" t="n">
        <v>2038</v>
      </c>
      <c r="AD17" s="226" t="n">
        <v>207325</v>
      </c>
      <c r="AE17" s="226" t="n">
        <v>54619</v>
      </c>
      <c r="AF17" s="226" t="n">
        <v>60626</v>
      </c>
      <c r="AG17" s="226" t="n">
        <v>33622</v>
      </c>
      <c r="AH17" s="226" t="n">
        <v>0</v>
      </c>
      <c r="AI17" s="226" t="n">
        <v>21781</v>
      </c>
      <c r="AJ17" s="226" t="n">
        <v>501</v>
      </c>
      <c r="AK17" s="226" t="n">
        <v>0</v>
      </c>
      <c r="AL17" s="226" t="n">
        <v>0</v>
      </c>
      <c r="AM17" s="226" t="n">
        <v>0</v>
      </c>
      <c r="AN17" s="227" t="n">
        <v>378474</v>
      </c>
      <c r="AQ17" s="225" t="n">
        <v>2038</v>
      </c>
      <c r="AR17" s="226" t="n">
        <v>3470709.580847801</v>
      </c>
      <c r="AS17" s="226" t="n">
        <v>4002308.573848559</v>
      </c>
      <c r="AT17" s="226" t="n">
        <v>6117331.288887188</v>
      </c>
      <c r="AU17" s="226" t="n">
        <v>7522085.889664043</v>
      </c>
      <c r="AV17" s="226" t="n">
        <v>9510480.459066994</v>
      </c>
    </row>
    <row r="18">
      <c r="A18" s="228" t="n">
        <v>2039</v>
      </c>
      <c r="B18" s="229" t="n">
        <v>1193388</v>
      </c>
      <c r="C18" s="229" t="n">
        <v>0</v>
      </c>
      <c r="D18" s="229" t="n">
        <v>2288998</v>
      </c>
      <c r="E18" s="229" t="n">
        <v>0</v>
      </c>
      <c r="F18" s="229" t="n">
        <v>17675</v>
      </c>
      <c r="G18" s="229" t="n">
        <v>1986030</v>
      </c>
      <c r="H18" s="229" t="n">
        <v>20000</v>
      </c>
      <c r="I18" s="230" t="n">
        <v>5506091</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16675</v>
      </c>
      <c r="X18" s="229" t="n">
        <v>126788</v>
      </c>
      <c r="Y18" s="229" t="n">
        <v>0</v>
      </c>
      <c r="Z18" s="229" t="n">
        <v>0</v>
      </c>
      <c r="AA18" s="230" t="n">
        <v>363849</v>
      </c>
      <c r="AC18" s="228" t="n">
        <v>2039</v>
      </c>
      <c r="AD18" s="229" t="n">
        <v>212509</v>
      </c>
      <c r="AE18" s="229" t="n">
        <v>55984</v>
      </c>
      <c r="AF18" s="229" t="n">
        <v>63754</v>
      </c>
      <c r="AG18" s="229" t="n">
        <v>34463</v>
      </c>
      <c r="AH18" s="229" t="n">
        <v>0</v>
      </c>
      <c r="AI18" s="229" t="n">
        <v>21454</v>
      </c>
      <c r="AJ18" s="229" t="n">
        <v>498</v>
      </c>
      <c r="AK18" s="229" t="n">
        <v>0</v>
      </c>
      <c r="AL18" s="229" t="n">
        <v>0</v>
      </c>
      <c r="AM18" s="229" t="n">
        <v>0</v>
      </c>
      <c r="AN18" s="230" t="n">
        <v>388662</v>
      </c>
      <c r="AQ18" s="228" t="n">
        <v>2039</v>
      </c>
      <c r="AR18" s="229" t="n">
        <v>3326173.229322546</v>
      </c>
      <c r="AS18" s="229" t="n">
        <v>3866940.538921034</v>
      </c>
      <c r="AT18" s="229" t="n">
        <v>5867973.952124661</v>
      </c>
      <c r="AU18" s="229" t="n">
        <v>7661158.668779888</v>
      </c>
      <c r="AV18" s="229" t="n">
        <v>9955550.4065744</v>
      </c>
    </row>
    <row r="19">
      <c r="A19" s="225" t="n">
        <v>2040</v>
      </c>
      <c r="B19" s="226" t="n">
        <v>1137801</v>
      </c>
      <c r="C19" s="226" t="n">
        <v>0</v>
      </c>
      <c r="D19" s="226" t="n">
        <v>2283514</v>
      </c>
      <c r="E19" s="226" t="n">
        <v>0</v>
      </c>
      <c r="F19" s="226" t="n">
        <v>0</v>
      </c>
      <c r="G19" s="226" t="n">
        <v>2045611</v>
      </c>
      <c r="H19" s="226" t="n">
        <v>20000</v>
      </c>
      <c r="I19" s="227" t="n">
        <v>5486926</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17675</v>
      </c>
      <c r="X19" s="226" t="n">
        <v>134740</v>
      </c>
      <c r="Y19" s="226" t="n">
        <v>0</v>
      </c>
      <c r="Z19" s="226" t="n">
        <v>0</v>
      </c>
      <c r="AA19" s="227" t="n">
        <v>373790</v>
      </c>
      <c r="AC19" s="225" t="n">
        <v>2040</v>
      </c>
      <c r="AD19" s="226" t="n">
        <v>217821</v>
      </c>
      <c r="AE19" s="226" t="n">
        <v>57384</v>
      </c>
      <c r="AF19" s="226" t="n">
        <v>67051</v>
      </c>
      <c r="AG19" s="226" t="n">
        <v>35324</v>
      </c>
      <c r="AH19" s="226" t="n">
        <v>0</v>
      </c>
      <c r="AI19" s="226" t="n">
        <v>21148</v>
      </c>
      <c r="AJ19" s="226" t="n">
        <v>495</v>
      </c>
      <c r="AK19" s="226" t="n">
        <v>0</v>
      </c>
      <c r="AL19" s="226" t="n">
        <v>0</v>
      </c>
      <c r="AM19" s="226" t="n">
        <v>0</v>
      </c>
      <c r="AN19" s="227" t="n">
        <v>399223</v>
      </c>
      <c r="AQ19" s="225" t="n">
        <v>2040</v>
      </c>
      <c r="AR19" s="226" t="n">
        <v>3223040.248603309</v>
      </c>
      <c r="AS19" s="226" t="n">
        <v>3692822.815208835</v>
      </c>
      <c r="AT19" s="226" t="n">
        <v>5771850.279481333</v>
      </c>
      <c r="AU19" s="226" t="n">
        <v>7982633.069323213</v>
      </c>
      <c r="AV19" s="226" t="n">
        <v>9925751.243603278</v>
      </c>
    </row>
    <row r="20">
      <c r="A20" s="228" t="n">
        <v>2041</v>
      </c>
      <c r="B20" s="229" t="n">
        <v>1079958</v>
      </c>
      <c r="C20" s="229" t="n">
        <v>0</v>
      </c>
      <c r="D20" s="229" t="n">
        <v>2254999</v>
      </c>
      <c r="E20" s="229" t="n">
        <v>0</v>
      </c>
      <c r="F20" s="229" t="n">
        <v>0</v>
      </c>
      <c r="G20" s="229" t="n">
        <v>2106980</v>
      </c>
      <c r="H20" s="229" t="n">
        <v>20000</v>
      </c>
      <c r="I20" s="230" t="n">
        <v>5461937</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156157</v>
      </c>
      <c r="Y20" s="229" t="n">
        <v>0</v>
      </c>
      <c r="Z20" s="229" t="n">
        <v>0</v>
      </c>
      <c r="AA20" s="230" t="n">
        <v>378658</v>
      </c>
      <c r="AC20" s="228" t="n">
        <v>2041</v>
      </c>
      <c r="AD20" s="229" t="n">
        <v>217821</v>
      </c>
      <c r="AE20" s="229" t="n">
        <v>58818</v>
      </c>
      <c r="AF20" s="229" t="n">
        <v>70527</v>
      </c>
      <c r="AG20" s="229" t="n">
        <v>36207</v>
      </c>
      <c r="AH20" s="229" t="n">
        <v>0</v>
      </c>
      <c r="AI20" s="229" t="n">
        <v>20862</v>
      </c>
      <c r="AJ20" s="229" t="n">
        <v>492</v>
      </c>
      <c r="AK20" s="229" t="n">
        <v>0</v>
      </c>
      <c r="AL20" s="229" t="n">
        <v>0</v>
      </c>
      <c r="AM20" s="229" t="n">
        <v>0</v>
      </c>
      <c r="AN20" s="230" t="n">
        <v>404727</v>
      </c>
      <c r="AQ20" s="228" t="n">
        <v>2041</v>
      </c>
      <c r="AR20" s="229" t="n">
        <v>3206937.838783258</v>
      </c>
      <c r="AS20" s="229" t="n">
        <v>3528662.320035374</v>
      </c>
      <c r="AT20" s="229" t="n">
        <v>5592780.214409425</v>
      </c>
      <c r="AU20" s="229" t="n">
        <v>8418042.156583697</v>
      </c>
      <c r="AV20" s="229" t="n">
        <v>10786012.04932097</v>
      </c>
    </row>
    <row r="21">
      <c r="A21" s="225" t="n">
        <v>2042</v>
      </c>
      <c r="B21" s="226" t="n">
        <v>1019621</v>
      </c>
      <c r="C21" s="226" t="n">
        <v>0</v>
      </c>
      <c r="D21" s="226" t="n">
        <v>2220684</v>
      </c>
      <c r="E21" s="226" t="n">
        <v>0</v>
      </c>
      <c r="F21" s="226" t="n">
        <v>0</v>
      </c>
      <c r="G21" s="226" t="n">
        <v>2170189</v>
      </c>
      <c r="H21" s="226" t="n">
        <v>20000</v>
      </c>
      <c r="I21" s="227" t="n">
        <v>5430494</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160013</v>
      </c>
      <c r="Y21" s="226" t="n">
        <v>0</v>
      </c>
      <c r="Z21" s="226" t="n">
        <v>0</v>
      </c>
      <c r="AA21" s="227" t="n">
        <v>383775</v>
      </c>
      <c r="AC21" s="225" t="n">
        <v>2042</v>
      </c>
      <c r="AD21" s="226" t="n">
        <v>217821</v>
      </c>
      <c r="AE21" s="226" t="n">
        <v>60289</v>
      </c>
      <c r="AF21" s="226" t="n">
        <v>74191</v>
      </c>
      <c r="AG21" s="226" t="n">
        <v>37113</v>
      </c>
      <c r="AH21" s="226" t="n">
        <v>0</v>
      </c>
      <c r="AI21" s="226" t="n">
        <v>20593</v>
      </c>
      <c r="AJ21" s="226" t="n">
        <v>489</v>
      </c>
      <c r="AK21" s="226" t="n">
        <v>0</v>
      </c>
      <c r="AL21" s="226" t="n">
        <v>0</v>
      </c>
      <c r="AM21" s="226" t="n">
        <v>0</v>
      </c>
      <c r="AN21" s="227" t="n">
        <v>410496</v>
      </c>
      <c r="AQ21" s="225" t="n">
        <v>2042</v>
      </c>
      <c r="AR21" s="226" t="n">
        <v>3209810.052992561</v>
      </c>
      <c r="AS21" s="226" t="n">
        <v>3344217.312163271</v>
      </c>
      <c r="AT21" s="226" t="n">
        <v>5738642.162242977</v>
      </c>
      <c r="AU21" s="226" t="n">
        <v>7953528.984528881</v>
      </c>
      <c r="AV21" s="226" t="n">
        <v>10626344.27105304</v>
      </c>
    </row>
    <row r="22">
      <c r="A22" s="228" t="n">
        <v>2043</v>
      </c>
      <c r="B22" s="229" t="n">
        <v>956542</v>
      </c>
      <c r="C22" s="229" t="n">
        <v>0</v>
      </c>
      <c r="D22" s="229" t="n">
        <v>2180084</v>
      </c>
      <c r="E22" s="229" t="n">
        <v>0</v>
      </c>
      <c r="F22" s="229" t="n">
        <v>0</v>
      </c>
      <c r="G22" s="229" t="n">
        <v>2235295</v>
      </c>
      <c r="H22" s="229" t="n">
        <v>20000</v>
      </c>
      <c r="I22" s="230" t="n">
        <v>5391921</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164001</v>
      </c>
      <c r="Y22" s="229" t="n">
        <v>0</v>
      </c>
      <c r="Z22" s="229" t="n">
        <v>0</v>
      </c>
      <c r="AA22" s="230" t="n">
        <v>389151</v>
      </c>
      <c r="AC22" s="228" t="n">
        <v>2043</v>
      </c>
      <c r="AD22" s="229" t="n">
        <v>217821</v>
      </c>
      <c r="AE22" s="229" t="n">
        <v>61796</v>
      </c>
      <c r="AF22" s="229" t="n">
        <v>78054</v>
      </c>
      <c r="AG22" s="229" t="n">
        <v>38040</v>
      </c>
      <c r="AH22" s="229" t="n">
        <v>0</v>
      </c>
      <c r="AI22" s="229" t="n">
        <v>20342</v>
      </c>
      <c r="AJ22" s="229" t="n">
        <v>487</v>
      </c>
      <c r="AK22" s="229" t="n">
        <v>0</v>
      </c>
      <c r="AL22" s="229" t="n">
        <v>0</v>
      </c>
      <c r="AM22" s="229" t="n">
        <v>0</v>
      </c>
      <c r="AN22" s="230" t="n">
        <v>416540</v>
      </c>
      <c r="AQ22" s="228" t="n">
        <v>2043</v>
      </c>
      <c r="AR22" s="229" t="n">
        <v>3211836.265508729</v>
      </c>
      <c r="AS22" s="229" t="n">
        <v>3211836.265508729</v>
      </c>
      <c r="AT22" s="229" t="n">
        <v>5659155.802468916</v>
      </c>
      <c r="AU22" s="229" t="n">
        <v>8366839.728821004</v>
      </c>
      <c r="AV22" s="229" t="n">
        <v>9905893.697969705</v>
      </c>
    </row>
    <row r="23">
      <c r="A23" s="225" t="n">
        <v>2044</v>
      </c>
      <c r="B23" s="226" t="n">
        <v>890464</v>
      </c>
      <c r="C23" s="226" t="n">
        <v>0</v>
      </c>
      <c r="D23" s="226" t="n">
        <v>2132665</v>
      </c>
      <c r="E23" s="226" t="n">
        <v>0</v>
      </c>
      <c r="F23" s="226" t="n">
        <v>0</v>
      </c>
      <c r="G23" s="226" t="n">
        <v>2302353</v>
      </c>
      <c r="H23" s="226" t="n">
        <v>20000</v>
      </c>
      <c r="I23" s="227" t="n">
        <v>5345482</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168135</v>
      </c>
      <c r="Y23" s="226" t="n">
        <v>0</v>
      </c>
      <c r="Z23" s="226" t="n">
        <v>0</v>
      </c>
      <c r="AA23" s="227" t="n">
        <v>394797</v>
      </c>
      <c r="AC23" s="225" t="n">
        <v>2044</v>
      </c>
      <c r="AD23" s="226" t="n">
        <v>217821</v>
      </c>
      <c r="AE23" s="226" t="n">
        <v>63341</v>
      </c>
      <c r="AF23" s="226" t="n">
        <v>82127</v>
      </c>
      <c r="AG23" s="226" t="n">
        <v>38991</v>
      </c>
      <c r="AH23" s="226" t="n">
        <v>0</v>
      </c>
      <c r="AI23" s="226" t="n">
        <v>20107</v>
      </c>
      <c r="AJ23" s="226" t="n">
        <v>485</v>
      </c>
      <c r="AK23" s="226" t="n">
        <v>0</v>
      </c>
      <c r="AL23" s="226" t="n">
        <v>0</v>
      </c>
      <c r="AM23" s="226" t="n">
        <v>0</v>
      </c>
      <c r="AN23" s="227" t="n">
        <v>422872</v>
      </c>
      <c r="AQ23" s="225" t="n">
        <v>2044</v>
      </c>
      <c r="AR23" s="226" t="n">
        <v>3212817.191660102</v>
      </c>
      <c r="AS23" s="226" t="n">
        <v>3212817.191660102</v>
      </c>
      <c r="AT23" s="226" t="n">
        <v>5724037.255683539</v>
      </c>
      <c r="AU23" s="226" t="n">
        <v>7733076.017341534</v>
      </c>
      <c r="AV23" s="226" t="n">
        <v>9977958.943390327</v>
      </c>
    </row>
    <row r="24">
      <c r="A24" s="228" t="n">
        <v>2045</v>
      </c>
      <c r="B24" s="229" t="n">
        <v>821122</v>
      </c>
      <c r="C24" s="229" t="n">
        <v>0</v>
      </c>
      <c r="D24" s="229" t="n">
        <v>2077848</v>
      </c>
      <c r="E24" s="229" t="n">
        <v>0</v>
      </c>
      <c r="F24" s="229" t="n">
        <v>0</v>
      </c>
      <c r="G24" s="229" t="n">
        <v>2371424</v>
      </c>
      <c r="H24" s="229" t="n">
        <v>20000</v>
      </c>
      <c r="I24" s="230" t="n">
        <v>5290394</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172432</v>
      </c>
      <c r="Y24" s="229" t="n">
        <v>0</v>
      </c>
      <c r="Z24" s="229" t="n">
        <v>0</v>
      </c>
      <c r="AA24" s="230" t="n">
        <v>400726</v>
      </c>
      <c r="AC24" s="228" t="n">
        <v>2045</v>
      </c>
      <c r="AD24" s="229" t="n">
        <v>217821</v>
      </c>
      <c r="AE24" s="229" t="n">
        <v>64924</v>
      </c>
      <c r="AF24" s="229" t="n">
        <v>86422</v>
      </c>
      <c r="AG24" s="229" t="n">
        <v>39966</v>
      </c>
      <c r="AH24" s="229" t="n">
        <v>0</v>
      </c>
      <c r="AI24" s="229" t="n">
        <v>19886</v>
      </c>
      <c r="AJ24" s="229" t="n">
        <v>483</v>
      </c>
      <c r="AK24" s="229" t="n">
        <v>0</v>
      </c>
      <c r="AL24" s="229" t="n">
        <v>0</v>
      </c>
      <c r="AM24" s="229" t="n">
        <v>0</v>
      </c>
      <c r="AN24" s="230" t="n">
        <v>429502</v>
      </c>
      <c r="AQ24" s="228" t="n">
        <v>2045</v>
      </c>
      <c r="AR24" s="229" t="n">
        <v>3212545.809215759</v>
      </c>
      <c r="AS24" s="229" t="n">
        <v>3212545.809215759</v>
      </c>
      <c r="AT24" s="229" t="n">
        <v>5609249.161743851</v>
      </c>
      <c r="AU24" s="229" t="n">
        <v>7876895.862448435</v>
      </c>
      <c r="AV24" s="229" t="n">
        <v>9730940.2765208</v>
      </c>
    </row>
    <row r="25">
      <c r="A25" s="225" t="n">
        <v>2046</v>
      </c>
      <c r="B25" s="226" t="n">
        <v>748240</v>
      </c>
      <c r="C25" s="226" t="n">
        <v>0</v>
      </c>
      <c r="D25" s="226" t="n">
        <v>2058421</v>
      </c>
      <c r="E25" s="226" t="n">
        <v>0</v>
      </c>
      <c r="F25" s="226" t="n">
        <v>0</v>
      </c>
      <c r="G25" s="226" t="n">
        <v>2442567</v>
      </c>
      <c r="H25" s="226" t="n">
        <v>20000</v>
      </c>
      <c r="I25" s="227" t="n">
        <v>5269228</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135941</v>
      </c>
      <c r="Y25" s="226" t="n">
        <v>0</v>
      </c>
      <c r="Z25" s="226" t="n">
        <v>0</v>
      </c>
      <c r="AA25" s="227" t="n">
        <v>365983</v>
      </c>
      <c r="AC25" s="225" t="n">
        <v>2046</v>
      </c>
      <c r="AD25" s="226" t="n">
        <v>217821</v>
      </c>
      <c r="AE25" s="226" t="n">
        <v>66547</v>
      </c>
      <c r="AF25" s="226" t="n">
        <v>90949</v>
      </c>
      <c r="AG25" s="226" t="n">
        <v>0</v>
      </c>
      <c r="AH25" s="226" t="n">
        <v>0</v>
      </c>
      <c r="AI25" s="226" t="n">
        <v>19678</v>
      </c>
      <c r="AJ25" s="226" t="n">
        <v>482</v>
      </c>
      <c r="AK25" s="226" t="n">
        <v>0</v>
      </c>
      <c r="AL25" s="226" t="n">
        <v>0</v>
      </c>
      <c r="AM25" s="226" t="n">
        <v>0</v>
      </c>
      <c r="AN25" s="227" t="n">
        <v>395477</v>
      </c>
      <c r="AQ25" s="225" t="n">
        <v>2046</v>
      </c>
      <c r="AR25" s="226" t="n">
        <v>3210806.515456208</v>
      </c>
      <c r="AS25" s="226" t="n">
        <v>3210806.515456208</v>
      </c>
      <c r="AT25" s="226" t="n">
        <v>5693759.185511278</v>
      </c>
      <c r="AU25" s="226" t="n">
        <v>8060448.043004632</v>
      </c>
      <c r="AV25" s="226" t="n">
        <v>10366733.20377314</v>
      </c>
    </row>
    <row r="26">
      <c r="A26" s="228" t="n">
        <v>2047</v>
      </c>
      <c r="B26" s="229" t="n">
        <v>671530</v>
      </c>
      <c r="C26" s="229" t="n">
        <v>0</v>
      </c>
      <c r="D26" s="229" t="n">
        <v>2025676</v>
      </c>
      <c r="E26" s="229" t="n">
        <v>0</v>
      </c>
      <c r="F26" s="229" t="n">
        <v>0</v>
      </c>
      <c r="G26" s="229" t="n">
        <v>2515844</v>
      </c>
      <c r="H26" s="229" t="n">
        <v>20000</v>
      </c>
      <c r="I26" s="230" t="n">
        <v>5233050</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147405</v>
      </c>
      <c r="Y26" s="229" t="n">
        <v>0</v>
      </c>
      <c r="Z26" s="229" t="n">
        <v>0</v>
      </c>
      <c r="AA26" s="230" t="n">
        <v>369305</v>
      </c>
      <c r="AC26" s="228" t="n">
        <v>2047</v>
      </c>
      <c r="AD26" s="229" t="n">
        <v>217821</v>
      </c>
      <c r="AE26" s="229" t="n">
        <v>68211</v>
      </c>
      <c r="AF26" s="229" t="n">
        <v>95723</v>
      </c>
      <c r="AG26" s="229" t="n">
        <v>0</v>
      </c>
      <c r="AH26" s="229" t="n">
        <v>0</v>
      </c>
      <c r="AI26" s="229" t="n">
        <v>17336</v>
      </c>
      <c r="AJ26" s="229" t="n">
        <v>447</v>
      </c>
      <c r="AK26" s="229" t="n">
        <v>0</v>
      </c>
      <c r="AL26" s="229" t="n">
        <v>0</v>
      </c>
      <c r="AM26" s="229" t="n">
        <v>0</v>
      </c>
      <c r="AN26" s="230" t="n">
        <v>399538</v>
      </c>
      <c r="AQ26" s="228" t="n">
        <v>2047</v>
      </c>
      <c r="AR26" s="229" t="n">
        <v>3207374.248848519</v>
      </c>
      <c r="AS26" s="229" t="n">
        <v>3207374.248848519</v>
      </c>
      <c r="AT26" s="229" t="n">
        <v>5848692.99004367</v>
      </c>
      <c r="AU26" s="229" t="n">
        <v>8627853.084286733</v>
      </c>
      <c r="AV26" s="229" t="n">
        <v>11013886.1783509</v>
      </c>
    </row>
    <row r="27">
      <c r="A27" s="225" t="n">
        <v>2048</v>
      </c>
      <c r="B27" s="226" t="n">
        <v>601293</v>
      </c>
      <c r="C27" s="226" t="n">
        <v>0</v>
      </c>
      <c r="D27" s="226" t="n">
        <v>1966926</v>
      </c>
      <c r="E27" s="226" t="n">
        <v>0</v>
      </c>
      <c r="F27" s="226" t="n">
        <v>0</v>
      </c>
      <c r="G27" s="226" t="n">
        <v>2591319</v>
      </c>
      <c r="H27" s="226" t="n">
        <v>20000</v>
      </c>
      <c r="I27" s="227" t="n">
        <v>5179538</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170085</v>
      </c>
      <c r="Y27" s="226" t="n">
        <v>0</v>
      </c>
      <c r="Z27" s="226" t="n">
        <v>0</v>
      </c>
      <c r="AA27" s="227" t="n">
        <v>370566</v>
      </c>
      <c r="AC27" s="225" t="n">
        <v>2048</v>
      </c>
      <c r="AD27" s="226" t="n">
        <v>217821</v>
      </c>
      <c r="AE27" s="226" t="n">
        <v>69916</v>
      </c>
      <c r="AF27" s="226" t="n">
        <v>100757</v>
      </c>
      <c r="AG27" s="226" t="n">
        <v>0</v>
      </c>
      <c r="AH27" s="226" t="n">
        <v>0</v>
      </c>
      <c r="AI27" s="226" t="n">
        <v>12683</v>
      </c>
      <c r="AJ27" s="226" t="n">
        <v>377</v>
      </c>
      <c r="AK27" s="226" t="n">
        <v>0</v>
      </c>
      <c r="AL27" s="226" t="n">
        <v>0</v>
      </c>
      <c r="AM27" s="226" t="n">
        <v>0</v>
      </c>
      <c r="AN27" s="227" t="n">
        <v>401554</v>
      </c>
      <c r="AQ27" s="225" t="n">
        <v>2048</v>
      </c>
      <c r="AR27" s="226" t="n">
        <v>3212612.162531917</v>
      </c>
      <c r="AS27" s="226" t="n">
        <v>3212612.162531917</v>
      </c>
      <c r="AT27" s="226" t="n">
        <v>6042048.991236853</v>
      </c>
      <c r="AU27" s="226" t="n">
        <v>9315097.346082326</v>
      </c>
      <c r="AV27" s="226" t="n">
        <v>11228106.26726506</v>
      </c>
    </row>
    <row r="28">
      <c r="A28" s="228" t="n">
        <v>2049</v>
      </c>
      <c r="B28" s="229" t="n">
        <v>552040</v>
      </c>
      <c r="C28" s="229" t="n">
        <v>0</v>
      </c>
      <c r="D28" s="229" t="n">
        <v>1901405</v>
      </c>
      <c r="E28" s="229" t="n">
        <v>0</v>
      </c>
      <c r="F28" s="229" t="n">
        <v>0</v>
      </c>
      <c r="G28" s="229" t="n">
        <v>2669059</v>
      </c>
      <c r="H28" s="229" t="n">
        <v>20000</v>
      </c>
      <c r="I28" s="230" t="n">
        <v>5142504</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173148</v>
      </c>
      <c r="Y28" s="229" t="n">
        <v>0</v>
      </c>
      <c r="Z28" s="229" t="n">
        <v>0</v>
      </c>
      <c r="AA28" s="230" t="n">
        <v>377055</v>
      </c>
      <c r="AC28" s="228" t="n">
        <v>2049</v>
      </c>
      <c r="AD28" s="229" t="n">
        <v>217821</v>
      </c>
      <c r="AE28" s="229" t="n">
        <v>71664</v>
      </c>
      <c r="AF28" s="229" t="n">
        <v>106064</v>
      </c>
      <c r="AG28" s="229" t="n">
        <v>0</v>
      </c>
      <c r="AH28" s="229" t="n">
        <v>0</v>
      </c>
      <c r="AI28" s="229" t="n">
        <v>12888</v>
      </c>
      <c r="AJ28" s="229" t="n">
        <v>380</v>
      </c>
      <c r="AK28" s="229" t="n">
        <v>0</v>
      </c>
      <c r="AL28" s="229" t="n">
        <v>0</v>
      </c>
      <c r="AM28" s="229" t="n">
        <v>0</v>
      </c>
      <c r="AN28" s="230" t="n">
        <v>408817</v>
      </c>
      <c r="AQ28" s="228" t="n">
        <v>2049</v>
      </c>
      <c r="AR28" s="229" t="n">
        <v>3241098.995544306</v>
      </c>
      <c r="AS28" s="229" t="n">
        <v>3241098.995544306</v>
      </c>
      <c r="AT28" s="229" t="n">
        <v>6457606.117401496</v>
      </c>
      <c r="AU28" s="229" t="n">
        <v>9642769.731299661</v>
      </c>
      <c r="AV28" s="229" t="n">
        <v>12219420.07555904</v>
      </c>
    </row>
    <row r="29">
      <c r="A29" s="225" t="n">
        <v>2050</v>
      </c>
      <c r="B29" s="226" t="n">
        <v>498744</v>
      </c>
      <c r="C29" s="226" t="n">
        <v>0</v>
      </c>
      <c r="D29" s="226" t="n">
        <v>1828436</v>
      </c>
      <c r="E29" s="226" t="n">
        <v>0</v>
      </c>
      <c r="F29" s="226" t="n">
        <v>0</v>
      </c>
      <c r="G29" s="226" t="n">
        <v>2749130</v>
      </c>
      <c r="H29" s="226" t="n">
        <v>20000</v>
      </c>
      <c r="I29" s="227" t="n">
        <v>5096310</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176465</v>
      </c>
      <c r="Y29" s="226" t="n">
        <v>0</v>
      </c>
      <c r="Z29" s="226" t="n">
        <v>0</v>
      </c>
      <c r="AA29" s="227" t="n">
        <v>383861</v>
      </c>
      <c r="AC29" s="225" t="n">
        <v>2050</v>
      </c>
      <c r="AD29" s="226" t="n">
        <v>217821</v>
      </c>
      <c r="AE29" s="226" t="n">
        <v>73456</v>
      </c>
      <c r="AF29" s="226" t="n">
        <v>111661</v>
      </c>
      <c r="AG29" s="226" t="n">
        <v>0</v>
      </c>
      <c r="AH29" s="226" t="n">
        <v>0</v>
      </c>
      <c r="AI29" s="226" t="n">
        <v>13096</v>
      </c>
      <c r="AJ29" s="226" t="n">
        <v>383</v>
      </c>
      <c r="AK29" s="226" t="n">
        <v>0</v>
      </c>
      <c r="AL29" s="226" t="n">
        <v>0</v>
      </c>
      <c r="AM29" s="226" t="n">
        <v>0</v>
      </c>
      <c r="AN29" s="227" t="n">
        <v>416417</v>
      </c>
      <c r="AQ29" s="225" t="n">
        <v>2050</v>
      </c>
      <c r="AR29" s="226" t="n">
        <v>3267874.435484977</v>
      </c>
      <c r="AS29" s="226" t="n">
        <v>3267874.435484977</v>
      </c>
      <c r="AT29" s="226" t="n">
        <v>6582374.438295315</v>
      </c>
      <c r="AU29" s="226" t="n">
        <v>10058073.16339835</v>
      </c>
      <c r="AV29" s="226" t="n">
        <v>11404151.47927172</v>
      </c>
    </row>
    <row r="30">
      <c r="A30" s="228" t="n">
        <v>2051</v>
      </c>
      <c r="B30" s="229" t="n">
        <v>441146</v>
      </c>
      <c r="C30" s="229" t="n">
        <v>0</v>
      </c>
      <c r="D30" s="229" t="n">
        <v>1747288</v>
      </c>
      <c r="E30" s="229" t="n">
        <v>0</v>
      </c>
      <c r="F30" s="229" t="n">
        <v>0</v>
      </c>
      <c r="G30" s="229" t="n">
        <v>2831604</v>
      </c>
      <c r="H30" s="229" t="n">
        <v>20000</v>
      </c>
      <c r="I30" s="230" t="n">
        <v>5040038</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180052</v>
      </c>
      <c r="Y30" s="229" t="n">
        <v>0</v>
      </c>
      <c r="Z30" s="229" t="n">
        <v>0</v>
      </c>
      <c r="AA30" s="230" t="n">
        <v>390999</v>
      </c>
      <c r="AC30" s="228" t="n">
        <v>2051</v>
      </c>
      <c r="AD30" s="229" t="n">
        <v>217821</v>
      </c>
      <c r="AE30" s="229" t="n">
        <v>75292</v>
      </c>
      <c r="AF30" s="229" t="n">
        <v>117562</v>
      </c>
      <c r="AG30" s="229" t="n">
        <v>0</v>
      </c>
      <c r="AH30" s="229" t="n">
        <v>0</v>
      </c>
      <c r="AI30" s="229" t="n">
        <v>13307</v>
      </c>
      <c r="AJ30" s="229" t="n">
        <v>387</v>
      </c>
      <c r="AK30" s="229" t="n">
        <v>0</v>
      </c>
      <c r="AL30" s="229" t="n">
        <v>0</v>
      </c>
      <c r="AM30" s="229" t="n">
        <v>0</v>
      </c>
      <c r="AN30" s="230" t="n">
        <v>424369</v>
      </c>
      <c r="AQ30" s="228" t="n">
        <v>2051</v>
      </c>
      <c r="AR30" s="229" t="n">
        <v>3292749.91110467</v>
      </c>
      <c r="AS30" s="229" t="n">
        <v>3292749.91110467</v>
      </c>
      <c r="AT30" s="229" t="n">
        <v>6481372.471310529</v>
      </c>
      <c r="AU30" s="229" t="n">
        <v>10751644.84515585</v>
      </c>
      <c r="AV30" s="229" t="n">
        <v>11290221.10544151</v>
      </c>
    </row>
    <row r="31">
      <c r="A31" s="225" t="n">
        <v>2052</v>
      </c>
      <c r="B31" s="226" t="n">
        <v>378974</v>
      </c>
      <c r="C31" s="226" t="n">
        <v>0</v>
      </c>
      <c r="D31" s="226" t="n">
        <v>1657188</v>
      </c>
      <c r="E31" s="226" t="n">
        <v>0</v>
      </c>
      <c r="F31" s="226" t="n">
        <v>0</v>
      </c>
      <c r="G31" s="226" t="n">
        <v>2916552</v>
      </c>
      <c r="H31" s="226" t="n">
        <v>20000</v>
      </c>
      <c r="I31" s="227" t="n">
        <v>4972714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183903</v>
      </c>
      <c r="Y31" s="226" t="n">
        <v>0</v>
      </c>
      <c r="Z31" s="226" t="n">
        <v>0</v>
      </c>
      <c r="AA31" s="227" t="n">
        <v>398492</v>
      </c>
      <c r="AC31" s="225" t="n">
        <v>2052</v>
      </c>
      <c r="AD31" s="226" t="n">
        <v>217821</v>
      </c>
      <c r="AE31" s="226" t="n">
        <v>77175</v>
      </c>
      <c r="AF31" s="226" t="n">
        <v>123785</v>
      </c>
      <c r="AG31" s="226" t="n">
        <v>0</v>
      </c>
      <c r="AH31" s="226" t="n">
        <v>0</v>
      </c>
      <c r="AI31" s="226" t="n">
        <v>13527</v>
      </c>
      <c r="AJ31" s="226" t="n">
        <v>390</v>
      </c>
      <c r="AK31" s="226" t="n">
        <v>0</v>
      </c>
      <c r="AL31" s="226" t="n">
        <v>0</v>
      </c>
      <c r="AM31" s="226" t="n">
        <v>0</v>
      </c>
      <c r="AN31" s="227" t="n">
        <v>432698</v>
      </c>
      <c r="AQ31" s="225" t="n">
        <v>2052</v>
      </c>
      <c r="AR31" s="226" t="n">
        <v>3315526.45314006</v>
      </c>
      <c r="AS31" s="226" t="n">
        <v>3315526.45314006</v>
      </c>
      <c r="AT31" s="226" t="n">
        <v>6553287.430067712</v>
      </c>
      <c r="AU31" s="226" t="n">
        <v>10216904.91264625</v>
      </c>
      <c r="AV31" s="226" t="n">
        <v>11262279.60175679</v>
      </c>
    </row>
    <row r="32">
      <c r="A32" s="228" t="n">
        <v>2053</v>
      </c>
      <c r="B32" s="229" t="n">
        <v>311910</v>
      </c>
      <c r="C32" s="229" t="n">
        <v>0</v>
      </c>
      <c r="D32" s="229" t="n">
        <v>1557378</v>
      </c>
      <c r="E32" s="229" t="n">
        <v>0</v>
      </c>
      <c r="F32" s="229" t="n">
        <v>0</v>
      </c>
      <c r="G32" s="229" t="n">
        <v>3004049</v>
      </c>
      <c r="H32" s="229" t="n">
        <v>20000</v>
      </c>
      <c r="I32" s="230" t="n">
        <v>4893337</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187964</v>
      </c>
      <c r="Y32" s="229" t="n">
        <v>0</v>
      </c>
      <c r="Z32" s="229" t="n">
        <v>0</v>
      </c>
      <c r="AA32" s="230" t="n">
        <v>406380</v>
      </c>
      <c r="AC32" s="228" t="n">
        <v>2053</v>
      </c>
      <c r="AD32" s="229" t="n">
        <v>217821</v>
      </c>
      <c r="AE32" s="229" t="n">
        <v>79104</v>
      </c>
      <c r="AF32" s="229" t="n">
        <v>130347</v>
      </c>
      <c r="AG32" s="229" t="n">
        <v>0</v>
      </c>
      <c r="AH32" s="229" t="n">
        <v>0</v>
      </c>
      <c r="AI32" s="229" t="n">
        <v>13775</v>
      </c>
      <c r="AJ32" s="229" t="n">
        <v>393</v>
      </c>
      <c r="AK32" s="229" t="n">
        <v>0</v>
      </c>
      <c r="AL32" s="229" t="n">
        <v>0</v>
      </c>
      <c r="AM32" s="229" t="n">
        <v>0</v>
      </c>
      <c r="AN32" s="230" t="n">
        <v>441440</v>
      </c>
      <c r="AQ32" s="228" t="n">
        <v>2053</v>
      </c>
      <c r="AR32" s="229" t="n">
        <v>3335958.900418749</v>
      </c>
      <c r="AS32" s="229" t="n">
        <v>3335958.900418749</v>
      </c>
      <c r="AT32" s="229" t="n">
        <v>6534975.37743747</v>
      </c>
      <c r="AU32" s="229" t="n">
        <v>11436785.34941261</v>
      </c>
      <c r="AV32" s="229" t="n">
        <v>12335790.51361087</v>
      </c>
    </row>
    <row r="33">
      <c r="A33" s="225" t="n">
        <v>2054</v>
      </c>
      <c r="B33" s="226" t="n">
        <v>239518</v>
      </c>
      <c r="C33" s="226" t="n">
        <v>0</v>
      </c>
      <c r="D33" s="226" t="n">
        <v>1447044</v>
      </c>
      <c r="E33" s="226" t="n">
        <v>0</v>
      </c>
      <c r="F33" s="226" t="n">
        <v>0</v>
      </c>
      <c r="G33" s="226" t="n">
        <v>3094171</v>
      </c>
      <c r="H33" s="226" t="n">
        <v>0</v>
      </c>
      <c r="I33" s="227" t="n">
        <v>4780733</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192242</v>
      </c>
      <c r="Y33" s="226" t="n">
        <v>0</v>
      </c>
      <c r="Z33" s="226" t="n">
        <v>0</v>
      </c>
      <c r="AA33" s="227" t="n">
        <v>414685</v>
      </c>
      <c r="AC33" s="225" t="n">
        <v>2054</v>
      </c>
      <c r="AD33" s="226" t="n">
        <v>217821</v>
      </c>
      <c r="AE33" s="226" t="n">
        <v>81082</v>
      </c>
      <c r="AF33" s="226" t="n">
        <v>137267</v>
      </c>
      <c r="AG33" s="226" t="n">
        <v>0</v>
      </c>
      <c r="AH33" s="226" t="n">
        <v>0</v>
      </c>
      <c r="AI33" s="226" t="n">
        <v>14055</v>
      </c>
      <c r="AJ33" s="226" t="n">
        <v>398</v>
      </c>
      <c r="AK33" s="226" t="n">
        <v>0</v>
      </c>
      <c r="AL33" s="226" t="n">
        <v>0</v>
      </c>
      <c r="AM33" s="226" t="n">
        <v>0</v>
      </c>
      <c r="AN33" s="227" t="n">
        <v>450623</v>
      </c>
      <c r="AQ33" s="225" t="n">
        <v>2054</v>
      </c>
      <c r="AR33" s="226" t="n">
        <v>3354888.410047718</v>
      </c>
      <c r="AS33" s="226" t="n">
        <v>3354888.410047718</v>
      </c>
      <c r="AT33" s="226" t="n">
        <v>6607287.636027182</v>
      </c>
      <c r="AU33" s="226" t="n">
        <v>11775810.87460836</v>
      </c>
      <c r="AV33" s="226" t="n">
        <v>14215350.21688382</v>
      </c>
    </row>
    <row r="34">
      <c r="A34" s="228" t="n">
        <v>2055</v>
      </c>
      <c r="B34" s="229" t="n">
        <v>161323</v>
      </c>
      <c r="C34" s="229" t="n">
        <v>0</v>
      </c>
      <c r="D34" s="229" t="n">
        <v>1326239</v>
      </c>
      <c r="E34" s="229" t="n">
        <v>0</v>
      </c>
      <c r="F34" s="229" t="n">
        <v>0</v>
      </c>
      <c r="G34" s="229" t="n">
        <v>3186996</v>
      </c>
      <c r="H34" s="229" t="n">
        <v>0</v>
      </c>
      <c r="I34" s="230" t="n">
        <v>4674558</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195875</v>
      </c>
      <c r="Y34" s="229" t="n">
        <v>0</v>
      </c>
      <c r="Z34" s="229" t="n">
        <v>0</v>
      </c>
      <c r="AA34" s="230" t="n">
        <v>351604</v>
      </c>
      <c r="AC34" s="228" t="n">
        <v>2055</v>
      </c>
      <c r="AD34" s="229" t="n">
        <v>217821</v>
      </c>
      <c r="AE34" s="229" t="n">
        <v>83109</v>
      </c>
      <c r="AF34" s="229" t="n">
        <v>72282</v>
      </c>
      <c r="AG34" s="229" t="n">
        <v>0</v>
      </c>
      <c r="AH34" s="229" t="n">
        <v>0</v>
      </c>
      <c r="AI34" s="229" t="n">
        <v>14826</v>
      </c>
      <c r="AJ34" s="229" t="n">
        <v>402</v>
      </c>
      <c r="AK34" s="229" t="n">
        <v>0</v>
      </c>
      <c r="AL34" s="229" t="n">
        <v>0</v>
      </c>
      <c r="AM34" s="229" t="n">
        <v>0</v>
      </c>
      <c r="AN34" s="230" t="n">
        <v>388440</v>
      </c>
      <c r="AQ34" s="228" t="n">
        <v>2055</v>
      </c>
      <c r="AR34" s="229" t="n">
        <v>3370790.16580873</v>
      </c>
      <c r="AS34" s="229" t="n">
        <v>3370790.16580873</v>
      </c>
      <c r="AT34" s="229" t="n">
        <v>6578043.787806412</v>
      </c>
      <c r="AU34" s="229" t="n">
        <v>11177589.4442249</v>
      </c>
      <c r="AV34" s="229" t="n">
        <v>15510823.02764833</v>
      </c>
    </row>
    <row r="35">
      <c r="A35" s="225" t="n">
        <v>2056</v>
      </c>
      <c r="B35" s="226" t="n">
        <v>83848</v>
      </c>
      <c r="C35" s="226" t="n">
        <v>0</v>
      </c>
      <c r="D35" s="226" t="n">
        <v>1194580</v>
      </c>
      <c r="E35" s="226" t="n">
        <v>0</v>
      </c>
      <c r="F35" s="226" t="n">
        <v>0</v>
      </c>
      <c r="G35" s="226" t="n">
        <v>3282605</v>
      </c>
      <c r="H35" s="226" t="n">
        <v>0</v>
      </c>
      <c r="I35" s="227" t="n">
        <v>4561033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199277</v>
      </c>
      <c r="Y35" s="226" t="n">
        <v>0</v>
      </c>
      <c r="Z35" s="226" t="n">
        <v>0</v>
      </c>
      <c r="AA35" s="227" t="n">
        <v>356634</v>
      </c>
      <c r="AC35" s="225" t="n">
        <v>2056</v>
      </c>
      <c r="AD35" s="226" t="n">
        <v>217821</v>
      </c>
      <c r="AE35" s="226" t="n">
        <v>85186</v>
      </c>
      <c r="AF35" s="226" t="n">
        <v>76130</v>
      </c>
      <c r="AG35" s="226" t="n">
        <v>0</v>
      </c>
      <c r="AH35" s="226" t="n">
        <v>0</v>
      </c>
      <c r="AI35" s="226" t="n">
        <v>14845</v>
      </c>
      <c r="AJ35" s="226" t="n">
        <v>407</v>
      </c>
      <c r="AK35" s="226" t="n">
        <v>0</v>
      </c>
      <c r="AL35" s="226" t="n">
        <v>0</v>
      </c>
      <c r="AM35" s="226" t="n">
        <v>0</v>
      </c>
      <c r="AN35" s="227" t="n">
        <v>394389</v>
      </c>
      <c r="AQ35" s="225" t="n">
        <v>2056</v>
      </c>
      <c r="AR35" s="226" t="n">
        <v>3390274.137803574</v>
      </c>
      <c r="AS35" s="226" t="n">
        <v>3390274.137803574</v>
      </c>
      <c r="AT35" s="226" t="n">
        <v>6791331.216986451</v>
      </c>
      <c r="AU35" s="226" t="n">
        <v>11067605.65164109</v>
      </c>
      <c r="AV35" s="226" t="n">
        <v>17926104.85158822</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2026-07-01T16:19:09Z</dcterms:created>
  <dcterms:modified xmlns:dcterms="http://purl.org/dc/terms/" xmlns:xsi="http://www.w3.org/2001/XMLSchema-instance" xsi:type="dcterms:W3CDTF">2026-07-01T16:19:16Z</dcterms:modified>
</cp:coreProperties>
</file>