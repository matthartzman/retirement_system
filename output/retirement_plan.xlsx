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6">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2" borderId="1" applyAlignment="1" pivotButton="0" quotePrefix="0" xfId="0">
      <alignment horizontal="right" vertical="top" wrapText="1"/>
    </xf>
    <xf numFmtId="164" fontId="22" fillId="12" borderId="1" applyAlignment="1" pivotButton="0" quotePrefix="0" xfId="0">
      <alignment horizontal="right" vertical="top" wrapText="1"/>
    </xf>
    <xf numFmtId="164" fontId="11" fillId="12" borderId="1" applyAlignment="1" pivotButton="0" quotePrefix="0" xfId="0">
      <alignment horizontal="right" vertical="top" wrapText="1"/>
    </xf>
    <xf numFmtId="165" fontId="22" fillId="12" borderId="1" applyAlignment="1" pivotButton="0" quotePrefix="0" xfId="0">
      <alignment horizontal="right" vertical="top" wrapText="1"/>
    </xf>
    <xf numFmtId="164" fontId="22" fillId="4" borderId="1" applyAlignment="1" pivotButton="0" quotePrefix="0" xfId="0">
      <alignment horizontal="right" vertical="top" wrapText="1"/>
    </xf>
    <xf numFmtId="165" fontId="11" fillId="12" borderId="1" applyAlignment="1" pivotButton="0" quotePrefix="0" xfId="0">
      <alignment horizontal="right" vertical="center"/>
    </xf>
    <xf numFmtId="0" fontId="22" fillId="12"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1357238.41112</v>
                </pt>
                <pt idx="1">
                  <v>910327.1116479998</v>
                </pt>
                <pt idx="2">
                  <v>309683.143654</v>
                </pt>
                <pt idx="3">
                  <v>166714.35</v>
                </pt>
                <pt idx="4">
                  <v>19984.61</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1209226.55896</v>
                </pt>
                <pt idx="1">
                  <v>690987.1116479998</v>
                </pt>
                <pt idx="2">
                  <v>172747.143654</v>
                </pt>
                <pt idx="3">
                  <v>172746.35</v>
                </pt>
                <pt idx="4">
                  <v>172746.61</v>
                </pt>
                <pt idx="5">
                  <v>172747</v>
                </pt>
                <pt idx="6">
                  <v>172747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07/03/2026 11:32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6007534.633530889</v>
      </c>
      <c r="C11" s="3" t="n"/>
      <c r="D11" s="3" t="n"/>
      <c r="E11" s="3" t="n"/>
      <c r="F11" s="4" t="n"/>
    </row>
    <row r="12" ht="30" customHeight="1">
      <c r="A12" s="11" t="inlineStr">
        <is>
          <t>Terminal Net Worth (Yn)</t>
        </is>
      </c>
      <c r="B12" s="14" t="n">
        <v>7867077.363444649</v>
      </c>
      <c r="C12" s="3" t="n"/>
      <c r="D12" s="3" t="n"/>
      <c r="E12" s="3" t="n"/>
      <c r="F12" s="4" t="n"/>
    </row>
    <row r="13" ht="45" customHeight="1">
      <c r="A13" s="11" t="inlineStr">
        <is>
          <t>Lifetime Federal Tax (estimated)</t>
        </is>
      </c>
      <c r="B13" s="14" t="n">
        <v>915447.1093650959</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293763.2804531666</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07/03/2026 11:32 AM. Cached quotes were used as of 07/03/2026 11:32 AM; cache TTL is 24.0 hours. CACHE mode checks the cache before calling live providers; the cache is still valid until 07/04/2026 11:32 AM.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1411591.8891052</v>
      </c>
      <c r="K3" s="27" t="n">
        <v>41270.464</v>
      </c>
      <c r="L3" s="27" t="n">
        <v>488504.4688181999</v>
      </c>
      <c r="M3" s="28" t="n">
        <v>1941366.8219234</v>
      </c>
      <c r="N3" s="27" t="n">
        <v>146617.2657862</v>
      </c>
      <c r="O3" s="27" t="n">
        <v>218384.26212164</v>
      </c>
      <c r="P3" s="28" t="n">
        <v>365001.52790784</v>
      </c>
      <c r="Q3" s="27" t="n">
        <v>300555.1064124113</v>
      </c>
      <c r="R3" s="27" t="n">
        <v>346275.36612844</v>
      </c>
      <c r="S3" s="28" t="n">
        <v>646830.4725408512</v>
      </c>
      <c r="T3" s="27" t="n">
        <v>84423.70941279999</v>
      </c>
      <c r="U3" s="27" t="n">
        <v>1061620.66</v>
      </c>
      <c r="V3" s="27" t="n">
        <v>0</v>
      </c>
      <c r="W3" s="27" t="n">
        <v>66000</v>
      </c>
      <c r="X3" s="27" t="n">
        <v>46654.28571428572</v>
      </c>
      <c r="Y3" s="27" t="n">
        <v>414971.34</v>
      </c>
      <c r="Z3" s="27" t="n">
        <v>20000</v>
      </c>
      <c r="AA3" s="28" t="n">
        <v>1609246.285714286</v>
      </c>
      <c r="AB3" s="28" t="n">
        <v>6007534.633530889</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1496287.396225696</v>
      </c>
      <c r="K4" s="27" t="n">
        <v>43746.69165797691</v>
      </c>
      <c r="L4" s="27" t="n">
        <v>280269.6503081279</v>
      </c>
      <c r="M4" s="28" t="n">
        <v>1820303.738191801</v>
      </c>
      <c r="N4" s="27" t="n">
        <v>155414.301733372</v>
      </c>
      <c r="O4" s="27" t="n">
        <v>469032.4033219445</v>
      </c>
      <c r="P4" s="28" t="n">
        <v>624446.7050553164</v>
      </c>
      <c r="Q4" s="27" t="n">
        <v>161486.9678785675</v>
      </c>
      <c r="R4" s="27" t="n">
        <v>186681.1383243788</v>
      </c>
      <c r="S4" s="28" t="n">
        <v>348168.1062029462</v>
      </c>
      <c r="T4" s="27" t="n">
        <v>89489.13197756799</v>
      </c>
      <c r="U4" s="27" t="n">
        <v>1132406.050134</v>
      </c>
      <c r="V4" s="27" t="n">
        <v>0</v>
      </c>
      <c r="W4" s="27" t="n">
        <v>66000</v>
      </c>
      <c r="X4" s="27" t="n">
        <v>38878.57142857143</v>
      </c>
      <c r="Y4" s="27" t="n">
        <v>355689.72</v>
      </c>
      <c r="Z4" s="27" t="n">
        <v>20000</v>
      </c>
      <c r="AA4" s="28" t="n">
        <v>1612974.341562571</v>
      </c>
      <c r="AB4" s="28" t="n">
        <v>5932905.067983818</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1586064.636871288</v>
      </c>
      <c r="K5" s="27" t="n">
        <v>46371.49306600421</v>
      </c>
      <c r="L5" s="27" t="n">
        <v>71856.23366965017</v>
      </c>
      <c r="M5" s="28" t="n">
        <v>1704292.363606942</v>
      </c>
      <c r="N5" s="27" t="n">
        <v>164739.1598373743</v>
      </c>
      <c r="O5" s="27" t="n">
        <v>722403.9430365156</v>
      </c>
      <c r="P5" s="28" t="n">
        <v>887143.10287389</v>
      </c>
      <c r="Q5" s="27" t="n">
        <v>44975.98426216979</v>
      </c>
      <c r="R5" s="27" t="n">
        <v>52168.59141129328</v>
      </c>
      <c r="S5" s="28" t="n">
        <v>97144.57567346307</v>
      </c>
      <c r="T5" s="27" t="n">
        <v>94858.47989622207</v>
      </c>
      <c r="U5" s="27" t="n">
        <v>1205009.843701667</v>
      </c>
      <c r="V5" s="27" t="n">
        <v>0</v>
      </c>
      <c r="W5" s="27" t="n">
        <v>66000</v>
      </c>
      <c r="X5" s="27" t="n">
        <v>31102.85714285714</v>
      </c>
      <c r="Y5" s="27" t="n">
        <v>296408.1</v>
      </c>
      <c r="Z5" s="27" t="n">
        <v>20000</v>
      </c>
      <c r="AA5" s="28" t="n">
        <v>1618520.800844524</v>
      </c>
      <c r="AB5" s="28" t="n">
        <v>5920951.030588273</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1605106.18630125</v>
      </c>
      <c r="K6" s="27" t="n">
        <v>0</v>
      </c>
      <c r="L6" s="27" t="n">
        <v>0</v>
      </c>
      <c r="M6" s="28" t="n">
        <v>1605106.18630125</v>
      </c>
      <c r="N6" s="27" t="n">
        <v>250853.355878192</v>
      </c>
      <c r="O6" s="27" t="n">
        <v>841915.7873085358</v>
      </c>
      <c r="P6" s="28" t="n">
        <v>1092769.143186728</v>
      </c>
      <c r="Q6" s="27" t="n">
        <v>0</v>
      </c>
      <c r="R6" s="27" t="n">
        <v>0</v>
      </c>
      <c r="S6" s="28" t="n">
        <v>0</v>
      </c>
      <c r="T6" s="27" t="n">
        <v>100549.9886899954</v>
      </c>
      <c r="U6" s="27" t="n">
        <v>1279480.52015643</v>
      </c>
      <c r="V6" s="27" t="n">
        <v>0</v>
      </c>
      <c r="W6" s="27" t="n">
        <v>66000</v>
      </c>
      <c r="X6" s="27" t="n">
        <v>23327.14285714286</v>
      </c>
      <c r="Y6" s="27" t="n">
        <v>237126.48</v>
      </c>
      <c r="Z6" s="27" t="n">
        <v>20000</v>
      </c>
      <c r="AA6" s="28" t="n">
        <v>1625934.143013573</v>
      </c>
      <c r="AB6" s="28" t="n">
        <v>6000439.81727423</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1424948.482285232</v>
      </c>
      <c r="K7" s="27" t="n">
        <v>0</v>
      </c>
      <c r="L7" s="27" t="n">
        <v>0</v>
      </c>
      <c r="M7" s="28" t="n">
        <v>1424948.482285232</v>
      </c>
      <c r="N7" s="27" t="n">
        <v>430519.8896179249</v>
      </c>
      <c r="O7" s="27" t="n">
        <v>892430.7345470479</v>
      </c>
      <c r="P7" s="28" t="n">
        <v>1322950.624164973</v>
      </c>
      <c r="Q7" s="27" t="n">
        <v>0</v>
      </c>
      <c r="R7" s="27" t="n">
        <v>0</v>
      </c>
      <c r="S7" s="28" t="n">
        <v>0</v>
      </c>
      <c r="T7" s="27" t="n">
        <v>106582.9880113951</v>
      </c>
      <c r="U7" s="27" t="n">
        <v>1355867.892489596</v>
      </c>
      <c r="V7" s="27" t="n">
        <v>0</v>
      </c>
      <c r="W7" s="27" t="n">
        <v>0</v>
      </c>
      <c r="X7" s="27" t="n">
        <v>15551.42857142857</v>
      </c>
      <c r="Y7" s="27" t="n">
        <v>177844.86</v>
      </c>
      <c r="Z7" s="27" t="n">
        <v>20000</v>
      </c>
      <c r="AA7" s="28" t="n">
        <v>1569264.181061025</v>
      </c>
      <c r="AB7" s="28" t="n">
        <v>5971422.899827129</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1278902.272628047</v>
      </c>
      <c r="K8" s="27" t="n">
        <v>0</v>
      </c>
      <c r="L8" s="27" t="n">
        <v>0</v>
      </c>
      <c r="M8" s="28" t="n">
        <v>1278902.272628047</v>
      </c>
      <c r="N8" s="27" t="n">
        <v>589134.3230900973</v>
      </c>
      <c r="O8" s="27" t="n">
        <v>945976.5786198707</v>
      </c>
      <c r="P8" s="28" t="n">
        <v>1535110.901709968</v>
      </c>
      <c r="Q8" s="27" t="n">
        <v>0</v>
      </c>
      <c r="R8" s="27" t="n">
        <v>0</v>
      </c>
      <c r="S8" s="28" t="n">
        <v>0</v>
      </c>
      <c r="T8" s="27" t="n">
        <v>101680.1705628709</v>
      </c>
      <c r="U8" s="27" t="n">
        <v>1434223.144831653</v>
      </c>
      <c r="V8" s="27" t="n">
        <v>0</v>
      </c>
      <c r="W8" s="27" t="n">
        <v>0</v>
      </c>
      <c r="X8" s="27" t="n">
        <v>7775.71428571429</v>
      </c>
      <c r="Y8" s="27" t="n">
        <v>118563.24</v>
      </c>
      <c r="Z8" s="27" t="n">
        <v>20000</v>
      </c>
      <c r="AA8" s="28" t="n">
        <v>1580562.099117368</v>
      </c>
      <c r="AB8" s="28" t="n">
        <v>6014505.57291028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1031359.410996295</v>
      </c>
      <c r="K9" s="27" t="n">
        <v>0</v>
      </c>
      <c r="L9" s="27" t="n">
        <v>0</v>
      </c>
      <c r="M9" s="28" t="n">
        <v>1031359.410996295</v>
      </c>
      <c r="N9" s="27" t="n">
        <v>739925.3819353719</v>
      </c>
      <c r="O9" s="27" t="n">
        <v>1002735.173337063</v>
      </c>
      <c r="P9" s="28" t="n">
        <v>1742660.555272435</v>
      </c>
      <c r="Q9" s="27" t="n">
        <v>0</v>
      </c>
      <c r="R9" s="27" t="n">
        <v>0</v>
      </c>
      <c r="S9" s="28" t="n">
        <v>0</v>
      </c>
      <c r="T9" s="27" t="n">
        <v>95805.31626368283</v>
      </c>
      <c r="U9" s="27" t="n">
        <v>1514598.871133763</v>
      </c>
      <c r="V9" s="27" t="n">
        <v>0</v>
      </c>
      <c r="W9" s="27" t="n">
        <v>0</v>
      </c>
      <c r="X9" s="27" t="n">
        <v>0</v>
      </c>
      <c r="Y9" s="27" t="n">
        <v>59281.62000000005</v>
      </c>
      <c r="Z9" s="27" t="n">
        <v>20000</v>
      </c>
      <c r="AA9" s="28" t="n">
        <v>1593880.491133763</v>
      </c>
      <c r="AB9" s="28" t="n">
        <v>5951420.523813765</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889093.9960738975</v>
      </c>
      <c r="K10" s="27" t="n">
        <v>0</v>
      </c>
      <c r="L10" s="27" t="n">
        <v>0</v>
      </c>
      <c r="M10" s="28" t="n">
        <v>889093.9960738975</v>
      </c>
      <c r="N10" s="27" t="n">
        <v>907517.757993269</v>
      </c>
      <c r="O10" s="27" t="n">
        <v>1062899.283737287</v>
      </c>
      <c r="P10" s="28" t="n">
        <v>1970417.041730556</v>
      </c>
      <c r="Q10" s="27" t="n">
        <v>0</v>
      </c>
      <c r="R10" s="27" t="n">
        <v>0</v>
      </c>
      <c r="S10" s="28" t="n">
        <v>0</v>
      </c>
      <c r="T10" s="27" t="n">
        <v>88859.43083456584</v>
      </c>
      <c r="U10" s="27" t="n">
        <v>1597049.114960884</v>
      </c>
      <c r="V10" s="27" t="n">
        <v>0</v>
      </c>
      <c r="W10" s="27" t="n">
        <v>0</v>
      </c>
      <c r="X10" s="27" t="n">
        <v>0</v>
      </c>
      <c r="Y10" s="27" t="n">
        <v>0</v>
      </c>
      <c r="Z10" s="27" t="n">
        <v>20000</v>
      </c>
      <c r="AA10" s="28" t="n">
        <v>1617049.114960884</v>
      </c>
      <c r="AB10" s="28" t="n">
        <v>6021381.208484499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635865.5235444951</v>
      </c>
      <c r="K11" s="27" t="n">
        <v>0</v>
      </c>
      <c r="L11" s="27" t="n">
        <v>0</v>
      </c>
      <c r="M11" s="28" t="n">
        <v>635865.5235444951</v>
      </c>
      <c r="N11" s="27" t="n">
        <v>1092978.655354413</v>
      </c>
      <c r="O11" s="27" t="n">
        <v>1126673.240761524</v>
      </c>
      <c r="P11" s="28" t="n">
        <v>2219651.896115936</v>
      </c>
      <c r="Q11" s="27" t="n">
        <v>0</v>
      </c>
      <c r="R11" s="27" t="n">
        <v>0</v>
      </c>
      <c r="S11" s="28" t="n">
        <v>0</v>
      </c>
      <c r="T11" s="27" t="n">
        <v>80735.14001540553</v>
      </c>
      <c r="U11" s="27" t="n">
        <v>1681629.410428911</v>
      </c>
      <c r="V11" s="27" t="n">
        <v>0</v>
      </c>
      <c r="W11" s="27" t="n">
        <v>0</v>
      </c>
      <c r="X11" s="27" t="n">
        <v>0</v>
      </c>
      <c r="Y11" s="27" t="n">
        <v>0</v>
      </c>
      <c r="Z11" s="27" t="n">
        <v>20000</v>
      </c>
      <c r="AA11" s="28" t="n">
        <v>1701629.410428911</v>
      </c>
      <c r="AB11" s="28" t="n">
        <v>6060759.034297843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410732.8240038168</v>
      </c>
      <c r="K12" s="27" t="n">
        <v>0</v>
      </c>
      <c r="L12" s="27" t="n">
        <v>0</v>
      </c>
      <c r="M12" s="28" t="n">
        <v>410732.8240038168</v>
      </c>
      <c r="N12" s="27" t="n">
        <v>1291741.879310576</v>
      </c>
      <c r="O12" s="27" t="n">
        <v>1194273.635207215</v>
      </c>
      <c r="P12" s="28" t="n">
        <v>2486015.514517792</v>
      </c>
      <c r="Q12" s="27" t="n">
        <v>0</v>
      </c>
      <c r="R12" s="27" t="n">
        <v>0</v>
      </c>
      <c r="S12" s="28" t="n">
        <v>0</v>
      </c>
      <c r="T12" s="27" t="n">
        <v>71316.04034694155</v>
      </c>
      <c r="U12" s="27" t="n">
        <v>1764562.206078832</v>
      </c>
      <c r="V12" s="27" t="n">
        <v>0</v>
      </c>
      <c r="W12" s="27" t="n">
        <v>0</v>
      </c>
      <c r="X12" s="27" t="n">
        <v>0</v>
      </c>
      <c r="Y12" s="27" t="n">
        <v>0</v>
      </c>
      <c r="Z12" s="27" t="n">
        <v>20000</v>
      </c>
      <c r="AA12" s="28" t="n">
        <v>1784562.206078832</v>
      </c>
      <c r="AB12" s="28" t="n">
        <v>6140968.789996732</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348133.7620874211</v>
      </c>
      <c r="K13" s="27" t="n">
        <v>0</v>
      </c>
      <c r="L13" s="27" t="n">
        <v>0</v>
      </c>
      <c r="M13" s="28" t="n">
        <v>348133.7620874211</v>
      </c>
      <c r="N13" s="27" t="n">
        <v>1369246.392069211</v>
      </c>
      <c r="O13" s="27" t="n">
        <v>1265930.053319648</v>
      </c>
      <c r="P13" s="28" t="n">
        <v>2635176.445388859</v>
      </c>
      <c r="Q13" s="27" t="n">
        <v>0</v>
      </c>
      <c r="R13" s="27" t="n">
        <v>0</v>
      </c>
      <c r="S13" s="28" t="n">
        <v>0</v>
      </c>
      <c r="T13" s="27" t="n">
        <v>60476.00221420643</v>
      </c>
      <c r="U13" s="27" t="n">
        <v>1817499.072261197</v>
      </c>
      <c r="V13" s="27" t="n">
        <v>0</v>
      </c>
      <c r="W13" s="27" t="n">
        <v>0</v>
      </c>
      <c r="X13" s="27" t="n">
        <v>0</v>
      </c>
      <c r="Y13" s="27" t="n">
        <v>0</v>
      </c>
      <c r="Z13" s="27" t="n">
        <v>20000</v>
      </c>
      <c r="AA13" s="28" t="n">
        <v>1837499.072261197</v>
      </c>
      <c r="AB13" s="28" t="n">
        <v>6230176.862764478</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273025.8590463731</v>
      </c>
      <c r="K14" s="27" t="n">
        <v>0</v>
      </c>
      <c r="L14" s="27" t="n">
        <v>0</v>
      </c>
      <c r="M14" s="28" t="n">
        <v>273025.8590463731</v>
      </c>
      <c r="N14" s="27" t="n">
        <v>1451401.175593364</v>
      </c>
      <c r="O14" s="27" t="n">
        <v>1341885.856518827</v>
      </c>
      <c r="P14" s="28" t="n">
        <v>2793287.03211219</v>
      </c>
      <c r="Q14" s="27" t="n">
        <v>7.557277715137075e-12</v>
      </c>
      <c r="R14" s="27" t="n">
        <v>0</v>
      </c>
      <c r="S14" s="28" t="n">
        <v>7.557277715137075e-12</v>
      </c>
      <c r="T14" s="27" t="n">
        <v>48078.42176029411</v>
      </c>
      <c r="U14" s="27" t="n">
        <v>1872024.044429033</v>
      </c>
      <c r="V14" s="27" t="n">
        <v>0</v>
      </c>
      <c r="W14" s="27" t="n">
        <v>0</v>
      </c>
      <c r="X14" s="27" t="n">
        <v>0</v>
      </c>
      <c r="Y14" s="27" t="n">
        <v>0</v>
      </c>
      <c r="Z14" s="27" t="n">
        <v>20000</v>
      </c>
      <c r="AA14" s="28" t="n">
        <v>1892024.044429033</v>
      </c>
      <c r="AB14" s="28" t="n">
        <v>6305139.724279203</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187432.2063328977</v>
      </c>
      <c r="K15" s="27" t="n">
        <v>0</v>
      </c>
      <c r="L15" s="27" t="n">
        <v>0</v>
      </c>
      <c r="M15" s="28" t="n">
        <v>187432.2063328977</v>
      </c>
      <c r="N15" s="27" t="n">
        <v>1538485.246128965</v>
      </c>
      <c r="O15" s="27" t="n">
        <v>1422399.007909957</v>
      </c>
      <c r="P15" s="28" t="n">
        <v>2960884.254038922</v>
      </c>
      <c r="Q15" s="27" t="n">
        <v>7.84947487219758e-12</v>
      </c>
      <c r="R15" s="27" t="n">
        <v>0</v>
      </c>
      <c r="S15" s="28" t="n">
        <v>7.84947487219758e-12</v>
      </c>
      <c r="T15" s="27" t="n">
        <v>33975.41804394116</v>
      </c>
      <c r="U15" s="27" t="n">
        <v>1928184.765761904</v>
      </c>
      <c r="V15" s="27" t="n">
        <v>0</v>
      </c>
      <c r="W15" s="27" t="n">
        <v>0</v>
      </c>
      <c r="X15" s="27" t="n">
        <v>0</v>
      </c>
      <c r="Y15" s="27" t="n">
        <v>0</v>
      </c>
      <c r="Z15" s="27" t="n">
        <v>20000</v>
      </c>
      <c r="AA15" s="28" t="n">
        <v>1948184.765761904</v>
      </c>
      <c r="AB15" s="28" t="n">
        <v>6377430.659716928</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87619.294344654</v>
      </c>
      <c r="K16" s="27" t="n">
        <v>0</v>
      </c>
      <c r="L16" s="27" t="n">
        <v>0</v>
      </c>
      <c r="M16" s="28" t="n">
        <v>87619.294344654</v>
      </c>
      <c r="N16" s="27" t="n">
        <v>1630794.360896703</v>
      </c>
      <c r="O16" s="27" t="n">
        <v>1507742.948384554</v>
      </c>
      <c r="P16" s="28" t="n">
        <v>3138537.309281257</v>
      </c>
      <c r="Q16" s="27" t="n">
        <v>8.152969639563345e-12</v>
      </c>
      <c r="R16" s="27" t="n">
        <v>0</v>
      </c>
      <c r="S16" s="28" t="n">
        <v>8.152969639563345e-12</v>
      </c>
      <c r="T16" s="27" t="n">
        <v>18006.97156328882</v>
      </c>
      <c r="U16" s="27" t="n">
        <v>1986030.308734762</v>
      </c>
      <c r="V16" s="27" t="n">
        <v>0</v>
      </c>
      <c r="W16" s="27" t="n">
        <v>0</v>
      </c>
      <c r="X16" s="27" t="n">
        <v>0</v>
      </c>
      <c r="Y16" s="27" t="n">
        <v>0</v>
      </c>
      <c r="Z16" s="27" t="n">
        <v>20000</v>
      </c>
      <c r="AA16" s="28" t="n">
        <v>2006030.308734762</v>
      </c>
      <c r="AB16" s="28" t="n">
        <v>6443582.263856475</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1717519.306486025</v>
      </c>
      <c r="O17" s="27" t="n">
        <v>1587924.07256347</v>
      </c>
      <c r="P17" s="28" t="n">
        <v>3305443.379049495</v>
      </c>
      <c r="Q17" s="27" t="n">
        <v>0</v>
      </c>
      <c r="R17" s="27" t="n">
        <v>0</v>
      </c>
      <c r="S17" s="28" t="n">
        <v>0</v>
      </c>
      <c r="T17" s="27" t="n">
        <v>0</v>
      </c>
      <c r="U17" s="27" t="n">
        <v>2045611.217996805</v>
      </c>
      <c r="V17" s="27" t="n">
        <v>0</v>
      </c>
      <c r="W17" s="27" t="n">
        <v>0</v>
      </c>
      <c r="X17" s="27" t="n">
        <v>0</v>
      </c>
      <c r="Y17" s="27" t="n">
        <v>0</v>
      </c>
      <c r="Z17" s="27" t="n">
        <v>20000</v>
      </c>
      <c r="AA17" s="28" t="n">
        <v>2065611.217996805</v>
      </c>
      <c r="AB17" s="28" t="n">
        <v>6508855.359427426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1760236.154903805</v>
      </c>
      <c r="O18" s="27" t="n">
        <v>1627417.725793731</v>
      </c>
      <c r="P18" s="28" t="n">
        <v>3387653.880697536</v>
      </c>
      <c r="Q18" s="27" t="n">
        <v>0</v>
      </c>
      <c r="R18" s="27" t="n">
        <v>0</v>
      </c>
      <c r="S18" s="28" t="n">
        <v>0</v>
      </c>
      <c r="T18" s="27" t="n">
        <v>0</v>
      </c>
      <c r="U18" s="27" t="n">
        <v>2106979.554536709</v>
      </c>
      <c r="V18" s="27" t="n">
        <v>0</v>
      </c>
      <c r="W18" s="27" t="n">
        <v>0</v>
      </c>
      <c r="X18" s="27" t="n">
        <v>0</v>
      </c>
      <c r="Y18" s="27" t="n">
        <v>0</v>
      </c>
      <c r="Z18" s="27" t="n">
        <v>20000</v>
      </c>
      <c r="AA18" s="28" t="n">
        <v>2126979.554536709</v>
      </c>
      <c r="AB18" s="28" t="n">
        <v>6594591.719480794</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1803810.721677258</v>
      </c>
      <c r="O19" s="27" t="n">
        <v>1667704.378333699</v>
      </c>
      <c r="P19" s="28" t="n">
        <v>3471515.100010958</v>
      </c>
      <c r="Q19" s="27" t="n">
        <v>0</v>
      </c>
      <c r="R19" s="27" t="n">
        <v>0</v>
      </c>
      <c r="S19" s="28" t="n">
        <v>0</v>
      </c>
      <c r="T19" s="27" t="n">
        <v>0</v>
      </c>
      <c r="U19" s="27" t="n">
        <v>2170188.94117281</v>
      </c>
      <c r="V19" s="27" t="n">
        <v>0</v>
      </c>
      <c r="W19" s="27" t="n">
        <v>0</v>
      </c>
      <c r="X19" s="27" t="n">
        <v>0</v>
      </c>
      <c r="Y19" s="27" t="n">
        <v>0</v>
      </c>
      <c r="Z19" s="27" t="n">
        <v>20000</v>
      </c>
      <c r="AA19" s="28" t="n">
        <v>2190188.94117281</v>
      </c>
      <c r="AB19" s="28" t="n">
        <v>6681325.153003519</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1848232.859028548</v>
      </c>
      <c r="O20" s="27" t="n">
        <v>1708774.648105021</v>
      </c>
      <c r="P20" s="28" t="n">
        <v>3557007.50713357</v>
      </c>
      <c r="Q20" s="27" t="n">
        <v>0</v>
      </c>
      <c r="R20" s="27" t="n">
        <v>0</v>
      </c>
      <c r="S20" s="28" t="n">
        <v>0</v>
      </c>
      <c r="T20" s="27" t="n">
        <v>0</v>
      </c>
      <c r="U20" s="27" t="n">
        <v>2235294.609407994</v>
      </c>
      <c r="V20" s="27" t="n">
        <v>0</v>
      </c>
      <c r="W20" s="27" t="n">
        <v>0</v>
      </c>
      <c r="X20" s="27" t="n">
        <v>0</v>
      </c>
      <c r="Y20" s="27" t="n">
        <v>0</v>
      </c>
      <c r="Z20" s="27" t="n">
        <v>20000</v>
      </c>
      <c r="AA20" s="28" t="n">
        <v>2255294.609407994</v>
      </c>
      <c r="AB20" s="28" t="n">
        <v>6768843.772642299</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1893483.548367063</v>
      </c>
      <c r="O21" s="27" t="n">
        <v>1750610.951562786</v>
      </c>
      <c r="P21" s="28" t="n">
        <v>3644094.499929849</v>
      </c>
      <c r="Q21" s="27" t="n">
        <v>1.511455543027415e-11</v>
      </c>
      <c r="R21" s="27" t="n">
        <v>0</v>
      </c>
      <c r="S21" s="28" t="n">
        <v>1.511455543027415e-11</v>
      </c>
      <c r="T21" s="27" t="n">
        <v>0</v>
      </c>
      <c r="U21" s="27" t="n">
        <v>2302353.447690234</v>
      </c>
      <c r="V21" s="27" t="n">
        <v>0</v>
      </c>
      <c r="W21" s="27" t="n">
        <v>0</v>
      </c>
      <c r="X21" s="27" t="n">
        <v>0</v>
      </c>
      <c r="Y21" s="27" t="n">
        <v>0</v>
      </c>
      <c r="Z21" s="27" t="n">
        <v>20000</v>
      </c>
      <c r="AA21" s="28" t="n">
        <v>2322353.447690234</v>
      </c>
      <c r="AB21" s="28" t="n">
        <v>6856911.69158995</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1939534.172160612</v>
      </c>
      <c r="O22" s="27" t="n">
        <v>1793186.830507606</v>
      </c>
      <c r="P22" s="28" t="n">
        <v>3732721.002668218</v>
      </c>
      <c r="Q22" s="27" t="n">
        <v>0</v>
      </c>
      <c r="R22" s="27" t="n">
        <v>0</v>
      </c>
      <c r="S22" s="28" t="n">
        <v>0</v>
      </c>
      <c r="T22" s="27" t="n">
        <v>0</v>
      </c>
      <c r="U22" s="27" t="n">
        <v>2371424.051120941</v>
      </c>
      <c r="V22" s="27" t="n">
        <v>0</v>
      </c>
      <c r="W22" s="27" t="n">
        <v>0</v>
      </c>
      <c r="X22" s="27" t="n">
        <v>0</v>
      </c>
      <c r="Y22" s="27" t="n">
        <v>0</v>
      </c>
      <c r="Z22" s="27" t="n">
        <v>20000</v>
      </c>
      <c r="AA22" s="28" t="n">
        <v>2391424.051120941</v>
      </c>
      <c r="AB22" s="28" t="n">
        <v>6945266.811883977</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1986345.71716929</v>
      </c>
      <c r="O23" s="27" t="n">
        <v>1836466.215439384</v>
      </c>
      <c r="P23" s="28" t="n">
        <v>3822811.932608674</v>
      </c>
      <c r="Q23" s="27" t="n">
        <v>0</v>
      </c>
      <c r="R23" s="27" t="n">
        <v>0</v>
      </c>
      <c r="S23" s="28" t="n">
        <v>0</v>
      </c>
      <c r="T23" s="27" t="n">
        <v>0</v>
      </c>
      <c r="U23" s="27" t="n">
        <v>2442566.772654569</v>
      </c>
      <c r="V23" s="27" t="n">
        <v>0</v>
      </c>
      <c r="W23" s="27" t="n">
        <v>0</v>
      </c>
      <c r="X23" s="27" t="n">
        <v>0</v>
      </c>
      <c r="Y23" s="27" t="n">
        <v>0</v>
      </c>
      <c r="Z23" s="27" t="n">
        <v>20000</v>
      </c>
      <c r="AA23" s="28" t="n">
        <v>2462566.772654569</v>
      </c>
      <c r="AB23" s="28" t="n">
        <v>7033618.448064882</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2029561.712927134</v>
      </c>
      <c r="O24" s="27" t="n">
        <v>1876421.35290103</v>
      </c>
      <c r="P24" s="28" t="n">
        <v>3905983.065828164</v>
      </c>
      <c r="Q24" s="27" t="n">
        <v>0</v>
      </c>
      <c r="R24" s="27" t="n">
        <v>0</v>
      </c>
      <c r="S24" s="28" t="n">
        <v>0</v>
      </c>
      <c r="T24" s="27" t="n">
        <v>0</v>
      </c>
      <c r="U24" s="27" t="n">
        <v>2515843.775834206</v>
      </c>
      <c r="V24" s="27" t="n">
        <v>0</v>
      </c>
      <c r="W24" s="27" t="n">
        <v>0</v>
      </c>
      <c r="X24" s="27" t="n">
        <v>0</v>
      </c>
      <c r="Y24" s="27" t="n">
        <v>0</v>
      </c>
      <c r="Z24" s="27" t="n">
        <v>20000</v>
      </c>
      <c r="AA24" s="28" t="n">
        <v>2535843.775834206</v>
      </c>
      <c r="AB24" s="28" t="n">
        <v>7113357.314676682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2062786.765747952</v>
      </c>
      <c r="O25" s="27" t="n">
        <v>1907139.412946778</v>
      </c>
      <c r="P25" s="28" t="n">
        <v>3969926.17869473</v>
      </c>
      <c r="Q25" s="27" t="n">
        <v>0</v>
      </c>
      <c r="R25" s="27" t="n">
        <v>0</v>
      </c>
      <c r="S25" s="28" t="n">
        <v>0</v>
      </c>
      <c r="T25" s="27" t="n">
        <v>0</v>
      </c>
      <c r="U25" s="27" t="n">
        <v>2591319.089109233</v>
      </c>
      <c r="V25" s="27" t="n">
        <v>0</v>
      </c>
      <c r="W25" s="27" t="n">
        <v>0</v>
      </c>
      <c r="X25" s="27" t="n">
        <v>0</v>
      </c>
      <c r="Y25" s="27" t="n">
        <v>0</v>
      </c>
      <c r="Z25" s="27" t="n">
        <v>20000</v>
      </c>
      <c r="AA25" s="28" t="n">
        <v>2611319.089109233</v>
      </c>
      <c r="AB25" s="28" t="n">
        <v>7182538.341226648</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2096223.77771573</v>
      </c>
      <c r="O26" s="27" t="n">
        <v>1938053.438784926</v>
      </c>
      <c r="P26" s="28" t="n">
        <v>4034277.216500656</v>
      </c>
      <c r="Q26" s="27" t="n">
        <v>0</v>
      </c>
      <c r="R26" s="27" t="n">
        <v>0</v>
      </c>
      <c r="S26" s="28" t="n">
        <v>0</v>
      </c>
      <c r="T26" s="27" t="n">
        <v>0</v>
      </c>
      <c r="U26" s="27" t="n">
        <v>2669058.66178251</v>
      </c>
      <c r="V26" s="27" t="n">
        <v>0</v>
      </c>
      <c r="W26" s="27" t="n">
        <v>0</v>
      </c>
      <c r="X26" s="27" t="n">
        <v>0</v>
      </c>
      <c r="Y26" s="27" t="n">
        <v>0</v>
      </c>
      <c r="Z26" s="27" t="n">
        <v>20000</v>
      </c>
      <c r="AA26" s="28" t="n">
        <v>2689058.66178251</v>
      </c>
      <c r="AB26" s="28" t="n">
        <v>7275376.212044962</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2129743.612420159</v>
      </c>
      <c r="O27" s="27" t="n">
        <v>1969044.03797907</v>
      </c>
      <c r="P27" s="28" t="n">
        <v>4098787.650399229</v>
      </c>
      <c r="Q27" s="27" t="n">
        <v>3.02291108605483e-11</v>
      </c>
      <c r="R27" s="27" t="n">
        <v>0</v>
      </c>
      <c r="S27" s="28" t="n">
        <v>3.02291108605483e-11</v>
      </c>
      <c r="T27" s="27" t="n">
        <v>0</v>
      </c>
      <c r="U27" s="27" t="n">
        <v>2749130.421635985</v>
      </c>
      <c r="V27" s="27" t="n">
        <v>0</v>
      </c>
      <c r="W27" s="27" t="n">
        <v>0</v>
      </c>
      <c r="X27" s="27" t="n">
        <v>0</v>
      </c>
      <c r="Y27" s="27" t="n">
        <v>0</v>
      </c>
      <c r="Z27" s="27" t="n">
        <v>20000</v>
      </c>
      <c r="AA27" s="28" t="n">
        <v>2769130.421635985</v>
      </c>
      <c r="AB27" s="28" t="n">
        <v>7366662.085884208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2163199.569262181</v>
      </c>
      <c r="O28" s="27" t="n">
        <v>1999975.57920802</v>
      </c>
      <c r="P28" s="28" t="n">
        <v>4163175.148470201</v>
      </c>
      <c r="Q28" s="27" t="n">
        <v>0</v>
      </c>
      <c r="R28" s="27" t="n">
        <v>0</v>
      </c>
      <c r="S28" s="28" t="n">
        <v>0</v>
      </c>
      <c r="T28" s="27" t="n">
        <v>0</v>
      </c>
      <c r="U28" s="27" t="n">
        <v>2831604.334285065</v>
      </c>
      <c r="V28" s="27" t="n">
        <v>0</v>
      </c>
      <c r="W28" s="27" t="n">
        <v>0</v>
      </c>
      <c r="X28" s="27" t="n">
        <v>0</v>
      </c>
      <c r="Y28" s="27" t="n">
        <v>0</v>
      </c>
      <c r="Z28" s="27" t="n">
        <v>20000</v>
      </c>
      <c r="AA28" s="28" t="n">
        <v>2851604.334285065</v>
      </c>
      <c r="AB28" s="28" t="n">
        <v>7455925.059574871</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2196440.04245899</v>
      </c>
      <c r="O29" s="27" t="n">
        <v>2030707.896086953</v>
      </c>
      <c r="P29" s="28" t="n">
        <v>4227147.938545943</v>
      </c>
      <c r="Q29" s="27" t="n">
        <v>0</v>
      </c>
      <c r="R29" s="27" t="n">
        <v>0</v>
      </c>
      <c r="S29" s="28" t="n">
        <v>0</v>
      </c>
      <c r="T29" s="27" t="n">
        <v>0</v>
      </c>
      <c r="U29" s="27" t="n">
        <v>2916552.464313617</v>
      </c>
      <c r="V29" s="27" t="n">
        <v>0</v>
      </c>
      <c r="W29" s="27" t="n">
        <v>0</v>
      </c>
      <c r="X29" s="27" t="n">
        <v>0</v>
      </c>
      <c r="Y29" s="27" t="n">
        <v>0</v>
      </c>
      <c r="Z29" s="27" t="n">
        <v>20000</v>
      </c>
      <c r="AA29" s="28" t="n">
        <v>2936552.464313617</v>
      </c>
      <c r="AB29" s="28" t="n">
        <v>7542674.391686004</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2229333.925094579</v>
      </c>
      <c r="O30" s="27" t="n">
        <v>2061119.77435806</v>
      </c>
      <c r="P30" s="28" t="n">
        <v>4290453.69945264</v>
      </c>
      <c r="Q30" s="27" t="n">
        <v>0</v>
      </c>
      <c r="R30" s="27" t="n">
        <v>0</v>
      </c>
      <c r="S30" s="28" t="n">
        <v>0</v>
      </c>
      <c r="T30" s="27" t="n">
        <v>0</v>
      </c>
      <c r="U30" s="27" t="n">
        <v>3004049.038243025</v>
      </c>
      <c r="V30" s="27" t="n">
        <v>0</v>
      </c>
      <c r="W30" s="27" t="n">
        <v>0</v>
      </c>
      <c r="X30" s="27" t="n">
        <v>0</v>
      </c>
      <c r="Y30" s="27" t="n">
        <v>0</v>
      </c>
      <c r="Z30" s="27" t="n">
        <v>20000</v>
      </c>
      <c r="AA30" s="28" t="n">
        <v>3024049.038243025</v>
      </c>
      <c r="AB30" s="28" t="n">
        <v>7626412.59987139</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4352816.527032995</v>
      </c>
      <c r="P31" s="28" t="n">
        <v>4352816.527032995</v>
      </c>
      <c r="Q31" s="27" t="n">
        <v>0</v>
      </c>
      <c r="R31" s="27" t="n">
        <v>0</v>
      </c>
      <c r="S31" s="28" t="n">
        <v>0</v>
      </c>
      <c r="T31" s="27" t="n">
        <v>0</v>
      </c>
      <c r="U31" s="27" t="n">
        <v>3094170.509390316</v>
      </c>
      <c r="V31" s="27" t="n">
        <v>0</v>
      </c>
      <c r="W31" s="27" t="n">
        <v>0</v>
      </c>
      <c r="X31" s="27" t="n">
        <v>0</v>
      </c>
      <c r="Y31" s="27" t="n">
        <v>0</v>
      </c>
      <c r="Z31" s="27" t="n">
        <v>20000</v>
      </c>
      <c r="AA31" s="28" t="n">
        <v>3114170.509390316</v>
      </c>
      <c r="AB31" s="28" t="n">
        <v>7707704.937080713</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4414859.612576013</v>
      </c>
      <c r="P32" s="28" t="n">
        <v>4414859.612576013</v>
      </c>
      <c r="Q32" s="27" t="n">
        <v>0</v>
      </c>
      <c r="R32" s="27" t="n">
        <v>0</v>
      </c>
      <c r="S32" s="28" t="n">
        <v>0</v>
      </c>
      <c r="T32" s="27" t="n">
        <v>0</v>
      </c>
      <c r="U32" s="27" t="n">
        <v>3186995.624672025</v>
      </c>
      <c r="V32" s="27" t="n">
        <v>0</v>
      </c>
      <c r="W32" s="27" t="n">
        <v>0</v>
      </c>
      <c r="X32" s="27" t="n">
        <v>0</v>
      </c>
      <c r="Y32" s="27" t="n">
        <v>0</v>
      </c>
      <c r="Z32" s="27" t="n">
        <v>20000</v>
      </c>
      <c r="AA32" s="28" t="n">
        <v>3206995.624672025</v>
      </c>
      <c r="AB32" s="28" t="n">
        <v>7785649.778384743</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4476803.225641074</v>
      </c>
      <c r="P33" s="28" t="n">
        <v>4476803.225641074</v>
      </c>
      <c r="Q33" s="27" t="n">
        <v>0</v>
      </c>
      <c r="R33" s="27" t="n">
        <v>0</v>
      </c>
      <c r="S33" s="28" t="n">
        <v>0</v>
      </c>
      <c r="T33" s="27" t="n">
        <v>0</v>
      </c>
      <c r="U33" s="27" t="n">
        <v>3282605.493412186</v>
      </c>
      <c r="V33" s="27" t="n">
        <v>0</v>
      </c>
      <c r="W33" s="27" t="n">
        <v>0</v>
      </c>
      <c r="X33" s="27" t="n">
        <v>0</v>
      </c>
      <c r="Y33" s="27" t="n">
        <v>0</v>
      </c>
      <c r="Z33" s="27" t="n">
        <v>20000</v>
      </c>
      <c r="AA33" s="28" t="n">
        <v>3302605.493412186</v>
      </c>
      <c r="AB33" s="28" t="n">
        <v>7867077.363444649</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1941366.8219234</v>
      </c>
      <c r="C38" s="27" t="n">
        <v>0</v>
      </c>
      <c r="D38" s="27" t="n">
        <v>-1941366.8219234</v>
      </c>
      <c r="E38" s="29" t="n">
        <v>-1</v>
      </c>
    </row>
    <row r="39" ht="15" customHeight="1">
      <c r="A39" s="12" t="inlineStr">
        <is>
          <t>Roth</t>
        </is>
      </c>
      <c r="B39" s="27" t="n">
        <v>365001.52790784</v>
      </c>
      <c r="C39" s="27" t="n">
        <v>4476803.225641074</v>
      </c>
      <c r="D39" s="27" t="n">
        <v>4111801.697733234</v>
      </c>
      <c r="E39" s="29" t="n">
        <v>11.26516297425317</v>
      </c>
    </row>
    <row r="40" ht="15" customHeight="1">
      <c r="A40" s="12" t="inlineStr">
        <is>
          <t>Trusts</t>
        </is>
      </c>
      <c r="B40" s="27" t="n">
        <v>646830.4725408512</v>
      </c>
      <c r="C40" s="27" t="n">
        <v>0</v>
      </c>
      <c r="D40" s="27" t="n">
        <v>-646830.4725408512</v>
      </c>
      <c r="E40" s="29" t="n">
        <v>-1</v>
      </c>
    </row>
    <row r="41" ht="15" customHeight="1">
      <c r="A41" s="12" t="inlineStr">
        <is>
          <t>HSA</t>
        </is>
      </c>
      <c r="B41" s="27" t="n">
        <v>84423.70941279999</v>
      </c>
      <c r="C41" s="27" t="n">
        <v>0</v>
      </c>
      <c r="D41" s="27" t="n">
        <v>-84423.70941279999</v>
      </c>
      <c r="E41" s="29" t="n">
        <v>-1</v>
      </c>
    </row>
    <row r="42" ht="30" customHeight="1">
      <c r="A42" s="12" t="inlineStr">
        <is>
          <t>Other Assets</t>
        </is>
      </c>
      <c r="B42" s="27" t="n">
        <v>1609246.285714286</v>
      </c>
      <c r="C42" s="27" t="n">
        <v>3282605.493412186</v>
      </c>
      <c r="D42" s="27" t="n">
        <v>1673359.207697901</v>
      </c>
      <c r="E42" s="29" t="n">
        <v>1.039840341750522</v>
      </c>
    </row>
    <row r="43" ht="30" customHeight="1">
      <c r="A43" s="11" t="inlineStr">
        <is>
          <t>TOTAL</t>
        </is>
      </c>
      <c r="B43" s="30" t="n">
        <v>6007534.633530889</v>
      </c>
      <c r="C43" s="30" t="n">
        <v>7867077.363444649</v>
      </c>
      <c r="D43" s="30" t="n">
        <v>1859542.72991376</v>
      </c>
      <c r="E43" s="31" t="n">
        <v>0.3095350827500475</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Matthew Age</t>
        </is>
      </c>
      <c r="C2" s="23" t="inlineStr">
        <is>
          <t>Patricia Age</t>
        </is>
      </c>
      <c r="D2" s="23" t="inlineStr">
        <is>
          <t>Earned</t>
        </is>
      </c>
      <c r="E2" s="23" t="inlineStr">
        <is>
          <t>Matthew SS</t>
        </is>
      </c>
      <c r="F2" s="23" t="inlineStr">
        <is>
          <t>Patricia SS</t>
        </is>
      </c>
      <c r="G2" s="23" t="inlineStr">
        <is>
          <t>Pension</t>
        </is>
      </c>
      <c r="H2" s="23" t="inlineStr">
        <is>
          <t>Patricia Single Ann</t>
        </is>
      </c>
      <c r="I2" s="23" t="inlineStr">
        <is>
          <t>Patricia Joint Ann</t>
        </is>
      </c>
      <c r="J2" s="23" t="inlineStr">
        <is>
          <t>Matthew Single Ann</t>
        </is>
      </c>
      <c r="K2" s="23" t="inlineStr">
        <is>
          <t>Matthew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Matthew Trust WD</t>
        </is>
      </c>
      <c r="AW2" s="23" t="inlineStr">
        <is>
          <t>Patricia Trust WD</t>
        </is>
      </c>
      <c r="AX2" s="24" t="inlineStr">
        <is>
          <t>Σ Trust</t>
        </is>
      </c>
      <c r="AY2" s="23" t="inlineStr">
        <is>
          <t>HSA WD</t>
        </is>
      </c>
      <c r="AZ2" s="23" t="inlineStr">
        <is>
          <t>Matthew Roth WD</t>
        </is>
      </c>
      <c r="BA2" s="23" t="inlineStr">
        <is>
          <t>Patricia Roth WD</t>
        </is>
      </c>
      <c r="BB2" s="24" t="inlineStr">
        <is>
          <t>Σ Roth</t>
        </is>
      </c>
      <c r="BC2" s="23" t="inlineStr">
        <is>
          <t>Matthew IRA RMD</t>
        </is>
      </c>
      <c r="BD2" s="23" t="inlineStr">
        <is>
          <t>Matthew IRA Elec</t>
        </is>
      </c>
      <c r="BE2" s="23" t="inlineStr">
        <is>
          <t>Matthew IRA Conv</t>
        </is>
      </c>
      <c r="BF2" s="24" t="inlineStr">
        <is>
          <t>Matthew IRA Outflow</t>
        </is>
      </c>
      <c r="BG2" s="23" t="inlineStr">
        <is>
          <t>Patricia IRA RMD</t>
        </is>
      </c>
      <c r="BH2" s="23" t="inlineStr">
        <is>
          <t>Patricia IRA Elec</t>
        </is>
      </c>
      <c r="BI2" s="23" t="inlineStr">
        <is>
          <t>Patricia IRA Conv</t>
        </is>
      </c>
      <c r="BJ2" s="24" t="inlineStr">
        <is>
          <t>Patricia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322372.89762428</v>
      </c>
      <c r="Q3" s="27" t="n">
        <v>244711.0178139996</v>
      </c>
      <c r="R3" s="27" t="n">
        <v>44138.52427535989</v>
      </c>
      <c r="S3" s="27" t="n">
        <v>15734.11443240186</v>
      </c>
      <c r="T3" s="27" t="n">
        <v>0</v>
      </c>
      <c r="U3" s="27" t="n">
        <v>2725.2</v>
      </c>
      <c r="V3" s="27" t="n">
        <v>142706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0</v>
      </c>
      <c r="AL3" s="27" t="n">
        <v>0</v>
      </c>
      <c r="AM3" s="28" t="n">
        <v>0</v>
      </c>
      <c r="AN3" s="28" t="n">
        <v>270066.12</v>
      </c>
      <c r="AO3" s="27" t="n">
        <v>71777.83870776175</v>
      </c>
      <c r="AP3" s="28" t="n">
        <v>323843.9587077617</v>
      </c>
      <c r="AQ3" s="27" t="n">
        <v>395058.63</v>
      </c>
      <c r="AR3" s="27" t="n">
        <v>10356.00762428</v>
      </c>
      <c r="AS3" s="27" t="n">
        <v>0</v>
      </c>
      <c r="AT3" s="28" t="n">
        <v>0</v>
      </c>
      <c r="AU3" s="28" t="n">
        <v>-81570.67891651829</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81570.67891651829</v>
      </c>
      <c r="BO3" s="27" t="n">
        <v>6007534.633530889</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224099.137238685</v>
      </c>
      <c r="P4" s="28" t="n">
        <v>273360</v>
      </c>
      <c r="Q4" s="27" t="n">
        <v>234220.32</v>
      </c>
      <c r="R4" s="27" t="n">
        <v>41328.9144</v>
      </c>
      <c r="S4" s="27" t="n">
        <v>2215.068706685095</v>
      </c>
      <c r="T4" s="27" t="n">
        <v>887.6799999999999</v>
      </c>
      <c r="U4" s="27" t="n">
        <v>2167.2</v>
      </c>
      <c r="V4" s="27" t="n">
        <v>146273.65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0</v>
      </c>
      <c r="AL4" s="27" t="n">
        <v>100000</v>
      </c>
      <c r="AM4" s="28" t="n">
        <v>0</v>
      </c>
      <c r="AN4" s="28" t="n">
        <v>388799.401</v>
      </c>
      <c r="AO4" s="27" t="n">
        <v>50421.49294897833</v>
      </c>
      <c r="AP4" s="28" t="n">
        <v>416060.5841066851</v>
      </c>
      <c r="AQ4" s="27" t="n">
        <v>95957.62</v>
      </c>
      <c r="AR4" s="27" t="n">
        <v>12584.86276131504</v>
      </c>
      <c r="AS4" s="27" t="n">
        <v>0</v>
      </c>
      <c r="AT4" s="28" t="n">
        <v>312228.4129025306</v>
      </c>
      <c r="AU4" s="28" t="n">
        <v>-4710.311557160516</v>
      </c>
      <c r="AV4" s="27" t="n">
        <v>145079.5002726487</v>
      </c>
      <c r="AW4" s="27" t="n">
        <v>167148.9054846017</v>
      </c>
      <c r="AX4" s="28" t="n">
        <v>312228.4057572504</v>
      </c>
      <c r="AY4" s="27" t="n">
        <v>0</v>
      </c>
      <c r="AZ4" s="27" t="n">
        <v>0</v>
      </c>
      <c r="BA4" s="27" t="n">
        <v>0</v>
      </c>
      <c r="BB4" s="28" t="n">
        <v>0</v>
      </c>
      <c r="BC4" s="27" t="n">
        <v>0</v>
      </c>
      <c r="BD4" s="27" t="n">
        <v>0.006045131315270252</v>
      </c>
      <c r="BE4" s="27" t="n">
        <v>0</v>
      </c>
      <c r="BF4" s="28" t="n">
        <v>0.006045131315270252</v>
      </c>
      <c r="BG4" s="27" t="n">
        <v>0</v>
      </c>
      <c r="BH4" s="27" t="n">
        <v>0.001100148920811085</v>
      </c>
      <c r="BI4" s="27" t="n">
        <v>224099.137238685</v>
      </c>
      <c r="BJ4" s="28" t="n">
        <v>224099.1383388339</v>
      </c>
      <c r="BK4" s="27" t="n">
        <v>0</v>
      </c>
      <c r="BL4" s="28" t="n">
        <v>0</v>
      </c>
      <c r="BM4" s="28" t="n">
        <v>312228.4129025306</v>
      </c>
      <c r="BN4" s="27" t="n">
        <v>0</v>
      </c>
      <c r="BO4" s="27" t="n">
        <v>5932905.067983818</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212480.7504860891</v>
      </c>
      <c r="P5" s="28" t="n">
        <v>278827.2</v>
      </c>
      <c r="Q5" s="27" t="n">
        <v>239324.7264</v>
      </c>
      <c r="R5" s="27" t="n">
        <v>42256.292688</v>
      </c>
      <c r="S5" s="27" t="n">
        <v>1694.038612664053</v>
      </c>
      <c r="T5" s="27" t="n">
        <v>1095.433600000001</v>
      </c>
      <c r="U5" s="27" t="n">
        <v>5450.4</v>
      </c>
      <c r="V5" s="27" t="n">
        <v>149930.49125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0</v>
      </c>
      <c r="AL5" s="27" t="n">
        <v>50000</v>
      </c>
      <c r="AM5" s="28" t="n">
        <v>0</v>
      </c>
      <c r="AN5" s="28" t="n">
        <v>345994.6300775</v>
      </c>
      <c r="AO5" s="27" t="n">
        <v>53353.63282306291</v>
      </c>
      <c r="AP5" s="28" t="n">
        <v>376484.111378164</v>
      </c>
      <c r="AQ5" s="27" t="n">
        <v>118855.0672378694</v>
      </c>
      <c r="AR5" s="27" t="n">
        <v>6773.002276041478</v>
      </c>
      <c r="AS5" s="27" t="n">
        <v>0</v>
      </c>
      <c r="AT5" s="28" t="n">
        <v>254808.9441476585</v>
      </c>
      <c r="AU5" s="28" t="n">
        <v>-3952.902283405332</v>
      </c>
      <c r="AV5" s="27" t="n">
        <v>118185.2172372927</v>
      </c>
      <c r="AW5" s="27" t="n">
        <v>136623.7237395055</v>
      </c>
      <c r="AX5" s="28" t="n">
        <v>254808.9409767982</v>
      </c>
      <c r="AY5" s="27" t="n">
        <v>0</v>
      </c>
      <c r="AZ5" s="27" t="n">
        <v>0</v>
      </c>
      <c r="BA5" s="27" t="n">
        <v>0</v>
      </c>
      <c r="BB5" s="28" t="n">
        <v>0</v>
      </c>
      <c r="BC5" s="27" t="n">
        <v>0</v>
      </c>
      <c r="BD5" s="27" t="n">
        <v>0.003037170763335173</v>
      </c>
      <c r="BE5" s="27" t="n">
        <v>0</v>
      </c>
      <c r="BF5" s="28" t="n">
        <v>0.003037170763335173</v>
      </c>
      <c r="BG5" s="27" t="n">
        <v>0</v>
      </c>
      <c r="BH5" s="27" t="n">
        <v>0.0001336895502755292</v>
      </c>
      <c r="BI5" s="27" t="n">
        <v>212480.7504860891</v>
      </c>
      <c r="BJ5" s="28" t="n">
        <v>212480.7506197787</v>
      </c>
      <c r="BK5" s="27" t="n">
        <v>0</v>
      </c>
      <c r="BL5" s="28" t="n">
        <v>0</v>
      </c>
      <c r="BM5" s="28" t="n">
        <v>254808.9441476585</v>
      </c>
      <c r="BN5" s="27" t="n">
        <v>0</v>
      </c>
      <c r="BO5" s="27" t="n">
        <v>5920951.030588273</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143771.1831513249</v>
      </c>
      <c r="P6" s="28" t="n">
        <v>281484.7492599302</v>
      </c>
      <c r="Q6" s="27" t="n">
        <v>242628.2269751292</v>
      </c>
      <c r="R6" s="27" t="n">
        <v>42745.49999307102</v>
      </c>
      <c r="S6" s="27" t="n">
        <v>1704.176267679117</v>
      </c>
      <c r="T6" s="27" t="n">
        <v>1196.420471877346</v>
      </c>
      <c r="U6" s="27" t="n">
        <v>2167.2</v>
      </c>
      <c r="V6" s="27" t="n">
        <v>153678.7535312499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0</v>
      </c>
      <c r="AL6" s="27" t="n">
        <v>0</v>
      </c>
      <c r="AM6" s="28" t="n">
        <v>0</v>
      </c>
      <c r="AN6" s="28" t="n">
        <v>303420.1324107937</v>
      </c>
      <c r="AO6" s="27" t="n">
        <v>48187.90195200039</v>
      </c>
      <c r="AP6" s="28" t="n">
        <v>330652.9774215438</v>
      </c>
      <c r="AQ6" s="27" t="n">
        <v>198024.6890029636</v>
      </c>
      <c r="AR6" s="27" t="n">
        <v>1889.491845711515</v>
      </c>
      <c r="AS6" s="27" t="n">
        <v>0</v>
      </c>
      <c r="AT6" s="28" t="n">
        <v>143414.6369769576</v>
      </c>
      <c r="AU6" s="28" t="n">
        <v>-12675.84040408896</v>
      </c>
      <c r="AV6" s="27" t="n">
        <v>44975.98426216979</v>
      </c>
      <c r="AW6" s="27" t="n">
        <v>52168.59141129328</v>
      </c>
      <c r="AX6" s="28" t="n">
        <v>97144.57567346307</v>
      </c>
      <c r="AY6" s="27" t="n">
        <v>0</v>
      </c>
      <c r="AZ6" s="27" t="n">
        <v>0</v>
      </c>
      <c r="BA6" s="27" t="n">
        <v>0</v>
      </c>
      <c r="BB6" s="28" t="n">
        <v>0</v>
      </c>
      <c r="BC6" s="27" t="n">
        <v>0</v>
      </c>
      <c r="BD6" s="27" t="n">
        <v>46270.06130349458</v>
      </c>
      <c r="BE6" s="27" t="n">
        <v>71914.94948167478</v>
      </c>
      <c r="BF6" s="28" t="n">
        <v>118185.0107851693</v>
      </c>
      <c r="BG6" s="27" t="n">
        <v>0</v>
      </c>
      <c r="BH6" s="27" t="n">
        <v>0</v>
      </c>
      <c r="BI6" s="27" t="n">
        <v>71856.23366965017</v>
      </c>
      <c r="BJ6" s="28" t="n">
        <v>71856.23366965017</v>
      </c>
      <c r="BK6" s="27" t="n">
        <v>0</v>
      </c>
      <c r="BL6" s="28" t="n">
        <v>0</v>
      </c>
      <c r="BM6" s="28" t="n">
        <v>143414.6369769576</v>
      </c>
      <c r="BN6" s="27" t="n">
        <v>0</v>
      </c>
      <c r="BO6" s="27" t="n">
        <v>6000439.81727423</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155297.4833840013</v>
      </c>
      <c r="P7" s="28" t="n">
        <v>287184.5138177453</v>
      </c>
      <c r="Q7" s="27" t="n">
        <v>250529.0311515053</v>
      </c>
      <c r="R7" s="27" t="n">
        <v>44331.98750578208</v>
      </c>
      <c r="S7" s="27" t="n">
        <v>1445.045672662552</v>
      </c>
      <c r="T7" s="27" t="n">
        <v>1109.327991134888</v>
      </c>
      <c r="U7" s="27" t="n">
        <v>2167.2</v>
      </c>
      <c r="V7" s="27" t="n">
        <v>157520.7223695312</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0</v>
      </c>
      <c r="AL7" s="27" t="n">
        <v>0</v>
      </c>
      <c r="AM7" s="28" t="n">
        <v>0</v>
      </c>
      <c r="AN7" s="28" t="n">
        <v>311084.4645966877</v>
      </c>
      <c r="AO7" s="27" t="n">
        <v>49053.56116957951</v>
      </c>
      <c r="AP7" s="28" t="n">
        <v>339160.0657438823</v>
      </c>
      <c r="AQ7" s="27" t="n">
        <v>192667.8019535354</v>
      </c>
      <c r="AR7" s="27" t="n">
        <v>1408.153542463338</v>
      </c>
      <c r="AS7" s="27" t="n">
        <v>0</v>
      </c>
      <c r="AT7" s="28" t="n">
        <v>171517.6818934454</v>
      </c>
      <c r="AU7" s="28" t="n">
        <v>-26433.57164556181</v>
      </c>
      <c r="AV7" s="27" t="n">
        <v>66000</v>
      </c>
      <c r="AW7" s="27" t="n">
        <v>0</v>
      </c>
      <c r="AX7" s="28" t="n">
        <v>66000</v>
      </c>
      <c r="AY7" s="27" t="n">
        <v>0</v>
      </c>
      <c r="AZ7" s="27" t="n">
        <v>0</v>
      </c>
      <c r="BA7" s="27" t="n">
        <v>0</v>
      </c>
      <c r="BB7" s="28" t="n">
        <v>0</v>
      </c>
      <c r="BC7" s="27" t="n">
        <v>0</v>
      </c>
      <c r="BD7" s="27" t="n">
        <v>105517.6818934454</v>
      </c>
      <c r="BE7" s="27" t="n">
        <v>155297.4833840013</v>
      </c>
      <c r="BF7" s="28" t="n">
        <v>260815.1652774467</v>
      </c>
      <c r="BG7" s="27" t="n">
        <v>0</v>
      </c>
      <c r="BH7" s="27" t="n">
        <v>0</v>
      </c>
      <c r="BI7" s="27" t="n">
        <v>0</v>
      </c>
      <c r="BJ7" s="28" t="n">
        <v>0</v>
      </c>
      <c r="BK7" s="27" t="n">
        <v>0</v>
      </c>
      <c r="BL7" s="28" t="n">
        <v>0</v>
      </c>
      <c r="BM7" s="28" t="n">
        <v>171517.6818934454</v>
      </c>
      <c r="BN7" s="27" t="n">
        <v>0</v>
      </c>
      <c r="BO7" s="27" t="n">
        <v>5971422.899827129</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161458.7404287694</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0</v>
      </c>
      <c r="AL8" s="27" t="n">
        <v>0</v>
      </c>
      <c r="AM8" s="28" t="n">
        <v>0</v>
      </c>
      <c r="AN8" s="28" t="n">
        <v>290711.3461639448</v>
      </c>
      <c r="AO8" s="27" t="n">
        <v>48542.537579936</v>
      </c>
      <c r="AP8" s="28" t="n">
        <v>318888.5359118496</v>
      </c>
      <c r="AQ8" s="27" t="n">
        <v>237421.2676207162</v>
      </c>
      <c r="AR8" s="27" t="n">
        <v>0</v>
      </c>
      <c r="AS8" s="27" t="n">
        <v>0</v>
      </c>
      <c r="AT8" s="28" t="n">
        <v>103827.9954984998</v>
      </c>
      <c r="AU8" s="28" t="n">
        <v>-22360.72720736648</v>
      </c>
      <c r="AV8" s="27" t="n">
        <v>0</v>
      </c>
      <c r="AW8" s="27" t="n">
        <v>0</v>
      </c>
      <c r="AX8" s="28" t="n">
        <v>0</v>
      </c>
      <c r="AY8" s="27" t="n">
        <v>10658.29880113951</v>
      </c>
      <c r="AZ8" s="27" t="n">
        <v>0</v>
      </c>
      <c r="BA8" s="27" t="n">
        <v>0</v>
      </c>
      <c r="BB8" s="28" t="n">
        <v>0</v>
      </c>
      <c r="BC8" s="27" t="n">
        <v>0</v>
      </c>
      <c r="BD8" s="27" t="n">
        <v>93169.69669736034</v>
      </c>
      <c r="BE8" s="27" t="n">
        <v>125267.2076368838</v>
      </c>
      <c r="BF8" s="28" t="n">
        <v>218436.9043342441</v>
      </c>
      <c r="BG8" s="27" t="n">
        <v>0</v>
      </c>
      <c r="BH8" s="27" t="n">
        <v>0</v>
      </c>
      <c r="BI8" s="27" t="n">
        <v>0</v>
      </c>
      <c r="BJ8" s="28" t="n">
        <v>0</v>
      </c>
      <c r="BK8" s="27" t="n">
        <v>0</v>
      </c>
      <c r="BL8" s="28" t="n">
        <v>0</v>
      </c>
      <c r="BM8" s="28" t="n">
        <v>103827.9954984998</v>
      </c>
      <c r="BN8" s="27" t="n">
        <v>0</v>
      </c>
      <c r="BO8" s="27" t="n">
        <v>6014505.57291028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165495.2089394887</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0</v>
      </c>
      <c r="AL9" s="27" t="n">
        <v>100000</v>
      </c>
      <c r="AM9" s="28" t="n">
        <v>0</v>
      </c>
      <c r="AN9" s="28" t="n">
        <v>398173.3684287096</v>
      </c>
      <c r="AO9" s="27" t="n">
        <v>49023.42673617806</v>
      </c>
      <c r="AP9" s="28" t="n">
        <v>426322.3136370556</v>
      </c>
      <c r="AQ9" s="27" t="n">
        <v>265294.4802262721</v>
      </c>
      <c r="AR9" s="27" t="n">
        <v>0</v>
      </c>
      <c r="AS9" s="27" t="n">
        <v>0</v>
      </c>
      <c r="AT9" s="28" t="n">
        <v>208311.0028891759</v>
      </c>
      <c r="AU9" s="28" t="n">
        <v>-47283.16947839232</v>
      </c>
      <c r="AV9" s="27" t="n">
        <v>0</v>
      </c>
      <c r="AW9" s="27" t="n">
        <v>0</v>
      </c>
      <c r="AX9" s="28" t="n">
        <v>0</v>
      </c>
      <c r="AY9" s="27" t="n">
        <v>11297.79672920788</v>
      </c>
      <c r="AZ9" s="27" t="n">
        <v>0</v>
      </c>
      <c r="BA9" s="27" t="n">
        <v>0</v>
      </c>
      <c r="BB9" s="28" t="n">
        <v>0</v>
      </c>
      <c r="BC9" s="27" t="n">
        <v>0</v>
      </c>
      <c r="BD9" s="27" t="n">
        <v>197013.206159968</v>
      </c>
      <c r="BE9" s="27" t="n">
        <v>108908.4900564799</v>
      </c>
      <c r="BF9" s="28" t="n">
        <v>305921.6962164479</v>
      </c>
      <c r="BG9" s="27" t="n">
        <v>0</v>
      </c>
      <c r="BH9" s="27" t="n">
        <v>0</v>
      </c>
      <c r="BI9" s="27" t="n">
        <v>0</v>
      </c>
      <c r="BJ9" s="28" t="n">
        <v>0</v>
      </c>
      <c r="BK9" s="27" t="n">
        <v>0</v>
      </c>
      <c r="BL9" s="28" t="n">
        <v>0</v>
      </c>
      <c r="BM9" s="28" t="n">
        <v>208311.0028891759</v>
      </c>
      <c r="BN9" s="27" t="n">
        <v>0</v>
      </c>
      <c r="BO9" s="27" t="n">
        <v>5951420.523813765</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169632.5891629759</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0</v>
      </c>
      <c r="AL10" s="27" t="n">
        <v>0</v>
      </c>
      <c r="AM10" s="28" t="n">
        <v>0</v>
      </c>
      <c r="AN10" s="28" t="n">
        <v>305884.4933158369</v>
      </c>
      <c r="AO10" s="27" t="n">
        <v>49851.05900828451</v>
      </c>
      <c r="AP10" s="28" t="n">
        <v>334339.2087580936</v>
      </c>
      <c r="AQ10" s="27" t="n">
        <v>264323.8309282422</v>
      </c>
      <c r="AR10" s="27" t="n">
        <v>0</v>
      </c>
      <c r="AS10" s="27" t="n">
        <v>0</v>
      </c>
      <c r="AT10" s="28" t="n">
        <v>88343.7083446591</v>
      </c>
      <c r="AU10" s="28" t="n">
        <v>-18328.33051480769</v>
      </c>
      <c r="AV10" s="27" t="n">
        <v>0</v>
      </c>
      <c r="AW10" s="27" t="n">
        <v>0</v>
      </c>
      <c r="AX10" s="28" t="n">
        <v>0</v>
      </c>
      <c r="AY10" s="27" t="n">
        <v>11975.66453296035</v>
      </c>
      <c r="AZ10" s="27" t="n">
        <v>0</v>
      </c>
      <c r="BA10" s="27" t="n">
        <v>0</v>
      </c>
      <c r="BB10" s="28" t="n">
        <v>0</v>
      </c>
      <c r="BC10" s="27" t="n">
        <v>0</v>
      </c>
      <c r="BD10" s="27" t="n">
        <v>76368.04381169875</v>
      </c>
      <c r="BE10" s="27" t="n">
        <v>116223.4463601649</v>
      </c>
      <c r="BF10" s="28" t="n">
        <v>192591.4901718636</v>
      </c>
      <c r="BG10" s="27" t="n">
        <v>0</v>
      </c>
      <c r="BH10" s="27" t="n">
        <v>0</v>
      </c>
      <c r="BI10" s="27" t="n">
        <v>0</v>
      </c>
      <c r="BJ10" s="28" t="n">
        <v>0</v>
      </c>
      <c r="BK10" s="27" t="n">
        <v>0</v>
      </c>
      <c r="BL10" s="28" t="n">
        <v>0</v>
      </c>
      <c r="BM10" s="28" t="n">
        <v>88343.7083446591</v>
      </c>
      <c r="BN10" s="27" t="n">
        <v>0</v>
      </c>
      <c r="BO10" s="27" t="n">
        <v>6021381.208484499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173873.4038920503</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0</v>
      </c>
      <c r="AL11" s="27" t="n">
        <v>0</v>
      </c>
      <c r="AM11" s="28" t="n">
        <v>0</v>
      </c>
      <c r="AN11" s="28" t="n">
        <v>313854.4183662786</v>
      </c>
      <c r="AO11" s="27" t="n">
        <v>50697.30652970363</v>
      </c>
      <c r="AP11" s="28" t="n">
        <v>342620.4727408037</v>
      </c>
      <c r="AQ11" s="27" t="n">
        <v>204049.9918138473</v>
      </c>
      <c r="AR11" s="27" t="n">
        <v>0</v>
      </c>
      <c r="AS11" s="27" t="n">
        <v>0</v>
      </c>
      <c r="AT11" s="28" t="n">
        <v>178320.8840391727</v>
      </c>
      <c r="AU11" s="28" t="n">
        <v>-39750.40311221633</v>
      </c>
      <c r="AV11" s="27" t="n">
        <v>0</v>
      </c>
      <c r="AW11" s="27" t="n">
        <v>0</v>
      </c>
      <c r="AX11" s="28" t="n">
        <v>0</v>
      </c>
      <c r="AY11" s="27" t="n">
        <v>12694.20440493798</v>
      </c>
      <c r="AZ11" s="27" t="n">
        <v>0</v>
      </c>
      <c r="BA11" s="27" t="n">
        <v>0</v>
      </c>
      <c r="BB11" s="28" t="n">
        <v>0</v>
      </c>
      <c r="BC11" s="27" t="n">
        <v>0</v>
      </c>
      <c r="BD11" s="27" t="n">
        <v>165626.6796342347</v>
      </c>
      <c r="BE11" s="27" t="n">
        <v>123594.1810203279</v>
      </c>
      <c r="BF11" s="28" t="n">
        <v>289220.8606545626</v>
      </c>
      <c r="BG11" s="27" t="n">
        <v>0</v>
      </c>
      <c r="BH11" s="27" t="n">
        <v>0</v>
      </c>
      <c r="BI11" s="27" t="n">
        <v>0</v>
      </c>
      <c r="BJ11" s="28" t="n">
        <v>0</v>
      </c>
      <c r="BK11" s="27" t="n">
        <v>0</v>
      </c>
      <c r="BL11" s="28" t="n">
        <v>0</v>
      </c>
      <c r="BM11" s="28" t="n">
        <v>178320.8840391727</v>
      </c>
      <c r="BN11" s="27" t="n">
        <v>0</v>
      </c>
      <c r="BO11" s="27" t="n">
        <v>6060759.034297843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178220.2389893515</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0</v>
      </c>
      <c r="AL12" s="27" t="n">
        <v>0</v>
      </c>
      <c r="AM12" s="28" t="n">
        <v>0</v>
      </c>
      <c r="AN12" s="28" t="n">
        <v>286093.2747783043</v>
      </c>
      <c r="AO12" s="27" t="n">
        <v>51672.74840228253</v>
      </c>
      <c r="AP12" s="28" t="n">
        <v>315286.4897215289</v>
      </c>
      <c r="AQ12" s="27" t="n">
        <v>208551.2972013312</v>
      </c>
      <c r="AR12" s="27" t="n">
        <v>0</v>
      </c>
      <c r="AS12" s="27" t="n">
        <v>0</v>
      </c>
      <c r="AT12" s="28" t="n">
        <v>136191.8248941861</v>
      </c>
      <c r="AU12" s="28" t="n">
        <v>-29456.63237398842</v>
      </c>
      <c r="AV12" s="27" t="n">
        <v>0</v>
      </c>
      <c r="AW12" s="27" t="n">
        <v>0</v>
      </c>
      <c r="AX12" s="28" t="n">
        <v>0</v>
      </c>
      <c r="AY12" s="27" t="n">
        <v>13455.85666923426</v>
      </c>
      <c r="AZ12" s="27" t="n">
        <v>0</v>
      </c>
      <c r="BA12" s="27" t="n">
        <v>0</v>
      </c>
      <c r="BB12" s="28" t="n">
        <v>0</v>
      </c>
      <c r="BC12" s="27" t="n">
        <v>0</v>
      </c>
      <c r="BD12" s="27" t="n">
        <v>122735.9682249518</v>
      </c>
      <c r="BE12" s="27" t="n">
        <v>125645.7590895275</v>
      </c>
      <c r="BF12" s="28" t="n">
        <v>248381.7273144793</v>
      </c>
      <c r="BG12" s="27" t="n">
        <v>0</v>
      </c>
      <c r="BH12" s="27" t="n">
        <v>0</v>
      </c>
      <c r="BI12" s="27" t="n">
        <v>0</v>
      </c>
      <c r="BJ12" s="28" t="n">
        <v>0</v>
      </c>
      <c r="BK12" s="27" t="n">
        <v>0</v>
      </c>
      <c r="BL12" s="28" t="n">
        <v>0</v>
      </c>
      <c r="BM12" s="28" t="n">
        <v>136191.8248941861</v>
      </c>
      <c r="BN12" s="27" t="n">
        <v>0</v>
      </c>
      <c r="BO12" s="27" t="n">
        <v>6140968.789996732</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182675.7449640853</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0</v>
      </c>
      <c r="AL13" s="27" t="n">
        <v>0</v>
      </c>
      <c r="AM13" s="28" t="n">
        <v>0</v>
      </c>
      <c r="AN13" s="28" t="n">
        <v>294611.6487705945</v>
      </c>
      <c r="AO13" s="27" t="n">
        <v>25173.98303035425</v>
      </c>
      <c r="AP13" s="28" t="n">
        <v>296744.1100054143</v>
      </c>
      <c r="AQ13" s="27" t="n">
        <v>218283.1996170003</v>
      </c>
      <c r="AR13" s="27" t="n">
        <v>0</v>
      </c>
      <c r="AS13" s="27" t="n">
        <v>0</v>
      </c>
      <c r="AT13" s="28" t="n">
        <v>96567.95463224177</v>
      </c>
      <c r="AU13" s="28" t="n">
        <v>-18107.04424382775</v>
      </c>
      <c r="AV13" s="27" t="n">
        <v>0</v>
      </c>
      <c r="AW13" s="27" t="n">
        <v>0</v>
      </c>
      <c r="AX13" s="28" t="n">
        <v>0</v>
      </c>
      <c r="AY13" s="27" t="n">
        <v>14263.20806938831</v>
      </c>
      <c r="AZ13" s="27" t="n">
        <v>0</v>
      </c>
      <c r="BA13" s="27" t="n">
        <v>0</v>
      </c>
      <c r="BB13" s="28" t="n">
        <v>0</v>
      </c>
      <c r="BC13" s="27" t="n">
        <v>0</v>
      </c>
      <c r="BD13" s="27" t="n">
        <v>82304.74656285347</v>
      </c>
      <c r="BE13" s="27" t="n">
        <v>0</v>
      </c>
      <c r="BF13" s="28" t="n">
        <v>82304.74656285347</v>
      </c>
      <c r="BG13" s="27" t="n">
        <v>0</v>
      </c>
      <c r="BH13" s="27" t="n">
        <v>0</v>
      </c>
      <c r="BI13" s="27" t="n">
        <v>0</v>
      </c>
      <c r="BJ13" s="28" t="n">
        <v>0</v>
      </c>
      <c r="BK13" s="27" t="n">
        <v>0</v>
      </c>
      <c r="BL13" s="28" t="n">
        <v>0</v>
      </c>
      <c r="BM13" s="28" t="n">
        <v>96567.95463224177</v>
      </c>
      <c r="BN13" s="27" t="n">
        <v>0</v>
      </c>
      <c r="BO13" s="27" t="n">
        <v>6230176.862764478</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14151.77894664313</v>
      </c>
      <c r="N14" s="28" t="n">
        <v>232999.7845400172</v>
      </c>
      <c r="O14" s="27" t="n">
        <v>0</v>
      </c>
      <c r="P14" s="28" t="n">
        <v>215487.7941555483</v>
      </c>
      <c r="Q14" s="27" t="n">
        <v>173382.1665760718</v>
      </c>
      <c r="R14" s="27" t="n">
        <v>25243.52111244557</v>
      </c>
      <c r="S14" s="27" t="n">
        <v>505.1458054834306</v>
      </c>
      <c r="T14" s="27" t="n">
        <v>0</v>
      </c>
      <c r="U14" s="27" t="n">
        <v>2167.2</v>
      </c>
      <c r="V14" s="27" t="n">
        <v>187242.6385881874</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0</v>
      </c>
      <c r="AL14" s="27" t="n">
        <v>0</v>
      </c>
      <c r="AM14" s="28" t="n">
        <v>0</v>
      </c>
      <c r="AN14" s="28" t="n">
        <v>303420.6040581609</v>
      </c>
      <c r="AO14" s="27" t="n">
        <v>27915.866917929</v>
      </c>
      <c r="AP14" s="28" t="n">
        <v>307718.9111356672</v>
      </c>
      <c r="AQ14" s="27" t="n">
        <v>232999.7845400172</v>
      </c>
      <c r="AR14" s="27" t="n">
        <v>0</v>
      </c>
      <c r="AS14" s="27" t="n">
        <v>0</v>
      </c>
      <c r="AT14" s="28" t="n">
        <v>91529.4185562418</v>
      </c>
      <c r="AU14" s="28" t="n">
        <v>-16810.29196059184</v>
      </c>
      <c r="AV14" s="27" t="n">
        <v>0</v>
      </c>
      <c r="AW14" s="27" t="n">
        <v>0</v>
      </c>
      <c r="AX14" s="28" t="n">
        <v>0</v>
      </c>
      <c r="AY14" s="27" t="n">
        <v>15119.00055355161</v>
      </c>
      <c r="AZ14" s="27" t="n">
        <v>0</v>
      </c>
      <c r="BA14" s="27" t="n">
        <v>0</v>
      </c>
      <c r="BB14" s="28" t="n">
        <v>0</v>
      </c>
      <c r="BC14" s="27" t="n">
        <v>14151.77894664313</v>
      </c>
      <c r="BD14" s="27" t="n">
        <v>76410.41800269019</v>
      </c>
      <c r="BE14" s="27" t="n">
        <v>0</v>
      </c>
      <c r="BF14" s="28" t="n">
        <v>90562.19694933332</v>
      </c>
      <c r="BG14" s="27" t="n">
        <v>0</v>
      </c>
      <c r="BH14" s="27" t="n">
        <v>0</v>
      </c>
      <c r="BI14" s="27" t="n">
        <v>0</v>
      </c>
      <c r="BJ14" s="28" t="n">
        <v>0</v>
      </c>
      <c r="BK14" s="27" t="n">
        <v>0</v>
      </c>
      <c r="BL14" s="28" t="n">
        <v>0</v>
      </c>
      <c r="BM14" s="28" t="n">
        <v>105681.1975028849</v>
      </c>
      <c r="BN14" s="27" t="n">
        <v>7.275957614183426e-12</v>
      </c>
      <c r="BO14" s="27" t="n">
        <v>6305139.724279203</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11520.07844077523</v>
      </c>
      <c r="N15" s="28" t="n">
        <v>231061.2581677322</v>
      </c>
      <c r="O15" s="27" t="n">
        <v>0</v>
      </c>
      <c r="P15" s="28" t="n">
        <v>213282.2517008095</v>
      </c>
      <c r="Q15" s="27" t="n">
        <v>170334.5115697434</v>
      </c>
      <c r="R15" s="27" t="n">
        <v>24315.02590036753</v>
      </c>
      <c r="S15" s="27" t="n">
        <v>501.3628549573895</v>
      </c>
      <c r="T15" s="27" t="n">
        <v>0</v>
      </c>
      <c r="U15" s="27" t="n">
        <v>0</v>
      </c>
      <c r="V15" s="27" t="n">
        <v>191923.7045528921</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0</v>
      </c>
      <c r="AL15" s="27" t="n">
        <v>0</v>
      </c>
      <c r="AM15" s="28" t="n">
        <v>0</v>
      </c>
      <c r="AN15" s="28" t="n">
        <v>312531.705500745</v>
      </c>
      <c r="AO15" s="27" t="n">
        <v>24816.38875532492</v>
      </c>
      <c r="AP15" s="28" t="n">
        <v>313140.0954196366</v>
      </c>
      <c r="AQ15" s="27" t="n">
        <v>231061.2581677322</v>
      </c>
      <c r="AR15" s="27" t="n">
        <v>1.612395058477199e-13</v>
      </c>
      <c r="AS15" s="27" t="n">
        <v>0</v>
      </c>
      <c r="AT15" s="28" t="n">
        <v>100709.0850292515</v>
      </c>
      <c r="AU15" s="28" t="n">
        <v>-18630.2477773471</v>
      </c>
      <c r="AV15" s="27" t="n">
        <v>0</v>
      </c>
      <c r="AW15" s="27" t="n">
        <v>0</v>
      </c>
      <c r="AX15" s="28" t="n">
        <v>0</v>
      </c>
      <c r="AY15" s="27" t="n">
        <v>16026.1405867647</v>
      </c>
      <c r="AZ15" s="27" t="n">
        <v>0</v>
      </c>
      <c r="BA15" s="27" t="n">
        <v>0</v>
      </c>
      <c r="BB15" s="28" t="n">
        <v>0</v>
      </c>
      <c r="BC15" s="27" t="n">
        <v>11520.07844077523</v>
      </c>
      <c r="BD15" s="27" t="n">
        <v>84682.94444248683</v>
      </c>
      <c r="BE15" s="27" t="n">
        <v>0</v>
      </c>
      <c r="BF15" s="28" t="n">
        <v>96203.02288326206</v>
      </c>
      <c r="BG15" s="27" t="n">
        <v>0</v>
      </c>
      <c r="BH15" s="27" t="n">
        <v>0</v>
      </c>
      <c r="BI15" s="27" t="n">
        <v>0</v>
      </c>
      <c r="BJ15" s="28" t="n">
        <v>0</v>
      </c>
      <c r="BK15" s="27" t="n">
        <v>0</v>
      </c>
      <c r="BL15" s="28" t="n">
        <v>0</v>
      </c>
      <c r="BM15" s="28" t="n">
        <v>112229.1634700268</v>
      </c>
      <c r="BN15" s="27" t="n">
        <v>0</v>
      </c>
      <c r="BO15" s="27" t="n">
        <v>6377430.659716928</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8184.812503619985</v>
      </c>
      <c r="N16" s="28" t="n">
        <v>228570.0104264824</v>
      </c>
      <c r="O16" s="27" t="n">
        <v>0</v>
      </c>
      <c r="P16" s="28" t="n">
        <v>210516.1532277665</v>
      </c>
      <c r="Q16" s="27" t="n">
        <v>166709.4582940791</v>
      </c>
      <c r="R16" s="27" t="n">
        <v>23254.34284682186</v>
      </c>
      <c r="S16" s="27" t="n">
        <v>497.9235254186502</v>
      </c>
      <c r="T16" s="27" t="n">
        <v>0</v>
      </c>
      <c r="U16" s="27" t="n">
        <v>0</v>
      </c>
      <c r="V16" s="27" t="n">
        <v>196721.7971667143</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0</v>
      </c>
      <c r="AL16" s="27" t="n">
        <v>0</v>
      </c>
      <c r="AM16" s="28" t="n">
        <v>0</v>
      </c>
      <c r="AN16" s="28" t="n">
        <v>321957.0439865912</v>
      </c>
      <c r="AO16" s="27" t="n">
        <v>23752.26637224051</v>
      </c>
      <c r="AP16" s="28" t="n">
        <v>320896.1115514875</v>
      </c>
      <c r="AQ16" s="27" t="n">
        <v>228570.0104264824</v>
      </c>
      <c r="AR16" s="27" t="n">
        <v>1.674737249660906e-13</v>
      </c>
      <c r="AS16" s="27" t="n">
        <v>0</v>
      </c>
      <c r="AT16" s="28" t="n">
        <v>113575.3912053482</v>
      </c>
      <c r="AU16" s="28" t="n">
        <v>-21249.29008034308</v>
      </c>
      <c r="AV16" s="27" t="n">
        <v>0</v>
      </c>
      <c r="AW16" s="27" t="n">
        <v>0</v>
      </c>
      <c r="AX16" s="28" t="n">
        <v>0</v>
      </c>
      <c r="AY16" s="27" t="n">
        <v>16987.70902197058</v>
      </c>
      <c r="AZ16" s="27" t="n">
        <v>0</v>
      </c>
      <c r="BA16" s="27" t="n">
        <v>0</v>
      </c>
      <c r="BB16" s="28" t="n">
        <v>0</v>
      </c>
      <c r="BC16" s="27" t="n">
        <v>8184.812503619985</v>
      </c>
      <c r="BD16" s="27" t="n">
        <v>96587.68218337766</v>
      </c>
      <c r="BE16" s="27" t="n">
        <v>0</v>
      </c>
      <c r="BF16" s="28" t="n">
        <v>104772.4946869976</v>
      </c>
      <c r="BG16" s="27" t="n">
        <v>0</v>
      </c>
      <c r="BH16" s="27" t="n">
        <v>0</v>
      </c>
      <c r="BI16" s="27" t="n">
        <v>0</v>
      </c>
      <c r="BJ16" s="28" t="n">
        <v>0</v>
      </c>
      <c r="BK16" s="27" t="n">
        <v>0</v>
      </c>
      <c r="BL16" s="28" t="n">
        <v>0</v>
      </c>
      <c r="BM16" s="28" t="n">
        <v>121760.2037089682</v>
      </c>
      <c r="BN16" s="27" t="n">
        <v>0</v>
      </c>
      <c r="BO16" s="27" t="n">
        <v>6443582.263856475</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3982.695197484273</v>
      </c>
      <c r="N17" s="28" t="n">
        <v>225356.5264402783</v>
      </c>
      <c r="O17" s="27" t="n">
        <v>0</v>
      </c>
      <c r="P17" s="28" t="n">
        <v>207019.9957083133</v>
      </c>
      <c r="Q17" s="27" t="n">
        <v>162337.1668759522</v>
      </c>
      <c r="R17" s="27" t="n">
        <v>22024.00397527643</v>
      </c>
      <c r="S17" s="27" t="n">
        <v>494.80637990907</v>
      </c>
      <c r="T17" s="27" t="n">
        <v>0</v>
      </c>
      <c r="U17" s="27" t="n">
        <v>0</v>
      </c>
      <c r="V17" s="27" t="n">
        <v>201639.8420958822</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0</v>
      </c>
      <c r="AL17" s="27" t="n">
        <v>0</v>
      </c>
      <c r="AM17" s="28" t="n">
        <v>0</v>
      </c>
      <c r="AN17" s="28" t="n">
        <v>331709.2626179075</v>
      </c>
      <c r="AO17" s="27" t="n">
        <v>22518.8103551855</v>
      </c>
      <c r="AP17" s="28" t="n">
        <v>328794.5441955652</v>
      </c>
      <c r="AQ17" s="27" t="n">
        <v>225356.5264402783</v>
      </c>
      <c r="AR17" s="27" t="n">
        <v>1.739489860537449e-13</v>
      </c>
      <c r="AS17" s="27" t="n">
        <v>0</v>
      </c>
      <c r="AT17" s="28" t="n">
        <v>121838.0695676642</v>
      </c>
      <c r="AU17" s="28" t="n">
        <v>-18400.05181237732</v>
      </c>
      <c r="AV17" s="27" t="n">
        <v>8.152969639563345e-12</v>
      </c>
      <c r="AW17" s="27" t="n">
        <v>0</v>
      </c>
      <c r="AX17" s="28" t="n">
        <v>8.152969639563345e-12</v>
      </c>
      <c r="AY17" s="27" t="n">
        <v>18006.97156328882</v>
      </c>
      <c r="AZ17" s="27" t="n">
        <v>10493.1283627174</v>
      </c>
      <c r="BA17" s="27" t="n">
        <v>9701.370494488257</v>
      </c>
      <c r="BB17" s="28" t="n">
        <v>20194.49885720565</v>
      </c>
      <c r="BC17" s="27" t="n">
        <v>3982.695197484273</v>
      </c>
      <c r="BD17" s="27" t="n">
        <v>83636.59914716973</v>
      </c>
      <c r="BE17" s="27" t="n">
        <v>0</v>
      </c>
      <c r="BF17" s="28" t="n">
        <v>87619.294344654</v>
      </c>
      <c r="BG17" s="27" t="n">
        <v>0</v>
      </c>
      <c r="BH17" s="27" t="n">
        <v>0</v>
      </c>
      <c r="BI17" s="27" t="n">
        <v>0</v>
      </c>
      <c r="BJ17" s="28" t="n">
        <v>0</v>
      </c>
      <c r="BK17" s="27" t="n">
        <v>0</v>
      </c>
      <c r="BL17" s="28" t="n">
        <v>0</v>
      </c>
      <c r="BM17" s="28" t="n">
        <v>125820.7647651485</v>
      </c>
      <c r="BN17" s="27" t="n">
        <v>0</v>
      </c>
      <c r="BO17" s="27" t="n">
        <v>6508855.359427426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201639.8420958822</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0</v>
      </c>
      <c r="AL18" s="27" t="n">
        <v>0</v>
      </c>
      <c r="AM18" s="28" t="n">
        <v>0</v>
      </c>
      <c r="AN18" s="28" t="n">
        <v>336760.588215537</v>
      </c>
      <c r="AO18" s="27" t="n">
        <v>21353.51704674344</v>
      </c>
      <c r="AP18" s="28" t="n">
        <v>332044.7382653145</v>
      </c>
      <c r="AQ18" s="27" t="n">
        <v>222501.2466663256</v>
      </c>
      <c r="AR18" s="27" t="n">
        <v>0</v>
      </c>
      <c r="AS18" s="27" t="n">
        <v>0</v>
      </c>
      <c r="AT18" s="28" t="n">
        <v>109543.4915989889</v>
      </c>
      <c r="AU18" s="28" t="n">
        <v>0</v>
      </c>
      <c r="AV18" s="27" t="n">
        <v>0</v>
      </c>
      <c r="AW18" s="27" t="n">
        <v>0</v>
      </c>
      <c r="AX18" s="28" t="n">
        <v>0</v>
      </c>
      <c r="AY18" s="27" t="n">
        <v>0</v>
      </c>
      <c r="AZ18" s="27" t="n">
        <v>56919.16035035972</v>
      </c>
      <c r="BA18" s="27" t="n">
        <v>52624.33124862914</v>
      </c>
      <c r="BB18" s="28" t="n">
        <v>109543.4915989889</v>
      </c>
      <c r="BC18" s="27" t="n">
        <v>0</v>
      </c>
      <c r="BD18" s="27" t="n">
        <v>0</v>
      </c>
      <c r="BE18" s="27" t="n">
        <v>0</v>
      </c>
      <c r="BF18" s="28" t="n">
        <v>0</v>
      </c>
      <c r="BG18" s="27" t="n">
        <v>0</v>
      </c>
      <c r="BH18" s="27" t="n">
        <v>0</v>
      </c>
      <c r="BI18" s="27" t="n">
        <v>0</v>
      </c>
      <c r="BJ18" s="28" t="n">
        <v>0</v>
      </c>
      <c r="BK18" s="27" t="n">
        <v>0</v>
      </c>
      <c r="BL18" s="28" t="n">
        <v>0</v>
      </c>
      <c r="BM18" s="28" t="n">
        <v>109543.4915989889</v>
      </c>
      <c r="BN18" s="27" t="n">
        <v>0</v>
      </c>
      <c r="BO18" s="27" t="n">
        <v>6594591.719480794</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201639.8420958822</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0</v>
      </c>
      <c r="AL19" s="27" t="n">
        <v>0</v>
      </c>
      <c r="AM19" s="28" t="n">
        <v>0</v>
      </c>
      <c r="AN19" s="28" t="n">
        <v>342039.823577242</v>
      </c>
      <c r="AO19" s="27" t="n">
        <v>21082.90116166768</v>
      </c>
      <c r="AP19" s="28" t="n">
        <v>336401.6235670195</v>
      </c>
      <c r="AQ19" s="27" t="n">
        <v>223761.988162839</v>
      </c>
      <c r="AR19" s="27" t="n">
        <v>0</v>
      </c>
      <c r="AS19" s="27" t="n">
        <v>0</v>
      </c>
      <c r="AT19" s="28" t="n">
        <v>112639.6354041805</v>
      </c>
      <c r="AU19" s="28" t="n">
        <v>0</v>
      </c>
      <c r="AV19" s="27" t="n">
        <v>0</v>
      </c>
      <c r="AW19" s="27" t="n">
        <v>0</v>
      </c>
      <c r="AX19" s="28" t="n">
        <v>0</v>
      </c>
      <c r="AY19" s="27" t="n">
        <v>0</v>
      </c>
      <c r="AZ19" s="27" t="n">
        <v>58527.92690639218</v>
      </c>
      <c r="BA19" s="27" t="n">
        <v>54111.70849778833</v>
      </c>
      <c r="BB19" s="28" t="n">
        <v>112639.6354041805</v>
      </c>
      <c r="BC19" s="27" t="n">
        <v>0</v>
      </c>
      <c r="BD19" s="27" t="n">
        <v>0</v>
      </c>
      <c r="BE19" s="27" t="n">
        <v>0</v>
      </c>
      <c r="BF19" s="28" t="n">
        <v>0</v>
      </c>
      <c r="BG19" s="27" t="n">
        <v>0</v>
      </c>
      <c r="BH19" s="27" t="n">
        <v>0</v>
      </c>
      <c r="BI19" s="27" t="n">
        <v>0</v>
      </c>
      <c r="BJ19" s="28" t="n">
        <v>0</v>
      </c>
      <c r="BK19" s="27" t="n">
        <v>0</v>
      </c>
      <c r="BL19" s="28" t="n">
        <v>0</v>
      </c>
      <c r="BM19" s="28" t="n">
        <v>112639.6354041805</v>
      </c>
      <c r="BN19" s="27" t="n">
        <v>0</v>
      </c>
      <c r="BO19" s="27" t="n">
        <v>6681325.153003519</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201639.8420958822</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0</v>
      </c>
      <c r="AL20" s="27" t="n">
        <v>0</v>
      </c>
      <c r="AM20" s="28" t="n">
        <v>0</v>
      </c>
      <c r="AN20" s="28" t="n">
        <v>347558.28902607</v>
      </c>
      <c r="AO20" s="27" t="n">
        <v>20829.43882592252</v>
      </c>
      <c r="AP20" s="28" t="n">
        <v>340998.5991508052</v>
      </c>
      <c r="AQ20" s="27" t="n">
        <v>225150.9586998192</v>
      </c>
      <c r="AR20" s="27" t="n">
        <v>0</v>
      </c>
      <c r="AS20" s="27" t="n">
        <v>0</v>
      </c>
      <c r="AT20" s="28" t="n">
        <v>115847.6404509859</v>
      </c>
      <c r="AU20" s="28" t="n">
        <v>0</v>
      </c>
      <c r="AV20" s="27" t="n">
        <v>0</v>
      </c>
      <c r="AW20" s="27" t="n">
        <v>0</v>
      </c>
      <c r="AX20" s="28" t="n">
        <v>0</v>
      </c>
      <c r="AY20" s="27" t="n">
        <v>0</v>
      </c>
      <c r="AZ20" s="27" t="n">
        <v>60194.81693334442</v>
      </c>
      <c r="BA20" s="27" t="n">
        <v>55652.8235176415</v>
      </c>
      <c r="BB20" s="28" t="n">
        <v>115847.6404509859</v>
      </c>
      <c r="BC20" s="27" t="n">
        <v>0</v>
      </c>
      <c r="BD20" s="27" t="n">
        <v>0</v>
      </c>
      <c r="BE20" s="27" t="n">
        <v>0</v>
      </c>
      <c r="BF20" s="28" t="n">
        <v>0</v>
      </c>
      <c r="BG20" s="27" t="n">
        <v>0</v>
      </c>
      <c r="BH20" s="27" t="n">
        <v>0</v>
      </c>
      <c r="BI20" s="27" t="n">
        <v>0</v>
      </c>
      <c r="BJ20" s="28" t="n">
        <v>0</v>
      </c>
      <c r="BK20" s="27" t="n">
        <v>0</v>
      </c>
      <c r="BL20" s="28" t="n">
        <v>0</v>
      </c>
      <c r="BM20" s="28" t="n">
        <v>115847.6404509859</v>
      </c>
      <c r="BN20" s="27" t="n">
        <v>0</v>
      </c>
      <c r="BO20" s="27" t="n">
        <v>6768843.772642299</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201639.8420958822</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0</v>
      </c>
      <c r="AL21" s="27" t="n">
        <v>0</v>
      </c>
      <c r="AM21" s="28" t="n">
        <v>0</v>
      </c>
      <c r="AN21" s="28" t="n">
        <v>353327.89754892</v>
      </c>
      <c r="AO21" s="27" t="n">
        <v>20591.86971354248</v>
      </c>
      <c r="AP21" s="28" t="n">
        <v>345845.9103437454</v>
      </c>
      <c r="AQ21" s="27" t="n">
        <v>226663.4031439956</v>
      </c>
      <c r="AR21" s="27" t="n">
        <v>0</v>
      </c>
      <c r="AS21" s="27" t="n">
        <v>0</v>
      </c>
      <c r="AT21" s="28" t="n">
        <v>119182.5071997499</v>
      </c>
      <c r="AU21" s="28" t="n">
        <v>-1.455191522836685e-11</v>
      </c>
      <c r="AV21" s="27" t="n">
        <v>0</v>
      </c>
      <c r="AW21" s="27" t="n">
        <v>0</v>
      </c>
      <c r="AX21" s="28" t="n">
        <v>0</v>
      </c>
      <c r="AY21" s="27" t="n">
        <v>0</v>
      </c>
      <c r="AZ21" s="27" t="n">
        <v>61927.62471999828</v>
      </c>
      <c r="BA21" s="27" t="n">
        <v>57254.88247975161</v>
      </c>
      <c r="BB21" s="28" t="n">
        <v>119182.5071997499</v>
      </c>
      <c r="BC21" s="27" t="n">
        <v>0</v>
      </c>
      <c r="BD21" s="27" t="n">
        <v>0</v>
      </c>
      <c r="BE21" s="27" t="n">
        <v>0</v>
      </c>
      <c r="BF21" s="28" t="n">
        <v>0</v>
      </c>
      <c r="BG21" s="27" t="n">
        <v>0</v>
      </c>
      <c r="BH21" s="27" t="n">
        <v>0</v>
      </c>
      <c r="BI21" s="27" t="n">
        <v>0</v>
      </c>
      <c r="BJ21" s="28" t="n">
        <v>0</v>
      </c>
      <c r="BK21" s="27" t="n">
        <v>0</v>
      </c>
      <c r="BL21" s="28" t="n">
        <v>0</v>
      </c>
      <c r="BM21" s="28" t="n">
        <v>119182.5071997499</v>
      </c>
      <c r="BN21" s="27" t="n">
        <v>1.455191522836685e-11</v>
      </c>
      <c r="BO21" s="27" t="n">
        <v>6856911.69158995</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201639.8420958822</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0</v>
      </c>
      <c r="AL22" s="27" t="n">
        <v>0</v>
      </c>
      <c r="AM22" s="28" t="n">
        <v>0</v>
      </c>
      <c r="AN22" s="28" t="n">
        <v>359361.1866493796</v>
      </c>
      <c r="AO22" s="27" t="n">
        <v>20369.00045841167</v>
      </c>
      <c r="AP22" s="28" t="n">
        <v>350954.4837661063</v>
      </c>
      <c r="AQ22" s="27" t="n">
        <v>228294.8920138218</v>
      </c>
      <c r="AR22" s="27" t="n">
        <v>3.224790116954397e-13</v>
      </c>
      <c r="AS22" s="27" t="n">
        <v>0</v>
      </c>
      <c r="AT22" s="28" t="n">
        <v>122659.5917522845</v>
      </c>
      <c r="AU22" s="28" t="n">
        <v>1.455191522836685e-11</v>
      </c>
      <c r="AV22" s="27" t="n">
        <v>1.511455543027415e-11</v>
      </c>
      <c r="AW22" s="27" t="n">
        <v>0</v>
      </c>
      <c r="AX22" s="28" t="n">
        <v>1.511455543027415e-11</v>
      </c>
      <c r="AY22" s="27" t="n">
        <v>0</v>
      </c>
      <c r="AZ22" s="27" t="n">
        <v>63734.32934761766</v>
      </c>
      <c r="BA22" s="27" t="n">
        <v>58925.26240466688</v>
      </c>
      <c r="BB22" s="28" t="n">
        <v>122659.5917522845</v>
      </c>
      <c r="BC22" s="27" t="n">
        <v>0</v>
      </c>
      <c r="BD22" s="27" t="n">
        <v>0</v>
      </c>
      <c r="BE22" s="27" t="n">
        <v>0</v>
      </c>
      <c r="BF22" s="28" t="n">
        <v>0</v>
      </c>
      <c r="BG22" s="27" t="n">
        <v>0</v>
      </c>
      <c r="BH22" s="27" t="n">
        <v>0</v>
      </c>
      <c r="BI22" s="27" t="n">
        <v>0</v>
      </c>
      <c r="BJ22" s="28" t="n">
        <v>0</v>
      </c>
      <c r="BK22" s="27" t="n">
        <v>0</v>
      </c>
      <c r="BL22" s="28" t="n">
        <v>0</v>
      </c>
      <c r="BM22" s="28" t="n">
        <v>122659.5917522845</v>
      </c>
      <c r="BN22" s="27" t="n">
        <v>0</v>
      </c>
      <c r="BO22" s="27" t="n">
        <v>6945266.811883977</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201639.8420958822</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365671.3519339426</v>
      </c>
      <c r="AO23" s="27" t="n">
        <v>20159.7011855864</v>
      </c>
      <c r="AP23" s="28" t="n">
        <v>356335.957194302</v>
      </c>
      <c r="AQ23" s="27" t="n">
        <v>230041.3060437013</v>
      </c>
      <c r="AR23" s="27" t="n">
        <v>0</v>
      </c>
      <c r="AS23" s="27" t="n">
        <v>0</v>
      </c>
      <c r="AT23" s="28" t="n">
        <v>126294.6511506007</v>
      </c>
      <c r="AU23" s="28" t="n">
        <v>0</v>
      </c>
      <c r="AV23" s="27" t="n">
        <v>0</v>
      </c>
      <c r="AW23" s="27" t="n">
        <v>0</v>
      </c>
      <c r="AX23" s="28" t="n">
        <v>0</v>
      </c>
      <c r="AY23" s="27" t="n">
        <v>0</v>
      </c>
      <c r="AZ23" s="27" t="n">
        <v>65623.11822731911</v>
      </c>
      <c r="BA23" s="27" t="n">
        <v>60671.53292328159</v>
      </c>
      <c r="BB23" s="28" t="n">
        <v>126294.6511506007</v>
      </c>
      <c r="BC23" s="27" t="n">
        <v>0</v>
      </c>
      <c r="BD23" s="27" t="n">
        <v>0</v>
      </c>
      <c r="BE23" s="27" t="n">
        <v>0</v>
      </c>
      <c r="BF23" s="28" t="n">
        <v>0</v>
      </c>
      <c r="BG23" s="27" t="n">
        <v>0</v>
      </c>
      <c r="BH23" s="27" t="n">
        <v>0</v>
      </c>
      <c r="BI23" s="27" t="n">
        <v>0</v>
      </c>
      <c r="BJ23" s="28" t="n">
        <v>0</v>
      </c>
      <c r="BK23" s="27" t="n">
        <v>0</v>
      </c>
      <c r="BL23" s="28" t="n">
        <v>0</v>
      </c>
      <c r="BM23" s="28" t="n">
        <v>126294.6511506007</v>
      </c>
      <c r="BN23" s="27" t="n">
        <v>0</v>
      </c>
      <c r="BO23" s="27" t="n">
        <v>7033618.448064882</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201639.8420958822</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372272.2825264783</v>
      </c>
      <c r="AO24" s="27" t="n">
        <v>17782.59019445763</v>
      </c>
      <c r="AP24" s="28" t="n">
        <v>359822.3993975781</v>
      </c>
      <c r="AQ24" s="27" t="n">
        <v>221900.1515324549</v>
      </c>
      <c r="AR24" s="27" t="n">
        <v>0</v>
      </c>
      <c r="AS24" s="27" t="n">
        <v>0</v>
      </c>
      <c r="AT24" s="28" t="n">
        <v>137922.2478651232</v>
      </c>
      <c r="AU24" s="28" t="n">
        <v>0</v>
      </c>
      <c r="AV24" s="27" t="n">
        <v>0</v>
      </c>
      <c r="AW24" s="27" t="n">
        <v>0</v>
      </c>
      <c r="AX24" s="28" t="n">
        <v>0</v>
      </c>
      <c r="AY24" s="27" t="n">
        <v>0</v>
      </c>
      <c r="AZ24" s="27" t="n">
        <v>71664.85591727724</v>
      </c>
      <c r="BA24" s="27" t="n">
        <v>66257.39194784596</v>
      </c>
      <c r="BB24" s="28" t="n">
        <v>137922.2478651232</v>
      </c>
      <c r="BC24" s="27" t="n">
        <v>0</v>
      </c>
      <c r="BD24" s="27" t="n">
        <v>0</v>
      </c>
      <c r="BE24" s="27" t="n">
        <v>0</v>
      </c>
      <c r="BF24" s="28" t="n">
        <v>0</v>
      </c>
      <c r="BG24" s="27" t="n">
        <v>0</v>
      </c>
      <c r="BH24" s="27" t="n">
        <v>0</v>
      </c>
      <c r="BI24" s="27" t="n">
        <v>0</v>
      </c>
      <c r="BJ24" s="28" t="n">
        <v>0</v>
      </c>
      <c r="BK24" s="27" t="n">
        <v>0</v>
      </c>
      <c r="BL24" s="28" t="n">
        <v>0</v>
      </c>
      <c r="BM24" s="28" t="n">
        <v>137922.2478651232</v>
      </c>
      <c r="BN24" s="27" t="n">
        <v>0</v>
      </c>
      <c r="BO24" s="27" t="n">
        <v>7113357.314676682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201639.8420958822</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379178.5984110325</v>
      </c>
      <c r="AO25" s="27" t="n">
        <v>13059.52302307638</v>
      </c>
      <c r="AP25" s="28" t="n">
        <v>361249.8362776671</v>
      </c>
      <c r="AQ25" s="27" t="n">
        <v>200480.1465766074</v>
      </c>
      <c r="AR25" s="27" t="n">
        <v>0</v>
      </c>
      <c r="AS25" s="27" t="n">
        <v>0</v>
      </c>
      <c r="AT25" s="28" t="n">
        <v>160769.6897010597</v>
      </c>
      <c r="AU25" s="28" t="n">
        <v>0</v>
      </c>
      <c r="AV25" s="27" t="n">
        <v>0</v>
      </c>
      <c r="AW25" s="27" t="n">
        <v>0</v>
      </c>
      <c r="AX25" s="28" t="n">
        <v>0</v>
      </c>
      <c r="AY25" s="27" t="n">
        <v>0</v>
      </c>
      <c r="AZ25" s="27" t="n">
        <v>83536.46222151877</v>
      </c>
      <c r="BA25" s="27" t="n">
        <v>77233.22747954089</v>
      </c>
      <c r="BB25" s="28" t="n">
        <v>160769.6897010597</v>
      </c>
      <c r="BC25" s="27" t="n">
        <v>0</v>
      </c>
      <c r="BD25" s="27" t="n">
        <v>0</v>
      </c>
      <c r="BE25" s="27" t="n">
        <v>0</v>
      </c>
      <c r="BF25" s="28" t="n">
        <v>0</v>
      </c>
      <c r="BG25" s="27" t="n">
        <v>0</v>
      </c>
      <c r="BH25" s="27" t="n">
        <v>0</v>
      </c>
      <c r="BI25" s="27" t="n">
        <v>0</v>
      </c>
      <c r="BJ25" s="28" t="n">
        <v>0</v>
      </c>
      <c r="BK25" s="27" t="n">
        <v>0</v>
      </c>
      <c r="BL25" s="28" t="n">
        <v>0</v>
      </c>
      <c r="BM25" s="28" t="n">
        <v>160769.6897010597</v>
      </c>
      <c r="BN25" s="27" t="n">
        <v>0</v>
      </c>
      <c r="BO25" s="27" t="n">
        <v>7182538.341226648</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201639.8420958822</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386405.689808535</v>
      </c>
      <c r="AO26" s="27" t="n">
        <v>13268.12963278216</v>
      </c>
      <c r="AP26" s="28" t="n">
        <v>367910.8271559644</v>
      </c>
      <c r="AQ26" s="27" t="n">
        <v>203906.550820344</v>
      </c>
      <c r="AR26" s="27" t="n">
        <v>0</v>
      </c>
      <c r="AS26" s="27" t="n">
        <v>0</v>
      </c>
      <c r="AT26" s="28" t="n">
        <v>164004.2763356205</v>
      </c>
      <c r="AU26" s="28" t="n">
        <v>0</v>
      </c>
      <c r="AV26" s="27" t="n">
        <v>0</v>
      </c>
      <c r="AW26" s="27" t="n">
        <v>0</v>
      </c>
      <c r="AX26" s="28" t="n">
        <v>0</v>
      </c>
      <c r="AY26" s="27" t="n">
        <v>0</v>
      </c>
      <c r="AZ26" s="27" t="n">
        <v>85217.1641293389</v>
      </c>
      <c r="BA26" s="27" t="n">
        <v>78787.1122062816</v>
      </c>
      <c r="BB26" s="28" t="n">
        <v>164004.2763356205</v>
      </c>
      <c r="BC26" s="27" t="n">
        <v>0</v>
      </c>
      <c r="BD26" s="27" t="n">
        <v>0</v>
      </c>
      <c r="BE26" s="27" t="n">
        <v>0</v>
      </c>
      <c r="BF26" s="28" t="n">
        <v>0</v>
      </c>
      <c r="BG26" s="27" t="n">
        <v>0</v>
      </c>
      <c r="BH26" s="27" t="n">
        <v>0</v>
      </c>
      <c r="BI26" s="27" t="n">
        <v>0</v>
      </c>
      <c r="BJ26" s="28" t="n">
        <v>0</v>
      </c>
      <c r="BK26" s="27" t="n">
        <v>0</v>
      </c>
      <c r="BL26" s="28" t="n">
        <v>0</v>
      </c>
      <c r="BM26" s="28" t="n">
        <v>164004.2763356205</v>
      </c>
      <c r="BN26" s="27" t="n">
        <v>0</v>
      </c>
      <c r="BO26" s="27" t="n">
        <v>7275376.212044962</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201639.8420958822</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393969.7586987779</v>
      </c>
      <c r="AO27" s="27" t="n">
        <v>13479.69043282948</v>
      </c>
      <c r="AP27" s="28" t="n">
        <v>374892.3820391208</v>
      </c>
      <c r="AQ27" s="27" t="n">
        <v>207395.9678018882</v>
      </c>
      <c r="AR27" s="27" t="n">
        <v>0</v>
      </c>
      <c r="AS27" s="27" t="n">
        <v>0</v>
      </c>
      <c r="AT27" s="28" t="n">
        <v>167496.4142372326</v>
      </c>
      <c r="AU27" s="28" t="n">
        <v>-2.91038304567337e-11</v>
      </c>
      <c r="AV27" s="27" t="n">
        <v>0</v>
      </c>
      <c r="AW27" s="27" t="n">
        <v>0</v>
      </c>
      <c r="AX27" s="28" t="n">
        <v>0</v>
      </c>
      <c r="AY27" s="27" t="n">
        <v>0</v>
      </c>
      <c r="AZ27" s="27" t="n">
        <v>87031.69052690048</v>
      </c>
      <c r="BA27" s="27" t="n">
        <v>80464.72371033215</v>
      </c>
      <c r="BB27" s="28" t="n">
        <v>167496.4142372326</v>
      </c>
      <c r="BC27" s="27" t="n">
        <v>0</v>
      </c>
      <c r="BD27" s="27" t="n">
        <v>0</v>
      </c>
      <c r="BE27" s="27" t="n">
        <v>0</v>
      </c>
      <c r="BF27" s="28" t="n">
        <v>0</v>
      </c>
      <c r="BG27" s="27" t="n">
        <v>0</v>
      </c>
      <c r="BH27" s="27" t="n">
        <v>0</v>
      </c>
      <c r="BI27" s="27" t="n">
        <v>0</v>
      </c>
      <c r="BJ27" s="28" t="n">
        <v>0</v>
      </c>
      <c r="BK27" s="27" t="n">
        <v>0</v>
      </c>
      <c r="BL27" s="28" t="n">
        <v>0</v>
      </c>
      <c r="BM27" s="28" t="n">
        <v>167496.4142372326</v>
      </c>
      <c r="BN27" s="27" t="n">
        <v>2.91038304567337e-11</v>
      </c>
      <c r="BO27" s="27" t="n">
        <v>7366662.085884208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201639.8420958822</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401887.8626051445</v>
      </c>
      <c r="AO28" s="27" t="n">
        <v>13693.56939596265</v>
      </c>
      <c r="AP28" s="28" t="n">
        <v>382210.4382313085</v>
      </c>
      <c r="AQ28" s="27" t="n">
        <v>210946.512803967</v>
      </c>
      <c r="AR28" s="27" t="n">
        <v>6.449580233908794e-13</v>
      </c>
      <c r="AS28" s="27" t="n">
        <v>0</v>
      </c>
      <c r="AT28" s="28" t="n">
        <v>171263.9254273415</v>
      </c>
      <c r="AU28" s="28" t="n">
        <v>2.91038304567337e-11</v>
      </c>
      <c r="AV28" s="27" t="n">
        <v>3.02291108605483e-11</v>
      </c>
      <c r="AW28" s="27" t="n">
        <v>0</v>
      </c>
      <c r="AX28" s="28" t="n">
        <v>3.02291108605483e-11</v>
      </c>
      <c r="AY28" s="27" t="n">
        <v>0</v>
      </c>
      <c r="AZ28" s="27" t="n">
        <v>88989.30179546039</v>
      </c>
      <c r="BA28" s="27" t="n">
        <v>82274.62363188106</v>
      </c>
      <c r="BB28" s="28" t="n">
        <v>171263.9254273414</v>
      </c>
      <c r="BC28" s="27" t="n">
        <v>0</v>
      </c>
      <c r="BD28" s="27" t="n">
        <v>0</v>
      </c>
      <c r="BE28" s="27" t="n">
        <v>0</v>
      </c>
      <c r="BF28" s="28" t="n">
        <v>0</v>
      </c>
      <c r="BG28" s="27" t="n">
        <v>0</v>
      </c>
      <c r="BH28" s="27" t="n">
        <v>0</v>
      </c>
      <c r="BI28" s="27" t="n">
        <v>0</v>
      </c>
      <c r="BJ28" s="28" t="n">
        <v>0</v>
      </c>
      <c r="BK28" s="27" t="n">
        <v>0</v>
      </c>
      <c r="BL28" s="28" t="n">
        <v>0</v>
      </c>
      <c r="BM28" s="28" t="n">
        <v>171263.9254273415</v>
      </c>
      <c r="BN28" s="27" t="n">
        <v>0</v>
      </c>
      <c r="BO28" s="27" t="n">
        <v>7455925.059574871</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201639.8420958822</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410177.9607660196</v>
      </c>
      <c r="AO29" s="27" t="n">
        <v>13916.482755611</v>
      </c>
      <c r="AP29" s="28" t="n">
        <v>389889.174907587</v>
      </c>
      <c r="AQ29" s="27" t="n">
        <v>214589.4401599739</v>
      </c>
      <c r="AR29" s="27" t="n">
        <v>0</v>
      </c>
      <c r="AS29" s="27" t="n">
        <v>0</v>
      </c>
      <c r="AT29" s="28" t="n">
        <v>175299.7347476131</v>
      </c>
      <c r="AU29" s="28" t="n">
        <v>0</v>
      </c>
      <c r="AV29" s="27" t="n">
        <v>0</v>
      </c>
      <c r="AW29" s="27" t="n">
        <v>0</v>
      </c>
      <c r="AX29" s="28" t="n">
        <v>0</v>
      </c>
      <c r="AY29" s="27" t="n">
        <v>0</v>
      </c>
      <c r="AZ29" s="27" t="n">
        <v>91086.32165936015</v>
      </c>
      <c r="BA29" s="27" t="n">
        <v>84213.41308825293</v>
      </c>
      <c r="BB29" s="28" t="n">
        <v>175299.7347476131</v>
      </c>
      <c r="BC29" s="27" t="n">
        <v>0</v>
      </c>
      <c r="BD29" s="27" t="n">
        <v>0</v>
      </c>
      <c r="BE29" s="27" t="n">
        <v>0</v>
      </c>
      <c r="BF29" s="28" t="n">
        <v>0</v>
      </c>
      <c r="BG29" s="27" t="n">
        <v>0</v>
      </c>
      <c r="BH29" s="27" t="n">
        <v>0</v>
      </c>
      <c r="BI29" s="27" t="n">
        <v>0</v>
      </c>
      <c r="BJ29" s="28" t="n">
        <v>0</v>
      </c>
      <c r="BK29" s="27" t="n">
        <v>0</v>
      </c>
      <c r="BL29" s="28" t="n">
        <v>0</v>
      </c>
      <c r="BM29" s="28" t="n">
        <v>175299.7347476131</v>
      </c>
      <c r="BN29" s="27" t="n">
        <v>0</v>
      </c>
      <c r="BO29" s="27" t="n">
        <v>7542674.391686004</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201639.8420958822</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418858.9628236093</v>
      </c>
      <c r="AO30" s="27" t="n">
        <v>14168.56397368701</v>
      </c>
      <c r="AP30" s="28" t="n">
        <v>397967.1264679015</v>
      </c>
      <c r="AQ30" s="27" t="n">
        <v>218417.0175942602</v>
      </c>
      <c r="AR30" s="27" t="n">
        <v>0</v>
      </c>
      <c r="AS30" s="27" t="n">
        <v>0</v>
      </c>
      <c r="AT30" s="28" t="n">
        <v>179550.1088736413</v>
      </c>
      <c r="AU30" s="28" t="n">
        <v>0</v>
      </c>
      <c r="AV30" s="27" t="n">
        <v>0</v>
      </c>
      <c r="AW30" s="27" t="n">
        <v>0</v>
      </c>
      <c r="AX30" s="28" t="n">
        <v>0</v>
      </c>
      <c r="AY30" s="27" t="n">
        <v>0</v>
      </c>
      <c r="AZ30" s="27" t="n">
        <v>93294.83010561322</v>
      </c>
      <c r="BA30" s="27" t="n">
        <v>86255.27876802806</v>
      </c>
      <c r="BB30" s="28" t="n">
        <v>179550.1088736413</v>
      </c>
      <c r="BC30" s="27" t="n">
        <v>0</v>
      </c>
      <c r="BD30" s="27" t="n">
        <v>0</v>
      </c>
      <c r="BE30" s="27" t="n">
        <v>0</v>
      </c>
      <c r="BF30" s="28" t="n">
        <v>0</v>
      </c>
      <c r="BG30" s="27" t="n">
        <v>0</v>
      </c>
      <c r="BH30" s="27" t="n">
        <v>0</v>
      </c>
      <c r="BI30" s="27" t="n">
        <v>0</v>
      </c>
      <c r="BJ30" s="28" t="n">
        <v>0</v>
      </c>
      <c r="BK30" s="27" t="n">
        <v>0</v>
      </c>
      <c r="BL30" s="28" t="n">
        <v>0</v>
      </c>
      <c r="BM30" s="28" t="n">
        <v>179550.1088736413</v>
      </c>
      <c r="BN30" s="27" t="n">
        <v>0</v>
      </c>
      <c r="BO30" s="27" t="n">
        <v>7626412.59987139</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201639.8420958822</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427950.78016808</v>
      </c>
      <c r="AO31" s="27" t="n">
        <v>14452.75569409362</v>
      </c>
      <c r="AP31" s="28" t="n">
        <v>406466.625524544</v>
      </c>
      <c r="AQ31" s="27" t="n">
        <v>222443.6119520883</v>
      </c>
      <c r="AR31" s="27" t="n">
        <v>0</v>
      </c>
      <c r="AS31" s="27" t="n">
        <v>0</v>
      </c>
      <c r="AT31" s="28" t="n">
        <v>184023.0135724556</v>
      </c>
      <c r="AU31" s="28" t="n">
        <v>0</v>
      </c>
      <c r="AV31" s="27" t="n">
        <v>0</v>
      </c>
      <c r="AW31" s="27" t="n">
        <v>0</v>
      </c>
      <c r="AX31" s="28" t="n">
        <v>0</v>
      </c>
      <c r="AY31" s="27" t="n">
        <v>0</v>
      </c>
      <c r="AZ31" s="27" t="n">
        <v>0</v>
      </c>
      <c r="BA31" s="27" t="n">
        <v>184023.0135724556</v>
      </c>
      <c r="BB31" s="28" t="n">
        <v>184023.0135724556</v>
      </c>
      <c r="BC31" s="27" t="n">
        <v>0</v>
      </c>
      <c r="BD31" s="27" t="n">
        <v>0</v>
      </c>
      <c r="BE31" s="27" t="n">
        <v>0</v>
      </c>
      <c r="BF31" s="28" t="n">
        <v>0</v>
      </c>
      <c r="BG31" s="27" t="n">
        <v>0</v>
      </c>
      <c r="BH31" s="27" t="n">
        <v>0</v>
      </c>
      <c r="BI31" s="27" t="n">
        <v>0</v>
      </c>
      <c r="BJ31" s="28" t="n">
        <v>0</v>
      </c>
      <c r="BK31" s="27" t="n">
        <v>0</v>
      </c>
      <c r="BL31" s="28" t="n">
        <v>0</v>
      </c>
      <c r="BM31" s="28" t="n">
        <v>184023.0135724556</v>
      </c>
      <c r="BN31" s="27" t="n">
        <v>0</v>
      </c>
      <c r="BO31" s="27" t="n">
        <v>7707704.937080713</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201639.8420958822</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365191.9959804319</v>
      </c>
      <c r="AO32" s="27" t="n">
        <v>15227.79197644511</v>
      </c>
      <c r="AP32" s="28" t="n">
        <v>343584.4548608066</v>
      </c>
      <c r="AQ32" s="27" t="n">
        <v>155729.8264844285</v>
      </c>
      <c r="AR32" s="27" t="n">
        <v>0</v>
      </c>
      <c r="AS32" s="27" t="n">
        <v>0</v>
      </c>
      <c r="AT32" s="28" t="n">
        <v>187854.6283763782</v>
      </c>
      <c r="AU32" s="28" t="n">
        <v>0</v>
      </c>
      <c r="AV32" s="27" t="n">
        <v>0</v>
      </c>
      <c r="AW32" s="27" t="n">
        <v>0</v>
      </c>
      <c r="AX32" s="28" t="n">
        <v>0</v>
      </c>
      <c r="AY32" s="27" t="n">
        <v>0</v>
      </c>
      <c r="AZ32" s="27" t="n">
        <v>0</v>
      </c>
      <c r="BA32" s="27" t="n">
        <v>187854.6283763782</v>
      </c>
      <c r="BB32" s="28" t="n">
        <v>187854.6283763782</v>
      </c>
      <c r="BC32" s="27" t="n">
        <v>0</v>
      </c>
      <c r="BD32" s="27" t="n">
        <v>0</v>
      </c>
      <c r="BE32" s="27" t="n">
        <v>0</v>
      </c>
      <c r="BF32" s="28" t="n">
        <v>0</v>
      </c>
      <c r="BG32" s="27" t="n">
        <v>0</v>
      </c>
      <c r="BH32" s="27" t="n">
        <v>0</v>
      </c>
      <c r="BI32" s="27" t="n">
        <v>0</v>
      </c>
      <c r="BJ32" s="28" t="n">
        <v>0</v>
      </c>
      <c r="BK32" s="27" t="n">
        <v>0</v>
      </c>
      <c r="BL32" s="28" t="n">
        <v>0</v>
      </c>
      <c r="BM32" s="28" t="n">
        <v>187854.6283763782</v>
      </c>
      <c r="BN32" s="27" t="n">
        <v>0</v>
      </c>
      <c r="BO32" s="27" t="n">
        <v>7785649.778384743</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201639.8420958822</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371321.5994824758</v>
      </c>
      <c r="AO33" s="27" t="n">
        <v>15252.76260547477</v>
      </c>
      <c r="AP33" s="28" t="n">
        <v>348818.1456644785</v>
      </c>
      <c r="AQ33" s="27" t="n">
        <v>157357.8025611761</v>
      </c>
      <c r="AR33" s="27" t="n">
        <v>0</v>
      </c>
      <c r="AS33" s="27" t="n">
        <v>0</v>
      </c>
      <c r="AT33" s="28" t="n">
        <v>191460.3431033025</v>
      </c>
      <c r="AU33" s="28" t="n">
        <v>0</v>
      </c>
      <c r="AV33" s="27" t="n">
        <v>0</v>
      </c>
      <c r="AW33" s="27" t="n">
        <v>0</v>
      </c>
      <c r="AX33" s="28" t="n">
        <v>0</v>
      </c>
      <c r="AY33" s="27" t="n">
        <v>0</v>
      </c>
      <c r="AZ33" s="27" t="n">
        <v>0</v>
      </c>
      <c r="BA33" s="27" t="n">
        <v>191460.3431033025</v>
      </c>
      <c r="BB33" s="28" t="n">
        <v>191460.3431033025</v>
      </c>
      <c r="BC33" s="27" t="n">
        <v>0</v>
      </c>
      <c r="BD33" s="27" t="n">
        <v>0</v>
      </c>
      <c r="BE33" s="27" t="n">
        <v>0</v>
      </c>
      <c r="BF33" s="28" t="n">
        <v>0</v>
      </c>
      <c r="BG33" s="27" t="n">
        <v>0</v>
      </c>
      <c r="BH33" s="27" t="n">
        <v>0</v>
      </c>
      <c r="BI33" s="27" t="n">
        <v>0</v>
      </c>
      <c r="BJ33" s="28" t="n">
        <v>0</v>
      </c>
      <c r="BK33" s="27" t="n">
        <v>0</v>
      </c>
      <c r="BL33" s="28" t="n">
        <v>0</v>
      </c>
      <c r="BM33" s="28" t="n">
        <v>191460.3431033025</v>
      </c>
      <c r="BN33" s="27" t="n">
        <v>0</v>
      </c>
      <c r="BO33" s="27" t="n">
        <v>7867077.363444649</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Patricia Pension (PV of future income)</t>
        </is>
      </c>
      <c r="B4" s="27" t="n">
        <v>66618.91815552025</v>
      </c>
      <c r="C4" s="12" t="inlineStr">
        <is>
          <t>PV through mortality</t>
        </is>
      </c>
    </row>
    <row r="5" ht="30" customHeight="1">
      <c r="A5" s="12" t="inlineStr">
        <is>
          <t xml:space="preserve">  Patricia Single Annuity (PV)</t>
        </is>
      </c>
      <c r="B5" s="27" t="n">
        <v>53198.32320054132</v>
      </c>
      <c r="C5" s="33" t="inlineStr"/>
    </row>
    <row r="6" ht="30" customHeight="1">
      <c r="A6" s="12" t="inlineStr">
        <is>
          <t xml:space="preserve">  Patricia Joint Annuity (PV)</t>
        </is>
      </c>
      <c r="B6" s="27" t="n">
        <v>336263.3497205881</v>
      </c>
      <c r="C6" s="33" t="inlineStr"/>
    </row>
    <row r="7" ht="30" customHeight="1">
      <c r="A7" s="12" t="inlineStr">
        <is>
          <t xml:space="preserve">  Matthew Single Annuity (PV)</t>
        </is>
      </c>
      <c r="B7" s="27" t="n">
        <v>91417.59968588264</v>
      </c>
      <c r="C7" s="33" t="inlineStr"/>
    </row>
    <row r="8" ht="30" customHeight="1">
      <c r="A8" s="12" t="inlineStr">
        <is>
          <t xml:space="preserve">  Matthew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41270.464</v>
      </c>
      <c r="C11" s="12" t="inlineStr">
        <is>
          <t>Tax-deferred</t>
        </is>
      </c>
    </row>
    <row r="12" ht="15" customHeight="1">
      <c r="A12" s="12" t="inlineStr">
        <is>
          <t xml:space="preserve">  Matthew's Traditional IRA</t>
        </is>
      </c>
      <c r="B12" s="27" t="n">
        <v>1411591.8891052</v>
      </c>
      <c r="C12" s="12" t="inlineStr">
        <is>
          <t>Tax-deferred</t>
        </is>
      </c>
    </row>
    <row r="13" ht="30" customHeight="1">
      <c r="A13" s="12" t="inlineStr">
        <is>
          <t xml:space="preserve">  Patricia's Traditional IRA</t>
        </is>
      </c>
      <c r="B13" s="27" t="n">
        <v>488504.4688181999</v>
      </c>
      <c r="C13" s="12" t="inlineStr">
        <is>
          <t>Tax-deferred</t>
        </is>
      </c>
    </row>
    <row r="14" ht="30" customHeight="1">
      <c r="A14" s="11" t="inlineStr">
        <is>
          <t xml:space="preserve">  Total Pre-Tax (Tax-Deferred)</t>
        </is>
      </c>
      <c r="B14" s="28" t="n">
        <v>1941366.8219234</v>
      </c>
      <c r="C14" s="34" t="inlineStr"/>
    </row>
    <row r="15" ht="15" customHeight="1">
      <c r="A15" s="10" t="inlineStr">
        <is>
          <t>Roth (Tax-Free)</t>
        </is>
      </c>
      <c r="B15" s="3" t="n"/>
      <c r="C15" s="4" t="n"/>
    </row>
    <row r="16" ht="15" customHeight="1">
      <c r="A16" s="12" t="inlineStr">
        <is>
          <t xml:space="preserve">  Matthew's Roth IRA</t>
        </is>
      </c>
      <c r="B16" s="27" t="n">
        <v>146617.2657862</v>
      </c>
      <c r="C16" s="12" t="inlineStr">
        <is>
          <t>Tax-free</t>
        </is>
      </c>
    </row>
    <row r="17" ht="15" customHeight="1">
      <c r="A17" s="12" t="inlineStr">
        <is>
          <t xml:space="preserve">  Patricia's Roth IRA</t>
        </is>
      </c>
      <c r="B17" s="27" t="n">
        <v>218384.26212164</v>
      </c>
      <c r="C17" s="12" t="inlineStr">
        <is>
          <t>Tax-free</t>
        </is>
      </c>
    </row>
    <row r="18" ht="15" customHeight="1">
      <c r="A18" s="11" t="inlineStr">
        <is>
          <t xml:space="preserve">  Total Roth (Tax-Free)</t>
        </is>
      </c>
      <c r="B18" s="28" t="n">
        <v>365001.52790784</v>
      </c>
      <c r="C18" s="34" t="inlineStr"/>
    </row>
    <row r="19" ht="15" customHeight="1">
      <c r="A19" s="10" t="inlineStr">
        <is>
          <t>Taxable / Trust</t>
        </is>
      </c>
      <c r="B19" s="3" t="n"/>
      <c r="C19" s="4" t="n"/>
    </row>
    <row r="20" ht="15" customHeight="1">
      <c r="A20" s="12" t="inlineStr">
        <is>
          <t xml:space="preserve">  Matthew's Trust</t>
        </is>
      </c>
      <c r="B20" s="27" t="n">
        <v>300555.1064124113</v>
      </c>
      <c r="C20" s="12" t="inlineStr">
        <is>
          <t>Taxable</t>
        </is>
      </c>
    </row>
    <row r="21" ht="15" customHeight="1">
      <c r="A21" s="12" t="inlineStr">
        <is>
          <t xml:space="preserve">  Patricia's Trust</t>
        </is>
      </c>
      <c r="B21" s="27" t="n">
        <v>346275.36612844</v>
      </c>
      <c r="C21" s="12" t="inlineStr">
        <is>
          <t>Taxable</t>
        </is>
      </c>
    </row>
    <row r="22" ht="15" customHeight="1">
      <c r="A22" s="11" t="inlineStr">
        <is>
          <t xml:space="preserve">  Total Taxable / Trust</t>
        </is>
      </c>
      <c r="B22" s="28" t="n">
        <v>646830.4725408512</v>
      </c>
      <c r="C22" s="34" t="inlineStr"/>
    </row>
    <row r="23" ht="15" customHeight="1">
      <c r="A23" s="10" t="inlineStr">
        <is>
          <t>Health Savings Account</t>
        </is>
      </c>
      <c r="B23" s="3" t="n"/>
      <c r="C23" s="4" t="n"/>
    </row>
    <row r="24" ht="15" customHeight="1">
      <c r="A24" s="12" t="inlineStr">
        <is>
          <t xml:space="preserve">  Matthew's HSA</t>
        </is>
      </c>
      <c r="B24" s="27" t="n">
        <v>84423.70941279999</v>
      </c>
      <c r="C24" s="12" t="inlineStr">
        <is>
          <t>Triple tax-advantaged</t>
        </is>
      </c>
    </row>
    <row r="25" ht="30" customHeight="1">
      <c r="A25" s="11" t="inlineStr">
        <is>
          <t xml:space="preserve">  Total Health Savings Account</t>
        </is>
      </c>
      <c r="B25" s="28" t="n">
        <v>84423.70941279999</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6007534.633530889</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322372.89762428</v>
      </c>
      <c r="F3" s="27" t="n">
        <v>244711.0178139996</v>
      </c>
      <c r="G3" s="27" t="n">
        <v>44138.52427535989</v>
      </c>
      <c r="H3" s="27" t="n">
        <v>15734.11443240186</v>
      </c>
      <c r="I3" s="27" t="n">
        <v>0</v>
      </c>
      <c r="J3" s="27" t="n">
        <v>9180</v>
      </c>
      <c r="K3" s="27" t="n">
        <v>2725.2</v>
      </c>
      <c r="L3" s="27" t="n">
        <v>71777.83870776175</v>
      </c>
      <c r="M3" s="29" t="n">
        <v>0.2226546934830036</v>
      </c>
      <c r="N3" s="29" t="n">
        <v>0.24</v>
      </c>
    </row>
    <row r="4" ht="15" customHeight="1">
      <c r="A4" s="26" t="n">
        <v>2027</v>
      </c>
      <c r="B4" s="40" t="n">
        <v>65</v>
      </c>
      <c r="C4" s="40" t="n">
        <v>66</v>
      </c>
      <c r="D4" s="41" t="inlineStr">
        <is>
          <t>MFJ</t>
        </is>
      </c>
      <c r="E4" s="27" t="n">
        <v>273360</v>
      </c>
      <c r="F4" s="27" t="n">
        <v>234220.32</v>
      </c>
      <c r="G4" s="27" t="n">
        <v>41328.9144</v>
      </c>
      <c r="H4" s="27" t="n">
        <v>2215.068706685095</v>
      </c>
      <c r="I4" s="27" t="n">
        <v>887.6799999999999</v>
      </c>
      <c r="J4" s="27" t="n">
        <v>0</v>
      </c>
      <c r="K4" s="27" t="n">
        <v>2167.2</v>
      </c>
      <c r="L4" s="27" t="n">
        <v>50421.49294897833</v>
      </c>
      <c r="M4" s="29" t="n">
        <v>0.1844508814346588</v>
      </c>
      <c r="N4" s="29" t="n">
        <v>0.24</v>
      </c>
    </row>
    <row r="5" ht="15" customHeight="1">
      <c r="A5" s="26" t="n">
        <v>2028</v>
      </c>
      <c r="B5" s="40" t="n">
        <v>66</v>
      </c>
      <c r="C5" s="40" t="n">
        <v>67</v>
      </c>
      <c r="D5" s="41" t="inlineStr">
        <is>
          <t>MFJ</t>
        </is>
      </c>
      <c r="E5" s="27" t="n">
        <v>278827.2</v>
      </c>
      <c r="F5" s="27" t="n">
        <v>239324.7264</v>
      </c>
      <c r="G5" s="27" t="n">
        <v>42256.292688</v>
      </c>
      <c r="H5" s="27" t="n">
        <v>1694.038612664053</v>
      </c>
      <c r="I5" s="27" t="n">
        <v>1095.433600000001</v>
      </c>
      <c r="J5" s="27" t="n">
        <v>0</v>
      </c>
      <c r="K5" s="27" t="n">
        <v>5450.4</v>
      </c>
      <c r="L5" s="27" t="n">
        <v>53353.63282306291</v>
      </c>
      <c r="M5" s="29" t="n">
        <v>0.1913501725192625</v>
      </c>
      <c r="N5" s="29" t="n">
        <v>0.24</v>
      </c>
    </row>
    <row r="6" ht="15" customHeight="1">
      <c r="A6" s="26" t="n">
        <v>2029</v>
      </c>
      <c r="B6" s="40" t="n">
        <v>67</v>
      </c>
      <c r="C6" s="40" t="n">
        <v>68</v>
      </c>
      <c r="D6" s="41" t="inlineStr">
        <is>
          <t>MFJ</t>
        </is>
      </c>
      <c r="E6" s="27" t="n">
        <v>281484.7492599302</v>
      </c>
      <c r="F6" s="27" t="n">
        <v>242628.2269751292</v>
      </c>
      <c r="G6" s="27" t="n">
        <v>42745.49999307102</v>
      </c>
      <c r="H6" s="27" t="n">
        <v>1704.176267679117</v>
      </c>
      <c r="I6" s="27" t="n">
        <v>1196.420471877346</v>
      </c>
      <c r="J6" s="27" t="n">
        <v>0</v>
      </c>
      <c r="K6" s="27" t="n">
        <v>2167.2</v>
      </c>
      <c r="L6" s="27" t="n">
        <v>48187.90195200039</v>
      </c>
      <c r="M6" s="29" t="n">
        <v>0.1711918747949732</v>
      </c>
      <c r="N6" s="29" t="n">
        <v>0.24</v>
      </c>
    </row>
    <row r="7" ht="15" customHeight="1">
      <c r="A7" s="26" t="n">
        <v>2030</v>
      </c>
      <c r="B7" s="40" t="n">
        <v>68</v>
      </c>
      <c r="C7" s="40" t="n">
        <v>69</v>
      </c>
      <c r="D7" s="41" t="inlineStr">
        <is>
          <t>MFJ</t>
        </is>
      </c>
      <c r="E7" s="27" t="n">
        <v>287184.5138177453</v>
      </c>
      <c r="F7" s="27" t="n">
        <v>250529.0311515053</v>
      </c>
      <c r="G7" s="27" t="n">
        <v>44331.98750578208</v>
      </c>
      <c r="H7" s="27" t="n">
        <v>1445.045672662552</v>
      </c>
      <c r="I7" s="27" t="n">
        <v>1109.327991134888</v>
      </c>
      <c r="J7" s="27" t="n">
        <v>0</v>
      </c>
      <c r="K7" s="27" t="n">
        <v>2167.2</v>
      </c>
      <c r="L7" s="27" t="n">
        <v>49053.56116957951</v>
      </c>
      <c r="M7" s="29" t="n">
        <v>0.1708085179018746</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215487.7941555483</v>
      </c>
      <c r="F14" s="27" t="n">
        <v>173382.1665760718</v>
      </c>
      <c r="G14" s="27" t="n">
        <v>25243.52111244557</v>
      </c>
      <c r="H14" s="27" t="n">
        <v>505.1458054834306</v>
      </c>
      <c r="I14" s="27" t="n">
        <v>0</v>
      </c>
      <c r="J14" s="27" t="n">
        <v>0</v>
      </c>
      <c r="K14" s="27" t="n">
        <v>2167.2</v>
      </c>
      <c r="L14" s="27" t="n">
        <v>27915.866917929</v>
      </c>
      <c r="M14" s="29" t="n">
        <v>0.1295473232130175</v>
      </c>
      <c r="N14" s="29" t="n">
        <v>0.22</v>
      </c>
    </row>
    <row r="15" ht="15" customHeight="1">
      <c r="A15" s="26" t="n">
        <v>2038</v>
      </c>
      <c r="B15" s="40" t="n">
        <v>76</v>
      </c>
      <c r="C15" s="40" t="n">
        <v>77</v>
      </c>
      <c r="D15" s="41" t="inlineStr">
        <is>
          <t>MFJ</t>
        </is>
      </c>
      <c r="E15" s="27" t="n">
        <v>213282.2517008095</v>
      </c>
      <c r="F15" s="27" t="n">
        <v>170334.5115697434</v>
      </c>
      <c r="G15" s="27" t="n">
        <v>24315.02590036753</v>
      </c>
      <c r="H15" s="27" t="n">
        <v>501.3628549573895</v>
      </c>
      <c r="I15" s="27" t="n">
        <v>0</v>
      </c>
      <c r="J15" s="27" t="n">
        <v>0</v>
      </c>
      <c r="K15" s="27" t="n">
        <v>0</v>
      </c>
      <c r="L15" s="27" t="n">
        <v>24816.38875532492</v>
      </c>
      <c r="M15" s="29" t="n">
        <v>0.1163546828553608</v>
      </c>
      <c r="N15" s="29" t="n">
        <v>0.22</v>
      </c>
    </row>
    <row r="16" ht="15" customHeight="1">
      <c r="A16" s="26" t="n">
        <v>2039</v>
      </c>
      <c r="B16" s="40" t="n">
        <v>77</v>
      </c>
      <c r="C16" s="40" t="n">
        <v>78</v>
      </c>
      <c r="D16" s="41" t="inlineStr">
        <is>
          <t>MFJ</t>
        </is>
      </c>
      <c r="E16" s="27" t="n">
        <v>210516.1532277665</v>
      </c>
      <c r="F16" s="27" t="n">
        <v>166709.4582940791</v>
      </c>
      <c r="G16" s="27" t="n">
        <v>23254.34284682186</v>
      </c>
      <c r="H16" s="27" t="n">
        <v>497.9235254186502</v>
      </c>
      <c r="I16" s="27" t="n">
        <v>0</v>
      </c>
      <c r="J16" s="27" t="n">
        <v>0</v>
      </c>
      <c r="K16" s="27" t="n">
        <v>0</v>
      </c>
      <c r="L16" s="27" t="n">
        <v>23752.26637224051</v>
      </c>
      <c r="M16" s="29" t="n">
        <v>0.1128287117546838</v>
      </c>
      <c r="N16" s="29" t="n">
        <v>0.22</v>
      </c>
    </row>
    <row r="17" ht="15" customHeight="1">
      <c r="A17" s="26" t="n">
        <v>2040</v>
      </c>
      <c r="B17" s="40" t="n">
        <v>78</v>
      </c>
      <c r="C17" s="40" t="n">
        <v>79</v>
      </c>
      <c r="D17" s="41" t="inlineStr">
        <is>
          <t>MFJ</t>
        </is>
      </c>
      <c r="E17" s="27" t="n">
        <v>207019.9957083133</v>
      </c>
      <c r="F17" s="27" t="n">
        <v>162337.1668759522</v>
      </c>
      <c r="G17" s="27" t="n">
        <v>22024.00397527643</v>
      </c>
      <c r="H17" s="27" t="n">
        <v>494.80637990907</v>
      </c>
      <c r="I17" s="27" t="n">
        <v>0</v>
      </c>
      <c r="J17" s="27" t="n">
        <v>0</v>
      </c>
      <c r="K17" s="27" t="n">
        <v>0</v>
      </c>
      <c r="L17" s="27" t="n">
        <v>22518.8103551855</v>
      </c>
      <c r="M17" s="29" t="n">
        <v>0.1087760159502371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829512.2726992813</v>
      </c>
    </row>
    <row r="36" ht="30" customHeight="1">
      <c r="A36" s="35" t="inlineStr">
        <is>
          <t>Lifetime State Tax (Il)</t>
        </is>
      </c>
      <c r="B36" s="3" t="n"/>
      <c r="C36" s="3" t="n"/>
      <c r="D36" s="3" t="n"/>
      <c r="E36" s="3" t="n"/>
      <c r="F36" s="4" t="n"/>
      <c r="G36" s="42" t="n">
        <v>35563.67161873738</v>
      </c>
    </row>
    <row r="37" ht="30" customHeight="1">
      <c r="A37" s="35" t="inlineStr">
        <is>
          <t>Lifetime NIIT</t>
        </is>
      </c>
      <c r="B37" s="3" t="n"/>
      <c r="C37" s="3" t="n"/>
      <c r="D37" s="3" t="n"/>
      <c r="E37" s="3" t="n"/>
      <c r="F37" s="4" t="n"/>
      <c r="G37" s="42" t="n">
        <v>4288.862063012235</v>
      </c>
    </row>
    <row r="38" ht="30" customHeight="1">
      <c r="A38" s="35" t="inlineStr">
        <is>
          <t>Lifetime Total Tax</t>
        </is>
      </c>
      <c r="B38" s="3" t="n"/>
      <c r="C38" s="3" t="n"/>
      <c r="D38" s="3" t="n"/>
      <c r="E38" s="3" t="n"/>
      <c r="F38" s="4" t="n"/>
      <c r="G38" s="42" t="n">
        <v>915447.1093650959</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142706</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(109%  OVER budget)</t>
        </is>
      </c>
      <c r="B5" s="47" t="n">
        <v>13130.20999999999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4852</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3567.65</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23831.9</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23118.37</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4709.3</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10132.13</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70211.35000000001</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321560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120789</v>
      </c>
      <c r="E14" s="65" t="n">
        <v>24950.54000000001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10100</v>
      </c>
      <c r="E48" s="61" t="n">
        <v>-1637.549999999999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27" t="n">
        <v>100</v>
      </c>
      <c r="E50" s="27" t="n">
        <v>-54.39</v>
      </c>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16917</v>
      </c>
      <c r="E89" s="65" t="n">
        <v>15263.03</v>
      </c>
      <c r="F89" s="60" t="n">
        <v>0.09106783265905558</v>
      </c>
    </row>
    <row r="90" hidden="1" outlineLevel="1" ht="45" customHeight="1">
      <c r="A90" s="6" t="inlineStr">
        <is>
          <t xml:space="preserve">  Travel</t>
        </is>
      </c>
      <c r="B90" s="61" t="n">
        <v>16222.26</v>
      </c>
      <c r="C90" s="61" t="n">
        <v>32180.03</v>
      </c>
      <c r="D90" s="61" t="n">
        <v>16917</v>
      </c>
      <c r="E90" s="66" t="n">
        <v>15263.03</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15" customHeight="1">
      <c r="A92" s="12" t="inlineStr">
        <is>
          <t xml:space="preserve">    Travel &amp; Vacation</t>
        </is>
      </c>
      <c r="B92" s="27" t="n">
        <v>3722.02</v>
      </c>
      <c r="C92" s="27" t="n">
        <v>7383.35</v>
      </c>
      <c r="D92" s="27" t="n">
        <v>8127</v>
      </c>
      <c r="E92" s="27" t="n">
        <v>-743.6499999999996</v>
      </c>
      <c r="F92" s="29" t="n">
        <v>0.02089451744169173</v>
      </c>
    </row>
    <row r="93" hidden="1" outlineLevel="2" ht="15" customHeight="1">
      <c r="A93" s="12" t="inlineStr">
        <is>
          <t xml:space="preserve">    Travel - Housing</t>
        </is>
      </c>
      <c r="B93" s="27" t="n">
        <v>2248</v>
      </c>
      <c r="C93" s="27" t="n">
        <v>4459.35</v>
      </c>
      <c r="D93" s="27" t="n">
        <v>2617</v>
      </c>
      <c r="E93" s="67" t="n">
        <v>1842.35</v>
      </c>
      <c r="F93" s="29" t="n">
        <v>0.01261972670993788</v>
      </c>
    </row>
    <row r="94" hidden="1" outlineLevel="2" ht="15" customHeight="1">
      <c r="A94" s="12" t="inlineStr">
        <is>
          <t xml:space="preserve">    Travel - Insurance</t>
        </is>
      </c>
      <c r="B94" s="27" t="n">
        <v>76</v>
      </c>
      <c r="C94" s="27" t="n">
        <v>150.76</v>
      </c>
      <c r="D94" s="27" t="n">
        <v>159</v>
      </c>
      <c r="E94" s="27" t="n">
        <v>-8.240000000000009</v>
      </c>
      <c r="F94" s="29" t="n">
        <v>0.0004266455649267256</v>
      </c>
    </row>
    <row r="95" hidden="1" outlineLevel="2" ht="30" customHeight="1">
      <c r="A95" s="12" t="inlineStr">
        <is>
          <t xml:space="preserve">    Travel - Plane/Train/Bus</t>
        </is>
      </c>
      <c r="B95" s="27" t="n">
        <v>1414.53</v>
      </c>
      <c r="C95" s="27" t="n">
        <v>2806</v>
      </c>
      <c r="D95" s="27" t="n">
        <v>2744</v>
      </c>
      <c r="E95" s="67" t="n">
        <v>62</v>
      </c>
      <c r="F95" s="29" t="n">
        <v>0.007940828302050016</v>
      </c>
    </row>
    <row r="96" ht="15" customHeight="1">
      <c r="A96" s="57" t="inlineStr">
        <is>
          <t>Large Discretionary</t>
        </is>
      </c>
      <c r="B96" s="58" t="n">
        <v>0</v>
      </c>
      <c r="C96" s="58" t="n">
        <v>0</v>
      </c>
      <c r="D96" s="59" t="inlineStr"/>
      <c r="E96" s="59" t="inlineStr"/>
      <c r="F96" s="60" t="n">
        <v>0</v>
      </c>
    </row>
    <row r="97" hidden="1" outlineLevel="1" ht="15" customHeight="1">
      <c r="A97" s="6" t="inlineStr">
        <is>
          <t xml:space="preserve">  Wedding</t>
        </is>
      </c>
      <c r="B97" s="61" t="n">
        <v>0</v>
      </c>
      <c r="C97" s="61" t="n">
        <v>0</v>
      </c>
      <c r="D97" s="62" t="inlineStr"/>
      <c r="E97" s="62" t="inlineStr"/>
      <c r="F97" s="63" t="n">
        <v>0</v>
      </c>
    </row>
    <row r="98" hidden="1" outlineLevel="2" ht="15" customHeight="1">
      <c r="A98" s="12" t="inlineStr">
        <is>
          <t xml:space="preserve">    Children Weddings</t>
        </is>
      </c>
      <c r="B98" s="27" t="n">
        <v>0</v>
      </c>
      <c r="C98" s="27" t="n">
        <v>0</v>
      </c>
      <c r="D98" s="64" t="inlineStr"/>
      <c r="E98" s="64" t="inlineStr"/>
      <c r="F98" s="29"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321560</v>
      </c>
      <c r="E111" s="68" t="n">
        <v>31803.26000000001</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322372.89762428</v>
      </c>
      <c r="E14" s="27" t="n">
        <v>210834</v>
      </c>
      <c r="F14" s="27" t="n">
        <v>0</v>
      </c>
      <c r="G14" s="27" t="n">
        <v>1370624.86142</v>
      </c>
      <c r="H14" s="27" t="n">
        <v>460853.2724699999</v>
      </c>
      <c r="I14" s="27" t="n">
        <v>622631.1273500511</v>
      </c>
      <c r="J14" s="27" t="n">
        <v>0</v>
      </c>
      <c r="K14" s="12" t="inlineStr">
        <is>
          <t>—</t>
        </is>
      </c>
      <c r="L14" s="12" t="inlineStr">
        <is>
          <t>—</t>
        </is>
      </c>
      <c r="M14" s="27" t="n">
        <v>322372.89762428</v>
      </c>
      <c r="N14" s="27" t="n">
        <v>268000</v>
      </c>
      <c r="O14" s="74" t="inlineStr">
        <is>
          <t>AGI &gt; target bracket</t>
        </is>
      </c>
    </row>
    <row r="15" ht="75" customHeight="1">
      <c r="A15" s="73" t="n">
        <v>2027</v>
      </c>
      <c r="B15" s="41" t="inlineStr">
        <is>
          <t>Voluntary</t>
        </is>
      </c>
      <c r="C15" s="12" t="inlineStr">
        <is>
          <t>Member_2_IRA $224,099→Member_2_Roth</t>
        </is>
      </c>
      <c r="D15" s="27" t="n">
        <v>49260.86276131505</v>
      </c>
      <c r="E15" s="27" t="n">
        <v>215050.68</v>
      </c>
      <c r="F15" s="27" t="n">
        <v>165789.8172386849</v>
      </c>
      <c r="G15" s="27" t="n">
        <v>1452862.3531052</v>
      </c>
      <c r="H15" s="27" t="n">
        <v>488504.4688181999</v>
      </c>
      <c r="I15" s="27" t="n">
        <v>382536.5273193497</v>
      </c>
      <c r="J15" s="28" t="n">
        <v>224099.137238685</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$212,481→Member_2_Roth</t>
        </is>
      </c>
      <c r="D16" s="27" t="n">
        <v>66346.44951391085</v>
      </c>
      <c r="E16" s="27" t="n">
        <v>219351.6936</v>
      </c>
      <c r="F16" s="27" t="n">
        <v>153005.2440860892</v>
      </c>
      <c r="G16" s="27" t="n">
        <v>1540034.087883673</v>
      </c>
      <c r="H16" s="27" t="n">
        <v>280269.6503081279</v>
      </c>
      <c r="I16" s="27" t="n">
        <v>143107.322635302</v>
      </c>
      <c r="J16" s="28" t="n">
        <v>212480.7504860891</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Member_2_IRA $71,856→Member_2_Roth + Member_1_401k $46,371→Member_1_Roth + Member_1_IRA $25,543→Member_1_Roth</t>
        </is>
      </c>
      <c r="D17" s="27" t="n">
        <v>140632.5608486751</v>
      </c>
      <c r="E17" s="27" t="n">
        <v>223738.727472</v>
      </c>
      <c r="F17" s="27" t="n">
        <v>83106.16662332488</v>
      </c>
      <c r="G17" s="27" t="n">
        <v>1632436.129937292</v>
      </c>
      <c r="H17" s="27" t="n">
        <v>71856.23366965017</v>
      </c>
      <c r="I17" s="27" t="n">
        <v>-728.6983424156169</v>
      </c>
      <c r="J17" s="28" t="n">
        <v>143771.1831513249</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$155,297→Member_1_Roth</t>
        </is>
      </c>
      <c r="D18" s="27" t="n">
        <v>134794.3354959987</v>
      </c>
      <c r="E18" s="27" t="n">
        <v>228213.50202144</v>
      </c>
      <c r="F18" s="27" t="n">
        <v>93419.16652544131</v>
      </c>
      <c r="G18" s="27" t="n">
        <v>1605106.18630125</v>
      </c>
      <c r="H18" s="27" t="n">
        <v>0</v>
      </c>
      <c r="I18" s="27" t="n">
        <v>-43834.93853854621</v>
      </c>
      <c r="J18" s="28" t="n">
        <v>155297.4833840013</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1424948.482285232</v>
      </c>
      <c r="H19" s="27" t="n">
        <v>0</v>
      </c>
      <c r="I19" s="27" t="n">
        <v>-51921.79610448479</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1278902.272628047</v>
      </c>
      <c r="H20" s="27" t="n">
        <v>0</v>
      </c>
      <c r="I20" s="27" t="n">
        <v>-135068.4682991201</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1031359.410996295</v>
      </c>
      <c r="H21" s="27" t="n">
        <v>0</v>
      </c>
      <c r="I21" s="27" t="n">
        <v>-42433.87273025494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889093.9960738975</v>
      </c>
      <c r="H22" s="27" t="n">
        <v>0</v>
      </c>
      <c r="I22" s="27" t="n">
        <v>-109354.5149006441</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635865.5235444951</v>
      </c>
      <c r="H23" s="27" t="n">
        <v>0</v>
      </c>
      <c r="I23" s="27" t="n">
        <v>-77054.9195769548</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215487.7941555483</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213282.2517008095</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210516.1532277665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207019.9957083133</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$1,335,288</t>
        </is>
      </c>
      <c r="B31" s="3" t="n"/>
      <c r="C31" s="3" t="n"/>
      <c r="D31" s="3" t="n"/>
      <c r="E31" s="3" t="n"/>
      <c r="F31" s="3" t="n"/>
      <c r="G31" s="3" t="n"/>
      <c r="H31" s="4" t="n"/>
      <c r="I31" s="11" t="inlineStr">
        <is>
          <t>Forced</t>
        </is>
      </c>
      <c r="J31" s="76" t="n">
        <v>0</v>
      </c>
      <c r="K31" s="11" t="inlineStr">
        <is>
          <t>Voluntary</t>
        </is>
      </c>
      <c r="L31" s="76" t="n">
        <v>1335287.638423484</v>
      </c>
      <c r="M31" s="11" t="inlineStr">
        <is>
          <t>Grand Total</t>
        </is>
      </c>
      <c r="N31" s="76" t="n">
        <v>1335287.638423484</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07/03/2026 11:32 AM</t>
        </is>
      </c>
      <c r="B5" s="12" t="inlineStr">
        <is>
          <t>Cached quotes were used as of 07/03/2026 11:32 AM; cache TTL is 24.0 hours. CACHE mode checks the cache before calling live providers; the cache is still valid until 07/04/2026 11:32 AM.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1357238.41112</v>
      </c>
      <c r="C9" s="79" t="n">
        <v>0.253628988303966</v>
      </c>
      <c r="D9" s="80" t="n">
        <v>1209226.55896</v>
      </c>
      <c r="E9" s="81" t="n">
        <v>0.2259698121321402</v>
      </c>
      <c r="F9" s="12" t="inlineStr">
        <is>
          <t>Liquid</t>
        </is>
      </c>
      <c r="G9" s="79" t="n">
        <v>0.35</v>
      </c>
      <c r="H9" s="12" t="inlineStr">
        <is>
          <t>Under 9.6%</t>
        </is>
      </c>
      <c r="I9" s="75" t="inlineStr">
        <is>
          <t>Under 12.4%</t>
        </is>
      </c>
    </row>
    <row r="10" ht="45" customHeight="1">
      <c r="A10" s="2" t="inlineStr">
        <is>
          <t>Real Estate Coverage (Home Equity)</t>
        </is>
      </c>
      <c r="B10" s="78" t="n">
        <v>1313000</v>
      </c>
      <c r="C10" s="79" t="n">
        <v>0.245362096235032</v>
      </c>
      <c r="D10" s="78" t="n">
        <v>1313000</v>
      </c>
      <c r="E10" s="79" t="n">
        <v>0.245362096235032</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0.2381352506783397</v>
      </c>
      <c r="D11" s="78" t="n">
        <v>1274327.16356137</v>
      </c>
      <c r="E11" s="79" t="n">
        <v>0.2381352506783397</v>
      </c>
      <c r="F11" s="82" t="inlineStr">
        <is>
          <t>Non-liquid</t>
        </is>
      </c>
      <c r="G11" s="79" t="n">
        <v>0.2</v>
      </c>
      <c r="H11" s="12" t="inlineStr">
        <is>
          <t>✓ Covered</t>
        </is>
      </c>
      <c r="I11" s="12" t="inlineStr">
        <is>
          <t>✓ Covered</t>
        </is>
      </c>
    </row>
    <row r="12" ht="45" customHeight="1">
      <c r="A12" s="12" t="inlineStr">
        <is>
          <t>International</t>
        </is>
      </c>
      <c r="B12" s="78" t="n">
        <v>910327.1116479998</v>
      </c>
      <c r="C12" s="79" t="n">
        <v>0.1701140657833475</v>
      </c>
      <c r="D12" s="80" t="n">
        <v>690987.1116479998</v>
      </c>
      <c r="E12" s="81" t="n">
        <v>0.129125701588228</v>
      </c>
      <c r="F12" s="12" t="inlineStr">
        <is>
          <t>Liquid</t>
        </is>
      </c>
      <c r="G12" s="79" t="n">
        <v>0.2</v>
      </c>
      <c r="H12" s="12" t="inlineStr">
        <is>
          <t>✓</t>
        </is>
      </c>
      <c r="I12" s="75" t="inlineStr">
        <is>
          <t>Under 7.1%</t>
        </is>
      </c>
    </row>
    <row r="13" ht="45" customHeight="1">
      <c r="A13" s="12" t="inlineStr">
        <is>
          <t>US Small Cap</t>
        </is>
      </c>
      <c r="B13" s="78" t="n">
        <v>309683.143654</v>
      </c>
      <c r="C13" s="79" t="n">
        <v>0.05787091035460776</v>
      </c>
      <c r="D13" s="80" t="n">
        <v>172747.143654</v>
      </c>
      <c r="E13" s="81" t="n">
        <v>0.0322814937437621</v>
      </c>
      <c r="F13" s="12" t="inlineStr">
        <is>
          <t>Liquid</t>
        </is>
      </c>
      <c r="G13" s="79" t="n">
        <v>0.05</v>
      </c>
      <c r="H13" s="12" t="inlineStr">
        <is>
          <t>✓</t>
        </is>
      </c>
      <c r="I13" s="75" t="inlineStr">
        <is>
          <t>✓</t>
        </is>
      </c>
    </row>
    <row r="14" ht="45" customHeight="1">
      <c r="A14" s="12" t="inlineStr">
        <is>
          <t>Commodities</t>
        </is>
      </c>
      <c r="B14" s="78" t="n">
        <v>166714.35</v>
      </c>
      <c r="C14" s="79" t="n">
        <v>0.03115413738648956</v>
      </c>
      <c r="D14" s="80" t="n">
        <v>172746.35</v>
      </c>
      <c r="E14" s="81" t="n">
        <v>0.03228134543255941</v>
      </c>
      <c r="F14" s="12" t="inlineStr">
        <is>
          <t>Liquid</t>
        </is>
      </c>
      <c r="G14" s="79" t="n">
        <v>0.05</v>
      </c>
      <c r="H14" s="12" t="inlineStr">
        <is>
          <t>✓</t>
        </is>
      </c>
      <c r="I14" s="75" t="inlineStr">
        <is>
          <t>✓</t>
        </is>
      </c>
    </row>
    <row r="15" ht="45" customHeight="1">
      <c r="A15" s="12" t="inlineStr">
        <is>
          <t>Cash</t>
        </is>
      </c>
      <c r="B15" s="78" t="n">
        <v>19984.61</v>
      </c>
      <c r="C15" s="79" t="n">
        <v>0.003734551258217504</v>
      </c>
      <c r="D15" s="80" t="n">
        <v>172746.61</v>
      </c>
      <c r="E15" s="81" t="n">
        <v>0.03228139401911312</v>
      </c>
      <c r="F15" s="12" t="inlineStr">
        <is>
          <t>Liquid</t>
        </is>
      </c>
      <c r="G15" s="79" t="n">
        <v>0.05</v>
      </c>
      <c r="H15" s="12" t="inlineStr">
        <is>
          <t>Under 4.6%</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172747</v>
      </c>
      <c r="E17" s="81" t="n">
        <v>0.03228146689894369</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172747</v>
      </c>
      <c r="E22" s="81" t="n">
        <v>0.03228146689894369</v>
      </c>
      <c r="F22" s="12" t="inlineStr">
        <is>
          <t>Liquid</t>
        </is>
      </c>
      <c r="G22" s="79" t="n">
        <v>0.05</v>
      </c>
      <c r="H22" s="12" t="inlineStr">
        <is>
          <t>Under 5.0%</t>
        </is>
      </c>
      <c r="I22" s="75" t="inlineStr">
        <is>
          <t>✓</t>
        </is>
      </c>
    </row>
    <row r="23" ht="30" customHeight="1">
      <c r="A23" s="2" t="inlineStr">
        <is>
          <t>TOTAL PORTFOLIO</t>
        </is>
      </c>
      <c r="B23" s="83" t="n">
        <v>5351274.789983369</v>
      </c>
      <c r="C23" s="84" t="n">
        <v>1</v>
      </c>
      <c r="D23" s="83" t="n">
        <v>5351274.789983369</v>
      </c>
      <c r="E23" s="84" t="n">
        <v>1</v>
      </c>
    </row>
    <row r="24"/>
    <row r="25" ht="30" customHeight="1">
      <c r="A25" s="2" t="inlineStr">
        <is>
          <t>Non-Liquid Coverage:</t>
        </is>
      </c>
    </row>
    <row r="26" ht="45" customHeight="1">
      <c r="A26" s="12" t="inlineStr">
        <is>
          <t>Fixed Income Coverage: selected guaranteed/bond-like assets cover 23.8%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24.5%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07/03/2026 11:32 AM</t>
        </is>
      </c>
      <c r="C32" s="12" t="inlineStr">
        <is>
          <t>Cached quotes were used as of 07/03/2026 11:32 AM; cache TTL is 24.0 hours. CACHE mode checks the cache before calling live providers; the cache is still valid until 07/04/2026 11:32 AM.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0.612712653784277</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0.2168060159544365</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0.1131161822370973</v>
      </c>
      <c r="D42" s="87" t="n">
        <v>0.0625</v>
      </c>
      <c r="E42" s="12" t="inlineStr">
        <is>
          <t>Included in selected liquid target recommendation.</t>
        </is>
      </c>
      <c r="F42" s="4" t="n"/>
    </row>
    <row r="43" ht="90" customHeight="1">
      <c r="A43" s="12" t="inlineStr">
        <is>
          <t>Bonds</t>
        </is>
      </c>
      <c r="B43" s="88" t="n">
        <v>0.15</v>
      </c>
      <c r="C43" s="88" t="n">
        <v>0.0127757876522447</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0.005678127845442088</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0.0573651480241892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40.7%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5.1%</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1357238.41112</v>
      </c>
      <c r="D66" s="79" t="n">
        <v>0.4910506979746858</v>
      </c>
      <c r="E66" s="90" t="n">
        <v>0.05355069797468587</v>
      </c>
      <c r="F66" s="12" t="inlineStr">
        <is>
          <t>Rebalance</t>
        </is>
      </c>
    </row>
    <row r="67" ht="30" customHeight="1">
      <c r="A67" s="12" t="inlineStr">
        <is>
          <t>International</t>
        </is>
      </c>
      <c r="B67" s="79" t="n">
        <v>0.25</v>
      </c>
      <c r="C67" s="78" t="n">
        <v>910327.1116479998</v>
      </c>
      <c r="D67" s="79" t="n">
        <v>0.329357583676953</v>
      </c>
      <c r="E67" s="90" t="n">
        <v>0.079357583676953</v>
      </c>
      <c r="F67" s="12" t="inlineStr">
        <is>
          <t>Rebalance</t>
        </is>
      </c>
    </row>
    <row r="68" ht="45" customHeight="1">
      <c r="A68" s="12" t="inlineStr">
        <is>
          <t>US Small Cap</t>
        </is>
      </c>
      <c r="B68" s="79" t="n">
        <v>0.0625</v>
      </c>
      <c r="C68" s="78" t="n">
        <v>309683.143654</v>
      </c>
      <c r="D68" s="79" t="n">
        <v>0.1120437813993214</v>
      </c>
      <c r="E68" s="90" t="n">
        <v>0.04954378139932143</v>
      </c>
      <c r="F68" s="12" t="inlineStr">
        <is>
          <t>Rebalance</t>
        </is>
      </c>
    </row>
    <row r="69" ht="45" customHeight="1">
      <c r="A69" s="12" t="inlineStr">
        <is>
          <t>Commodities</t>
        </is>
      </c>
      <c r="B69" s="79" t="n">
        <v>0.0625</v>
      </c>
      <c r="C69" s="78" t="n">
        <v>166714.35</v>
      </c>
      <c r="D69" s="79" t="n">
        <v>0.06031747794577998</v>
      </c>
      <c r="E69" s="79" t="n">
        <v>-0.002182522054220017</v>
      </c>
      <c r="F69" s="12" t="inlineStr">
        <is>
          <t>Hold</t>
        </is>
      </c>
    </row>
    <row r="70" ht="45" customHeight="1">
      <c r="A70" s="12" t="inlineStr">
        <is>
          <t>Cash</t>
        </is>
      </c>
      <c r="B70" s="79" t="n">
        <v>0.0625</v>
      </c>
      <c r="C70" s="78" t="n">
        <v>19984.61</v>
      </c>
      <c r="D70" s="79" t="n">
        <v>0.007230459003259253</v>
      </c>
      <c r="E70" s="90" t="n">
        <v>-0.05526954099674074</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0.0008556479093536615</v>
      </c>
      <c r="C92" s="12" t="inlineStr">
        <is>
          <t>Annual fee drag: $2,365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14934.4</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0.003932375525534121</v>
      </c>
      <c r="G98" s="12" t="inlineStr">
        <is>
          <t>US Small Cap</t>
        </is>
      </c>
      <c r="H98" s="12" t="inlineStr">
        <is>
          <t>fresh_cache_24h_from_yahoo</t>
        </is>
      </c>
    </row>
    <row r="99" ht="45" customHeight="1">
      <c r="A99" s="33" t="inlineStr"/>
      <c r="B99" s="12" t="inlineStr">
        <is>
          <t>CASH</t>
        </is>
      </c>
      <c r="C99" s="94" t="n">
        <v>4065.52</v>
      </c>
      <c r="D99" s="78" t="n">
        <v>1</v>
      </c>
      <c r="E99" s="78" t="n">
        <v>4065.52</v>
      </c>
      <c r="F99" s="79" t="n">
        <v>0.001470910650091774</v>
      </c>
      <c r="G99" s="12" t="inlineStr">
        <is>
          <t>Cash</t>
        </is>
      </c>
      <c r="H99" s="12" t="inlineStr">
        <is>
          <t>cash</t>
        </is>
      </c>
    </row>
    <row r="100"/>
    <row r="101" ht="45" customHeight="1">
      <c r="A101" s="92" t="inlineStr">
        <is>
          <t>Member_1_HSA</t>
        </is>
      </c>
      <c r="B101" s="3" t="n"/>
      <c r="C101" s="3" t="n"/>
      <c r="D101" s="4" t="n"/>
      <c r="E101" s="93" t="n">
        <v>72070.00887999999</v>
      </c>
      <c r="F101" s="92" t="inlineStr">
        <is>
          <t>Account Total</t>
        </is>
      </c>
      <c r="G101" s="92" t="inlineStr">
        <is>
          <t>Sources:</t>
        </is>
      </c>
      <c r="H101" s="75" t="inlineStr">
        <is>
          <t>cash, fresh_cache_24h_from_yahoo</t>
        </is>
      </c>
    </row>
    <row r="102" ht="45" customHeight="1">
      <c r="A102" s="33" t="inlineStr"/>
      <c r="B102" s="12" t="inlineStr">
        <is>
          <t>CASH</t>
        </is>
      </c>
      <c r="C102" s="94" t="n">
        <v>279.59</v>
      </c>
      <c r="D102" s="78" t="n">
        <v>1</v>
      </c>
      <c r="E102" s="78" t="n">
        <v>279.59</v>
      </c>
      <c r="F102" s="79" t="n">
        <v>0.0001011560412097736</v>
      </c>
      <c r="G102" s="12" t="inlineStr">
        <is>
          <t>Cash</t>
        </is>
      </c>
      <c r="H102" s="12" t="inlineStr">
        <is>
          <t>cash</t>
        </is>
      </c>
    </row>
    <row r="103" ht="45" customHeight="1">
      <c r="A103" s="33" t="inlineStr"/>
      <c r="B103" s="12" t="inlineStr">
        <is>
          <t>ITOT</t>
        </is>
      </c>
      <c r="C103" s="94" t="n">
        <v>438.388</v>
      </c>
      <c r="D103" s="78" t="n">
        <v>163.76</v>
      </c>
      <c r="E103" s="78" t="n">
        <v>71790.41888</v>
      </c>
      <c r="F103" s="79" t="n">
        <v>0.02597387092060586</v>
      </c>
      <c r="G103" s="12" t="inlineStr">
        <is>
          <t>US Large Cap</t>
        </is>
      </c>
      <c r="H103" s="12" t="inlineStr">
        <is>
          <t>fresh_cache_24h_from_yahoo</t>
        </is>
      </c>
    </row>
    <row r="104"/>
    <row r="105" ht="45" customHeight="1">
      <c r="A105" s="92" t="inlineStr">
        <is>
          <t>Member_1_IRA</t>
        </is>
      </c>
      <c r="B105" s="3" t="n"/>
      <c r="C105" s="3" t="n"/>
      <c r="D105" s="4" t="n"/>
      <c r="E105" s="93" t="n">
        <v>1331690.46142</v>
      </c>
      <c r="F105" s="92" t="inlineStr">
        <is>
          <t>Account Total</t>
        </is>
      </c>
      <c r="G105" s="92" t="inlineStr">
        <is>
          <t>Sources:</t>
        </is>
      </c>
      <c r="H105" s="75" t="inlineStr">
        <is>
          <t>cash, fresh_cache_24h_from_yahoo</t>
        </is>
      </c>
    </row>
    <row r="106" ht="30" customHeight="1">
      <c r="A106" s="33" t="inlineStr"/>
      <c r="B106" s="12" t="inlineStr">
        <is>
          <t>AVUV</t>
        </is>
      </c>
      <c r="C106" s="94" t="n">
        <v>855.082</v>
      </c>
      <c r="D106" s="78" t="n">
        <v>123.51</v>
      </c>
      <c r="E106" s="78" t="n">
        <v>105611.17782</v>
      </c>
      <c r="F106" s="79" t="n">
        <v>0.0382102673764178</v>
      </c>
      <c r="G106" s="12" t="inlineStr">
        <is>
          <t>US Small Cap</t>
        </is>
      </c>
      <c r="H106" s="12" t="inlineStr">
        <is>
          <t>fresh_cache_24h_from_yahoo</t>
        </is>
      </c>
    </row>
    <row r="107" ht="45" customHeight="1">
      <c r="A107" s="33" t="inlineStr"/>
      <c r="B107" s="12" t="inlineStr">
        <is>
          <t>CASH</t>
        </is>
      </c>
      <c r="C107" s="94" t="n">
        <v>67.36</v>
      </c>
      <c r="D107" s="78" t="n">
        <v>1</v>
      </c>
      <c r="E107" s="78" t="n">
        <v>67.36</v>
      </c>
      <c r="F107" s="79" t="n">
        <v>2.437093936081531e-05</v>
      </c>
      <c r="G107" s="12" t="inlineStr">
        <is>
          <t>Cash</t>
        </is>
      </c>
      <c r="H107" s="12" t="inlineStr">
        <is>
          <t>cash</t>
        </is>
      </c>
    </row>
    <row r="108" ht="30" customHeight="1">
      <c r="A108" s="33" t="inlineStr"/>
      <c r="B108" s="12" t="inlineStr">
        <is>
          <t>ITOT</t>
        </is>
      </c>
      <c r="C108" s="94" t="n">
        <v>3930.015</v>
      </c>
      <c r="D108" s="78" t="n">
        <v>163.76</v>
      </c>
      <c r="E108" s="78" t="n">
        <v>643579.2564</v>
      </c>
      <c r="F108" s="79" t="n">
        <v>0.2328478478563392</v>
      </c>
      <c r="G108" s="12" t="inlineStr">
        <is>
          <t>US Large Cap</t>
        </is>
      </c>
      <c r="H108" s="12" t="inlineStr">
        <is>
          <t>fresh_cache_24h_from_yahoo</t>
        </is>
      </c>
    </row>
    <row r="109" ht="45" customHeight="1">
      <c r="A109" s="33" t="inlineStr"/>
      <c r="B109" s="12" t="inlineStr">
        <is>
          <t>IXUS</t>
        </is>
      </c>
      <c r="C109" s="94" t="n">
        <v>4946.01</v>
      </c>
      <c r="D109" s="78" t="n">
        <v>94.72</v>
      </c>
      <c r="E109" s="78" t="n">
        <v>468486.0672</v>
      </c>
      <c r="F109" s="79" t="n">
        <v>0.169498894523724</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0.04122603442653025</v>
      </c>
      <c r="G110" s="12" t="inlineStr">
        <is>
          <t>Commodities</t>
        </is>
      </c>
      <c r="H110" s="12" t="inlineStr">
        <is>
          <t>fresh_cache_24h_from_yahoo</t>
        </is>
      </c>
    </row>
    <row r="111"/>
    <row r="112" ht="45" customHeight="1">
      <c r="A112" s="92" t="inlineStr">
        <is>
          <t>Member_1_Roth</t>
        </is>
      </c>
      <c r="B112" s="3" t="n"/>
      <c r="C112" s="3" t="n"/>
      <c r="D112" s="4" t="n"/>
      <c r="E112" s="93" t="n">
        <v>138318.17527</v>
      </c>
      <c r="F112" s="92" t="inlineStr">
        <is>
          <t>Account Total</t>
        </is>
      </c>
      <c r="G112" s="92" t="inlineStr">
        <is>
          <t>Sources:</t>
        </is>
      </c>
      <c r="H112" s="75" t="inlineStr">
        <is>
          <t>cash, fresh_cache_24h_from_yahoo</t>
        </is>
      </c>
    </row>
    <row r="113" ht="45" customHeight="1">
      <c r="A113" s="33" t="inlineStr"/>
      <c r="B113" s="12" t="inlineStr">
        <is>
          <t>AVUV</t>
        </is>
      </c>
      <c r="C113" s="94" t="n">
        <v>505.713</v>
      </c>
      <c r="D113" s="78" t="n">
        <v>123.51</v>
      </c>
      <c r="E113" s="78" t="n">
        <v>62460.61263</v>
      </c>
      <c r="F113" s="79" t="n">
        <v>0.02259833436527768</v>
      </c>
      <c r="G113" s="12" t="inlineStr">
        <is>
          <t>US Small Cap</t>
        </is>
      </c>
      <c r="H113" s="12" t="inlineStr">
        <is>
          <t>fresh_cache_24h_from_yahoo</t>
        </is>
      </c>
    </row>
    <row r="114" ht="45" customHeight="1">
      <c r="A114" s="33" t="inlineStr"/>
      <c r="B114" s="12" t="inlineStr">
        <is>
          <t>CASH</t>
        </is>
      </c>
      <c r="C114" s="94" t="n">
        <v>10.09</v>
      </c>
      <c r="D114" s="78" t="n">
        <v>1</v>
      </c>
      <c r="E114" s="78" t="n">
        <v>10.09</v>
      </c>
      <c r="F114" s="79" t="n">
        <v>3.650575685134004e-06</v>
      </c>
      <c r="G114" s="12" t="inlineStr">
        <is>
          <t>Cash</t>
        </is>
      </c>
      <c r="H114" s="12" t="inlineStr">
        <is>
          <t>cash</t>
        </is>
      </c>
    </row>
    <row r="115" ht="45" customHeight="1">
      <c r="A115" s="33" t="inlineStr"/>
      <c r="B115" s="12" t="inlineStr">
        <is>
          <t>ITOT</t>
        </is>
      </c>
      <c r="C115" s="94" t="n">
        <v>173.216</v>
      </c>
      <c r="D115" s="78" t="n">
        <v>163.76</v>
      </c>
      <c r="E115" s="78" t="n">
        <v>28365.85216</v>
      </c>
      <c r="F115" s="79" t="n">
        <v>0.01026280378428165</v>
      </c>
      <c r="G115" s="12" t="inlineStr">
        <is>
          <t>US Large Cap</t>
        </is>
      </c>
      <c r="H115" s="12" t="inlineStr">
        <is>
          <t>fresh_cache_24h_from_yahoo</t>
        </is>
      </c>
    </row>
    <row r="116" ht="45" customHeight="1">
      <c r="A116" s="33" t="inlineStr"/>
      <c r="B116" s="12" t="inlineStr">
        <is>
          <t>IXUS</t>
        </is>
      </c>
      <c r="C116" s="94" t="n">
        <v>501.284</v>
      </c>
      <c r="D116" s="78" t="n">
        <v>94.72</v>
      </c>
      <c r="E116" s="78" t="n">
        <v>47481.62048</v>
      </c>
      <c r="F116" s="79" t="n">
        <v>0.01717891468930116</v>
      </c>
      <c r="G116" s="12" t="inlineStr">
        <is>
          <t>International</t>
        </is>
      </c>
      <c r="H116" s="12" t="inlineStr">
        <is>
          <t>fresh_cache_24h_from_yahoo</t>
        </is>
      </c>
    </row>
    <row r="117"/>
    <row r="118" ht="45" customHeight="1">
      <c r="A118" s="92" t="inlineStr">
        <is>
          <t>Member_1_Trust</t>
        </is>
      </c>
      <c r="B118" s="3" t="n"/>
      <c r="C118" s="3" t="n"/>
      <c r="D118" s="4" t="n"/>
      <c r="E118" s="93" t="n">
        <v>207796.24624</v>
      </c>
      <c r="F118" s="92" t="inlineStr">
        <is>
          <t>Account Total</t>
        </is>
      </c>
      <c r="G118" s="92" t="inlineStr">
        <is>
          <t>Sources:</t>
        </is>
      </c>
      <c r="H118" s="75" t="inlineStr">
        <is>
          <t>cash, fresh_cache_24h_from_yahoo</t>
        </is>
      </c>
    </row>
    <row r="119" ht="45" customHeight="1">
      <c r="A119" s="33" t="inlineStr"/>
      <c r="B119" s="12" t="inlineStr">
        <is>
          <t>CASH</t>
        </is>
      </c>
      <c r="C119" s="94" t="n">
        <v>10282.62</v>
      </c>
      <c r="D119" s="78" t="n">
        <v>1</v>
      </c>
      <c r="E119" s="78" t="n">
        <v>10282.62</v>
      </c>
      <c r="F119" s="79" t="n">
        <v>0.003720265862385789</v>
      </c>
      <c r="G119" s="12" t="inlineStr">
        <is>
          <t>Cash</t>
        </is>
      </c>
      <c r="H119" s="12" t="inlineStr">
        <is>
          <t>cash</t>
        </is>
      </c>
    </row>
    <row r="120" ht="45" customHeight="1">
      <c r="A120" s="33" t="inlineStr"/>
      <c r="B120" s="12" t="inlineStr">
        <is>
          <t>ITOT</t>
        </is>
      </c>
      <c r="C120" s="94" t="n">
        <v>647.896</v>
      </c>
      <c r="D120" s="78" t="n">
        <v>163.76</v>
      </c>
      <c r="E120" s="78" t="n">
        <v>106099.44896</v>
      </c>
      <c r="F120" s="79" t="n">
        <v>0.03838692453711519</v>
      </c>
      <c r="G120" s="12" t="inlineStr">
        <is>
          <t>US Large Cap</t>
        </is>
      </c>
      <c r="H120" s="12" t="inlineStr">
        <is>
          <t>fresh_cache_24h_from_yahoo</t>
        </is>
      </c>
    </row>
    <row r="121" ht="45" customHeight="1">
      <c r="A121" s="33" t="inlineStr"/>
      <c r="B121" s="12" t="inlineStr">
        <is>
          <t>IXUS</t>
        </is>
      </c>
      <c r="C121" s="94" t="n">
        <v>965.099</v>
      </c>
      <c r="D121" s="78" t="n">
        <v>94.72</v>
      </c>
      <c r="E121" s="78" t="n">
        <v>91414.17728</v>
      </c>
      <c r="F121" s="79" t="n">
        <v>0.03307377332555969</v>
      </c>
      <c r="G121" s="12" t="inlineStr">
        <is>
          <t>International</t>
        </is>
      </c>
      <c r="H121" s="12" t="inlineStr">
        <is>
          <t>fresh_cache_24h_from_yahoo</t>
        </is>
      </c>
    </row>
    <row r="122"/>
    <row r="123" ht="45" customHeight="1">
      <c r="A123" s="92" t="inlineStr">
        <is>
          <t>Member_2_IRA</t>
        </is>
      </c>
      <c r="B123" s="3" t="n"/>
      <c r="C123" s="3" t="n"/>
      <c r="D123" s="4" t="n"/>
      <c r="E123" s="93" t="n">
        <v>460853.27247</v>
      </c>
      <c r="F123" s="92" t="inlineStr">
        <is>
          <t>Account Total</t>
        </is>
      </c>
      <c r="G123" s="92" t="inlineStr">
        <is>
          <t>Sources:</t>
        </is>
      </c>
      <c r="H123" s="75" t="inlineStr">
        <is>
          <t>cash, fresh_cache_24h_from_yahoo</t>
        </is>
      </c>
    </row>
    <row r="124" ht="45" customHeight="1">
      <c r="A124" s="33" t="inlineStr"/>
      <c r="B124" s="12" t="inlineStr">
        <is>
          <t>CASH</t>
        </is>
      </c>
      <c r="C124" s="94" t="n">
        <v>182.31</v>
      </c>
      <c r="D124" s="78" t="n">
        <v>1</v>
      </c>
      <c r="E124" s="78" t="n">
        <v>182.31</v>
      </c>
      <c r="F124" s="79" t="n">
        <v>6.596000526826365e-05</v>
      </c>
      <c r="G124" s="12" t="inlineStr">
        <is>
          <t>Cash</t>
        </is>
      </c>
      <c r="H124" s="12" t="inlineStr">
        <is>
          <t>cash</t>
        </is>
      </c>
    </row>
    <row r="125" ht="45" customHeight="1">
      <c r="A125" s="33" t="inlineStr"/>
      <c r="B125" s="12" t="inlineStr">
        <is>
          <t>PDBC</t>
        </is>
      </c>
      <c r="C125" s="94" t="n">
        <v>3325</v>
      </c>
      <c r="D125" s="78" t="n">
        <v>15.87</v>
      </c>
      <c r="E125" s="78" t="n">
        <v>52767.75</v>
      </c>
      <c r="F125" s="79" t="n">
        <v>0.01909144351924974</v>
      </c>
      <c r="G125" s="12" t="inlineStr">
        <is>
          <t>Commodities</t>
        </is>
      </c>
      <c r="H125" s="12" t="inlineStr">
        <is>
          <t>fresh_cache_24h_from_yahoo</t>
        </is>
      </c>
    </row>
    <row r="126" ht="45" customHeight="1">
      <c r="A126" s="33" t="inlineStr"/>
      <c r="B126" s="12" t="inlineStr">
        <is>
          <t>VBR</t>
        </is>
      </c>
      <c r="C126" s="94" t="n">
        <v>157.6347</v>
      </c>
      <c r="D126" s="78" t="n">
        <v>243.22</v>
      </c>
      <c r="E126" s="78" t="n">
        <v>38339.91173399999</v>
      </c>
      <c r="F126" s="79" t="n">
        <v>0.01387143206603808</v>
      </c>
      <c r="G126" s="12" t="inlineStr">
        <is>
          <t>US Small Cap</t>
        </is>
      </c>
      <c r="H126" s="12" t="inlineStr">
        <is>
          <t>fresh_cache_24h_from_yahoo</t>
        </is>
      </c>
    </row>
    <row r="127" ht="45" customHeight="1">
      <c r="A127" s="33" t="inlineStr"/>
      <c r="B127" s="12" t="inlineStr">
        <is>
          <t>VTI</t>
        </is>
      </c>
      <c r="C127" s="94" t="n">
        <v>580.1444999999999</v>
      </c>
      <c r="D127" s="78" t="n">
        <v>368.76</v>
      </c>
      <c r="E127" s="78" t="n">
        <v>213934.0858199999</v>
      </c>
      <c r="F127" s="79" t="n">
        <v>0.07740164240989723</v>
      </c>
      <c r="G127" s="12" t="inlineStr">
        <is>
          <t>US Large Cap</t>
        </is>
      </c>
      <c r="H127" s="12" t="inlineStr">
        <is>
          <t>fresh_cache_24h_from_yahoo</t>
        </is>
      </c>
    </row>
    <row r="128" ht="45" customHeight="1">
      <c r="A128" s="33" t="inlineStr"/>
      <c r="B128" s="12" t="inlineStr">
        <is>
          <t>VXUS</t>
        </is>
      </c>
      <c r="C128" s="94" t="n">
        <v>1834.3849</v>
      </c>
      <c r="D128" s="78" t="n">
        <v>84.84</v>
      </c>
      <c r="E128" s="78" t="n">
        <v>155629.214916</v>
      </c>
      <c r="F128" s="79" t="n">
        <v>0.05630686103754647</v>
      </c>
      <c r="G128" s="12" t="inlineStr">
        <is>
          <t>International</t>
        </is>
      </c>
      <c r="H128" s="12" t="inlineStr">
        <is>
          <t>fresh_cache_24h_from_yahoo</t>
        </is>
      </c>
    </row>
    <row r="129"/>
    <row r="130" ht="45" customHeight="1">
      <c r="A130" s="92" t="inlineStr">
        <is>
          <t>Member_2_Roth</t>
        </is>
      </c>
      <c r="B130" s="3" t="n"/>
      <c r="C130" s="3" t="n"/>
      <c r="D130" s="4" t="n"/>
      <c r="E130" s="93" t="n">
        <v>206022.888794</v>
      </c>
      <c r="F130" s="92" t="inlineStr">
        <is>
          <t>Account Total</t>
        </is>
      </c>
      <c r="G130" s="92" t="inlineStr">
        <is>
          <t>Sources:</t>
        </is>
      </c>
      <c r="H130" s="75" t="inlineStr">
        <is>
          <t>cash, fresh_cache_24h_from_yahoo</t>
        </is>
      </c>
    </row>
    <row r="131" ht="45" customHeight="1">
      <c r="A131" s="33" t="inlineStr"/>
      <c r="B131" s="12" t="inlineStr">
        <is>
          <t>CASH</t>
        </is>
      </c>
      <c r="C131" s="94" t="n">
        <v>226.45</v>
      </c>
      <c r="D131" s="78" t="n">
        <v>1</v>
      </c>
      <c r="E131" s="78" t="n">
        <v>226.45</v>
      </c>
      <c r="F131" s="79" t="n">
        <v>8.192991713563876e-05</v>
      </c>
      <c r="G131" s="12" t="inlineStr">
        <is>
          <t>Cash</t>
        </is>
      </c>
      <c r="H131" s="12" t="inlineStr">
        <is>
          <t>cash</t>
        </is>
      </c>
    </row>
    <row r="132" ht="45" customHeight="1">
      <c r="A132" s="33" t="inlineStr"/>
      <c r="B132" s="12" t="inlineStr">
        <is>
          <t>VBR</t>
        </is>
      </c>
      <c r="C132" s="94" t="n">
        <v>379.9135</v>
      </c>
      <c r="D132" s="78" t="n">
        <v>243.22</v>
      </c>
      <c r="E132" s="78" t="n">
        <v>92402.56147</v>
      </c>
      <c r="F132" s="79" t="n">
        <v>0.03343137206605373</v>
      </c>
      <c r="G132" s="12" t="inlineStr">
        <is>
          <t>US Small Cap</t>
        </is>
      </c>
      <c r="H132" s="12" t="inlineStr">
        <is>
          <t>fresh_cache_24h_from_yahoo</t>
        </is>
      </c>
    </row>
    <row r="133" ht="45" customHeight="1">
      <c r="A133" s="33" t="inlineStr"/>
      <c r="B133" s="12" t="inlineStr">
        <is>
          <t>VTI</t>
        </is>
      </c>
      <c r="C133" s="94" t="n">
        <v>118.4525</v>
      </c>
      <c r="D133" s="78" t="n">
        <v>368.76</v>
      </c>
      <c r="E133" s="78" t="n">
        <v>43680.5439</v>
      </c>
      <c r="F133" s="79" t="n">
        <v>0.01580368002723176</v>
      </c>
      <c r="G133" s="12" t="inlineStr">
        <is>
          <t>US Large Cap</t>
        </is>
      </c>
      <c r="H133" s="12" t="inlineStr">
        <is>
          <t>fresh_cache_24h_from_yahoo</t>
        </is>
      </c>
    </row>
    <row r="134" ht="45" customHeight="1">
      <c r="A134" s="33" t="inlineStr"/>
      <c r="B134" s="12" t="inlineStr">
        <is>
          <t>VXUS</t>
        </is>
      </c>
      <c r="C134" s="94" t="n">
        <v>821.7035999999999</v>
      </c>
      <c r="D134" s="78" t="n">
        <v>84.84</v>
      </c>
      <c r="E134" s="78" t="n">
        <v>69713.333424</v>
      </c>
      <c r="F134" s="79" t="n">
        <v>0.02522237858546026</v>
      </c>
      <c r="G134" s="12" t="inlineStr">
        <is>
          <t>International</t>
        </is>
      </c>
      <c r="H134" s="12" t="inlineStr">
        <is>
          <t>fresh_cache_24h_from_yahoo</t>
        </is>
      </c>
    </row>
    <row r="135"/>
    <row r="136" ht="45" customHeight="1">
      <c r="A136" s="92" t="inlineStr">
        <is>
          <t>Member_2_Trust</t>
        </is>
      </c>
      <c r="B136" s="3" t="n"/>
      <c r="C136" s="3" t="n"/>
      <c r="D136" s="4" t="n"/>
      <c r="E136" s="93" t="n">
        <v>332262.173348</v>
      </c>
      <c r="F136" s="92" t="inlineStr">
        <is>
          <t>Account Total</t>
        </is>
      </c>
      <c r="G136" s="92" t="inlineStr">
        <is>
          <t>Sources:</t>
        </is>
      </c>
      <c r="H136" s="75" t="inlineStr">
        <is>
          <t>cash, fresh_cache_24h_from_yahoo</t>
        </is>
      </c>
    </row>
    <row r="137" ht="45" customHeight="1">
      <c r="A137" s="33" t="inlineStr"/>
      <c r="B137" s="12" t="inlineStr">
        <is>
          <t>CASH</t>
        </is>
      </c>
      <c r="C137" s="94" t="n">
        <v>4870.67</v>
      </c>
      <c r="D137" s="78" t="n">
        <v>1</v>
      </c>
      <c r="E137" s="78" t="n">
        <v>4870.67</v>
      </c>
      <c r="F137" s="79" t="n">
        <v>0.001762215012122065</v>
      </c>
      <c r="G137" s="12" t="inlineStr">
        <is>
          <t>Cash</t>
        </is>
      </c>
      <c r="H137" s="12" t="inlineStr">
        <is>
          <t>cash</t>
        </is>
      </c>
    </row>
    <row r="138" ht="45" customHeight="1">
      <c r="A138" s="33" t="inlineStr"/>
      <c r="B138" s="12" t="inlineStr">
        <is>
          <t>VTI</t>
        </is>
      </c>
      <c r="C138" s="94" t="n">
        <v>677.3749999999999</v>
      </c>
      <c r="D138" s="78" t="n">
        <v>368.76</v>
      </c>
      <c r="E138" s="78" t="n">
        <v>249788.805</v>
      </c>
      <c r="F138" s="79" t="n">
        <v>0.09037392843921496</v>
      </c>
      <c r="G138" s="12" t="inlineStr">
        <is>
          <t>US Large Cap</t>
        </is>
      </c>
      <c r="H138" s="12" t="inlineStr">
        <is>
          <t>fresh_cache_24h_from_yahoo</t>
        </is>
      </c>
    </row>
    <row r="139" ht="45" customHeight="1">
      <c r="A139" s="33" t="inlineStr"/>
      <c r="B139" s="12" t="inlineStr">
        <is>
          <t>VXUS</t>
        </is>
      </c>
      <c r="C139" s="94" t="n">
        <v>914.6947</v>
      </c>
      <c r="D139" s="78" t="n">
        <v>84.84</v>
      </c>
      <c r="E139" s="78" t="n">
        <v>77602.69834800001</v>
      </c>
      <c r="F139" s="79" t="n">
        <v>0.0280767615153615</v>
      </c>
      <c r="G139" s="12" t="inlineStr">
        <is>
          <t>International</t>
        </is>
      </c>
      <c r="H139" s="12" t="inlineStr">
        <is>
          <t>fresh_cache_24h_from_yahoo</t>
        </is>
      </c>
    </row>
    <row r="140" ht="30" customHeight="1">
      <c r="A140" s="2" t="inlineStr">
        <is>
          <t>TOTAL</t>
        </is>
      </c>
      <c r="E140" s="83" t="n">
        <v>2763947.626422001</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$32,432 | Security Buys $32,432 | Ending Cash After Trades $280</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32432</v>
      </c>
      <c r="F148" s="96" t="n">
        <v>198.04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32432</v>
      </c>
      <c r="F149" s="96" t="n">
        <v>553.63</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32432</v>
      </c>
      <c r="F150" s="11" t="inlineStr">
        <is>
          <t>SECURITY BUY</t>
        </is>
      </c>
      <c r="G150" s="30" t="n">
        <v>32432</v>
      </c>
      <c r="H150" s="11" t="inlineStr">
        <is>
          <t>Ending Cash After Trades</t>
        </is>
      </c>
      <c r="I150" s="30" t="n">
        <v>279.5900000000001</v>
      </c>
      <c r="J150" s="97" t="inlineStr">
        <is>
          <t>Beginning cash $280; cash change $0. CASH target/hold rows are not counted as security buys.</t>
        </is>
      </c>
    </row>
    <row r="151"/>
    <row r="152" ht="15" customHeight="1">
      <c r="A152" s="10" t="inlineStr">
        <is>
          <t>Member_1_IRA — Tax-deferred — Sells $152,762 | Security Buys $0 | Ending Cash After Trades $152,829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47151</v>
      </c>
      <c r="F154" s="96" t="n">
        <v>287.93</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105611</v>
      </c>
      <c r="F155" s="96" t="n">
        <v>855.08</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152762</v>
      </c>
      <c r="F156" s="96" t="n">
        <v>152762.12</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152762</v>
      </c>
      <c r="F157" s="11" t="inlineStr">
        <is>
          <t>SECURITY BUY</t>
        </is>
      </c>
      <c r="G157" s="30" t="n">
        <v>0</v>
      </c>
      <c r="H157" s="11" t="inlineStr">
        <is>
          <t>Ending Cash After Trades</t>
        </is>
      </c>
      <c r="I157" s="30" t="n">
        <v>152829.36</v>
      </c>
      <c r="J157" s="97" t="inlineStr">
        <is>
          <t>Beginning cash $67; cash change $152,762. CASH target/hold rows are not counted as security buys.</t>
        </is>
      </c>
    </row>
    <row r="158"/>
    <row r="159" ht="15" customHeight="1">
      <c r="A159" s="10" t="inlineStr">
        <is>
          <t>Member_1_Roth — Tax-free (Roth) — Sells $47,605 | Security Buys $47,605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19239</v>
      </c>
      <c r="F161" s="96" t="n">
        <v>203.12</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28366</v>
      </c>
      <c r="F162" s="96" t="n">
        <v>173.22</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47605</v>
      </c>
      <c r="F163" s="96" t="n">
        <v>812.65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47605</v>
      </c>
      <c r="F164" s="11" t="inlineStr">
        <is>
          <t>SECURITY BUY</t>
        </is>
      </c>
      <c r="G164" s="30" t="n">
        <v>47605</v>
      </c>
      <c r="H164" s="11" t="inlineStr">
        <is>
          <t>Ending Cash After Trades</t>
        </is>
      </c>
      <c r="I164" s="30" t="n">
        <v>10.08999999999651</v>
      </c>
      <c r="J164" s="97" t="inlineStr">
        <is>
          <t>Beginning cash $10; cash change $-0. CASH target/hold rows are not counted as security buys.</t>
        </is>
      </c>
    </row>
    <row r="165"/>
    <row r="166" ht="15" customHeight="1">
      <c r="A166" s="10" t="inlineStr">
        <is>
          <t>Member_2_IRA — Tax-deferred — Sells $178,779 | Security Buys $178,779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147454</v>
      </c>
      <c r="F168" s="96" t="n">
        <v>1738.02</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31325</v>
      </c>
      <c r="F169" s="96" t="n">
        <v>128.79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6032</v>
      </c>
      <c r="F170" s="96" t="n">
        <v>380.11</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172747</v>
      </c>
      <c r="F171" s="96" t="n">
        <v>2159.6</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178779</v>
      </c>
      <c r="F172" s="11" t="inlineStr">
        <is>
          <t>SECURITY BUY</t>
        </is>
      </c>
      <c r="G172" s="30" t="n">
        <v>178779</v>
      </c>
      <c r="H172" s="11" t="inlineStr">
        <is>
          <t>Ending Cash After Trades</t>
        </is>
      </c>
      <c r="I172" s="30" t="n">
        <v>182.3099999999977</v>
      </c>
      <c r="J172" s="97" t="inlineStr">
        <is>
          <t>Beginning cash $182; cash change $-0. CASH target/hold rows are not counted as security buys.</t>
        </is>
      </c>
    </row>
    <row r="173"/>
    <row r="174" ht="15" customHeight="1">
      <c r="A174" s="10" t="inlineStr">
        <is>
          <t>Member_2_Roth — Tax-free (Roth) — Sells $92,710 | Security Buys $92,710 | Ending Cash After Trades $226</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52647</v>
      </c>
      <c r="F176" s="96" t="n">
        <v>620.55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40063</v>
      </c>
      <c r="F177" s="96" t="n">
        <v>108.64</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92710</v>
      </c>
      <c r="F178" s="96" t="n">
        <v>1582.63</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92710</v>
      </c>
      <c r="F179" s="11" t="inlineStr">
        <is>
          <t>SECURITY BUY</t>
        </is>
      </c>
      <c r="G179" s="30" t="n">
        <v>92710</v>
      </c>
      <c r="H179" s="11" t="inlineStr">
        <is>
          <t>Ending Cash After Trades</t>
        </is>
      </c>
      <c r="I179" s="30" t="n">
        <v>226.4499999999971</v>
      </c>
      <c r="J179" s="97" t="inlineStr">
        <is>
          <t>Beginning cash $226; cash change $-0. CASH target/hold rows are not counted as security buys.</t>
        </is>
      </c>
    </row>
    <row r="180"/>
    <row r="181" ht="15" customHeight="1">
      <c r="A181" s="2" t="inlineStr">
        <is>
          <t>Grand Total</t>
        </is>
      </c>
      <c r="D181" s="2" t="inlineStr">
        <is>
          <t>SELL</t>
        </is>
      </c>
      <c r="E181" s="83" t="n">
        <v>504288</v>
      </c>
    </row>
    <row r="182" ht="30" customHeight="1">
      <c r="D182" s="2" t="inlineStr">
        <is>
          <t>SECURITY BUY</t>
        </is>
      </c>
      <c r="E182" s="83" t="n">
        <v>351526</v>
      </c>
    </row>
    <row r="183" ht="90" customHeight="1">
      <c r="D183" s="2" t="inlineStr">
        <is>
          <t>Cash Change</t>
        </is>
      </c>
      <c r="E183" s="83" t="n">
        <v>152762</v>
      </c>
      <c r="G183" s="12" t="inlineStr">
        <is>
          <t>Change in cash = sells minus non-cash security buys; CASH target/hold rows are not counted as buys.</t>
        </is>
      </c>
    </row>
    <row r="184" ht="90" customHeight="1">
      <c r="D184" s="2" t="inlineStr">
        <is>
          <t>Ending Cash After Trades</t>
        </is>
      </c>
      <c r="E184" s="93" t="n">
        <v>172746.61</v>
      </c>
      <c r="G184" s="12" t="inlineStr">
        <is>
          <t>This should reconcile to the Cash row in Total Portfolio Mix after trades. No cross-account transfers are assumed. Includes $19,219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106099</v>
      </c>
      <c r="D200" s="12" t="inlineStr">
        <is>
          <t>US Large Cap</t>
        </is>
      </c>
      <c r="E200" s="78" t="n">
        <v>2137</v>
      </c>
      <c r="F200" s="79" t="n">
        <v>0.02014134935514561</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91414</v>
      </c>
      <c r="D201" s="12" t="inlineStr">
        <is>
          <t>International</t>
        </is>
      </c>
      <c r="E201" s="78" t="n">
        <v>1470</v>
      </c>
      <c r="F201" s="79" t="n">
        <v>0.01608456183652696</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148011</v>
      </c>
      <c r="D202" s="12" t="inlineStr">
        <is>
          <t>US Large Cap</t>
        </is>
      </c>
      <c r="E202" s="78" t="n">
        <v>4709</v>
      </c>
      <c r="F202" s="79" t="n">
        <v>0.01885028341541567</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77603</v>
      </c>
      <c r="D203" s="12" t="inlineStr">
        <is>
          <t>International</t>
        </is>
      </c>
      <c r="E203" s="78" t="n">
        <v>1536</v>
      </c>
      <c r="F203" s="79" t="n">
        <v>0.01979602783608095</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$14,934</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0.7277748017998714</v>
      </c>
      <c r="D213" s="99" t="inlineStr"/>
      <c r="E213" s="78" t="n">
        <v>10868.88</v>
      </c>
      <c r="F213" s="79" t="n">
        <v>0.7277748017998714</v>
      </c>
      <c r="G213" s="33" t="inlineStr"/>
      <c r="H213" s="79" t="n">
        <v>0.06666666666666667</v>
      </c>
      <c r="I213" s="100" t="n">
        <v>0.6611081351332048</v>
      </c>
      <c r="J213" s="12" t="inlineStr">
        <is>
          <t>Over +66.1%</t>
        </is>
      </c>
    </row>
    <row r="214" ht="30" customHeight="1">
      <c r="A214" s="12" t="inlineStr">
        <is>
          <t>Cash</t>
        </is>
      </c>
      <c r="B214" s="78" t="n">
        <v>4065.52</v>
      </c>
      <c r="C214" s="79" t="n">
        <v>0.2722251982001285</v>
      </c>
      <c r="D214" s="99" t="inlineStr"/>
      <c r="E214" s="78" t="n">
        <v>4065.52</v>
      </c>
      <c r="F214" s="79" t="n">
        <v>0.2722251982001285</v>
      </c>
      <c r="G214" s="33" t="inlineStr"/>
      <c r="H214" s="64" t="inlineStr"/>
      <c r="I214" s="64" t="inlineStr"/>
      <c r="J214" s="33" t="inlineStr"/>
    </row>
    <row r="215"/>
    <row r="216" ht="15" customHeight="1">
      <c r="A216" s="10" t="inlineStr">
        <is>
          <t>Member_1_HSA  —  Total: $72,070</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71790.41888</v>
      </c>
      <c r="C218" s="79" t="n">
        <v>0.9961205776945924</v>
      </c>
      <c r="D218" s="41" t="inlineStr">
        <is>
          <t>→</t>
        </is>
      </c>
      <c r="E218" s="80" t="n">
        <v>39358.41888</v>
      </c>
      <c r="F218" s="81" t="n">
        <v>0.5461136954420756</v>
      </c>
      <c r="G218" s="33" t="inlineStr"/>
      <c r="H218" s="79" t="n">
        <v>0.4666666666666666</v>
      </c>
      <c r="I218" s="100" t="n">
        <v>0.07944702877540893</v>
      </c>
      <c r="J218" s="12" t="inlineStr">
        <is>
          <t>Over +7.9%</t>
        </is>
      </c>
    </row>
    <row r="219" ht="45" customHeight="1">
      <c r="A219" s="12" t="inlineStr">
        <is>
          <t>Cash</t>
        </is>
      </c>
      <c r="B219" s="78" t="n">
        <v>279.59</v>
      </c>
      <c r="C219" s="79" t="n">
        <v>0.003879422305407658</v>
      </c>
      <c r="D219" s="99" t="inlineStr"/>
      <c r="E219" s="78" t="n">
        <v>279.5900000000001</v>
      </c>
      <c r="F219" s="79" t="n">
        <v>0.003879422305407661</v>
      </c>
      <c r="G219" s="33" t="inlineStr"/>
      <c r="H219" s="64" t="inlineStr"/>
      <c r="I219" s="64" t="inlineStr"/>
      <c r="J219" s="33" t="inlineStr"/>
    </row>
    <row r="220" ht="45" customHeight="1">
      <c r="A220" s="12" t="inlineStr">
        <is>
          <t>Emerging Markets</t>
        </is>
      </c>
      <c r="B220" s="78" t="n">
        <v>0</v>
      </c>
      <c r="C220" s="79" t="n">
        <v>0</v>
      </c>
      <c r="D220" s="41" t="inlineStr">
        <is>
          <t>→</t>
        </is>
      </c>
      <c r="E220" s="80" t="n">
        <v>32432</v>
      </c>
      <c r="F220" s="81" t="n">
        <v>0.4500068822525168</v>
      </c>
      <c r="G220" s="33" t="inlineStr"/>
      <c r="H220" s="79" t="n">
        <v>0.06666666666666667</v>
      </c>
      <c r="I220" s="100" t="n">
        <v>0.3833402155858502</v>
      </c>
      <c r="J220" s="12" t="inlineStr">
        <is>
          <t>Over +38.3%</t>
        </is>
      </c>
    </row>
    <row r="221"/>
    <row r="222" ht="15" customHeight="1">
      <c r="A222" s="10" t="inlineStr">
        <is>
          <t>Member_1_IRA  —  Total: $1,331,690</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30" customHeight="1">
      <c r="A224" s="12" t="inlineStr">
        <is>
          <t>US Large Cap</t>
        </is>
      </c>
      <c r="B224" s="78" t="n">
        <v>643579.2564</v>
      </c>
      <c r="C224" s="79" t="n">
        <v>0.4832799175521182</v>
      </c>
      <c r="D224" s="41" t="inlineStr">
        <is>
          <t>→</t>
        </is>
      </c>
      <c r="E224" s="80" t="n">
        <v>596428.2564</v>
      </c>
      <c r="F224" s="81" t="n">
        <v>0.4478730408296385</v>
      </c>
      <c r="G224" s="33" t="inlineStr"/>
      <c r="H224" s="79" t="n">
        <v>0.4666666666666666</v>
      </c>
      <c r="I224" s="101" t="n">
        <v>-0.01879362583702809</v>
      </c>
      <c r="J224" s="12" t="inlineStr">
        <is>
          <t>✓ On target</t>
        </is>
      </c>
    </row>
    <row r="225" ht="30" customHeight="1">
      <c r="A225" s="12" t="inlineStr">
        <is>
          <t>International</t>
        </is>
      </c>
      <c r="B225" s="78" t="n">
        <v>468486.0672</v>
      </c>
      <c r="C225" s="79" t="n">
        <v>0.3517980197143161</v>
      </c>
      <c r="D225" s="99" t="inlineStr"/>
      <c r="E225" s="78" t="n">
        <v>468486.0672</v>
      </c>
      <c r="F225" s="79" t="n">
        <v>0.3517980197143161</v>
      </c>
      <c r="G225" s="33" t="inlineStr"/>
      <c r="H225" s="79" t="n">
        <v>0.2666666666666667</v>
      </c>
      <c r="I225" s="100" t="n">
        <v>0.08513135304764946</v>
      </c>
      <c r="J225" s="12" t="inlineStr">
        <is>
          <t>Over +8.5%</t>
        </is>
      </c>
    </row>
    <row r="226" ht="45" customHeight="1">
      <c r="A226" s="12" t="inlineStr">
        <is>
          <t>US Small Cap</t>
        </is>
      </c>
      <c r="B226" s="78" t="n">
        <v>105611.17782</v>
      </c>
      <c r="C226" s="79" t="n">
        <v>0.07930610068903347</v>
      </c>
      <c r="D226" s="41" t="inlineStr">
        <is>
          <t>→</t>
        </is>
      </c>
      <c r="E226" s="80" t="n">
        <v>0.1778199999971548</v>
      </c>
      <c r="F226" s="81" t="n">
        <v>1.335295289323788e-07</v>
      </c>
      <c r="G226" s="33" t="inlineStr"/>
      <c r="H226" s="79" t="n">
        <v>0.06666666666666667</v>
      </c>
      <c r="I226" s="100" t="n">
        <v>-0.06666653313713773</v>
      </c>
      <c r="J226" s="12" t="inlineStr">
        <is>
          <t>Under -6.7%</t>
        </is>
      </c>
    </row>
    <row r="227" ht="30" customHeight="1">
      <c r="A227" s="12" t="inlineStr">
        <is>
          <t>Commodities</t>
        </is>
      </c>
      <c r="B227" s="78" t="n">
        <v>113946.6</v>
      </c>
      <c r="C227" s="79" t="n">
        <v>0.08556537971932091</v>
      </c>
      <c r="D227" s="99" t="inlineStr"/>
      <c r="E227" s="78" t="n">
        <v>113946.6</v>
      </c>
      <c r="F227" s="79" t="n">
        <v>0.08556537971932091</v>
      </c>
      <c r="G227" s="33" t="inlineStr"/>
      <c r="H227" s="79" t="n">
        <v>0.06666666666666667</v>
      </c>
      <c r="I227" s="101" t="n">
        <v>0.01889871305265424</v>
      </c>
      <c r="J227" s="12" t="inlineStr">
        <is>
          <t>✓ On target</t>
        </is>
      </c>
    </row>
    <row r="228" ht="45" customHeight="1">
      <c r="A228" s="12" t="inlineStr">
        <is>
          <t>Cash</t>
        </is>
      </c>
      <c r="B228" s="78" t="n">
        <v>67.36</v>
      </c>
      <c r="C228" s="79" t="n">
        <v>5.058232521105023e-05</v>
      </c>
      <c r="D228" s="41" t="inlineStr">
        <is>
          <t>→</t>
        </is>
      </c>
      <c r="E228" s="80" t="n">
        <v>152829.36</v>
      </c>
      <c r="F228" s="81" t="n">
        <v>0.1147634262071952</v>
      </c>
      <c r="G228" s="33" t="inlineStr"/>
      <c r="H228" s="64" t="inlineStr"/>
      <c r="I228" s="64" t="inlineStr"/>
      <c r="J228" s="33" t="inlineStr"/>
    </row>
    <row r="229"/>
    <row r="230" ht="15" customHeight="1">
      <c r="A230" s="10" t="inlineStr">
        <is>
          <t>Member_1_Roth  —  Total: $138,318</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28365.85216</v>
      </c>
      <c r="C232" s="79" t="n">
        <v>0.205076824536105</v>
      </c>
      <c r="D232" s="41" t="inlineStr">
        <is>
          <t>→</t>
        </is>
      </c>
      <c r="E232" s="80" t="n">
        <v>0</v>
      </c>
      <c r="F232" s="81" t="n">
        <v>0</v>
      </c>
      <c r="G232" s="33" t="inlineStr"/>
      <c r="H232" s="79" t="n">
        <v>0.4666666666666666</v>
      </c>
      <c r="I232" s="100" t="n">
        <v>-0.4666666666666666</v>
      </c>
      <c r="J232" s="12" t="inlineStr">
        <is>
          <t>Under -46.7%</t>
        </is>
      </c>
    </row>
    <row r="233" ht="30" customHeight="1">
      <c r="A233" s="12" t="inlineStr">
        <is>
          <t>International</t>
        </is>
      </c>
      <c r="B233" s="78" t="n">
        <v>47481.62048</v>
      </c>
      <c r="C233" s="79" t="n">
        <v>0.3432782451569715</v>
      </c>
      <c r="D233" s="41" t="inlineStr">
        <is>
          <t>→</t>
        </is>
      </c>
      <c r="E233" s="80" t="n">
        <v>28242.62048</v>
      </c>
      <c r="F233" s="81" t="n">
        <v>0.204185895489655</v>
      </c>
      <c r="G233" s="33" t="inlineStr"/>
      <c r="H233" s="79" t="n">
        <v>0.2666666666666667</v>
      </c>
      <c r="I233" s="100" t="n">
        <v>-0.06248077117701167</v>
      </c>
      <c r="J233" s="12" t="inlineStr">
        <is>
          <t>Under -6.2%</t>
        </is>
      </c>
    </row>
    <row r="234" ht="30" customHeight="1">
      <c r="A234" s="12" t="inlineStr">
        <is>
          <t>US Small Cap</t>
        </is>
      </c>
      <c r="B234" s="78" t="n">
        <v>62460.61263</v>
      </c>
      <c r="C234" s="79" t="n">
        <v>0.4515719825545383</v>
      </c>
      <c r="D234" s="99" t="inlineStr"/>
      <c r="E234" s="78" t="n">
        <v>62460.61263</v>
      </c>
      <c r="F234" s="79" t="n">
        <v>0.4515719825545383</v>
      </c>
      <c r="G234" s="33" t="inlineStr"/>
      <c r="H234" s="79" t="n">
        <v>0.06666666666666667</v>
      </c>
      <c r="I234" s="100" t="n">
        <v>0.3849053158878716</v>
      </c>
      <c r="J234" s="12" t="inlineStr">
        <is>
          <t>Over +38.5%</t>
        </is>
      </c>
    </row>
    <row r="235" ht="45" customHeight="1">
      <c r="A235" s="12" t="inlineStr">
        <is>
          <t>Cash</t>
        </is>
      </c>
      <c r="B235" s="78" t="n">
        <v>10.09</v>
      </c>
      <c r="C235" s="79" t="n">
        <v>7.294775238542663e-05</v>
      </c>
      <c r="D235" s="99" t="inlineStr"/>
      <c r="E235" s="78" t="n">
        <v>10.08999999999651</v>
      </c>
      <c r="F235" s="79" t="n">
        <v>7.294775238540138e-05</v>
      </c>
      <c r="G235" s="33" t="inlineStr"/>
      <c r="H235" s="64" t="inlineStr"/>
      <c r="I235" s="64" t="inlineStr"/>
      <c r="J235" s="33" t="inlineStr"/>
    </row>
    <row r="236" ht="30" customHeight="1">
      <c r="A236" s="12" t="inlineStr">
        <is>
          <t>Emerging Markets</t>
        </is>
      </c>
      <c r="B236" s="78" t="n">
        <v>0</v>
      </c>
      <c r="C236" s="79" t="n">
        <v>0</v>
      </c>
      <c r="D236" s="41" t="inlineStr">
        <is>
          <t>→</t>
        </is>
      </c>
      <c r="E236" s="80" t="n">
        <v>47605</v>
      </c>
      <c r="F236" s="81" t="n">
        <v>0.3441702430434326</v>
      </c>
      <c r="G236" s="33" t="inlineStr"/>
      <c r="H236" s="79" t="n">
        <v>0.06666666666666667</v>
      </c>
      <c r="I236" s="100" t="n">
        <v>0.2775035763767659</v>
      </c>
      <c r="J236" s="12" t="inlineStr">
        <is>
          <t>Over +27.8%</t>
        </is>
      </c>
    </row>
    <row r="237"/>
    <row r="238" ht="15" customHeight="1">
      <c r="A238" s="10" t="inlineStr">
        <is>
          <t>Member_1_Trust  —  Total: $207,796</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106099.44896</v>
      </c>
      <c r="C240" s="79" t="n">
        <v>0.510593674716614</v>
      </c>
      <c r="D240" s="99" t="inlineStr"/>
      <c r="E240" s="78" t="n">
        <v>106099.44896</v>
      </c>
      <c r="F240" s="79" t="n">
        <v>0.510593674716614</v>
      </c>
      <c r="G240" s="33" t="inlineStr"/>
      <c r="H240" s="79" t="n">
        <v>0.4666666666666666</v>
      </c>
      <c r="I240" s="100" t="n">
        <v>0.04392700804994737</v>
      </c>
      <c r="J240" s="12" t="inlineStr">
        <is>
          <t>Over +4.4%</t>
        </is>
      </c>
    </row>
    <row r="241" ht="30" customHeight="1">
      <c r="A241" s="12" t="inlineStr">
        <is>
          <t>International</t>
        </is>
      </c>
      <c r="B241" s="78" t="n">
        <v>91414.17728</v>
      </c>
      <c r="C241" s="79" t="n">
        <v>0.4399221782592679</v>
      </c>
      <c r="D241" s="99" t="inlineStr"/>
      <c r="E241" s="78" t="n">
        <v>91414.17728</v>
      </c>
      <c r="F241" s="79" t="n">
        <v>0.4399221782592679</v>
      </c>
      <c r="G241" s="33" t="inlineStr"/>
      <c r="H241" s="79" t="n">
        <v>0.2666666666666667</v>
      </c>
      <c r="I241" s="100" t="n">
        <v>0.1732555115926012</v>
      </c>
      <c r="J241" s="12" t="inlineStr">
        <is>
          <t>Over +17.3%</t>
        </is>
      </c>
    </row>
    <row r="242" ht="45" customHeight="1">
      <c r="A242" s="12" t="inlineStr">
        <is>
          <t>Cash</t>
        </is>
      </c>
      <c r="B242" s="78" t="n">
        <v>10282.62</v>
      </c>
      <c r="C242" s="79" t="n">
        <v>0.04948414702411806</v>
      </c>
      <c r="D242" s="99" t="inlineStr"/>
      <c r="E242" s="78" t="n">
        <v>10282.62</v>
      </c>
      <c r="F242" s="79" t="n">
        <v>0.04948414702411806</v>
      </c>
      <c r="G242" s="33" t="inlineStr"/>
      <c r="H242" s="64" t="inlineStr"/>
      <c r="I242" s="64" t="inlineStr"/>
      <c r="J242" s="33" t="inlineStr"/>
    </row>
    <row r="243"/>
    <row r="244" ht="15" customHeight="1">
      <c r="A244" s="10" t="inlineStr">
        <is>
          <t>Member_2_IRA  —  Total: $460,853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213934.0858199999</v>
      </c>
      <c r="C246" s="79" t="n">
        <v>0.4642130122531057</v>
      </c>
      <c r="D246" s="99" t="inlineStr"/>
      <c r="E246" s="78" t="n">
        <v>213934.0858199999</v>
      </c>
      <c r="F246" s="79" t="n">
        <v>0.4642130122531057</v>
      </c>
      <c r="G246" s="33" t="inlineStr"/>
      <c r="H246" s="79" t="n">
        <v>0.4666666666666666</v>
      </c>
      <c r="I246" s="101" t="n">
        <v>-0.00245365441356088</v>
      </c>
      <c r="J246" s="12" t="inlineStr">
        <is>
          <t>✓ On target</t>
        </is>
      </c>
    </row>
    <row r="247" ht="45" customHeight="1">
      <c r="A247" s="12" t="inlineStr">
        <is>
          <t>International</t>
        </is>
      </c>
      <c r="B247" s="78" t="n">
        <v>155629.214916</v>
      </c>
      <c r="C247" s="79" t="n">
        <v>0.3376979707269649</v>
      </c>
      <c r="D247" s="41" t="inlineStr">
        <is>
          <t>→</t>
        </is>
      </c>
      <c r="E247" s="80" t="n">
        <v>8175.214915999997</v>
      </c>
      <c r="F247" s="81" t="n">
        <v>0.01773930099743878</v>
      </c>
      <c r="G247" s="33" t="inlineStr"/>
      <c r="H247" s="79" t="n">
        <v>0.2666666666666667</v>
      </c>
      <c r="I247" s="100" t="n">
        <v>-0.2489273656692279</v>
      </c>
      <c r="J247" s="12" t="inlineStr">
        <is>
          <t>Under -24.9%</t>
        </is>
      </c>
    </row>
    <row r="248" ht="45" customHeight="1">
      <c r="A248" s="12" t="inlineStr">
        <is>
          <t>US Small Cap</t>
        </is>
      </c>
      <c r="B248" s="78" t="n">
        <v>38339.91173399999</v>
      </c>
      <c r="C248" s="79" t="n">
        <v>0.08319331558288066</v>
      </c>
      <c r="D248" s="41" t="inlineStr">
        <is>
          <t>→</t>
        </is>
      </c>
      <c r="E248" s="80" t="n">
        <v>7014.911733999994</v>
      </c>
      <c r="F248" s="81" t="n">
        <v>0.01522157301043499</v>
      </c>
      <c r="G248" s="33" t="inlineStr"/>
      <c r="H248" s="79" t="n">
        <v>0.06666666666666667</v>
      </c>
      <c r="I248" s="100" t="n">
        <v>-0.05144509365623168</v>
      </c>
      <c r="J248" s="12" t="inlineStr">
        <is>
          <t>Under -5.1%</t>
        </is>
      </c>
    </row>
    <row r="249" ht="45" customHeight="1">
      <c r="A249" s="12" t="inlineStr">
        <is>
          <t>Commodities</t>
        </is>
      </c>
      <c r="B249" s="78" t="n">
        <v>52767.75</v>
      </c>
      <c r="C249" s="79" t="n">
        <v>0.1145001091501092</v>
      </c>
      <c r="D249" s="41" t="inlineStr">
        <is>
          <t>→</t>
        </is>
      </c>
      <c r="E249" s="80" t="n">
        <v>58799.75</v>
      </c>
      <c r="F249" s="81" t="n">
        <v>0.1275888737533651</v>
      </c>
      <c r="G249" s="33" t="inlineStr"/>
      <c r="H249" s="79" t="n">
        <v>0.06666666666666667</v>
      </c>
      <c r="I249" s="100" t="n">
        <v>0.06092220708669847</v>
      </c>
      <c r="J249" s="12" t="inlineStr">
        <is>
          <t>Over +6.1%</t>
        </is>
      </c>
    </row>
    <row r="250" ht="45" customHeight="1">
      <c r="A250" s="12" t="inlineStr">
        <is>
          <t>Cash</t>
        </is>
      </c>
      <c r="B250" s="78" t="n">
        <v>182.31</v>
      </c>
      <c r="C250" s="79" t="n">
        <v>0.0003955922869395873</v>
      </c>
      <c r="D250" s="99" t="inlineStr"/>
      <c r="E250" s="78" t="n">
        <v>182.3099999999977</v>
      </c>
      <c r="F250" s="79" t="n">
        <v>0.0003955922869395822</v>
      </c>
      <c r="G250" s="33" t="inlineStr"/>
      <c r="H250" s="64" t="inlineStr"/>
      <c r="I250" s="64" t="inlineStr"/>
      <c r="J250" s="33" t="inlineStr"/>
    </row>
    <row r="251" ht="30" customHeight="1">
      <c r="A251" s="12" t="inlineStr">
        <is>
          <t>US Mid Cap</t>
        </is>
      </c>
      <c r="B251" s="78" t="n">
        <v>0</v>
      </c>
      <c r="C251" s="79" t="n">
        <v>0</v>
      </c>
      <c r="D251" s="41" t="inlineStr">
        <is>
          <t>→</t>
        </is>
      </c>
      <c r="E251" s="80" t="n">
        <v>172747</v>
      </c>
      <c r="F251" s="81" t="n">
        <v>0.3748416476987158</v>
      </c>
      <c r="G251" s="33" t="inlineStr"/>
      <c r="H251" s="79" t="n">
        <v>0.06666666666666667</v>
      </c>
      <c r="I251" s="100" t="n">
        <v>0.3081749810320492</v>
      </c>
      <c r="J251" s="12" t="inlineStr">
        <is>
          <t>Over +30.8%</t>
        </is>
      </c>
    </row>
    <row r="252"/>
    <row r="253" ht="15" customHeight="1">
      <c r="A253" s="10" t="inlineStr">
        <is>
          <t>Member_2_Roth  —  Total: $206,023</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43680.5439</v>
      </c>
      <c r="C255" s="79" t="n">
        <v>0.2120179177939578</v>
      </c>
      <c r="D255" s="41" t="inlineStr">
        <is>
          <t>→</t>
        </is>
      </c>
      <c r="E255" s="80" t="n">
        <v>3617.543900000004</v>
      </c>
      <c r="F255" s="81" t="n">
        <v>0.01755894173300883</v>
      </c>
      <c r="G255" s="33" t="inlineStr"/>
      <c r="H255" s="79" t="n">
        <v>0.4666666666666666</v>
      </c>
      <c r="I255" s="100" t="n">
        <v>-0.4491077249336578</v>
      </c>
      <c r="J255" s="12" t="inlineStr">
        <is>
          <t>Under -44.9%</t>
        </is>
      </c>
    </row>
    <row r="256" ht="45" customHeight="1">
      <c r="A256" s="12" t="inlineStr">
        <is>
          <t>International</t>
        </is>
      </c>
      <c r="B256" s="78" t="n">
        <v>69713.333424</v>
      </c>
      <c r="C256" s="79" t="n">
        <v>0.3383766426734535</v>
      </c>
      <c r="D256" s="41" t="inlineStr">
        <is>
          <t>→</t>
        </is>
      </c>
      <c r="E256" s="80" t="n">
        <v>17066.333424</v>
      </c>
      <c r="F256" s="81" t="n">
        <v>0.08283707467602996</v>
      </c>
      <c r="G256" s="33" t="inlineStr"/>
      <c r="H256" s="79" t="n">
        <v>0.2666666666666667</v>
      </c>
      <c r="I256" s="100" t="n">
        <v>-0.1838295919906367</v>
      </c>
      <c r="J256" s="12" t="inlineStr">
        <is>
          <t>Under -18.4%</t>
        </is>
      </c>
    </row>
    <row r="257" ht="30" customHeight="1">
      <c r="A257" s="12" t="inlineStr">
        <is>
          <t>US Small Cap</t>
        </is>
      </c>
      <c r="B257" s="78" t="n">
        <v>92402.56147</v>
      </c>
      <c r="C257" s="79" t="n">
        <v>0.4485062898151685</v>
      </c>
      <c r="D257" s="99" t="inlineStr"/>
      <c r="E257" s="78" t="n">
        <v>92402.56147</v>
      </c>
      <c r="F257" s="79" t="n">
        <v>0.4485062898151685</v>
      </c>
      <c r="G257" s="33" t="inlineStr"/>
      <c r="H257" s="79" t="n">
        <v>0.06666666666666667</v>
      </c>
      <c r="I257" s="100" t="n">
        <v>0.3818396231485018</v>
      </c>
      <c r="J257" s="12" t="inlineStr">
        <is>
          <t>Over +38.2%</t>
        </is>
      </c>
    </row>
    <row r="258" ht="45" customHeight="1">
      <c r="A258" s="12" t="inlineStr">
        <is>
          <t>Cash</t>
        </is>
      </c>
      <c r="B258" s="78" t="n">
        <v>226.45</v>
      </c>
      <c r="C258" s="79" t="n">
        <v>0.001099149717420111</v>
      </c>
      <c r="D258" s="99" t="inlineStr"/>
      <c r="E258" s="78" t="n">
        <v>226.4499999999971</v>
      </c>
      <c r="F258" s="79" t="n">
        <v>0.001099149717420096</v>
      </c>
      <c r="G258" s="33" t="inlineStr"/>
      <c r="H258" s="64" t="inlineStr"/>
      <c r="I258" s="64" t="inlineStr"/>
      <c r="J258" s="33" t="inlineStr"/>
    </row>
    <row r="259" ht="45" customHeight="1">
      <c r="A259" s="12" t="inlineStr">
        <is>
          <t>Emerging Markets</t>
        </is>
      </c>
      <c r="B259" s="78" t="n">
        <v>0</v>
      </c>
      <c r="C259" s="79" t="n">
        <v>0</v>
      </c>
      <c r="D259" s="41" t="inlineStr">
        <is>
          <t>→</t>
        </is>
      </c>
      <c r="E259" s="80" t="n">
        <v>92710</v>
      </c>
      <c r="F259" s="81" t="n">
        <v>0.4499985440583725</v>
      </c>
      <c r="G259" s="33" t="inlineStr"/>
      <c r="H259" s="79" t="n">
        <v>0.06666666666666667</v>
      </c>
      <c r="I259" s="100" t="n">
        <v>0.3833318773917059</v>
      </c>
      <c r="J259" s="12" t="inlineStr">
        <is>
          <t>Over +38.3%</t>
        </is>
      </c>
    </row>
    <row r="260"/>
    <row r="261" ht="15" customHeight="1">
      <c r="A261" s="10" t="inlineStr">
        <is>
          <t>Member_2_Trust  —  Total: $332,262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249788.805</v>
      </c>
      <c r="C263" s="79" t="n">
        <v>0.7517822521987171</v>
      </c>
      <c r="D263" s="99" t="inlineStr"/>
      <c r="E263" s="78" t="n">
        <v>249788.805</v>
      </c>
      <c r="F263" s="79" t="n">
        <v>0.7517822521987171</v>
      </c>
      <c r="G263" s="33" t="inlineStr"/>
      <c r="H263" s="79" t="n">
        <v>0.4666666666666666</v>
      </c>
      <c r="I263" s="100" t="n">
        <v>0.2851155855320505</v>
      </c>
      <c r="J263" s="12" t="inlineStr">
        <is>
          <t>Over +28.5%</t>
        </is>
      </c>
    </row>
    <row r="264" ht="45" customHeight="1">
      <c r="A264" s="12" t="inlineStr">
        <is>
          <t>International</t>
        </is>
      </c>
      <c r="B264" s="78" t="n">
        <v>77602.69834800001</v>
      </c>
      <c r="C264" s="79" t="n">
        <v>0.2335586310233443</v>
      </c>
      <c r="D264" s="99" t="inlineStr"/>
      <c r="E264" s="78" t="n">
        <v>77602.69834800001</v>
      </c>
      <c r="F264" s="79" t="n">
        <v>0.2335586310233443</v>
      </c>
      <c r="G264" s="33" t="inlineStr"/>
      <c r="H264" s="79" t="n">
        <v>0.2666666666666667</v>
      </c>
      <c r="I264" s="100" t="n">
        <v>-0.03310803564332232</v>
      </c>
      <c r="J264" s="12" t="inlineStr">
        <is>
          <t>Under -3.3%</t>
        </is>
      </c>
    </row>
    <row r="265" ht="45" customHeight="1">
      <c r="A265" s="12" t="inlineStr">
        <is>
          <t>Cash</t>
        </is>
      </c>
      <c r="B265" s="78" t="n">
        <v>4870.67</v>
      </c>
      <c r="C265" s="79" t="n">
        <v>0.01465911677793857</v>
      </c>
      <c r="D265" s="99" t="inlineStr"/>
      <c r="E265" s="78" t="n">
        <v>4870.67</v>
      </c>
      <c r="F265" s="79" t="n">
        <v>0.01465911677793857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1357238.41112</v>
      </c>
      <c r="C270" s="79" t="n">
        <v>0.4910506979746858</v>
      </c>
      <c r="D270" s="41" t="inlineStr">
        <is>
          <t>→</t>
        </is>
      </c>
      <c r="E270" s="80" t="n">
        <v>1209226.55896</v>
      </c>
      <c r="F270" s="81" t="n">
        <v>0.4374998091137399</v>
      </c>
      <c r="G270" s="33" t="inlineStr"/>
      <c r="H270" s="79" t="n">
        <v>0.4666666666666666</v>
      </c>
      <c r="I270" s="100" t="n">
        <v>-0.02916685755292675</v>
      </c>
      <c r="J270" s="12" t="inlineStr">
        <is>
          <t>Under -2.9%</t>
        </is>
      </c>
    </row>
    <row r="271" ht="30" customHeight="1">
      <c r="A271" s="2" t="inlineStr">
        <is>
          <t>International</t>
        </is>
      </c>
      <c r="B271" s="78" t="n">
        <v>910327.1116479998</v>
      </c>
      <c r="C271" s="79" t="n">
        <v>0.329357583676953</v>
      </c>
      <c r="D271" s="41" t="inlineStr">
        <is>
          <t>→</t>
        </is>
      </c>
      <c r="E271" s="80" t="n">
        <v>690987.1116479998</v>
      </c>
      <c r="F271" s="81" t="n">
        <v>0.2500000741846545</v>
      </c>
      <c r="G271" s="33" t="inlineStr"/>
      <c r="H271" s="79" t="n">
        <v>0.2666666666666667</v>
      </c>
      <c r="I271" s="101" t="n">
        <v>-0.01666659248201219</v>
      </c>
      <c r="J271" s="12" t="inlineStr">
        <is>
          <t>✓ On target</t>
        </is>
      </c>
    </row>
    <row r="272" ht="45" customHeight="1">
      <c r="A272" s="2" t="inlineStr">
        <is>
          <t>US Small Cap</t>
        </is>
      </c>
      <c r="B272" s="78" t="n">
        <v>309683.143654</v>
      </c>
      <c r="C272" s="79" t="n">
        <v>0.1120437813993214</v>
      </c>
      <c r="D272" s="41" t="inlineStr">
        <is>
          <t>→</t>
        </is>
      </c>
      <c r="E272" s="80" t="n">
        <v>172747.143654</v>
      </c>
      <c r="F272" s="81" t="n">
        <v>0.06250015087211527</v>
      </c>
      <c r="G272" s="33" t="inlineStr"/>
      <c r="H272" s="79" t="n">
        <v>0.06666666666666667</v>
      </c>
      <c r="I272" s="101" t="n">
        <v>-0.004166515794551393</v>
      </c>
      <c r="J272" s="12" t="inlineStr">
        <is>
          <t>✓ On target</t>
        </is>
      </c>
    </row>
    <row r="273" ht="45" customHeight="1">
      <c r="A273" s="2" t="inlineStr">
        <is>
          <t>Commodities</t>
        </is>
      </c>
      <c r="B273" s="78" t="n">
        <v>166714.35</v>
      </c>
      <c r="C273" s="79" t="n">
        <v>0.06031747794577998</v>
      </c>
      <c r="D273" s="41" t="inlineStr">
        <is>
          <t>→</t>
        </is>
      </c>
      <c r="E273" s="80" t="n">
        <v>172746.35</v>
      </c>
      <c r="F273" s="81" t="n">
        <v>0.06249986372702164</v>
      </c>
      <c r="G273" s="33" t="inlineStr"/>
      <c r="H273" s="79" t="n">
        <v>0.06666666666666667</v>
      </c>
      <c r="I273" s="101" t="n">
        <v>-0.004166802939645026</v>
      </c>
      <c r="J273" s="12" t="inlineStr">
        <is>
          <t>✓ On target</t>
        </is>
      </c>
    </row>
    <row r="274" ht="45" customHeight="1">
      <c r="A274" s="2" t="inlineStr">
        <is>
          <t>Cash</t>
        </is>
      </c>
      <c r="B274" s="78" t="n">
        <v>19984.61</v>
      </c>
      <c r="C274" s="79" t="n">
        <v>0.007230459003259253</v>
      </c>
      <c r="D274" s="41" t="inlineStr">
        <is>
          <t>→</t>
        </is>
      </c>
      <c r="E274" s="80" t="n">
        <v>172746.61</v>
      </c>
      <c r="F274" s="81" t="n">
        <v>0.06249995779537427</v>
      </c>
      <c r="G274" s="33" t="inlineStr"/>
      <c r="H274" s="64" t="inlineStr"/>
      <c r="I274" s="64" t="inlineStr"/>
      <c r="J274" s="33" t="inlineStr"/>
    </row>
    <row r="275" ht="45" customHeight="1">
      <c r="A275" s="2" t="inlineStr">
        <is>
          <t>Emerging Markets</t>
        </is>
      </c>
      <c r="B275" s="78" t="n">
        <v>0</v>
      </c>
      <c r="C275" s="79" t="n">
        <v>0</v>
      </c>
      <c r="D275" s="41" t="inlineStr">
        <is>
          <t>→</t>
        </is>
      </c>
      <c r="E275" s="80" t="n">
        <v>172747</v>
      </c>
      <c r="F275" s="81" t="n">
        <v>0.06250009889790324</v>
      </c>
      <c r="G275" s="33" t="inlineStr"/>
      <c r="H275" s="79" t="n">
        <v>0.06666666666666667</v>
      </c>
      <c r="I275" s="101" t="n">
        <v>-0.004166567768763424</v>
      </c>
      <c r="J275" s="12" t="inlineStr">
        <is>
          <t>✓ On target</t>
        </is>
      </c>
    </row>
    <row r="276" ht="45" customHeight="1">
      <c r="A276" s="2" t="inlineStr">
        <is>
          <t>US Mid Cap</t>
        </is>
      </c>
      <c r="B276" s="78" t="n">
        <v>0</v>
      </c>
      <c r="C276" s="79" t="n">
        <v>0</v>
      </c>
      <c r="D276" s="41" t="inlineStr">
        <is>
          <t>→</t>
        </is>
      </c>
      <c r="E276" s="80" t="n">
        <v>172747</v>
      </c>
      <c r="F276" s="81" t="n">
        <v>0.06250009889790324</v>
      </c>
      <c r="G276" s="33" t="inlineStr"/>
      <c r="H276" s="79" t="n">
        <v>0.06666666666666667</v>
      </c>
      <c r="I276" s="101" t="n">
        <v>-0.004166567768763424</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1807478.13389</v>
      </c>
      <c r="C303" s="104" t="inlineStr">
        <is>
          <t>67%</t>
        </is>
      </c>
    </row>
    <row r="304" ht="30" customHeight="1">
      <c r="A304" s="12" t="inlineStr">
        <is>
          <t>Tax-Free (Roth)</t>
        </is>
      </c>
      <c r="B304" s="103" t="n">
        <v>344341.064064</v>
      </c>
      <c r="C304" s="104" t="inlineStr">
        <is>
          <t>13%</t>
        </is>
      </c>
    </row>
    <row r="305" ht="30" customHeight="1">
      <c r="A305" s="12" t="inlineStr">
        <is>
          <t>Taxable (Trust)</t>
        </is>
      </c>
      <c r="B305" s="103" t="n">
        <v>540058.419588</v>
      </c>
      <c r="C305" s="104" t="inlineStr">
        <is>
          <t>20%</t>
        </is>
      </c>
    </row>
    <row r="306" ht="30" customHeight="1">
      <c r="A306" s="2" t="inlineStr">
        <is>
          <t>Total Investable</t>
        </is>
      </c>
      <c r="B306" s="105" t="n">
        <v>2691877.617542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777.6841242067201</v>
      </c>
      <c r="C310" s="78" t="n">
        <v>1652.57876393928</v>
      </c>
      <c r="D310" s="78" t="n">
        <v>2430.262888146</v>
      </c>
    </row>
    <row r="311" ht="60" customHeight="1">
      <c r="A311" s="2" t="inlineStr">
        <is>
          <t>Optimized (bonds→IRA, equities→Roth/taxable)</t>
        </is>
      </c>
      <c r="B311" s="83" t="n">
        <v>0</v>
      </c>
      <c r="C311" s="83" t="n">
        <v>1944.210310516798</v>
      </c>
      <c r="D311" s="83" t="n">
        <v>1944.210310516798</v>
      </c>
    </row>
    <row r="312"/>
    <row r="313" ht="15" customHeight="1">
      <c r="A313" s="20" t="inlineStr">
        <is>
          <t>Estimated Savings</t>
        </is>
      </c>
      <c r="B313" s="3" t="n"/>
      <c r="C313" s="4" t="n"/>
    </row>
    <row r="314" ht="30" customHeight="1">
      <c r="A314" s="2" t="inlineStr">
        <is>
          <t>Annual tax drag reduction</t>
        </is>
      </c>
      <c r="B314" s="105" t="n">
        <v>486.0525776292016</v>
      </c>
    </row>
    <row r="315" ht="45" customHeight="1">
      <c r="A315" s="2" t="inlineStr">
        <is>
          <t>Compounded over 30 years (at 6.0%)</t>
        </is>
      </c>
      <c r="B315" s="106" t="n">
        <v>40732.02130415339</v>
      </c>
    </row>
    <row r="316"/>
    <row r="317" ht="15" customHeight="1">
      <c r="A317" s="13" t="inlineStr">
        <is>
          <t>Placement Recommendations</t>
        </is>
      </c>
      <c r="B317" s="3" t="n"/>
      <c r="C317" s="3" t="n"/>
      <c r="D317" s="3" t="n"/>
      <c r="E317" s="4" t="n"/>
    </row>
    <row r="318" ht="30" customHeight="1">
      <c r="A318" s="12" t="inlineStr">
        <is>
          <t>• Hold all bond/income assets ($403,782) inside the IRA — ordinary-income yield is sheltered from annual tax.</t>
        </is>
      </c>
      <c r="B318" s="3" t="n"/>
      <c r="C318" s="3" t="n"/>
      <c r="D318" s="3" t="n"/>
      <c r="E318" s="3" t="n"/>
      <c r="F318" s="3" t="n"/>
      <c r="G318" s="4" t="n"/>
    </row>
    <row r="319" ht="30" customHeight="1">
      <c r="A319" s="12" t="inlineStr">
        <is>
          <t>• Hold the highest-growth equities ($344,341)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2721085.043574959</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1335287.638423484</v>
      </c>
      <c r="C9" s="107" t="inlineStr">
        <is>
          <t>Exempt in IL (retirement distribution)</t>
        </is>
      </c>
    </row>
    <row r="10" ht="30" customHeight="1">
      <c r="A10" s="2" t="inlineStr">
        <is>
          <t>Total AGI</t>
        </is>
      </c>
      <c r="B10" s="105" t="n">
        <v>6960192.106877274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202483.0849812853</v>
      </c>
      <c r="F14" s="105" t="n">
        <v>309366.1890755719</v>
      </c>
      <c r="G14" s="105" t="n">
        <v>1877471.778448049</v>
      </c>
      <c r="H14" s="2" t="inlineStr">
        <is>
          <t>Baseline</t>
        </is>
      </c>
      <c r="I14" s="2" t="inlineStr">
        <is>
          <t>Exempt</t>
        </is>
      </c>
    </row>
    <row r="15" ht="30" customHeight="1">
      <c r="A15" s="12" t="inlineStr">
        <is>
          <t>New York</t>
        </is>
      </c>
      <c r="B15" s="12" t="inlineStr">
        <is>
          <t>6.9%</t>
        </is>
      </c>
      <c r="C15" s="103" t="n">
        <v>221178.900617409</v>
      </c>
      <c r="D15" s="108" t="n">
        <v>1030988.053870389</v>
      </c>
      <c r="E15" s="108" t="n">
        <v>185127.3919828894</v>
      </c>
      <c r="F15" s="108" t="n">
        <v>74166.18907557189</v>
      </c>
      <c r="G15" s="109" t="n">
        <v>1511460.53554626</v>
      </c>
      <c r="H15" s="109" t="n">
        <v>-366011.2429017886</v>
      </c>
      <c r="I15" s="110" t="n">
        <v>4056372.681998442</v>
      </c>
    </row>
    <row r="16" ht="15" customHeight="1">
      <c r="A16" s="12" t="inlineStr">
        <is>
          <t>Texas</t>
        </is>
      </c>
      <c r="B16" s="12" t="inlineStr">
        <is>
          <t>None</t>
        </is>
      </c>
      <c r="C16" s="103" t="n">
        <v>0</v>
      </c>
      <c r="D16" s="108" t="n">
        <v>1104630.057718274</v>
      </c>
      <c r="E16" s="108" t="n">
        <v>189755.5767824616</v>
      </c>
      <c r="F16" s="108" t="n">
        <v>0</v>
      </c>
      <c r="G16" s="109" t="n">
        <v>1294385.634500736</v>
      </c>
      <c r="H16" s="109" t="n">
        <v>-583086.1439473124</v>
      </c>
      <c r="I16" s="75" t="inlineStr">
        <is>
          <t>Exempt</t>
        </is>
      </c>
    </row>
    <row r="17" ht="30" customHeight="1">
      <c r="A17" s="12" t="inlineStr">
        <is>
          <t>North Carolina</t>
        </is>
      </c>
      <c r="B17" s="12" t="inlineStr">
        <is>
          <t>4.5%</t>
        </is>
      </c>
      <c r="C17" s="103" t="n">
        <v>213381.862940177</v>
      </c>
      <c r="D17" s="108" t="n">
        <v>521630.8605891851</v>
      </c>
      <c r="E17" s="108" t="n">
        <v>161986.4679850282</v>
      </c>
      <c r="F17" s="108" t="n">
        <v>0</v>
      </c>
      <c r="G17" s="109" t="n">
        <v>896999.1915143903</v>
      </c>
      <c r="H17" s="109" t="n">
        <v>-980472.5869336582</v>
      </c>
      <c r="I17" s="110" t="n">
        <v>4056372.681998442</v>
      </c>
    </row>
    <row r="18" ht="30" customHeight="1">
      <c r="A18" s="12" t="inlineStr">
        <is>
          <t>California</t>
        </is>
      </c>
      <c r="B18" s="12" t="inlineStr">
        <is>
          <t>9.3%</t>
        </is>
      </c>
      <c r="C18" s="103" t="n">
        <v>242652.8152006703</v>
      </c>
      <c r="D18" s="108" t="n">
        <v>447988.8567413002</v>
      </c>
      <c r="E18" s="108" t="n">
        <v>202483.0849812853</v>
      </c>
      <c r="F18" s="108" t="n">
        <v>0</v>
      </c>
      <c r="G18" s="109" t="n">
        <v>893124.7569232557</v>
      </c>
      <c r="H18" s="109" t="n">
        <v>-984347.0215247928</v>
      </c>
      <c r="I18" s="110" t="n">
        <v>4056372.681998442</v>
      </c>
    </row>
    <row r="19" ht="30" customHeight="1">
      <c r="A19" s="12" t="inlineStr">
        <is>
          <t>Indiana</t>
        </is>
      </c>
      <c r="B19" s="12" t="inlineStr">
        <is>
          <t>3.0%</t>
        </is>
      </c>
      <c r="C19" s="103" t="n">
        <v>144625.4848816755</v>
      </c>
      <c r="D19" s="108" t="n">
        <v>533904.5278971659</v>
      </c>
      <c r="E19" s="108" t="n">
        <v>161986.4679850282</v>
      </c>
      <c r="F19" s="108" t="n">
        <v>0</v>
      </c>
      <c r="G19" s="109" t="n">
        <v>840516.4807638696</v>
      </c>
      <c r="H19" s="109" t="n">
        <v>-1036955.297684179</v>
      </c>
      <c r="I19" s="110" t="n">
        <v>4056372.681998442</v>
      </c>
    </row>
    <row r="20" ht="30" customHeight="1">
      <c r="A20" s="12" t="inlineStr">
        <is>
          <t>Arizona</t>
        </is>
      </c>
      <c r="B20" s="12" t="inlineStr">
        <is>
          <t>2.5%</t>
        </is>
      </c>
      <c r="C20" s="103" t="n">
        <v>118545.4794112094</v>
      </c>
      <c r="D20" s="108" t="n">
        <v>386620.520201396</v>
      </c>
      <c r="E20" s="108" t="n">
        <v>194383.7615820339</v>
      </c>
      <c r="F20" s="108" t="n">
        <v>0</v>
      </c>
      <c r="G20" s="109" t="n">
        <v>699549.7611946394</v>
      </c>
      <c r="H20" s="109" t="n">
        <v>-1177922.017253409</v>
      </c>
      <c r="I20" s="110" t="n">
        <v>4056372.681998442</v>
      </c>
    </row>
    <row r="21" ht="30" customHeight="1">
      <c r="A21" s="12" t="inlineStr">
        <is>
          <t>Colorado</t>
        </is>
      </c>
      <c r="B21" s="12" t="inlineStr">
        <is>
          <t>4.4%</t>
        </is>
      </c>
      <c r="C21" s="103" t="n">
        <v>176761.5157637286</v>
      </c>
      <c r="D21" s="108" t="n">
        <v>337525.8509694727</v>
      </c>
      <c r="E21" s="108" t="n">
        <v>178185.1147835311</v>
      </c>
      <c r="F21" s="108" t="n">
        <v>0</v>
      </c>
      <c r="G21" s="109" t="n">
        <v>692472.4815167324</v>
      </c>
      <c r="H21" s="109" t="n">
        <v>-1184999.296931316</v>
      </c>
      <c r="I21" s="110" t="n">
        <v>3331860.681998442</v>
      </c>
    </row>
    <row r="22" ht="15" customHeight="1">
      <c r="A22" s="12" t="inlineStr">
        <is>
          <t>Florida</t>
        </is>
      </c>
      <c r="B22" s="12" t="inlineStr">
        <is>
          <t>None</t>
        </is>
      </c>
      <c r="C22" s="103" t="n">
        <v>0</v>
      </c>
      <c r="D22" s="108" t="n">
        <v>509357.1932812044</v>
      </c>
      <c r="E22" s="108" t="n">
        <v>163606.3326648785</v>
      </c>
      <c r="F22" s="108" t="n">
        <v>0</v>
      </c>
      <c r="G22" s="109" t="n">
        <v>672963.5259460829</v>
      </c>
      <c r="H22" s="109" t="n">
        <v>-1204508.252501966</v>
      </c>
      <c r="I22" s="75" t="inlineStr">
        <is>
          <t>Exempt</t>
        </is>
      </c>
    </row>
    <row r="23" ht="15" customHeight="1">
      <c r="A23" s="12" t="inlineStr">
        <is>
          <t>Tennessee</t>
        </is>
      </c>
      <c r="B23" s="12" t="inlineStr">
        <is>
          <t>None</t>
        </is>
      </c>
      <c r="C23" s="103" t="n">
        <v>0</v>
      </c>
      <c r="D23" s="108" t="n">
        <v>435715.1894333194</v>
      </c>
      <c r="E23" s="108" t="n">
        <v>220995.8241795742</v>
      </c>
      <c r="F23" s="108" t="n">
        <v>0</v>
      </c>
      <c r="G23" s="109" t="n">
        <v>656711.0136128936</v>
      </c>
      <c r="H23" s="109" t="n">
        <v>-1220760.764835155</v>
      </c>
      <c r="I23" s="75" t="inlineStr">
        <is>
          <t>Exempt</t>
        </is>
      </c>
    </row>
    <row r="24" ht="15" customHeight="1">
      <c r="A24" s="12" t="inlineStr">
        <is>
          <t>Nevada</t>
        </is>
      </c>
      <c r="B24" s="12" t="inlineStr">
        <is>
          <t>None</t>
        </is>
      </c>
      <c r="C24" s="103" t="n">
        <v>0</v>
      </c>
      <c r="D24" s="108" t="n">
        <v>337525.8509694727</v>
      </c>
      <c r="E24" s="108" t="n">
        <v>190449.8045023975</v>
      </c>
      <c r="F24" s="108" t="n">
        <v>0</v>
      </c>
      <c r="G24" s="109" t="n">
        <v>527975.6554718702</v>
      </c>
      <c r="H24" s="109" t="n">
        <v>-1349496.122976178</v>
      </c>
      <c r="I24" s="75" t="inlineStr">
        <is>
          <t>Exempt</t>
        </is>
      </c>
    </row>
    <row r="25"/>
    <row r="26"/>
    <row r="27" ht="30" customHeight="1">
      <c r="A27" s="2" t="inlineStr">
        <is>
          <t>Illinois exempts $2,721,085 of retirement income (39% of AGI) from state tax. Moving to a state that taxes retirement income (e.g. North Carolina) would add ~$122,449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Matthew Claim Age</t>
        </is>
      </c>
      <c r="B4" s="12" t="n">
        <v>62</v>
      </c>
      <c r="C4" s="12" t="inlineStr">
        <is>
          <t>Highest score from the 62–70 × 62–70 projection sweep.</t>
        </is>
      </c>
      <c r="D4" s="3" t="n"/>
      <c r="E4" s="3" t="n"/>
      <c r="F4" s="3" t="n"/>
      <c r="G4" s="3" t="n"/>
      <c r="H4" s="3" t="n"/>
      <c r="I4" s="3" t="n"/>
      <c r="J4" s="4" t="n"/>
    </row>
    <row r="5" ht="45" customHeight="1">
      <c r="A5" s="11" t="inlineStr">
        <is>
          <t>Recommended Patricia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Matthew 70 / Patricia 70</t>
        </is>
      </c>
      <c r="C6" s="12" t="inlineStr">
        <is>
          <t>Current row shown below for comparison.</t>
        </is>
      </c>
      <c r="D6" s="3" t="n"/>
      <c r="E6" s="3" t="n"/>
      <c r="F6" s="3" t="n"/>
      <c r="G6" s="3" t="n"/>
      <c r="H6" s="3" t="n"/>
      <c r="I6" s="3" t="n"/>
      <c r="J6" s="4" t="n"/>
    </row>
    <row r="7" ht="45" customHeight="1">
      <c r="A7" s="11" t="inlineStr">
        <is>
          <t>Best vs Current Terminal NW</t>
        </is>
      </c>
      <c r="B7" s="103" t="n">
        <v>3849605.501916896</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877333.9650264391</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13738922.0778146</v>
      </c>
      <c r="E12" s="111" t="n">
        <v>11756809.53674633</v>
      </c>
      <c r="F12" s="111" t="n">
        <v>3889732.173301686</v>
      </c>
      <c r="G12" s="111" t="n">
        <v>3861406.753164189</v>
      </c>
      <c r="H12" s="111" t="n">
        <v>1143284.257048528</v>
      </c>
      <c r="I12" s="111" t="n">
        <v>1786421.412095921</v>
      </c>
      <c r="J12" s="111" t="n">
        <v>92872.8</v>
      </c>
    </row>
    <row r="13" ht="15" customHeight="1">
      <c r="A13" s="12" t="n">
        <v>2</v>
      </c>
      <c r="B13" s="12" t="n">
        <v>62</v>
      </c>
      <c r="C13" s="12" t="n">
        <v>63</v>
      </c>
      <c r="D13" s="108" t="n">
        <v>13639449.91339586</v>
      </c>
      <c r="E13" s="108" t="n">
        <v>11673982.9903613</v>
      </c>
      <c r="F13" s="108" t="n">
        <v>3806905.626916654</v>
      </c>
      <c r="G13" s="108" t="n">
        <v>3828424.589535601</v>
      </c>
      <c r="H13" s="108" t="n">
        <v>1110302.09341994</v>
      </c>
      <c r="I13" s="108" t="n">
        <v>1770084.866501045</v>
      </c>
      <c r="J13" s="108" t="n">
        <v>92872.8</v>
      </c>
    </row>
    <row r="14" ht="15" customHeight="1">
      <c r="A14" s="12" t="n">
        <v>3</v>
      </c>
      <c r="B14" s="12" t="n">
        <v>63</v>
      </c>
      <c r="C14" s="12" t="n">
        <v>62</v>
      </c>
      <c r="D14" s="108" t="n">
        <v>13615817.04586862</v>
      </c>
      <c r="E14" s="108" t="n">
        <v>11655198.16284803</v>
      </c>
      <c r="F14" s="108" t="n">
        <v>3788120.799403381</v>
      </c>
      <c r="G14" s="108" t="n">
        <v>3818675.058887597</v>
      </c>
      <c r="H14" s="108" t="n">
        <v>1100552.562771935</v>
      </c>
      <c r="I14" s="108" t="n">
        <v>1765183.37586701</v>
      </c>
      <c r="J14" s="108" t="n">
        <v>92872.8</v>
      </c>
    </row>
    <row r="15" ht="15" customHeight="1">
      <c r="A15" s="12" t="n">
        <v>4</v>
      </c>
      <c r="B15" s="12" t="n">
        <v>62</v>
      </c>
      <c r="C15" s="12" t="n">
        <v>64</v>
      </c>
      <c r="D15" s="108" t="n">
        <v>13540292.73828767</v>
      </c>
      <c r="E15" s="108" t="n">
        <v>11589945.44594473</v>
      </c>
      <c r="F15" s="108" t="n">
        <v>3722868.082500085</v>
      </c>
      <c r="G15" s="108" t="n">
        <v>3796089.134997769</v>
      </c>
      <c r="H15" s="108" t="n">
        <v>1077966.638882108</v>
      </c>
      <c r="I15" s="108" t="n">
        <v>1752869.042654833</v>
      </c>
      <c r="J15" s="108" t="n">
        <v>92872.8</v>
      </c>
    </row>
    <row r="16" ht="15" customHeight="1">
      <c r="A16" s="12" t="n">
        <v>5</v>
      </c>
      <c r="B16" s="12" t="n">
        <v>63</v>
      </c>
      <c r="C16" s="12" t="n">
        <v>63</v>
      </c>
      <c r="D16" s="108" t="n">
        <v>13514301.66701952</v>
      </c>
      <c r="E16" s="108" t="n">
        <v>11568750.992079</v>
      </c>
      <c r="F16" s="108" t="n">
        <v>3701673.628634347</v>
      </c>
      <c r="G16" s="108" t="n">
        <v>3785692.895259009</v>
      </c>
      <c r="H16" s="108" t="n">
        <v>1067570.399143348</v>
      </c>
      <c r="I16" s="108" t="n">
        <v>1747269.420318483</v>
      </c>
      <c r="J16" s="108" t="n">
        <v>92872.8</v>
      </c>
    </row>
    <row r="17" ht="15" customHeight="1">
      <c r="A17" s="12" t="n">
        <v>6</v>
      </c>
      <c r="B17" s="12" t="n">
        <v>64</v>
      </c>
      <c r="C17" s="12" t="n">
        <v>62</v>
      </c>
      <c r="D17" s="108" t="n">
        <v>13490944.37497482</v>
      </c>
      <c r="E17" s="108" t="n">
        <v>11550306.27251197</v>
      </c>
      <c r="F17" s="108" t="n">
        <v>3683228.909067322</v>
      </c>
      <c r="G17" s="108" t="n">
        <v>3776781.240969369</v>
      </c>
      <c r="H17" s="108" t="n">
        <v>1058658.744853708</v>
      </c>
      <c r="I17" s="108" t="n">
        <v>1743270.338506524</v>
      </c>
      <c r="J17" s="108" t="n">
        <v>92872.8</v>
      </c>
    </row>
    <row r="18" ht="15" customHeight="1">
      <c r="A18" s="12" t="n">
        <v>7</v>
      </c>
      <c r="B18" s="12" t="n">
        <v>62</v>
      </c>
      <c r="C18" s="12" t="n">
        <v>65</v>
      </c>
      <c r="D18" s="108" t="n">
        <v>13445716.12881008</v>
      </c>
      <c r="E18" s="108" t="n">
        <v>11507665.25358709</v>
      </c>
      <c r="F18" s="108" t="n">
        <v>3640587.890142441</v>
      </c>
      <c r="G18" s="108" t="n">
        <v>3764387.708980287</v>
      </c>
      <c r="H18" s="108" t="n">
        <v>1046265.212864626</v>
      </c>
      <c r="I18" s="108" t="n">
        <v>1733464.033757299</v>
      </c>
      <c r="J18" s="108" t="n">
        <v>92872.8</v>
      </c>
    </row>
    <row r="19" ht="15" customHeight="1">
      <c r="A19" s="12" t="n">
        <v>8</v>
      </c>
      <c r="B19" s="12" t="n">
        <v>63</v>
      </c>
      <c r="C19" s="12" t="n">
        <v>64</v>
      </c>
      <c r="D19" s="108" t="n">
        <v>13416037.21383336</v>
      </c>
      <c r="E19" s="108" t="n">
        <v>11483815.44512149</v>
      </c>
      <c r="F19" s="108" t="n">
        <v>3616738.081676837</v>
      </c>
      <c r="G19" s="108" t="n">
        <v>3753357.440721177</v>
      </c>
      <c r="H19" s="108" t="n">
        <v>1035234.944605516</v>
      </c>
      <c r="I19" s="108" t="n">
        <v>1728262.872009302</v>
      </c>
      <c r="J19" s="108" t="n">
        <v>92872.8</v>
      </c>
    </row>
    <row r="20" ht="15" customHeight="1">
      <c r="A20" s="12" t="n">
        <v>9</v>
      </c>
      <c r="B20" s="12" t="n">
        <v>64</v>
      </c>
      <c r="C20" s="12" t="n">
        <v>63</v>
      </c>
      <c r="D20" s="108" t="n">
        <v>13392945.77348639</v>
      </c>
      <c r="E20" s="108" t="n">
        <v>11465228.9594219</v>
      </c>
      <c r="F20" s="108" t="n">
        <v>3598151.595977249</v>
      </c>
      <c r="G20" s="108" t="n">
        <v>3743799.077340781</v>
      </c>
      <c r="H20" s="108" t="n">
        <v>1025676.58122512</v>
      </c>
      <c r="I20" s="108" t="n">
        <v>1723209.463276286</v>
      </c>
      <c r="J20" s="108" t="n">
        <v>92872.8</v>
      </c>
    </row>
    <row r="21" ht="15" customHeight="1">
      <c r="A21" s="12" t="n">
        <v>10</v>
      </c>
      <c r="B21" s="12" t="n">
        <v>63</v>
      </c>
      <c r="C21" s="12" t="n">
        <v>65</v>
      </c>
      <c r="D21" s="108" t="n">
        <v>13338498.7588295</v>
      </c>
      <c r="E21" s="108" t="n">
        <v>11414307.10576012</v>
      </c>
      <c r="F21" s="108" t="n">
        <v>3547229.742315469</v>
      </c>
      <c r="G21" s="108" t="n">
        <v>3721656.014703695</v>
      </c>
      <c r="H21" s="108" t="n">
        <v>1003533.518588034</v>
      </c>
      <c r="I21" s="108" t="n">
        <v>1707219.561634312</v>
      </c>
      <c r="J21" s="108" t="n">
        <v>90244.8</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13738922.0778146</v>
      </c>
      <c r="D26" s="111" t="n">
        <v>11756809.53674633</v>
      </c>
      <c r="E26" s="111" t="n">
        <v>3889732.173301686</v>
      </c>
      <c r="F26" s="111" t="n">
        <v>3861406.753164189</v>
      </c>
      <c r="G26" s="111" t="n">
        <v>1143284.257048528</v>
      </c>
      <c r="H26" s="111" t="n">
        <v>1786421.412095921</v>
      </c>
      <c r="I26" s="111" t="n">
        <v>92872.8</v>
      </c>
      <c r="J26" s="75" t="n">
        <v>2</v>
      </c>
    </row>
    <row r="27" ht="30" customHeight="1">
      <c r="A27" s="12" t="n">
        <v>62</v>
      </c>
      <c r="B27" s="12" t="n">
        <v>63</v>
      </c>
      <c r="C27" s="103" t="n">
        <v>13639449.91339586</v>
      </c>
      <c r="D27" s="108" t="n">
        <v>11673982.9903613</v>
      </c>
      <c r="E27" s="108" t="n">
        <v>3806905.626916654</v>
      </c>
      <c r="F27" s="108" t="n">
        <v>3828424.589535601</v>
      </c>
      <c r="G27" s="108" t="n">
        <v>1110302.09341994</v>
      </c>
      <c r="H27" s="108" t="n">
        <v>1770084.866501045</v>
      </c>
      <c r="I27" s="108" t="n">
        <v>92872.8</v>
      </c>
      <c r="J27" s="33" t="n">
        <v>2</v>
      </c>
    </row>
    <row r="28" ht="30" customHeight="1">
      <c r="A28" s="12" t="n">
        <v>62</v>
      </c>
      <c r="B28" s="12" t="n">
        <v>64</v>
      </c>
      <c r="C28" s="103" t="n">
        <v>13540292.73828767</v>
      </c>
      <c r="D28" s="108" t="n">
        <v>11589945.44594473</v>
      </c>
      <c r="E28" s="108" t="n">
        <v>3722868.082500085</v>
      </c>
      <c r="F28" s="108" t="n">
        <v>3796089.134997769</v>
      </c>
      <c r="G28" s="108" t="n">
        <v>1077966.638882108</v>
      </c>
      <c r="H28" s="108" t="n">
        <v>1752869.042654833</v>
      </c>
      <c r="I28" s="108" t="n">
        <v>92872.8</v>
      </c>
      <c r="J28" s="33" t="n">
        <v>2</v>
      </c>
    </row>
    <row r="29" ht="30" customHeight="1">
      <c r="A29" s="12" t="n">
        <v>62</v>
      </c>
      <c r="B29" s="12" t="n">
        <v>65</v>
      </c>
      <c r="C29" s="103" t="n">
        <v>13445716.12881008</v>
      </c>
      <c r="D29" s="108" t="n">
        <v>11507665.25358709</v>
      </c>
      <c r="E29" s="108" t="n">
        <v>3640587.890142441</v>
      </c>
      <c r="F29" s="108" t="n">
        <v>3764387.708980287</v>
      </c>
      <c r="G29" s="108" t="n">
        <v>1046265.212864626</v>
      </c>
      <c r="H29" s="108" t="n">
        <v>1733464.033757299</v>
      </c>
      <c r="I29" s="108" t="n">
        <v>92872.8</v>
      </c>
      <c r="J29" s="33" t="n">
        <v>2</v>
      </c>
    </row>
    <row r="30" ht="30" customHeight="1">
      <c r="A30" s="12" t="n">
        <v>62</v>
      </c>
      <c r="B30" s="12" t="n">
        <v>66</v>
      </c>
      <c r="C30" s="103" t="n">
        <v>13138410.82723114</v>
      </c>
      <c r="D30" s="108" t="n">
        <v>11218963.05152237</v>
      </c>
      <c r="E30" s="108" t="n">
        <v>3351885.688077725</v>
      </c>
      <c r="F30" s="108" t="n">
        <v>3684201.997198442</v>
      </c>
      <c r="G30" s="108" t="n">
        <v>966079.5010827812</v>
      </c>
      <c r="H30" s="108" t="n">
        <v>1675823.421489674</v>
      </c>
      <c r="I30" s="108" t="n">
        <v>88930.8</v>
      </c>
      <c r="J30" s="33" t="n">
        <v>3</v>
      </c>
    </row>
    <row r="31" ht="30" customHeight="1">
      <c r="A31" s="12" t="n">
        <v>62</v>
      </c>
      <c r="B31" s="12" t="n">
        <v>67</v>
      </c>
      <c r="C31" s="103" t="n">
        <v>12853644.89590559</v>
      </c>
      <c r="D31" s="108" t="n">
        <v>10925533.74547429</v>
      </c>
      <c r="E31" s="108" t="n">
        <v>3058456.382029641</v>
      </c>
      <c r="F31" s="108" t="n">
        <v>3605588.554275065</v>
      </c>
      <c r="G31" s="108" t="n">
        <v>887466.058159404</v>
      </c>
      <c r="H31" s="108" t="n">
        <v>1599382.603843767</v>
      </c>
      <c r="I31" s="108" t="n">
        <v>78094.8</v>
      </c>
      <c r="J31" s="33" t="n">
        <v>4</v>
      </c>
    </row>
    <row r="32" ht="30" customHeight="1">
      <c r="A32" s="12" t="n">
        <v>62</v>
      </c>
      <c r="B32" s="12" t="n">
        <v>68</v>
      </c>
      <c r="C32" s="103" t="n">
        <v>12576255.23323959</v>
      </c>
      <c r="D32" s="108" t="n">
        <v>10648054.33926905</v>
      </c>
      <c r="E32" s="108" t="n">
        <v>2780976.975824401</v>
      </c>
      <c r="F32" s="108" t="n">
        <v>3528516.551409009</v>
      </c>
      <c r="G32" s="108" t="n">
        <v>810394.0552933477</v>
      </c>
      <c r="H32" s="108" t="n">
        <v>1528132.057438466</v>
      </c>
      <c r="I32" s="108" t="n">
        <v>72183.59999999999</v>
      </c>
      <c r="J32" s="33" t="n">
        <v>5</v>
      </c>
    </row>
    <row r="33" ht="30" customHeight="1">
      <c r="A33" s="12" t="n">
        <v>62</v>
      </c>
      <c r="B33" s="12" t="n">
        <v>69</v>
      </c>
      <c r="C33" s="103" t="n">
        <v>12263363.7669192</v>
      </c>
      <c r="D33" s="108" t="n">
        <v>10297980.54324011</v>
      </c>
      <c r="E33" s="108" t="n">
        <v>2430903.179795459</v>
      </c>
      <c r="F33" s="108" t="n">
        <v>3452955.764285424</v>
      </c>
      <c r="G33" s="108" t="n">
        <v>734833.268169763</v>
      </c>
      <c r="H33" s="108" t="n">
        <v>1418852.140606329</v>
      </c>
      <c r="I33" s="108" t="n">
        <v>68720.39999999999</v>
      </c>
      <c r="J33" s="33" t="n">
        <v>6</v>
      </c>
    </row>
    <row r="34" ht="30" customHeight="1">
      <c r="A34" s="12" t="n">
        <v>62</v>
      </c>
      <c r="B34" s="12" t="n">
        <v>70</v>
      </c>
      <c r="C34" s="103" t="n">
        <v>12059195.5277934</v>
      </c>
      <c r="D34" s="108" t="n">
        <v>10023822.04254755</v>
      </c>
      <c r="E34" s="108" t="n">
        <v>2156744.679102905</v>
      </c>
      <c r="F34" s="108" t="n">
        <v>3378876.561223086</v>
      </c>
      <c r="G34" s="108" t="n">
        <v>660754.0651074252</v>
      </c>
      <c r="H34" s="108" t="n">
        <v>1291249.075977239</v>
      </c>
      <c r="I34" s="108" t="n">
        <v>52254</v>
      </c>
      <c r="J34" s="33" t="n">
        <v>7</v>
      </c>
    </row>
    <row r="35" ht="30" customHeight="1">
      <c r="A35" s="12" t="n">
        <v>63</v>
      </c>
      <c r="B35" s="12" t="n">
        <v>62</v>
      </c>
      <c r="C35" s="103" t="n">
        <v>13615817.04586862</v>
      </c>
      <c r="D35" s="108" t="n">
        <v>11655198.16284803</v>
      </c>
      <c r="E35" s="108" t="n">
        <v>3788120.799403381</v>
      </c>
      <c r="F35" s="108" t="n">
        <v>3818675.058887597</v>
      </c>
      <c r="G35" s="108" t="n">
        <v>1100552.562771935</v>
      </c>
      <c r="H35" s="108" t="n">
        <v>1765183.37586701</v>
      </c>
      <c r="I35" s="108" t="n">
        <v>92872.8</v>
      </c>
      <c r="J35" s="33" t="n">
        <v>2</v>
      </c>
    </row>
    <row r="36" ht="30" customHeight="1">
      <c r="A36" s="12" t="n">
        <v>63</v>
      </c>
      <c r="B36" s="12" t="n">
        <v>63</v>
      </c>
      <c r="C36" s="103" t="n">
        <v>13514301.66701952</v>
      </c>
      <c r="D36" s="108" t="n">
        <v>11568750.992079</v>
      </c>
      <c r="E36" s="108" t="n">
        <v>3701673.628634347</v>
      </c>
      <c r="F36" s="108" t="n">
        <v>3785692.895259009</v>
      </c>
      <c r="G36" s="108" t="n">
        <v>1067570.399143348</v>
      </c>
      <c r="H36" s="108" t="n">
        <v>1747269.420318483</v>
      </c>
      <c r="I36" s="108" t="n">
        <v>92872.8</v>
      </c>
      <c r="J36" s="33" t="n">
        <v>2</v>
      </c>
    </row>
    <row r="37" ht="30" customHeight="1">
      <c r="A37" s="12" t="n">
        <v>63</v>
      </c>
      <c r="B37" s="12" t="n">
        <v>64</v>
      </c>
      <c r="C37" s="103" t="n">
        <v>13416037.21383336</v>
      </c>
      <c r="D37" s="108" t="n">
        <v>11483815.44512149</v>
      </c>
      <c r="E37" s="108" t="n">
        <v>3616738.081676837</v>
      </c>
      <c r="F37" s="108" t="n">
        <v>3753357.440721177</v>
      </c>
      <c r="G37" s="108" t="n">
        <v>1035234.944605516</v>
      </c>
      <c r="H37" s="108" t="n">
        <v>1728262.872009302</v>
      </c>
      <c r="I37" s="108" t="n">
        <v>92872.8</v>
      </c>
      <c r="J37" s="33" t="n">
        <v>2</v>
      </c>
    </row>
    <row r="38" ht="30" customHeight="1">
      <c r="A38" s="12" t="n">
        <v>63</v>
      </c>
      <c r="B38" s="12" t="n">
        <v>65</v>
      </c>
      <c r="C38" s="103" t="n">
        <v>13338498.7588295</v>
      </c>
      <c r="D38" s="108" t="n">
        <v>11414307.10576012</v>
      </c>
      <c r="E38" s="108" t="n">
        <v>3547229.742315469</v>
      </c>
      <c r="F38" s="108" t="n">
        <v>3721656.014703695</v>
      </c>
      <c r="G38" s="108" t="n">
        <v>1003533.518588034</v>
      </c>
      <c r="H38" s="108" t="n">
        <v>1707219.561634312</v>
      </c>
      <c r="I38" s="108" t="n">
        <v>90244.8</v>
      </c>
      <c r="J38" s="33" t="n">
        <v>2</v>
      </c>
    </row>
    <row r="39" ht="30" customHeight="1">
      <c r="A39" s="12" t="n">
        <v>63</v>
      </c>
      <c r="B39" s="12" t="n">
        <v>66</v>
      </c>
      <c r="C39" s="103" t="n">
        <v>13013729.16046971</v>
      </c>
      <c r="D39" s="108" t="n">
        <v>11113395.79080114</v>
      </c>
      <c r="E39" s="108" t="n">
        <v>3246318.427356491</v>
      </c>
      <c r="F39" s="108" t="n">
        <v>3641470.30292185</v>
      </c>
      <c r="G39" s="108" t="n">
        <v>923347.806806189</v>
      </c>
      <c r="H39" s="108" t="n">
        <v>1652206.13325328</v>
      </c>
      <c r="I39" s="108" t="n">
        <v>88930.8</v>
      </c>
      <c r="J39" s="33" t="n">
        <v>3</v>
      </c>
    </row>
    <row r="40" ht="30" customHeight="1">
      <c r="A40" s="12" t="n">
        <v>63</v>
      </c>
      <c r="B40" s="12" t="n">
        <v>67</v>
      </c>
      <c r="C40" s="103" t="n">
        <v>12736684.83452152</v>
      </c>
      <c r="D40" s="108" t="n">
        <v>10820200.89273067</v>
      </c>
      <c r="E40" s="108" t="n">
        <v>2953123.529286023</v>
      </c>
      <c r="F40" s="108" t="n">
        <v>3562856.859998473</v>
      </c>
      <c r="G40" s="108" t="n">
        <v>844734.3638828117</v>
      </c>
      <c r="H40" s="108" t="n">
        <v>1570906.118207625</v>
      </c>
      <c r="I40" s="108" t="n">
        <v>75466.8</v>
      </c>
      <c r="J40" s="33" t="n">
        <v>4</v>
      </c>
    </row>
    <row r="41" ht="30" customHeight="1">
      <c r="A41" s="12" t="n">
        <v>63</v>
      </c>
      <c r="B41" s="12" t="n">
        <v>68</v>
      </c>
      <c r="C41" s="103" t="n">
        <v>12444865.6863595</v>
      </c>
      <c r="D41" s="108" t="n">
        <v>10534177.40680331</v>
      </c>
      <c r="E41" s="108" t="n">
        <v>2667100.043358665</v>
      </c>
      <c r="F41" s="108" t="n">
        <v>3485784.857132417</v>
      </c>
      <c r="G41" s="108" t="n">
        <v>767662.3610167555</v>
      </c>
      <c r="H41" s="108" t="n">
        <v>1502912.977576231</v>
      </c>
      <c r="I41" s="108" t="n">
        <v>72183.59999999999</v>
      </c>
      <c r="J41" s="33" t="n">
        <v>5</v>
      </c>
    </row>
    <row r="42" ht="30" customHeight="1">
      <c r="A42" s="12" t="n">
        <v>63</v>
      </c>
      <c r="B42" s="12" t="n">
        <v>69</v>
      </c>
      <c r="C42" s="103" t="n">
        <v>12157359.14331682</v>
      </c>
      <c r="D42" s="108" t="n">
        <v>10184892.79040811</v>
      </c>
      <c r="E42" s="108" t="n">
        <v>2317815.426963463</v>
      </c>
      <c r="F42" s="108" t="n">
        <v>3410224.070008832</v>
      </c>
      <c r="G42" s="108" t="n">
        <v>692101.5738931708</v>
      </c>
      <c r="H42" s="108" t="n">
        <v>1376834.917100125</v>
      </c>
      <c r="I42" s="108" t="n">
        <v>60922.8</v>
      </c>
      <c r="J42" s="33" t="n">
        <v>6</v>
      </c>
    </row>
    <row r="43" ht="30" customHeight="1">
      <c r="A43" s="12" t="n">
        <v>63</v>
      </c>
      <c r="B43" s="12" t="n">
        <v>70</v>
      </c>
      <c r="C43" s="103" t="n">
        <v>11967751.43272863</v>
      </c>
      <c r="D43" s="108" t="n">
        <v>9936551.35320602</v>
      </c>
      <c r="E43" s="108" t="n">
        <v>2069473.989761371</v>
      </c>
      <c r="F43" s="108" t="n">
        <v>3336144.866946495</v>
      </c>
      <c r="G43" s="108" t="n">
        <v>618022.3708308334</v>
      </c>
      <c r="H43" s="108" t="n">
        <v>1256499.58742389</v>
      </c>
      <c r="I43" s="108" t="n">
        <v>48445.2</v>
      </c>
      <c r="J43" s="33" t="n">
        <v>7</v>
      </c>
    </row>
    <row r="44" ht="30" customHeight="1">
      <c r="A44" s="12" t="n">
        <v>64</v>
      </c>
      <c r="B44" s="12" t="n">
        <v>62</v>
      </c>
      <c r="C44" s="103" t="n">
        <v>13490944.37497482</v>
      </c>
      <c r="D44" s="108" t="n">
        <v>11550306.27251197</v>
      </c>
      <c r="E44" s="108" t="n">
        <v>3683228.909067322</v>
      </c>
      <c r="F44" s="108" t="n">
        <v>3776781.240969369</v>
      </c>
      <c r="G44" s="108" t="n">
        <v>1058658.744853708</v>
      </c>
      <c r="H44" s="108" t="n">
        <v>1743270.338506524</v>
      </c>
      <c r="I44" s="108" t="n">
        <v>92872.8</v>
      </c>
      <c r="J44" s="33" t="n">
        <v>2</v>
      </c>
    </row>
    <row r="45" ht="30" customHeight="1">
      <c r="A45" s="12" t="n">
        <v>64</v>
      </c>
      <c r="B45" s="12" t="n">
        <v>63</v>
      </c>
      <c r="C45" s="103" t="n">
        <v>13392945.77348639</v>
      </c>
      <c r="D45" s="108" t="n">
        <v>11465228.9594219</v>
      </c>
      <c r="E45" s="108" t="n">
        <v>3598151.595977249</v>
      </c>
      <c r="F45" s="108" t="n">
        <v>3743799.077340781</v>
      </c>
      <c r="G45" s="108" t="n">
        <v>1025676.58122512</v>
      </c>
      <c r="H45" s="108" t="n">
        <v>1723209.463276286</v>
      </c>
      <c r="I45" s="108" t="n">
        <v>92872.8</v>
      </c>
      <c r="J45" s="33" t="n">
        <v>2</v>
      </c>
    </row>
    <row r="46" ht="30" customHeight="1">
      <c r="A46" s="12" t="n">
        <v>64</v>
      </c>
      <c r="B46" s="12" t="n">
        <v>64</v>
      </c>
      <c r="C46" s="103" t="n">
        <v>13309354.31454393</v>
      </c>
      <c r="D46" s="108" t="n">
        <v>11391171.63784116</v>
      </c>
      <c r="E46" s="108" t="n">
        <v>3524094.274396513</v>
      </c>
      <c r="F46" s="108" t="n">
        <v>3711463.62280295</v>
      </c>
      <c r="G46" s="108" t="n">
        <v>993341.1266872883</v>
      </c>
      <c r="H46" s="108" t="n">
        <v>1703036.146100177</v>
      </c>
      <c r="I46" s="108" t="n">
        <v>90244.8</v>
      </c>
      <c r="J46" s="33" t="n">
        <v>2</v>
      </c>
    </row>
    <row r="47" ht="30" customHeight="1">
      <c r="A47" s="12" t="n">
        <v>64</v>
      </c>
      <c r="B47" s="12" t="n">
        <v>65</v>
      </c>
      <c r="C47" s="103" t="n">
        <v>13213542.50773027</v>
      </c>
      <c r="D47" s="108" t="n">
        <v>11307052.83078825</v>
      </c>
      <c r="E47" s="108" t="n">
        <v>3439975.467343599</v>
      </c>
      <c r="F47" s="108" t="n">
        <v>3679762.196785468</v>
      </c>
      <c r="G47" s="108" t="n">
        <v>961639.7006698065</v>
      </c>
      <c r="H47" s="108" t="n">
        <v>1683027.719843448</v>
      </c>
      <c r="I47" s="108" t="n">
        <v>90244.8</v>
      </c>
      <c r="J47" s="33" t="n">
        <v>2</v>
      </c>
    </row>
    <row r="48" ht="30" customHeight="1">
      <c r="A48" s="12" t="n">
        <v>64</v>
      </c>
      <c r="B48" s="12" t="n">
        <v>66</v>
      </c>
      <c r="C48" s="103" t="n">
        <v>12926718.5664064</v>
      </c>
      <c r="D48" s="108" t="n">
        <v>11024441.98488908</v>
      </c>
      <c r="E48" s="108" t="n">
        <v>3157364.621444432</v>
      </c>
      <c r="F48" s="108" t="n">
        <v>3599576.485003623</v>
      </c>
      <c r="G48" s="108" t="n">
        <v>881453.9888879615</v>
      </c>
      <c r="H48" s="108" t="n">
        <v>1619205.103486299</v>
      </c>
      <c r="I48" s="108" t="n">
        <v>78094.8</v>
      </c>
      <c r="J48" s="33" t="n">
        <v>3</v>
      </c>
    </row>
    <row r="49" ht="30" customHeight="1">
      <c r="A49" s="12" t="n">
        <v>64</v>
      </c>
      <c r="B49" s="12" t="n">
        <v>67</v>
      </c>
      <c r="C49" s="103" t="n">
        <v>12608659.85993739</v>
      </c>
      <c r="D49" s="108" t="n">
        <v>10709310.82747925</v>
      </c>
      <c r="E49" s="108" t="n">
        <v>2842233.464034606</v>
      </c>
      <c r="F49" s="108" t="n">
        <v>3520963.042080245</v>
      </c>
      <c r="G49" s="108" t="n">
        <v>802840.5459645842</v>
      </c>
      <c r="H49" s="108" t="n">
        <v>1546147.209622107</v>
      </c>
      <c r="I49" s="108" t="n">
        <v>75466.8</v>
      </c>
      <c r="J49" s="33" t="n">
        <v>4</v>
      </c>
    </row>
    <row r="50" ht="30" customHeight="1">
      <c r="A50" s="12" t="n">
        <v>64</v>
      </c>
      <c r="B50" s="12" t="n">
        <v>68</v>
      </c>
      <c r="C50" s="103" t="n">
        <v>12324021.59122832</v>
      </c>
      <c r="D50" s="108" t="n">
        <v>10426522.92121669</v>
      </c>
      <c r="E50" s="108" t="n">
        <v>2559445.557772044</v>
      </c>
      <c r="F50" s="108" t="n">
        <v>3443891.039214189</v>
      </c>
      <c r="G50" s="108" t="n">
        <v>725768.5430985279</v>
      </c>
      <c r="H50" s="108" t="n">
        <v>1476375.969202563</v>
      </c>
      <c r="I50" s="108" t="n">
        <v>70016.39999999999</v>
      </c>
      <c r="J50" s="33" t="n">
        <v>5</v>
      </c>
    </row>
    <row r="51" ht="30" customHeight="1">
      <c r="A51" s="12" t="n">
        <v>64</v>
      </c>
      <c r="B51" s="12" t="n">
        <v>69</v>
      </c>
      <c r="C51" s="103" t="n">
        <v>12033716.02531692</v>
      </c>
      <c r="D51" s="108" t="n">
        <v>10064174.00317676</v>
      </c>
      <c r="E51" s="108" t="n">
        <v>2197096.639732108</v>
      </c>
      <c r="F51" s="108" t="n">
        <v>3368330.252090605</v>
      </c>
      <c r="G51" s="108" t="n">
        <v>650207.7559749437</v>
      </c>
      <c r="H51" s="108" t="n">
        <v>1340032.629950438</v>
      </c>
      <c r="I51" s="108" t="n">
        <v>58755.6</v>
      </c>
      <c r="J51" s="33" t="n">
        <v>6</v>
      </c>
    </row>
    <row r="52" ht="30" customHeight="1">
      <c r="A52" s="12" t="n">
        <v>64</v>
      </c>
      <c r="B52" s="12" t="n">
        <v>70</v>
      </c>
      <c r="C52" s="103" t="n">
        <v>11898076.97089289</v>
      </c>
      <c r="D52" s="108" t="n">
        <v>9869916.162606861</v>
      </c>
      <c r="E52" s="108" t="n">
        <v>2002838.799162213</v>
      </c>
      <c r="F52" s="108" t="n">
        <v>3294251.049028267</v>
      </c>
      <c r="G52" s="108" t="n">
        <v>576128.5529126055</v>
      </c>
      <c r="H52" s="108" t="n">
        <v>1223621.040742243</v>
      </c>
      <c r="I52" s="108" t="n">
        <v>42469.2</v>
      </c>
      <c r="J52" s="33" t="n">
        <v>7</v>
      </c>
    </row>
    <row r="53" ht="30" customHeight="1">
      <c r="A53" s="12" t="n">
        <v>65</v>
      </c>
      <c r="B53" s="12" t="n">
        <v>62</v>
      </c>
      <c r="C53" s="103" t="n">
        <v>13102030.64164697</v>
      </c>
      <c r="D53" s="108" t="n">
        <v>11189377.73624391</v>
      </c>
      <c r="E53" s="108" t="n">
        <v>3322300.372799266</v>
      </c>
      <c r="F53" s="108" t="n">
        <v>3675944.16457895</v>
      </c>
      <c r="G53" s="108" t="n">
        <v>957821.6684632888</v>
      </c>
      <c r="H53" s="108" t="n">
        <v>1674360.459175894</v>
      </c>
      <c r="I53" s="108" t="n">
        <v>88930.8</v>
      </c>
      <c r="J53" s="33" t="n">
        <v>3</v>
      </c>
    </row>
    <row r="54" ht="30" customHeight="1">
      <c r="A54" s="12" t="n">
        <v>65</v>
      </c>
      <c r="B54" s="12" t="n">
        <v>63</v>
      </c>
      <c r="C54" s="103" t="n">
        <v>13003483.54140789</v>
      </c>
      <c r="D54" s="108" t="n">
        <v>11104551.50808479</v>
      </c>
      <c r="E54" s="108" t="n">
        <v>3237474.144640137</v>
      </c>
      <c r="F54" s="108" t="n">
        <v>3642962.000950362</v>
      </c>
      <c r="G54" s="108" t="n">
        <v>924839.5048347008</v>
      </c>
      <c r="H54" s="108" t="n">
        <v>1655099.167627259</v>
      </c>
      <c r="I54" s="108" t="n">
        <v>88930.8</v>
      </c>
      <c r="J54" s="33" t="n">
        <v>3</v>
      </c>
    </row>
    <row r="55" ht="30" customHeight="1">
      <c r="A55" s="12" t="n">
        <v>65</v>
      </c>
      <c r="B55" s="12" t="n">
        <v>64</v>
      </c>
      <c r="C55" s="103" t="n">
        <v>12929132.7164971</v>
      </c>
      <c r="D55" s="108" t="n">
        <v>11029949.10376238</v>
      </c>
      <c r="E55" s="108" t="n">
        <v>3162871.74031773</v>
      </c>
      <c r="F55" s="108" t="n">
        <v>3610626.54641253</v>
      </c>
      <c r="G55" s="108" t="n">
        <v>892504.0502968691</v>
      </c>
      <c r="H55" s="108" t="n">
        <v>1629013.733677812</v>
      </c>
      <c r="I55" s="108" t="n">
        <v>82429.2</v>
      </c>
      <c r="J55" s="33" t="n">
        <v>3</v>
      </c>
    </row>
    <row r="56" ht="30" customHeight="1">
      <c r="A56" s="12" t="n">
        <v>65</v>
      </c>
      <c r="B56" s="12" t="n">
        <v>65</v>
      </c>
      <c r="C56" s="103" t="n">
        <v>12846948.59296259</v>
      </c>
      <c r="D56" s="108" t="n">
        <v>10952761.0810018</v>
      </c>
      <c r="E56" s="108" t="n">
        <v>3085683.717557147</v>
      </c>
      <c r="F56" s="108" t="n">
        <v>3578925.120395049</v>
      </c>
      <c r="G56" s="108" t="n">
        <v>860802.6242793873</v>
      </c>
      <c r="H56" s="108" t="n">
        <v>1606642.808434251</v>
      </c>
      <c r="I56" s="108" t="n">
        <v>78094.8</v>
      </c>
      <c r="J56" s="33" t="n">
        <v>3</v>
      </c>
    </row>
    <row r="57" ht="30" customHeight="1">
      <c r="A57" s="12" t="n">
        <v>65</v>
      </c>
      <c r="B57" s="12" t="n">
        <v>66</v>
      </c>
      <c r="C57" s="103" t="n">
        <v>12541914.8066739</v>
      </c>
      <c r="D57" s="108" t="n">
        <v>10660875.51590938</v>
      </c>
      <c r="E57" s="108" t="n">
        <v>2793798.152464736</v>
      </c>
      <c r="F57" s="108" t="n">
        <v>3498739.408613204</v>
      </c>
      <c r="G57" s="108" t="n">
        <v>780616.9124975423</v>
      </c>
      <c r="H57" s="108" t="n">
        <v>1546121.317848689</v>
      </c>
      <c r="I57" s="108" t="n">
        <v>71578.79999999999</v>
      </c>
      <c r="J57" s="33" t="n">
        <v>2</v>
      </c>
    </row>
    <row r="58" ht="30" customHeight="1">
      <c r="A58" s="12" t="n">
        <v>65</v>
      </c>
      <c r="B58" s="12" t="n">
        <v>67</v>
      </c>
      <c r="C58" s="103" t="n">
        <v>12210333.28372085</v>
      </c>
      <c r="D58" s="108" t="n">
        <v>10321504.9936088</v>
      </c>
      <c r="E58" s="108" t="n">
        <v>2454427.630164146</v>
      </c>
      <c r="F58" s="108" t="n">
        <v>3420125.965689826</v>
      </c>
      <c r="G58" s="108" t="n">
        <v>702003.4695741651</v>
      </c>
      <c r="H58" s="108" t="n">
        <v>1461886.07557777</v>
      </c>
      <c r="I58" s="108" t="n">
        <v>69411.59999999999</v>
      </c>
      <c r="J58" s="33" t="n">
        <v>3</v>
      </c>
    </row>
    <row r="59" ht="30" customHeight="1">
      <c r="A59" s="12" t="n">
        <v>65</v>
      </c>
      <c r="B59" s="12" t="n">
        <v>68</v>
      </c>
      <c r="C59" s="103" t="n">
        <v>11928616.01002772</v>
      </c>
      <c r="D59" s="108" t="n">
        <v>9980125.968939498</v>
      </c>
      <c r="E59" s="108" t="n">
        <v>2113048.605494849</v>
      </c>
      <c r="F59" s="108" t="n">
        <v>3343053.96282377</v>
      </c>
      <c r="G59" s="108" t="n">
        <v>624931.4667081088</v>
      </c>
      <c r="H59" s="108" t="n">
        <v>1339696.32173555</v>
      </c>
      <c r="I59" s="108" t="n">
        <v>54867.6</v>
      </c>
      <c r="J59" s="33" t="n">
        <v>4</v>
      </c>
    </row>
    <row r="60" ht="30" customHeight="1">
      <c r="A60" s="12" t="n">
        <v>65</v>
      </c>
      <c r="B60" s="12" t="n">
        <v>69</v>
      </c>
      <c r="C60" s="103" t="n">
        <v>11763086.19668411</v>
      </c>
      <c r="D60" s="108" t="n">
        <v>9752934.782415207</v>
      </c>
      <c r="E60" s="108" t="n">
        <v>1885857.418970559</v>
      </c>
      <c r="F60" s="108" t="n">
        <v>3267493.175700185</v>
      </c>
      <c r="G60" s="108" t="n">
        <v>549370.6795845241</v>
      </c>
      <c r="H60" s="108" t="n">
        <v>1214951.761431279</v>
      </c>
      <c r="I60" s="108" t="n">
        <v>42390</v>
      </c>
      <c r="J60" s="33" t="n">
        <v>5</v>
      </c>
    </row>
    <row r="61" ht="30" customHeight="1">
      <c r="A61" s="12" t="n">
        <v>65</v>
      </c>
      <c r="B61" s="12" t="n">
        <v>70</v>
      </c>
      <c r="C61" s="103" t="n">
        <v>11539907.6283748</v>
      </c>
      <c r="D61" s="108" t="n">
        <v>9512904.134321976</v>
      </c>
      <c r="E61" s="108" t="n">
        <v>1645826.770877328</v>
      </c>
      <c r="F61" s="108" t="n">
        <v>3193413.972637848</v>
      </c>
      <c r="G61" s="108" t="n">
        <v>475291.4765221863</v>
      </c>
      <c r="H61" s="108" t="n">
        <v>1129996.478585022</v>
      </c>
      <c r="I61" s="108" t="n">
        <v>36414</v>
      </c>
      <c r="J61" s="33" t="n">
        <v>6</v>
      </c>
    </row>
    <row r="62" ht="30" customHeight="1">
      <c r="A62" s="12" t="n">
        <v>66</v>
      </c>
      <c r="B62" s="12" t="n">
        <v>62</v>
      </c>
      <c r="C62" s="103" t="n">
        <v>12745939.36164497</v>
      </c>
      <c r="D62" s="108" t="n">
        <v>10827245.38024457</v>
      </c>
      <c r="E62" s="108" t="n">
        <v>2960168.016799923</v>
      </c>
      <c r="F62" s="108" t="n">
        <v>3577084.285764813</v>
      </c>
      <c r="G62" s="108" t="n">
        <v>858961.7896491522</v>
      </c>
      <c r="H62" s="108" t="n">
        <v>1580295.504364416</v>
      </c>
      <c r="I62" s="108" t="n">
        <v>78094.8</v>
      </c>
      <c r="J62" s="33" t="n">
        <v>4</v>
      </c>
    </row>
    <row r="63" ht="30" customHeight="1">
      <c r="A63" s="12" t="n">
        <v>66</v>
      </c>
      <c r="B63" s="12" t="n">
        <v>63</v>
      </c>
      <c r="C63" s="103" t="n">
        <v>12652279.71576184</v>
      </c>
      <c r="D63" s="108" t="n">
        <v>10740957.79215298</v>
      </c>
      <c r="E63" s="108" t="n">
        <v>2873880.428708335</v>
      </c>
      <c r="F63" s="108" t="n">
        <v>3544102.122136225</v>
      </c>
      <c r="G63" s="108" t="n">
        <v>825979.6260205642</v>
      </c>
      <c r="H63" s="108" t="n">
        <v>1557313.398527373</v>
      </c>
      <c r="I63" s="108" t="n">
        <v>75466.8</v>
      </c>
      <c r="J63" s="33" t="n">
        <v>4</v>
      </c>
    </row>
    <row r="64" ht="30" customHeight="1">
      <c r="A64" s="12" t="n">
        <v>66</v>
      </c>
      <c r="B64" s="12" t="n">
        <v>64</v>
      </c>
      <c r="C64" s="103" t="n">
        <v>12572081.09502141</v>
      </c>
      <c r="D64" s="108" t="n">
        <v>10667517.02637702</v>
      </c>
      <c r="E64" s="108" t="n">
        <v>2800439.662932368</v>
      </c>
      <c r="F64" s="108" t="n">
        <v>3511766.667598394</v>
      </c>
      <c r="G64" s="108" t="n">
        <v>793644.1714827325</v>
      </c>
      <c r="H64" s="108" t="n">
        <v>1535018.998954006</v>
      </c>
      <c r="I64" s="108" t="n">
        <v>72183.59999999999</v>
      </c>
      <c r="J64" s="33" t="n">
        <v>4</v>
      </c>
    </row>
    <row r="65" ht="30" customHeight="1">
      <c r="A65" s="12" t="n">
        <v>66</v>
      </c>
      <c r="B65" s="12" t="n">
        <v>65</v>
      </c>
      <c r="C65" s="103" t="n">
        <v>12471736.32057171</v>
      </c>
      <c r="D65" s="108" t="n">
        <v>10578991.87193553</v>
      </c>
      <c r="E65" s="108" t="n">
        <v>2711914.508490879</v>
      </c>
      <c r="F65" s="108" t="n">
        <v>3480065.241580912</v>
      </c>
      <c r="G65" s="108" t="n">
        <v>761942.7454652512</v>
      </c>
      <c r="H65" s="108" t="n">
        <v>1515137.192944731</v>
      </c>
      <c r="I65" s="108" t="n">
        <v>72183.59999999999</v>
      </c>
      <c r="J65" s="33" t="n">
        <v>4</v>
      </c>
    </row>
    <row r="66" ht="30" customHeight="1">
      <c r="A66" s="12" t="n">
        <v>66</v>
      </c>
      <c r="B66" s="12" t="n">
        <v>66</v>
      </c>
      <c r="C66" s="103" t="n">
        <v>12146466.93747688</v>
      </c>
      <c r="D66" s="108" t="n">
        <v>10248056.10442532</v>
      </c>
      <c r="E66" s="108" t="n">
        <v>2380978.740980674</v>
      </c>
      <c r="F66" s="108" t="n">
        <v>3399879.529799067</v>
      </c>
      <c r="G66" s="108" t="n">
        <v>681757.0336834057</v>
      </c>
      <c r="H66" s="108" t="n">
        <v>1435340.29674751</v>
      </c>
      <c r="I66" s="108" t="n">
        <v>66128.39999999999</v>
      </c>
      <c r="J66" s="33" t="n">
        <v>3</v>
      </c>
    </row>
    <row r="67" ht="30" customHeight="1">
      <c r="A67" s="12" t="n">
        <v>66</v>
      </c>
      <c r="B67" s="12" t="n">
        <v>67</v>
      </c>
      <c r="C67" s="103" t="n">
        <v>11887943.12038309</v>
      </c>
      <c r="D67" s="108" t="n">
        <v>9908107.783848472</v>
      </c>
      <c r="E67" s="108" t="n">
        <v>2041030.420403823</v>
      </c>
      <c r="F67" s="108" t="n">
        <v>3321266.08687569</v>
      </c>
      <c r="G67" s="108" t="n">
        <v>603143.5907600285</v>
      </c>
      <c r="H67" s="108" t="n">
        <v>1292013.550341075</v>
      </c>
      <c r="I67" s="108" t="n">
        <v>49417.2</v>
      </c>
      <c r="J67" s="33" t="n">
        <v>2</v>
      </c>
    </row>
    <row r="68" ht="30" customHeight="1">
      <c r="A68" s="12" t="n">
        <v>66</v>
      </c>
      <c r="B68" s="12" t="n">
        <v>68</v>
      </c>
      <c r="C68" s="103" t="n">
        <v>11717054.99249122</v>
      </c>
      <c r="D68" s="108" t="n">
        <v>9690161.186513651</v>
      </c>
      <c r="E68" s="108" t="n">
        <v>1823083.823069002</v>
      </c>
      <c r="F68" s="108" t="n">
        <v>3244194.084009633</v>
      </c>
      <c r="G68" s="108" t="n">
        <v>526071.5878939722</v>
      </c>
      <c r="H68" s="108" t="n">
        <v>1185285.478032063</v>
      </c>
      <c r="I68" s="108" t="n">
        <v>32014.8</v>
      </c>
      <c r="J68" s="33" t="n">
        <v>3</v>
      </c>
    </row>
    <row r="69" ht="30" customHeight="1">
      <c r="A69" s="12" t="n">
        <v>66</v>
      </c>
      <c r="B69" s="12" t="n">
        <v>69</v>
      </c>
      <c r="C69" s="103" t="n">
        <v>11483884.13388829</v>
      </c>
      <c r="D69" s="108" t="n">
        <v>9446648.986590464</v>
      </c>
      <c r="E69" s="108" t="n">
        <v>1579571.623145815</v>
      </c>
      <c r="F69" s="108" t="n">
        <v>3168633.296886049</v>
      </c>
      <c r="G69" s="108" t="n">
        <v>450510.8007703875</v>
      </c>
      <c r="H69" s="108" t="n">
        <v>1101550.549588227</v>
      </c>
      <c r="I69" s="108" t="n">
        <v>29847.6</v>
      </c>
      <c r="J69" s="33" t="n">
        <v>4</v>
      </c>
    </row>
    <row r="70" ht="30" customHeight="1">
      <c r="A70" s="12" t="n">
        <v>66</v>
      </c>
      <c r="B70" s="12" t="n">
        <v>70</v>
      </c>
      <c r="C70" s="103" t="n">
        <v>11223101.74810913</v>
      </c>
      <c r="D70" s="108" t="n">
        <v>9203801.206649965</v>
      </c>
      <c r="E70" s="108" t="n">
        <v>1336723.843205316</v>
      </c>
      <c r="F70" s="108" t="n">
        <v>3094554.093823711</v>
      </c>
      <c r="G70" s="108" t="n">
        <v>376431.5977080502</v>
      </c>
      <c r="H70" s="108" t="n">
        <v>1045405.95236455</v>
      </c>
      <c r="I70" s="108" t="n">
        <v>29847.6</v>
      </c>
      <c r="J70" s="33" t="n">
        <v>5</v>
      </c>
    </row>
    <row r="71" ht="30" customHeight="1">
      <c r="A71" s="12" t="n">
        <v>67</v>
      </c>
      <c r="B71" s="12" t="n">
        <v>62</v>
      </c>
      <c r="C71" s="103" t="n">
        <v>12384485.25934605</v>
      </c>
      <c r="D71" s="108" t="n">
        <v>10461483.84938334</v>
      </c>
      <c r="E71" s="108" t="n">
        <v>2594406.485938694</v>
      </c>
      <c r="F71" s="108" t="n">
        <v>3480162.835947033</v>
      </c>
      <c r="G71" s="108" t="n">
        <v>762040.3398313713</v>
      </c>
      <c r="H71" s="108" t="n">
        <v>1484977.825984328</v>
      </c>
      <c r="I71" s="108" t="n">
        <v>72183.59999999999</v>
      </c>
      <c r="J71" s="33" t="n">
        <v>5</v>
      </c>
    </row>
    <row r="72" ht="30" customHeight="1">
      <c r="A72" s="12" t="n">
        <v>67</v>
      </c>
      <c r="B72" s="12" t="n">
        <v>63</v>
      </c>
      <c r="C72" s="103" t="n">
        <v>12280775.32436815</v>
      </c>
      <c r="D72" s="108" t="n">
        <v>10357510.4655491</v>
      </c>
      <c r="E72" s="108" t="n">
        <v>2490433.102104448</v>
      </c>
      <c r="F72" s="108" t="n">
        <v>3447180.672318445</v>
      </c>
      <c r="G72" s="108" t="n">
        <v>729058.1762027834</v>
      </c>
      <c r="H72" s="108" t="n">
        <v>1453899.413499389</v>
      </c>
      <c r="I72" s="108" t="n">
        <v>70016.39999999999</v>
      </c>
      <c r="J72" s="33" t="n">
        <v>5</v>
      </c>
    </row>
    <row r="73" ht="30" customHeight="1">
      <c r="A73" s="12" t="n">
        <v>67</v>
      </c>
      <c r="B73" s="12" t="n">
        <v>64</v>
      </c>
      <c r="C73" s="103" t="n">
        <v>12197101.06399412</v>
      </c>
      <c r="D73" s="108" t="n">
        <v>10274253.16217837</v>
      </c>
      <c r="E73" s="108" t="n">
        <v>2407175.798733719</v>
      </c>
      <c r="F73" s="108" t="n">
        <v>3414845.217780613</v>
      </c>
      <c r="G73" s="108" t="n">
        <v>696722.7216649521</v>
      </c>
      <c r="H73" s="108" t="n">
        <v>1425264.115964866</v>
      </c>
      <c r="I73" s="108" t="n">
        <v>66733.2</v>
      </c>
      <c r="J73" s="33" t="n">
        <v>5</v>
      </c>
    </row>
    <row r="74" ht="30" customHeight="1">
      <c r="A74" s="12" t="n">
        <v>67</v>
      </c>
      <c r="B74" s="12" t="n">
        <v>65</v>
      </c>
      <c r="C74" s="103" t="n">
        <v>12121604.83521254</v>
      </c>
      <c r="D74" s="108" t="n">
        <v>10188489.69746544</v>
      </c>
      <c r="E74" s="108" t="n">
        <v>2321412.33402079</v>
      </c>
      <c r="F74" s="108" t="n">
        <v>3383143.791763131</v>
      </c>
      <c r="G74" s="108" t="n">
        <v>665021.2956474698</v>
      </c>
      <c r="H74" s="108" t="n">
        <v>1390221.854016028</v>
      </c>
      <c r="I74" s="108" t="n">
        <v>59806.8</v>
      </c>
      <c r="J74" s="33" t="n">
        <v>5</v>
      </c>
    </row>
    <row r="75" ht="30" customHeight="1">
      <c r="A75" s="12" t="n">
        <v>67</v>
      </c>
      <c r="B75" s="12" t="n">
        <v>66</v>
      </c>
      <c r="C75" s="103" t="n">
        <v>11838382.96753509</v>
      </c>
      <c r="D75" s="108" t="n">
        <v>9864417.334596183</v>
      </c>
      <c r="E75" s="108" t="n">
        <v>1997339.971151534</v>
      </c>
      <c r="F75" s="108" t="n">
        <v>3302958.079981287</v>
      </c>
      <c r="G75" s="108" t="n">
        <v>584835.5838656253</v>
      </c>
      <c r="H75" s="108" t="n">
        <v>1281742.447042378</v>
      </c>
      <c r="I75" s="108" t="n">
        <v>47250</v>
      </c>
      <c r="J75" s="33" t="n">
        <v>4</v>
      </c>
    </row>
    <row r="76" ht="30" customHeight="1">
      <c r="A76" s="12" t="n">
        <v>67</v>
      </c>
      <c r="B76" s="12" t="n">
        <v>67</v>
      </c>
      <c r="C76" s="103" t="n">
        <v>11671667.24446615</v>
      </c>
      <c r="D76" s="108" t="n">
        <v>9640571.559838336</v>
      </c>
      <c r="E76" s="108" t="n">
        <v>1773494.196393687</v>
      </c>
      <c r="F76" s="108" t="n">
        <v>3224344.637057909</v>
      </c>
      <c r="G76" s="108" t="n">
        <v>506222.1409422476</v>
      </c>
      <c r="H76" s="108" t="n">
        <v>1162317.752430099</v>
      </c>
      <c r="I76" s="108" t="n">
        <v>30931.2</v>
      </c>
      <c r="J76" s="33" t="n">
        <v>3</v>
      </c>
    </row>
    <row r="77" ht="30" customHeight="1">
      <c r="A77" s="12" t="n">
        <v>67</v>
      </c>
      <c r="B77" s="12" t="n">
        <v>68</v>
      </c>
      <c r="C77" s="103" t="n">
        <v>11410189.79508974</v>
      </c>
      <c r="D77" s="108" t="n">
        <v>9374274.640620228</v>
      </c>
      <c r="E77" s="108" t="n">
        <v>1507197.277175579</v>
      </c>
      <c r="F77" s="108" t="n">
        <v>3147272.634191853</v>
      </c>
      <c r="G77" s="108" t="n">
        <v>429150.1380761913</v>
      </c>
      <c r="H77" s="108" t="n">
        <v>1081509.879722339</v>
      </c>
      <c r="I77" s="108" t="n">
        <v>29847.6</v>
      </c>
      <c r="J77" s="33" t="n">
        <v>2</v>
      </c>
    </row>
    <row r="78" ht="30" customHeight="1">
      <c r="A78" s="12" t="n">
        <v>67</v>
      </c>
      <c r="B78" s="12" t="n">
        <v>69</v>
      </c>
      <c r="C78" s="103" t="n">
        <v>11132030.55678255</v>
      </c>
      <c r="D78" s="108" t="n">
        <v>9116096.020454703</v>
      </c>
      <c r="E78" s="108" t="n">
        <v>1249018.657010054</v>
      </c>
      <c r="F78" s="108" t="n">
        <v>3071711.847068268</v>
      </c>
      <c r="G78" s="108" t="n">
        <v>353589.3509526071</v>
      </c>
      <c r="H78" s="108" t="n">
        <v>1025929.710740425</v>
      </c>
      <c r="I78" s="108" t="n">
        <v>29847.6</v>
      </c>
      <c r="J78" s="33" t="n">
        <v>3</v>
      </c>
    </row>
    <row r="79" ht="30" customHeight="1">
      <c r="A79" s="12" t="n">
        <v>67</v>
      </c>
      <c r="B79" s="12" t="n">
        <v>70</v>
      </c>
      <c r="C79" s="103" t="n">
        <v>10806406.6794935</v>
      </c>
      <c r="D79" s="108" t="n">
        <v>8825813.106253691</v>
      </c>
      <c r="E79" s="108" t="n">
        <v>958735.7428090423</v>
      </c>
      <c r="F79" s="108" t="n">
        <v>2997632.644005931</v>
      </c>
      <c r="G79" s="108" t="n">
        <v>279510.1478902693</v>
      </c>
      <c r="H79" s="108" t="n">
        <v>987191.4707661195</v>
      </c>
      <c r="I79" s="108" t="n">
        <v>29847.6</v>
      </c>
      <c r="J79" s="33" t="n">
        <v>4</v>
      </c>
    </row>
    <row r="80" ht="30" customHeight="1">
      <c r="A80" s="12" t="n">
        <v>68</v>
      </c>
      <c r="B80" s="12" t="n">
        <v>62</v>
      </c>
      <c r="C80" s="103" t="n">
        <v>12050349.87026546</v>
      </c>
      <c r="D80" s="108" t="n">
        <v>10040425.65315671</v>
      </c>
      <c r="E80" s="108" t="n">
        <v>2173348.289712057</v>
      </c>
      <c r="F80" s="108" t="n">
        <v>3385141.806713914</v>
      </c>
      <c r="G80" s="108" t="n">
        <v>667019.3105982528</v>
      </c>
      <c r="H80" s="108" t="n">
        <v>1318629.189605159</v>
      </c>
      <c r="I80" s="108" t="n">
        <v>56588.39999999999</v>
      </c>
      <c r="J80" s="33" t="n">
        <v>6</v>
      </c>
    </row>
    <row r="81" ht="30" customHeight="1">
      <c r="A81" s="12" t="n">
        <v>68</v>
      </c>
      <c r="B81" s="12" t="n">
        <v>63</v>
      </c>
      <c r="C81" s="103" t="n">
        <v>11978436.79952934</v>
      </c>
      <c r="D81" s="108" t="n">
        <v>9968493.30225949</v>
      </c>
      <c r="E81" s="108" t="n">
        <v>2101415.938814841</v>
      </c>
      <c r="F81" s="108" t="n">
        <v>3352159.643085326</v>
      </c>
      <c r="G81" s="108" t="n">
        <v>634037.1469696648</v>
      </c>
      <c r="H81" s="108" t="n">
        <v>1287794.945815481</v>
      </c>
      <c r="I81" s="108" t="n">
        <v>54421.2</v>
      </c>
      <c r="J81" s="33" t="n">
        <v>6</v>
      </c>
    </row>
    <row r="82" ht="30" customHeight="1">
      <c r="A82" s="12" t="n">
        <v>68</v>
      </c>
      <c r="B82" s="12" t="n">
        <v>64</v>
      </c>
      <c r="C82" s="103" t="n">
        <v>11932647.45520953</v>
      </c>
      <c r="D82" s="108" t="n">
        <v>9919524.020566547</v>
      </c>
      <c r="E82" s="108" t="n">
        <v>2052446.657121899</v>
      </c>
      <c r="F82" s="108" t="n">
        <v>3319824.188547494</v>
      </c>
      <c r="G82" s="108" t="n">
        <v>601701.6924318331</v>
      </c>
      <c r="H82" s="108" t="n">
        <v>1259897.153904514</v>
      </c>
      <c r="I82" s="108" t="n">
        <v>46803.6</v>
      </c>
      <c r="J82" s="33" t="n">
        <v>6</v>
      </c>
    </row>
    <row r="83" ht="30" customHeight="1">
      <c r="A83" s="12" t="n">
        <v>68</v>
      </c>
      <c r="B83" s="12" t="n">
        <v>65</v>
      </c>
      <c r="C83" s="103" t="n">
        <v>11886565.61045531</v>
      </c>
      <c r="D83" s="108" t="n">
        <v>9873553.56990766</v>
      </c>
      <c r="E83" s="108" t="n">
        <v>2006476.206463011</v>
      </c>
      <c r="F83" s="108" t="n">
        <v>3288122.762530013</v>
      </c>
      <c r="G83" s="108" t="n">
        <v>570000.2664143518</v>
      </c>
      <c r="H83" s="108" t="n">
        <v>1232115.921982359</v>
      </c>
      <c r="I83" s="108" t="n">
        <v>42994.8</v>
      </c>
      <c r="J83" s="33" t="n">
        <v>6</v>
      </c>
    </row>
    <row r="84" ht="30" customHeight="1">
      <c r="A84" s="12" t="n">
        <v>68</v>
      </c>
      <c r="B84" s="12" t="n">
        <v>66</v>
      </c>
      <c r="C84" s="103" t="n">
        <v>11605019.65304763</v>
      </c>
      <c r="D84" s="108" t="n">
        <v>9580405.059787173</v>
      </c>
      <c r="E84" s="108" t="n">
        <v>1713327.696342524</v>
      </c>
      <c r="F84" s="108" t="n">
        <v>3207937.050748168</v>
      </c>
      <c r="G84" s="108" t="n">
        <v>489814.5546325068</v>
      </c>
      <c r="H84" s="108" t="n">
        <v>1149108.057487714</v>
      </c>
      <c r="I84" s="108" t="n">
        <v>34214.39999999999</v>
      </c>
      <c r="J84" s="33" t="n">
        <v>5</v>
      </c>
    </row>
    <row r="85" ht="30" customHeight="1">
      <c r="A85" s="12" t="n">
        <v>68</v>
      </c>
      <c r="B85" s="12" t="n">
        <v>67</v>
      </c>
      <c r="C85" s="103" t="n">
        <v>11355877.33834018</v>
      </c>
      <c r="D85" s="108" t="n">
        <v>9327793.575719716</v>
      </c>
      <c r="E85" s="108" t="n">
        <v>1460716.212275067</v>
      </c>
      <c r="F85" s="108" t="n">
        <v>3129323.60782479</v>
      </c>
      <c r="G85" s="108" t="n">
        <v>411201.1117091291</v>
      </c>
      <c r="H85" s="108" t="n">
        <v>1071392.245204326</v>
      </c>
      <c r="I85" s="108" t="n">
        <v>29847.6</v>
      </c>
      <c r="J85" s="33" t="n">
        <v>4</v>
      </c>
    </row>
    <row r="86" ht="30" customHeight="1">
      <c r="A86" s="12" t="n">
        <v>68</v>
      </c>
      <c r="B86" s="12" t="n">
        <v>68</v>
      </c>
      <c r="C86" s="103" t="n">
        <v>11051235.8537183</v>
      </c>
      <c r="D86" s="108" t="n">
        <v>9043722.097400378</v>
      </c>
      <c r="E86" s="108" t="n">
        <v>1176644.73395573</v>
      </c>
      <c r="F86" s="108" t="n">
        <v>3052251.604958734</v>
      </c>
      <c r="G86" s="108" t="n">
        <v>334129.1088430728</v>
      </c>
      <c r="H86" s="108" t="n">
        <v>1014890.248640809</v>
      </c>
      <c r="I86" s="108" t="n">
        <v>29847.6</v>
      </c>
      <c r="J86" s="33" t="n">
        <v>3</v>
      </c>
    </row>
    <row r="87" ht="30" customHeight="1">
      <c r="A87" s="12" t="n">
        <v>68</v>
      </c>
      <c r="B87" s="12" t="n">
        <v>69</v>
      </c>
      <c r="C87" s="103" t="n">
        <v>10719530.2932118</v>
      </c>
      <c r="D87" s="108" t="n">
        <v>8749179.708157778</v>
      </c>
      <c r="E87" s="108" t="n">
        <v>882102.3447131291</v>
      </c>
      <c r="F87" s="108" t="n">
        <v>2976690.81783515</v>
      </c>
      <c r="G87" s="108" t="n">
        <v>258568.3217194886</v>
      </c>
      <c r="H87" s="108" t="n">
        <v>976492.6327811293</v>
      </c>
      <c r="I87" s="108" t="n">
        <v>29847.6</v>
      </c>
      <c r="J87" s="33" t="n">
        <v>2</v>
      </c>
    </row>
    <row r="88" ht="30" customHeight="1">
      <c r="A88" s="12" t="n">
        <v>68</v>
      </c>
      <c r="B88" s="12" t="n">
        <v>70</v>
      </c>
      <c r="C88" s="103" t="n">
        <v>10429699.78858609</v>
      </c>
      <c r="D88" s="108" t="n">
        <v>8505539.883512842</v>
      </c>
      <c r="E88" s="108" t="n">
        <v>638462.5200681929</v>
      </c>
      <c r="F88" s="108" t="n">
        <v>2902611.614772812</v>
      </c>
      <c r="G88" s="108" t="n">
        <v>184489.1186571508</v>
      </c>
      <c r="H88" s="108" t="n">
        <v>948604.1096995646</v>
      </c>
      <c r="I88" s="108" t="n">
        <v>29847.6</v>
      </c>
      <c r="J88" s="33" t="n">
        <v>3</v>
      </c>
    </row>
    <row r="89" ht="30" customHeight="1">
      <c r="A89" s="12" t="n">
        <v>69</v>
      </c>
      <c r="B89" s="12" t="n">
        <v>62</v>
      </c>
      <c r="C89" s="103" t="n">
        <v>11856854.28216407</v>
      </c>
      <c r="D89" s="108" t="n">
        <v>9793369.458643278</v>
      </c>
      <c r="E89" s="108" t="n">
        <v>1926292.095198629</v>
      </c>
      <c r="F89" s="108" t="n">
        <v>3292103.233900905</v>
      </c>
      <c r="G89" s="108" t="n">
        <v>573980.7377852439</v>
      </c>
      <c r="H89" s="108" t="n">
        <v>1187232.810380117</v>
      </c>
      <c r="I89" s="108" t="n">
        <v>41385.6</v>
      </c>
      <c r="J89" s="33" t="n">
        <v>7</v>
      </c>
    </row>
    <row r="90" ht="30" customHeight="1">
      <c r="A90" s="12" t="n">
        <v>69</v>
      </c>
      <c r="B90" s="12" t="n">
        <v>63</v>
      </c>
      <c r="C90" s="103" t="n">
        <v>11778316.2207393</v>
      </c>
      <c r="D90" s="108" t="n">
        <v>9727488.784333924</v>
      </c>
      <c r="E90" s="108" t="n">
        <v>1860411.420889275</v>
      </c>
      <c r="F90" s="108" t="n">
        <v>3259001.771288151</v>
      </c>
      <c r="G90" s="108" t="n">
        <v>540879.2751724902</v>
      </c>
      <c r="H90" s="108" t="n">
        <v>1166788.734882779</v>
      </c>
      <c r="I90" s="108" t="n">
        <v>41385.6</v>
      </c>
      <c r="J90" s="33" t="n">
        <v>7</v>
      </c>
    </row>
    <row r="91" ht="30" customHeight="1">
      <c r="A91" s="12" t="n">
        <v>69</v>
      </c>
      <c r="B91" s="12" t="n">
        <v>64</v>
      </c>
      <c r="C91" s="103" t="n">
        <v>11703963.01841189</v>
      </c>
      <c r="D91" s="108" t="n">
        <v>9660012.19050312</v>
      </c>
      <c r="E91" s="108" t="n">
        <v>1792934.827058472</v>
      </c>
      <c r="F91" s="108" t="n">
        <v>3226666.31675032</v>
      </c>
      <c r="G91" s="108" t="n">
        <v>508543.8206346589</v>
      </c>
      <c r="H91" s="108" t="n">
        <v>1145696.688841545</v>
      </c>
      <c r="I91" s="108" t="n">
        <v>37018.8</v>
      </c>
      <c r="J91" s="33" t="n">
        <v>7</v>
      </c>
    </row>
    <row r="92" ht="30" customHeight="1">
      <c r="A92" s="12" t="n">
        <v>69</v>
      </c>
      <c r="B92" s="12" t="n">
        <v>65</v>
      </c>
      <c r="C92" s="103" t="n">
        <v>11626171.69528792</v>
      </c>
      <c r="D92" s="108" t="n">
        <v>9597227.157452738</v>
      </c>
      <c r="E92" s="108" t="n">
        <v>1730149.794008089</v>
      </c>
      <c r="F92" s="108" t="n">
        <v>3194964.890732838</v>
      </c>
      <c r="G92" s="108" t="n">
        <v>476842.3946171771</v>
      </c>
      <c r="H92" s="108" t="n">
        <v>1129001.552897658</v>
      </c>
      <c r="I92" s="108" t="n">
        <v>37018.8</v>
      </c>
      <c r="J92" s="33" t="n">
        <v>7</v>
      </c>
    </row>
    <row r="93" ht="30" customHeight="1">
      <c r="A93" s="12" t="n">
        <v>69</v>
      </c>
      <c r="B93" s="12" t="n">
        <v>66</v>
      </c>
      <c r="C93" s="103" t="n">
        <v>11302586.1390742</v>
      </c>
      <c r="D93" s="108" t="n">
        <v>9290320.664410962</v>
      </c>
      <c r="E93" s="108" t="n">
        <v>1423243.300966313</v>
      </c>
      <c r="F93" s="108" t="n">
        <v>3114779.178950993</v>
      </c>
      <c r="G93" s="108" t="n">
        <v>396656.6828353321</v>
      </c>
      <c r="H93" s="108" t="n">
        <v>1069382.904287753</v>
      </c>
      <c r="I93" s="108" t="n">
        <v>33130.8</v>
      </c>
      <c r="J93" s="33" t="n">
        <v>6</v>
      </c>
    </row>
    <row r="94" ht="30" customHeight="1">
      <c r="A94" s="12" t="n">
        <v>69</v>
      </c>
      <c r="B94" s="12" t="n">
        <v>67</v>
      </c>
      <c r="C94" s="103" t="n">
        <v>11007126.06122285</v>
      </c>
      <c r="D94" s="108" t="n">
        <v>9013593.896759301</v>
      </c>
      <c r="E94" s="108" t="n">
        <v>1146516.533314653</v>
      </c>
      <c r="F94" s="108" t="n">
        <v>3036165.736027616</v>
      </c>
      <c r="G94" s="108" t="n">
        <v>318043.2399119544</v>
      </c>
      <c r="H94" s="108" t="n">
        <v>1012785.971564071</v>
      </c>
      <c r="I94" s="108" t="n">
        <v>29847.6</v>
      </c>
      <c r="J94" s="33" t="n">
        <v>5</v>
      </c>
    </row>
    <row r="95" ht="30" customHeight="1">
      <c r="A95" s="12" t="n">
        <v>69</v>
      </c>
      <c r="B95" s="12" t="n">
        <v>68</v>
      </c>
      <c r="C95" s="103" t="n">
        <v>10675341.37196961</v>
      </c>
      <c r="D95" s="108" t="n">
        <v>8716519.489811918</v>
      </c>
      <c r="E95" s="108" t="n">
        <v>849442.1263672691</v>
      </c>
      <c r="F95" s="108" t="n">
        <v>2959093.73316156</v>
      </c>
      <c r="G95" s="108" t="n">
        <v>240971.2370458986</v>
      </c>
      <c r="H95" s="108" t="n">
        <v>970424.2510038636</v>
      </c>
      <c r="I95" s="108" t="n">
        <v>29847.6</v>
      </c>
      <c r="J95" s="33" t="n">
        <v>4</v>
      </c>
    </row>
    <row r="96" ht="30" customHeight="1">
      <c r="A96" s="12" t="n">
        <v>69</v>
      </c>
      <c r="B96" s="12" t="n">
        <v>69</v>
      </c>
      <c r="C96" s="103" t="n">
        <v>10356712.37910424</v>
      </c>
      <c r="D96" s="108" t="n">
        <v>8446801.705710422</v>
      </c>
      <c r="E96" s="108" t="n">
        <v>579724.3422657736</v>
      </c>
      <c r="F96" s="108" t="n">
        <v>2883532.946037975</v>
      </c>
      <c r="G96" s="108" t="n">
        <v>165410.4499223139</v>
      </c>
      <c r="H96" s="108" t="n">
        <v>943774.6726441553</v>
      </c>
      <c r="I96" s="108" t="n">
        <v>29847.6</v>
      </c>
      <c r="J96" s="33" t="n">
        <v>3</v>
      </c>
    </row>
    <row r="97" ht="30" customHeight="1">
      <c r="A97" s="12" t="n">
        <v>69</v>
      </c>
      <c r="B97" s="12" t="n">
        <v>70</v>
      </c>
      <c r="C97" s="103" t="n">
        <v>10051190.4788241</v>
      </c>
      <c r="D97" s="108" t="n">
        <v>8196496.006314769</v>
      </c>
      <c r="E97" s="108" t="n">
        <v>329418.6428701207</v>
      </c>
      <c r="F97" s="108" t="n">
        <v>2809453.742975637</v>
      </c>
      <c r="G97" s="108" t="n">
        <v>91331.24685997609</v>
      </c>
      <c r="H97" s="108" t="n">
        <v>924911.6704663076</v>
      </c>
      <c r="I97" s="108" t="n">
        <v>29847.6</v>
      </c>
      <c r="J97" s="33" t="n">
        <v>2</v>
      </c>
    </row>
    <row r="98" ht="30" customHeight="1">
      <c r="A98" s="12" t="n">
        <v>70</v>
      </c>
      <c r="B98" s="12" t="n">
        <v>62</v>
      </c>
      <c r="C98" s="103" t="n">
        <v>11583400.96505385</v>
      </c>
      <c r="D98" s="108" t="n">
        <v>9528970.118855048</v>
      </c>
      <c r="E98" s="108" t="n">
        <v>1661892.755410399</v>
      </c>
      <c r="F98" s="108" t="n">
        <v>3202359.136392723</v>
      </c>
      <c r="G98" s="108" t="n">
        <v>484236.6402770616</v>
      </c>
      <c r="H98" s="108" t="n">
        <v>1107626.290193919</v>
      </c>
      <c r="I98" s="108" t="n">
        <v>40302</v>
      </c>
      <c r="J98" s="33" t="n">
        <v>8</v>
      </c>
    </row>
    <row r="99" ht="30" customHeight="1">
      <c r="A99" s="12" t="n">
        <v>70</v>
      </c>
      <c r="B99" s="12" t="n">
        <v>63</v>
      </c>
      <c r="C99" s="103" t="n">
        <v>11470588.95861566</v>
      </c>
      <c r="D99" s="108" t="n">
        <v>9435230.237942215</v>
      </c>
      <c r="E99" s="108" t="n">
        <v>1568152.874497566</v>
      </c>
      <c r="F99" s="108" t="n">
        <v>3167787.484216573</v>
      </c>
      <c r="G99" s="108" t="n">
        <v>449664.988100912</v>
      </c>
      <c r="H99" s="108" t="n">
        <v>1092126.763543129</v>
      </c>
      <c r="I99" s="108" t="n">
        <v>40302</v>
      </c>
      <c r="J99" s="33" t="n">
        <v>8</v>
      </c>
    </row>
    <row r="100" ht="30" customHeight="1">
      <c r="A100" s="12" t="n">
        <v>70</v>
      </c>
      <c r="B100" s="12" t="n">
        <v>64</v>
      </c>
      <c r="C100" s="103" t="n">
        <v>11415169.2747731</v>
      </c>
      <c r="D100" s="108" t="n">
        <v>9393708.840038532</v>
      </c>
      <c r="E100" s="108" t="n">
        <v>1526631.476593884</v>
      </c>
      <c r="F100" s="108" t="n">
        <v>3135335.069890344</v>
      </c>
      <c r="G100" s="108" t="n">
        <v>417212.5737746828</v>
      </c>
      <c r="H100" s="108" t="n">
        <v>1076855.835155774</v>
      </c>
      <c r="I100" s="108" t="n">
        <v>37018.8</v>
      </c>
      <c r="J100" s="33" t="n">
        <v>8</v>
      </c>
    </row>
    <row r="101" ht="30" customHeight="1">
      <c r="A101" s="12" t="n">
        <v>70</v>
      </c>
      <c r="B101" s="12" t="n">
        <v>65</v>
      </c>
      <c r="C101" s="103" t="n">
        <v>11307067.79190385</v>
      </c>
      <c r="D101" s="108" t="n">
        <v>9304284.07964275</v>
      </c>
      <c r="E101" s="108" t="n">
        <v>1437206.716198102</v>
      </c>
      <c r="F101" s="108" t="n">
        <v>3103633.643872862</v>
      </c>
      <c r="G101" s="108" t="n">
        <v>385511.147757201</v>
      </c>
      <c r="H101" s="108" t="n">
        <v>1063831.131611758</v>
      </c>
      <c r="I101" s="108" t="n">
        <v>37018.8</v>
      </c>
      <c r="J101" s="33" t="n">
        <v>8</v>
      </c>
    </row>
    <row r="102" ht="30" customHeight="1">
      <c r="A102" s="12" t="n">
        <v>70</v>
      </c>
      <c r="B102" s="12" t="n">
        <v>66</v>
      </c>
      <c r="C102" s="103" t="n">
        <v>10975432.23837041</v>
      </c>
      <c r="D102" s="108" t="n">
        <v>9001450.126372892</v>
      </c>
      <c r="E102" s="108" t="n">
        <v>1134372.762928244</v>
      </c>
      <c r="F102" s="108" t="n">
        <v>3023447.932091017</v>
      </c>
      <c r="G102" s="108" t="n">
        <v>305325.435975356</v>
      </c>
      <c r="H102" s="108" t="n">
        <v>1016335.020093503</v>
      </c>
      <c r="I102" s="108" t="n">
        <v>33130.8</v>
      </c>
      <c r="J102" s="33" t="n">
        <v>7</v>
      </c>
    </row>
    <row r="103" ht="30" customHeight="1">
      <c r="A103" s="12" t="n">
        <v>70</v>
      </c>
      <c r="B103" s="12" t="n">
        <v>67</v>
      </c>
      <c r="C103" s="103" t="n">
        <v>10647967.47288036</v>
      </c>
      <c r="D103" s="108" t="n">
        <v>8704882.352204468</v>
      </c>
      <c r="E103" s="108" t="n">
        <v>837804.9887598194</v>
      </c>
      <c r="F103" s="108" t="n">
        <v>2944834.48916764</v>
      </c>
      <c r="G103" s="108" t="n">
        <v>226711.9930519788</v>
      </c>
      <c r="H103" s="108" t="n">
        <v>971901.7684917526</v>
      </c>
      <c r="I103" s="108" t="n">
        <v>29847.6</v>
      </c>
      <c r="J103" s="33" t="n">
        <v>6</v>
      </c>
    </row>
    <row r="104" ht="30" customHeight="1">
      <c r="A104" s="12" t="n">
        <v>70</v>
      </c>
      <c r="B104" s="12" t="n">
        <v>68</v>
      </c>
      <c r="C104" s="103" t="n">
        <v>10323611.10139568</v>
      </c>
      <c r="D104" s="108" t="n">
        <v>8427227.518326582</v>
      </c>
      <c r="E104" s="108" t="n">
        <v>560150.1548819337</v>
      </c>
      <c r="F104" s="108" t="n">
        <v>2867762.486301584</v>
      </c>
      <c r="G104" s="108" t="n">
        <v>149639.9901859225</v>
      </c>
      <c r="H104" s="108" t="n">
        <v>941531.3032324915</v>
      </c>
      <c r="I104" s="108" t="n">
        <v>29847.6</v>
      </c>
      <c r="J104" s="33" t="n">
        <v>5</v>
      </c>
    </row>
    <row r="105" ht="30" customHeight="1">
      <c r="A105" s="12" t="n">
        <v>70</v>
      </c>
      <c r="B105" s="12" t="n">
        <v>69</v>
      </c>
      <c r="C105" s="103" t="n">
        <v>9999055.966264602</v>
      </c>
      <c r="D105" s="108" t="n">
        <v>8158943.643336745</v>
      </c>
      <c r="E105" s="108" t="n">
        <v>291866.2798920963</v>
      </c>
      <c r="F105" s="108" t="n">
        <v>2792201.699177999</v>
      </c>
      <c r="G105" s="108" t="n">
        <v>74079.20306233782</v>
      </c>
      <c r="H105" s="108" t="n">
        <v>922241.7762501419</v>
      </c>
      <c r="I105" s="108" t="n">
        <v>29847.6</v>
      </c>
      <c r="J105" s="33" t="n">
        <v>4</v>
      </c>
    </row>
    <row r="106" ht="30" customHeight="1">
      <c r="A106" s="112" t="n">
        <v>70</v>
      </c>
      <c r="B106" s="112" t="n">
        <v>70</v>
      </c>
      <c r="C106" s="113" t="n">
        <v>9686391.483875617</v>
      </c>
      <c r="D106" s="113" t="n">
        <v>7907204.034829439</v>
      </c>
      <c r="E106" s="113" t="n">
        <v>40126.67138478998</v>
      </c>
      <c r="F106" s="113" t="n">
        <v>2718122.496115661</v>
      </c>
      <c r="G106" s="113" t="n">
        <v>0</v>
      </c>
      <c r="H106" s="113" t="n">
        <v>909087.4470694821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Matthew);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7707704.937080713</v>
      </c>
    </row>
    <row r="5" ht="30" customHeight="1">
      <c r="A5" s="11" t="inlineStr">
        <is>
          <t>At Second Death (2056)</t>
        </is>
      </c>
      <c r="B5" s="105" t="n">
        <v>7867077.363444649</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7867077.363444649</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3867077.363444649</v>
      </c>
    </row>
    <row r="16" ht="45" customHeight="1">
      <c r="A16" s="2" t="inlineStr">
        <is>
          <t>Est. IL Estate Tax (cliff/interrelated calc)</t>
        </is>
      </c>
      <c r="B16" s="116" t="n">
        <v>671903.5493825936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7867077.363444649</v>
      </c>
    </row>
    <row r="7" ht="30" customHeight="1">
      <c r="A7" s="121" t="inlineStr">
        <is>
          <t>Monte Carlo success</t>
        </is>
      </c>
      <c r="B7" s="70" t="n">
        <v>0.6875</v>
      </c>
    </row>
    <row r="8" ht="30" customHeight="1">
      <c r="A8" s="121" t="inlineStr">
        <is>
          <t>Core annual spending</t>
        </is>
      </c>
      <c r="B8" s="103" t="n">
        <v>142706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$2,877,035</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7189574.695921352</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12325805.27793062</v>
      </c>
      <c r="G34" s="4" t="n"/>
      <c r="H34" s="128" t="inlineStr">
        <is>
          <t>On Track</t>
        </is>
      </c>
      <c r="I34" s="3" t="n"/>
      <c r="J34" s="4" t="n"/>
    </row>
    <row r="35" ht="15" customHeight="1">
      <c r="A35" s="11" t="inlineStr">
        <is>
          <t>P90 Terminal Liquid Assets</t>
        </is>
      </c>
      <c r="B35" s="3" t="n"/>
      <c r="C35" s="3" t="n"/>
      <c r="D35" s="3" t="n"/>
      <c r="E35" s="4" t="n"/>
      <c r="F35" s="83" t="n">
        <v>21319186.04517672</v>
      </c>
      <c r="G35" s="4" t="n"/>
      <c r="H35" s="128" t="inlineStr">
        <is>
          <t>On Track</t>
        </is>
      </c>
      <c r="I35" s="3" t="n"/>
      <c r="J35" s="4" t="n"/>
    </row>
    <row r="36" ht="15" customHeight="1">
      <c r="A36" s="11" t="inlineStr">
        <is>
          <t>Mean Terminal Liquid Assets</t>
        </is>
      </c>
      <c r="B36" s="3" t="n"/>
      <c r="C36" s="3" t="n"/>
      <c r="D36" s="3" t="n"/>
      <c r="E36" s="4" t="n"/>
      <c r="F36" s="83" t="n">
        <v>8828448.987752922</v>
      </c>
      <c r="G36" s="4" t="n"/>
      <c r="H36" s="128" t="inlineStr">
        <is>
          <t>On Track</t>
        </is>
      </c>
      <c r="I36" s="3" t="n"/>
      <c r="J36" s="4" t="n"/>
    </row>
    <row r="37" ht="15" customHeight="1">
      <c r="A37" s="11" t="inlineStr">
        <is>
          <t>Median Terminal Total Net Worth</t>
        </is>
      </c>
      <c r="B37" s="3" t="n"/>
      <c r="C37" s="3" t="n"/>
      <c r="D37" s="3" t="n"/>
      <c r="E37" s="4" t="n"/>
      <c r="F37" s="83" t="n">
        <v>10610437.03436872</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7867077.363444649</v>
      </c>
      <c r="D41" s="4" t="n"/>
      <c r="E41" s="78" t="n">
        <v>3390274.137803575</v>
      </c>
      <c r="F41" s="83" t="n">
        <v>10610437.03436872</v>
      </c>
      <c r="G41" s="78" t="n">
        <v>24741055.05177532</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4476803.225641074</v>
      </c>
      <c r="D42" s="4" t="n"/>
      <c r="E42" s="78" t="n">
        <v>0</v>
      </c>
      <c r="F42" s="83" t="n">
        <v>7189574.695921352</v>
      </c>
      <c r="G42" s="78" t="n">
        <v>21319186.04517672</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-7189574.695921352</v>
      </c>
      <c r="F47" s="4" t="n"/>
      <c r="G47" s="12" t="inlineStr">
        <is>
          <t>Catastrophic — total portfolio loss</t>
        </is>
      </c>
      <c r="H47" s="3" t="n"/>
      <c r="I47" s="3" t="n"/>
      <c r="J47" s="4" t="n"/>
    </row>
    <row r="48" ht="15" customHeight="1">
      <c r="A48" s="41" t="inlineStr">
        <is>
          <t>P5</t>
        </is>
      </c>
      <c r="B48" s="78" t="n">
        <v>0</v>
      </c>
      <c r="C48" s="3" t="n"/>
      <c r="D48" s="4" t="n"/>
      <c r="E48" s="27" t="n">
        <v>-7189574.695921352</v>
      </c>
      <c r="F48" s="4" t="n"/>
      <c r="G48" s="12" t="inlineStr">
        <is>
          <t>Very bad luck — significant shortfall</t>
        </is>
      </c>
      <c r="H48" s="3" t="n"/>
      <c r="I48" s="3" t="n"/>
      <c r="J48" s="4" t="n"/>
    </row>
    <row r="49" ht="15" customHeight="1">
      <c r="A49" s="41" t="inlineStr">
        <is>
          <t>P10</t>
        </is>
      </c>
      <c r="B49" s="78" t="n">
        <v>0</v>
      </c>
      <c r="C49" s="3" t="n"/>
      <c r="D49" s="4" t="n"/>
      <c r="E49" s="27" t="n">
        <v>-7189574.695921352</v>
      </c>
      <c r="F49" s="4" t="n"/>
      <c r="G49" s="12" t="inlineStr">
        <is>
          <t>Poor sequence — stress-test floor</t>
        </is>
      </c>
      <c r="H49" s="3" t="n"/>
      <c r="I49" s="3" t="n"/>
      <c r="J49" s="4" t="n"/>
    </row>
    <row r="50" ht="15" customHeight="1">
      <c r="A50" s="130" t="inlineStr">
        <is>
          <t>P25</t>
        </is>
      </c>
      <c r="B50" s="131" t="n">
        <v>0</v>
      </c>
      <c r="C50" s="3" t="n"/>
      <c r="D50" s="4" t="n"/>
      <c r="E50" s="131" t="n">
        <v>-7189574.695921352</v>
      </c>
      <c r="F50" s="4" t="n"/>
      <c r="G50" s="97" t="inlineStr">
        <is>
          <t>1-in-4 downside scenario</t>
        </is>
      </c>
      <c r="H50" s="3" t="n"/>
      <c r="I50" s="3" t="n"/>
      <c r="J50" s="4" t="n"/>
    </row>
    <row r="51" ht="15" customHeight="1">
      <c r="A51" s="132" t="inlineStr">
        <is>
          <t>P50</t>
        </is>
      </c>
      <c r="B51" s="133" t="n">
        <v>7189574.695921352</v>
      </c>
      <c r="C51" s="3" t="n"/>
      <c r="D51" s="4" t="n"/>
      <c r="E51" s="134" t="n">
        <v>0</v>
      </c>
      <c r="F51" s="4" t="n"/>
      <c r="G51" s="19" t="inlineStr">
        <is>
          <t>Base case — median outcome</t>
        </is>
      </c>
      <c r="H51" s="3" t="n"/>
      <c r="I51" s="3" t="n"/>
      <c r="J51" s="4" t="n"/>
    </row>
    <row r="52" ht="15" customHeight="1">
      <c r="A52" s="130" t="inlineStr">
        <is>
          <t>P75</t>
        </is>
      </c>
      <c r="B52" s="131" t="n">
        <v>12325805.27793062</v>
      </c>
      <c r="C52" s="3" t="n"/>
      <c r="D52" s="4" t="n"/>
      <c r="E52" s="131" t="n">
        <v>5136230.582009269</v>
      </c>
      <c r="F52" s="4" t="n"/>
      <c r="G52" s="97" t="inlineStr">
        <is>
          <t>3-in-4 scenarios end above this</t>
        </is>
      </c>
      <c r="H52" s="3" t="n"/>
      <c r="I52" s="3" t="n"/>
      <c r="J52" s="4" t="n"/>
    </row>
    <row r="53" ht="15" customHeight="1">
      <c r="A53" s="41" t="inlineStr">
        <is>
          <t>P90</t>
        </is>
      </c>
      <c r="B53" s="78" t="n">
        <v>21319186.04517672</v>
      </c>
      <c r="C53" s="3" t="n"/>
      <c r="D53" s="4" t="n"/>
      <c r="E53" s="27" t="n">
        <v>14129611.34925537</v>
      </c>
      <c r="F53" s="4" t="n"/>
      <c r="G53" s="12" t="inlineStr">
        <is>
          <t>Good sequence — upside scenario</t>
        </is>
      </c>
      <c r="H53" s="3" t="n"/>
      <c r="I53" s="3" t="n"/>
      <c r="J53" s="4" t="n"/>
    </row>
    <row r="54" ht="15" customHeight="1">
      <c r="A54" s="41" t="inlineStr">
        <is>
          <t>P95</t>
        </is>
      </c>
      <c r="B54" s="78" t="n">
        <v>24592383.27534027</v>
      </c>
      <c r="C54" s="3" t="n"/>
      <c r="D54" s="4" t="n"/>
      <c r="E54" s="27" t="n">
        <v>17402808.57941892</v>
      </c>
      <c r="F54" s="4" t="n"/>
      <c r="G54" s="12" t="inlineStr">
        <is>
          <t>Very good luck</t>
        </is>
      </c>
      <c r="H54" s="3" t="n"/>
      <c r="I54" s="3" t="n"/>
      <c r="J54" s="4" t="n"/>
    </row>
    <row r="55" ht="15" customHeight="1">
      <c r="A55" s="41" t="inlineStr">
        <is>
          <t>P99</t>
        </is>
      </c>
      <c r="B55" s="78" t="n">
        <v>29900510.24224374</v>
      </c>
      <c r="C55" s="3" t="n"/>
      <c r="D55" s="4" t="n"/>
      <c r="E55" s="27" t="n">
        <v>22710935.54632238</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2899778.740789386</v>
      </c>
      <c r="E59" s="108" t="n">
        <v>2967120.288402235</v>
      </c>
      <c r="F59" s="136" t="n">
        <v>3126256.759443942</v>
      </c>
      <c r="G59" s="103" t="n">
        <v>3258265.279791729</v>
      </c>
      <c r="H59" s="108" t="n">
        <v>3354730.197117879</v>
      </c>
      <c r="I59" s="108" t="n">
        <v>3086391.169018939</v>
      </c>
      <c r="J59" s="137" t="n">
        <v>1</v>
      </c>
    </row>
    <row r="60" ht="30" customHeight="1">
      <c r="A60" s="135" t="n">
        <v>2027</v>
      </c>
      <c r="B60" s="135" t="n">
        <v>65</v>
      </c>
      <c r="C60" s="135" t="n">
        <v>66</v>
      </c>
      <c r="D60" s="108" t="n">
        <v>2343795.101832287</v>
      </c>
      <c r="E60" s="108" t="n">
        <v>2758121.50216919</v>
      </c>
      <c r="F60" s="136" t="n">
        <v>3062539.426652521</v>
      </c>
      <c r="G60" s="103" t="n">
        <v>3297496.511006779</v>
      </c>
      <c r="H60" s="108" t="n">
        <v>3601423.327437369</v>
      </c>
      <c r="I60" s="108" t="n">
        <v>2991720.291079052</v>
      </c>
      <c r="J60" s="137" t="n">
        <v>1</v>
      </c>
    </row>
    <row r="61" ht="30" customHeight="1">
      <c r="A61" s="135" t="n">
        <v>2028</v>
      </c>
      <c r="B61" s="135" t="n">
        <v>66</v>
      </c>
      <c r="C61" s="135" t="n">
        <v>67</v>
      </c>
      <c r="D61" s="108" t="n">
        <v>2157354.982324784</v>
      </c>
      <c r="E61" s="108" t="n">
        <v>2510612.191677606</v>
      </c>
      <c r="F61" s="136" t="n">
        <v>3004295.789382947</v>
      </c>
      <c r="G61" s="103" t="n">
        <v>3299468.899952684</v>
      </c>
      <c r="H61" s="108" t="n">
        <v>3858025.15449127</v>
      </c>
      <c r="I61" s="108" t="n">
        <v>2974329.643007802</v>
      </c>
      <c r="J61" s="137" t="n">
        <v>1</v>
      </c>
    </row>
    <row r="62" ht="30" customHeight="1">
      <c r="A62" s="135" t="n">
        <v>2029</v>
      </c>
      <c r="B62" s="135" t="n">
        <v>67</v>
      </c>
      <c r="C62" s="135" t="n">
        <v>68</v>
      </c>
      <c r="D62" s="108" t="n">
        <v>1909679.995384852</v>
      </c>
      <c r="E62" s="108" t="n">
        <v>2518324.818934886</v>
      </c>
      <c r="F62" s="136" t="n">
        <v>3315036.517900067</v>
      </c>
      <c r="G62" s="103" t="n">
        <v>3696926.513411765</v>
      </c>
      <c r="H62" s="108" t="n">
        <v>4211134.344828505</v>
      </c>
      <c r="I62" s="108" t="n">
        <v>3131814.216051002</v>
      </c>
      <c r="J62" s="137" t="n">
        <v>1</v>
      </c>
    </row>
    <row r="63" ht="30" customHeight="1">
      <c r="A63" s="135" t="n">
        <v>2030</v>
      </c>
      <c r="B63" s="135" t="n">
        <v>68</v>
      </c>
      <c r="C63" s="135" t="n">
        <v>69</v>
      </c>
      <c r="D63" s="108" t="n">
        <v>1779427.649756271</v>
      </c>
      <c r="E63" s="108" t="n">
        <v>2455032.086305451</v>
      </c>
      <c r="F63" s="136" t="n">
        <v>3427040.294378958</v>
      </c>
      <c r="G63" s="103" t="n">
        <v>4012808.773473642</v>
      </c>
      <c r="H63" s="108" t="n">
        <v>4778901.659783809</v>
      </c>
      <c r="I63" s="108" t="n">
        <v>3255666.659514923</v>
      </c>
      <c r="J63" s="137" t="n">
        <v>1</v>
      </c>
    </row>
    <row r="64" ht="30" customHeight="1">
      <c r="A64" s="135" t="n">
        <v>2031</v>
      </c>
      <c r="B64" s="135" t="n">
        <v>69</v>
      </c>
      <c r="C64" s="135" t="n">
        <v>70</v>
      </c>
      <c r="D64" s="108" t="n">
        <v>1689149.894844364</v>
      </c>
      <c r="E64" s="108" t="n">
        <v>2668591.707722023</v>
      </c>
      <c r="F64" s="136" t="n">
        <v>3642447.426917002</v>
      </c>
      <c r="G64" s="103" t="n">
        <v>4524329.722266334</v>
      </c>
      <c r="H64" s="108" t="n">
        <v>4911673.406070796</v>
      </c>
      <c r="I64" s="108" t="n">
        <v>3502654.289010654</v>
      </c>
      <c r="J64" s="137" t="n">
        <v>1</v>
      </c>
    </row>
    <row r="65" ht="30" customHeight="1">
      <c r="A65" s="135" t="n">
        <v>2032</v>
      </c>
      <c r="B65" s="135" t="n">
        <v>70</v>
      </c>
      <c r="C65" s="135" t="n">
        <v>71</v>
      </c>
      <c r="D65" s="108" t="n">
        <v>1402147.704999435</v>
      </c>
      <c r="E65" s="108" t="n">
        <v>2417979.44113302</v>
      </c>
      <c r="F65" s="136" t="n">
        <v>3669630.298579676</v>
      </c>
      <c r="G65" s="103" t="n">
        <v>4575187.928495532</v>
      </c>
      <c r="H65" s="108" t="n">
        <v>5486924.300843626</v>
      </c>
      <c r="I65" s="108" t="n">
        <v>3545103.224969958</v>
      </c>
      <c r="J65" s="137" t="n">
        <v>1</v>
      </c>
    </row>
    <row r="66" ht="30" customHeight="1">
      <c r="A66" s="135" t="n">
        <v>2033</v>
      </c>
      <c r="B66" s="135" t="n">
        <v>71</v>
      </c>
      <c r="C66" s="135" t="n">
        <v>72</v>
      </c>
      <c r="D66" s="108" t="n">
        <v>1663979.255379979</v>
      </c>
      <c r="E66" s="108" t="n">
        <v>2437517.338398158</v>
      </c>
      <c r="F66" s="136" t="n">
        <v>3821873.388494692</v>
      </c>
      <c r="G66" s="103" t="n">
        <v>4850011.466010355</v>
      </c>
      <c r="H66" s="108" t="n">
        <v>6305928.729855685</v>
      </c>
      <c r="I66" s="108" t="n">
        <v>3832211.709100312</v>
      </c>
      <c r="J66" s="137" t="n">
        <v>1</v>
      </c>
    </row>
    <row r="67" ht="30" customHeight="1">
      <c r="A67" s="135" t="n">
        <v>2034</v>
      </c>
      <c r="B67" s="135" t="n">
        <v>72</v>
      </c>
      <c r="C67" s="135" t="n">
        <v>73</v>
      </c>
      <c r="D67" s="108" t="n">
        <v>1493511.534921344</v>
      </c>
      <c r="E67" s="108" t="n">
        <v>2563660.473214767</v>
      </c>
      <c r="F67" s="136" t="n">
        <v>3718005.149876171</v>
      </c>
      <c r="G67" s="103" t="n">
        <v>4702643.878592283</v>
      </c>
      <c r="H67" s="108" t="n">
        <v>6218617.961163961</v>
      </c>
      <c r="I67" s="108" t="n">
        <v>3915792.590379013</v>
      </c>
      <c r="J67" s="137" t="n">
        <v>1</v>
      </c>
    </row>
    <row r="68" ht="30" customHeight="1">
      <c r="A68" s="135" t="n">
        <v>2035</v>
      </c>
      <c r="B68" s="135" t="n">
        <v>73</v>
      </c>
      <c r="C68" s="135" t="n">
        <v>74</v>
      </c>
      <c r="D68" s="108" t="n">
        <v>1286898.391311868</v>
      </c>
      <c r="E68" s="108" t="n">
        <v>2395088.761545887</v>
      </c>
      <c r="F68" s="136" t="n">
        <v>3950225.98900376</v>
      </c>
      <c r="G68" s="103" t="n">
        <v>4486695.444553035</v>
      </c>
      <c r="H68" s="108" t="n">
        <v>6314447.901281554</v>
      </c>
      <c r="I68" s="108" t="n">
        <v>3784312.607145504</v>
      </c>
      <c r="J68" s="137" t="n">
        <v>1</v>
      </c>
    </row>
    <row r="69" ht="30" customHeight="1">
      <c r="A69" s="135" t="n">
        <v>2036</v>
      </c>
      <c r="B69" s="135" t="n">
        <v>74</v>
      </c>
      <c r="C69" s="135" t="n">
        <v>75</v>
      </c>
      <c r="D69" s="108" t="n">
        <v>1231862.614575522</v>
      </c>
      <c r="E69" s="108" t="n">
        <v>2098641.92625348</v>
      </c>
      <c r="F69" s="136" t="n">
        <v>4073334.68761375</v>
      </c>
      <c r="G69" s="103" t="n">
        <v>4952953.696868286</v>
      </c>
      <c r="H69" s="108" t="n">
        <v>7689033.001585454</v>
      </c>
      <c r="I69" s="108" t="n">
        <v>3960022.463291586</v>
      </c>
      <c r="J69" s="137" t="n">
        <v>1</v>
      </c>
    </row>
    <row r="70" ht="30" customHeight="1">
      <c r="A70" s="135" t="n">
        <v>2037</v>
      </c>
      <c r="B70" s="135" t="n">
        <v>75</v>
      </c>
      <c r="C70" s="135" t="n">
        <v>76</v>
      </c>
      <c r="D70" s="108" t="n">
        <v>1050995.979929598</v>
      </c>
      <c r="E70" s="108" t="n">
        <v>1820804.203526562</v>
      </c>
      <c r="F70" s="136" t="n">
        <v>3854527.282223435</v>
      </c>
      <c r="G70" s="103" t="n">
        <v>5204206.327279119</v>
      </c>
      <c r="H70" s="108" t="n">
        <v>7534031.150503716</v>
      </c>
      <c r="I70" s="108" t="n">
        <v>3996688.113794976</v>
      </c>
      <c r="J70" s="137" t="n">
        <v>1</v>
      </c>
    </row>
    <row r="71" ht="30" customHeight="1">
      <c r="A71" s="135" t="n">
        <v>2038</v>
      </c>
      <c r="B71" s="135" t="n">
        <v>76</v>
      </c>
      <c r="C71" s="135" t="n">
        <v>77</v>
      </c>
      <c r="D71" s="108" t="n">
        <v>964522.0629730729</v>
      </c>
      <c r="E71" s="108" t="n">
        <v>1896168.737661872</v>
      </c>
      <c r="F71" s="136" t="n">
        <v>3675101.078676436</v>
      </c>
      <c r="G71" s="103" t="n">
        <v>5682101.605836811</v>
      </c>
      <c r="H71" s="108" t="n">
        <v>7773544.534263588</v>
      </c>
      <c r="I71" s="108" t="n">
        <v>4045422.459587378</v>
      </c>
      <c r="J71" s="137" t="n">
        <v>1</v>
      </c>
    </row>
    <row r="72" ht="30" customHeight="1">
      <c r="A72" s="135" t="n">
        <v>2039</v>
      </c>
      <c r="B72" s="135" t="n">
        <v>77</v>
      </c>
      <c r="C72" s="135" t="n">
        <v>78</v>
      </c>
      <c r="D72" s="108" t="n">
        <v>896434.9280872882</v>
      </c>
      <c r="E72" s="108" t="n">
        <v>1813412.563534559</v>
      </c>
      <c r="F72" s="136" t="n">
        <v>3482357.105122997</v>
      </c>
      <c r="G72" s="103" t="n">
        <v>5930456.346492367</v>
      </c>
      <c r="H72" s="108" t="n">
        <v>8377830.052249586</v>
      </c>
      <c r="I72" s="108" t="n">
        <v>4242511.459554417</v>
      </c>
      <c r="J72" s="137" t="n">
        <v>0.9375</v>
      </c>
    </row>
    <row r="73" ht="30" customHeight="1">
      <c r="A73" s="135" t="n">
        <v>2040</v>
      </c>
      <c r="B73" s="135" t="n">
        <v>78</v>
      </c>
      <c r="C73" s="135" t="n">
        <v>79</v>
      </c>
      <c r="D73" s="108" t="n">
        <v>767876.4621088259</v>
      </c>
      <c r="E73" s="108" t="n">
        <v>1651886.405618121</v>
      </c>
      <c r="F73" s="136" t="n">
        <v>3417594.326085253</v>
      </c>
      <c r="G73" s="103" t="n">
        <v>6427024.034970907</v>
      </c>
      <c r="H73" s="108" t="n">
        <v>8390490.727852257</v>
      </c>
      <c r="I73" s="108" t="n">
        <v>4165930.751628479</v>
      </c>
      <c r="J73" s="137" t="n">
        <v>0.9375</v>
      </c>
    </row>
    <row r="74" ht="30" customHeight="1">
      <c r="A74" s="135" t="n">
        <v>2041</v>
      </c>
      <c r="B74" s="135" t="n">
        <v>79</v>
      </c>
      <c r="C74" s="135" t="n">
        <v>80</v>
      </c>
      <c r="D74" s="108" t="n">
        <v>773676.3646951115</v>
      </c>
      <c r="E74" s="108" t="n">
        <v>1555098.092174754</v>
      </c>
      <c r="F74" s="136" t="n">
        <v>3387184.426171536</v>
      </c>
      <c r="G74" s="103" t="n">
        <v>7122165.019657115</v>
      </c>
      <c r="H74" s="108" t="n">
        <v>9539159.40097071</v>
      </c>
      <c r="I74" s="108" t="n">
        <v>4463214.849278009</v>
      </c>
      <c r="J74" s="137" t="n">
        <v>0.9375</v>
      </c>
    </row>
    <row r="75" ht="30" customHeight="1">
      <c r="A75" s="135" t="n">
        <v>2042</v>
      </c>
      <c r="B75" s="135" t="n">
        <v>80</v>
      </c>
      <c r="C75" s="135" t="n">
        <v>81</v>
      </c>
      <c r="D75" s="108" t="n">
        <v>698307.838276212</v>
      </c>
      <c r="E75" s="108" t="n">
        <v>1368448.528477663</v>
      </c>
      <c r="F75" s="136" t="n">
        <v>3792293.027629784</v>
      </c>
      <c r="G75" s="103" t="n">
        <v>6633495.702353564</v>
      </c>
      <c r="H75" s="108" t="n">
        <v>9427224.071919482</v>
      </c>
      <c r="I75" s="108" t="n">
        <v>4468628.611367559</v>
      </c>
      <c r="J75" s="137" t="n">
        <v>0.9375</v>
      </c>
    </row>
    <row r="76" ht="30" customHeight="1">
      <c r="A76" s="135" t="n">
        <v>2043</v>
      </c>
      <c r="B76" s="135" t="n">
        <v>81</v>
      </c>
      <c r="C76" s="135" t="n">
        <v>82</v>
      </c>
      <c r="D76" s="108" t="n">
        <v>609357.7792855543</v>
      </c>
      <c r="E76" s="108" t="n">
        <v>1277458.140575043</v>
      </c>
      <c r="F76" s="136" t="n">
        <v>3943573.48052919</v>
      </c>
      <c r="G76" s="103" t="n">
        <v>7255980.498057383</v>
      </c>
      <c r="H76" s="108" t="n">
        <v>8656410.780040231</v>
      </c>
      <c r="I76" s="108" t="n">
        <v>4463901.917861496</v>
      </c>
      <c r="J76" s="137" t="n">
        <v>0.9375</v>
      </c>
    </row>
    <row r="77" ht="30" customHeight="1">
      <c r="A77" s="135" t="n">
        <v>2044</v>
      </c>
      <c r="B77" s="135" t="n">
        <v>82</v>
      </c>
      <c r="C77" s="135" t="n">
        <v>83</v>
      </c>
      <c r="D77" s="108" t="n">
        <v>523011.1935223152</v>
      </c>
      <c r="E77" s="108" t="n">
        <v>1326179.280767108</v>
      </c>
      <c r="F77" s="136" t="n">
        <v>4470054.457994224</v>
      </c>
      <c r="G77" s="103" t="n">
        <v>6411183.676601077</v>
      </c>
      <c r="H77" s="108" t="n">
        <v>9027496.033700665</v>
      </c>
      <c r="I77" s="108" t="n">
        <v>4471801.049653552</v>
      </c>
      <c r="J77" s="137" t="n">
        <v>0.9375</v>
      </c>
    </row>
    <row r="78" ht="30" customHeight="1">
      <c r="A78" s="138" t="n">
        <v>2045</v>
      </c>
      <c r="B78" s="138" t="n">
        <v>83</v>
      </c>
      <c r="C78" s="138" t="n">
        <v>84</v>
      </c>
      <c r="D78" s="139" t="n">
        <v>439304.3399092319</v>
      </c>
      <c r="E78" s="139" t="n">
        <v>1178536.254164772</v>
      </c>
      <c r="F78" s="76" t="n">
        <v>4402371.58413423</v>
      </c>
      <c r="G78" s="139" t="n">
        <v>6566866.248717612</v>
      </c>
      <c r="H78" s="139" t="n">
        <v>8723278.008884069</v>
      </c>
      <c r="I78" s="139" t="n">
        <v>4515580.848846451</v>
      </c>
      <c r="J78" s="140" t="n">
        <v>0.875</v>
      </c>
    </row>
    <row r="79" ht="30" customHeight="1">
      <c r="A79" s="138" t="n">
        <v>2046</v>
      </c>
      <c r="B79" s="138" t="n">
        <v>84</v>
      </c>
      <c r="C79" s="138" t="n">
        <v>85</v>
      </c>
      <c r="D79" s="139" t="n">
        <v>376322.9758522343</v>
      </c>
      <c r="E79" s="139" t="n">
        <v>1099642.975262643</v>
      </c>
      <c r="F79" s="76" t="n">
        <v>4904945.870768411</v>
      </c>
      <c r="G79" s="139" t="n">
        <v>7000949.596003183</v>
      </c>
      <c r="H79" s="139" t="n">
        <v>10066778.10205952</v>
      </c>
      <c r="I79" s="139" t="n">
        <v>4968402.158485191</v>
      </c>
      <c r="J79" s="140" t="n">
        <v>0.875</v>
      </c>
    </row>
    <row r="80" ht="30" customHeight="1">
      <c r="A80" s="138" t="n">
        <v>2047</v>
      </c>
      <c r="B80" s="138" t="n">
        <v>85</v>
      </c>
      <c r="C80" s="138" t="n">
        <v>86</v>
      </c>
      <c r="D80" s="139" t="n">
        <v>311678.1027002004</v>
      </c>
      <c r="E80" s="139" t="n">
        <v>1107365.419661601</v>
      </c>
      <c r="F80" s="76" t="n">
        <v>5084448.225594345</v>
      </c>
      <c r="G80" s="139" t="n">
        <v>8230479.87455618</v>
      </c>
      <c r="H80" s="139" t="n">
        <v>10825855.1390225</v>
      </c>
      <c r="I80" s="139" t="n">
        <v>5386910.792178603</v>
      </c>
      <c r="J80" s="140" t="n">
        <v>0.875</v>
      </c>
    </row>
    <row r="81" ht="30" customHeight="1">
      <c r="A81" s="138" t="n">
        <v>2048</v>
      </c>
      <c r="B81" s="138" t="n">
        <v>86</v>
      </c>
      <c r="C81" s="138" t="n">
        <v>87</v>
      </c>
      <c r="D81" s="139" t="n">
        <v>281943.2847822731</v>
      </c>
      <c r="E81" s="139" t="n">
        <v>1031937.99218369</v>
      </c>
      <c r="F81" s="76" t="n">
        <v>5505150.450016699</v>
      </c>
      <c r="G81" s="139" t="n">
        <v>9407672.505111763</v>
      </c>
      <c r="H81" s="139" t="n">
        <v>11109651.68736329</v>
      </c>
      <c r="I81" s="139" t="n">
        <v>5610133.810165819</v>
      </c>
      <c r="J81" s="140" t="n">
        <v>0.875</v>
      </c>
    </row>
    <row r="82" ht="30" customHeight="1">
      <c r="A82" s="138" t="n">
        <v>2049</v>
      </c>
      <c r="B82" s="138" t="n">
        <v>87</v>
      </c>
      <c r="C82" s="138" t="n">
        <v>88</v>
      </c>
      <c r="D82" s="139" t="n">
        <v>176542.4824038397</v>
      </c>
      <c r="E82" s="139" t="n">
        <v>925973.9652541168</v>
      </c>
      <c r="F82" s="76" t="n">
        <v>5603028.354790188</v>
      </c>
      <c r="G82" s="139" t="n">
        <v>9909577.139331516</v>
      </c>
      <c r="H82" s="139" t="n">
        <v>12525933.89115126</v>
      </c>
      <c r="I82" s="139" t="n">
        <v>5784301.534933107</v>
      </c>
      <c r="J82" s="140" t="n">
        <v>0.875</v>
      </c>
    </row>
    <row r="83" ht="30" customHeight="1">
      <c r="A83" s="138" t="n">
        <v>2050</v>
      </c>
      <c r="B83" s="138" t="n">
        <v>88</v>
      </c>
      <c r="C83" s="138" t="n">
        <v>89</v>
      </c>
      <c r="D83" s="139" t="n">
        <v>68674.05991528934</v>
      </c>
      <c r="E83" s="139" t="n">
        <v>819156.1354839812</v>
      </c>
      <c r="F83" s="76" t="n">
        <v>6033377.172259899</v>
      </c>
      <c r="G83" s="139" t="n">
        <v>10369767.69768344</v>
      </c>
      <c r="H83" s="139" t="n">
        <v>11521855.21963133</v>
      </c>
      <c r="I83" s="139" t="n">
        <v>6147970.778911376</v>
      </c>
      <c r="J83" s="140" t="n">
        <v>0.875</v>
      </c>
    </row>
    <row r="84" ht="30" customHeight="1">
      <c r="A84" s="138" t="n">
        <v>2051</v>
      </c>
      <c r="B84" s="138" t="n">
        <v>89</v>
      </c>
      <c r="C84" s="138" t="n">
        <v>90</v>
      </c>
      <c r="D84" s="139" t="n">
        <v>0</v>
      </c>
      <c r="E84" s="139" t="n">
        <v>603402.4552224099</v>
      </c>
      <c r="F84" s="76" t="n">
        <v>6194072.795537116</v>
      </c>
      <c r="G84" s="139" t="n">
        <v>10341676.10934496</v>
      </c>
      <c r="H84" s="139" t="n">
        <v>12717248.93040548</v>
      </c>
      <c r="I84" s="139" t="n">
        <v>6488113.390544848</v>
      </c>
      <c r="J84" s="140" t="n">
        <v>0.8125</v>
      </c>
    </row>
    <row r="85" ht="30" customHeight="1">
      <c r="A85" s="138" t="n">
        <v>2052</v>
      </c>
      <c r="B85" s="138" t="n">
        <v>90</v>
      </c>
      <c r="C85" s="138" t="n">
        <v>91</v>
      </c>
      <c r="D85" s="139" t="n">
        <v>0</v>
      </c>
      <c r="E85" s="139" t="n">
        <v>351427.8475980099</v>
      </c>
      <c r="F85" s="76" t="n">
        <v>6624386.59931476</v>
      </c>
      <c r="G85" s="139" t="n">
        <v>10073233.63577532</v>
      </c>
      <c r="H85" s="139" t="n">
        <v>12740242.21388094</v>
      </c>
      <c r="I85" s="139" t="n">
        <v>6506915.904484887</v>
      </c>
      <c r="J85" s="140" t="n">
        <v>0.8125</v>
      </c>
    </row>
    <row r="86" ht="30" customHeight="1">
      <c r="A86" s="138" t="n">
        <v>2053</v>
      </c>
      <c r="B86" s="138" t="n">
        <v>91</v>
      </c>
      <c r="C86" s="138" t="n">
        <v>92</v>
      </c>
      <c r="D86" s="139" t="n">
        <v>0</v>
      </c>
      <c r="E86" s="139" t="n">
        <v>152696.5661229161</v>
      </c>
      <c r="F86" s="76" t="n">
        <v>6540429.031245912</v>
      </c>
      <c r="G86" s="139" t="n">
        <v>12629081.67494058</v>
      </c>
      <c r="H86" s="139" t="n">
        <v>13417993.46989761</v>
      </c>
      <c r="I86" s="139" t="n">
        <v>7075446.377491885</v>
      </c>
      <c r="J86" s="140" t="n">
        <v>0.8125</v>
      </c>
    </row>
    <row r="87" ht="30" customHeight="1">
      <c r="A87" s="141" t="n">
        <v>2054</v>
      </c>
      <c r="B87" s="141" t="n">
        <v>92</v>
      </c>
      <c r="C87" s="141" t="n">
        <v>93</v>
      </c>
      <c r="D87" s="142" t="n">
        <v>0</v>
      </c>
      <c r="E87" s="142" t="n">
        <v>0</v>
      </c>
      <c r="F87" s="116" t="n">
        <v>6844035.758042872</v>
      </c>
      <c r="G87" s="142" t="n">
        <v>13406809.52885455</v>
      </c>
      <c r="H87" s="142" t="n">
        <v>15820169.04325798</v>
      </c>
      <c r="I87" s="142" t="n">
        <v>7630403.488820703</v>
      </c>
      <c r="J87" s="143" t="n">
        <v>0.6875</v>
      </c>
    </row>
    <row r="88" ht="30" customHeight="1">
      <c r="A88" s="141" t="n">
        <v>2055</v>
      </c>
      <c r="B88" s="141" t="n">
        <v>93</v>
      </c>
      <c r="C88" s="141" t="n">
        <v>94</v>
      </c>
      <c r="D88" s="142" t="n">
        <v>0</v>
      </c>
      <c r="E88" s="142" t="n">
        <v>0</v>
      </c>
      <c r="F88" s="116" t="n">
        <v>6931456.70568441</v>
      </c>
      <c r="G88" s="142" t="n">
        <v>12531794.8601791</v>
      </c>
      <c r="H88" s="142" t="n">
        <v>17715480.58106795</v>
      </c>
      <c r="I88" s="142" t="n">
        <v>8058005.160052299</v>
      </c>
      <c r="J88" s="143" t="n">
        <v>0.6875</v>
      </c>
    </row>
    <row r="89" ht="30" customHeight="1">
      <c r="A89" s="141" t="n">
        <v>2056</v>
      </c>
      <c r="B89" s="141" t="n">
        <v>94</v>
      </c>
      <c r="C89" s="141" t="n">
        <v>95</v>
      </c>
      <c r="D89" s="142" t="n">
        <v>0</v>
      </c>
      <c r="E89" s="142" t="n">
        <v>0</v>
      </c>
      <c r="F89" s="116" t="n">
        <v>7189574.695921352</v>
      </c>
      <c r="G89" s="142" t="n">
        <v>12325805.27793062</v>
      </c>
      <c r="H89" s="142" t="n">
        <v>21319186.04517672</v>
      </c>
      <c r="I89" s="142" t="n">
        <v>8828448.987752922</v>
      </c>
      <c r="J89" s="143" t="n">
        <v>0.6875</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1953970.769587747</v>
      </c>
      <c r="F94" s="149" t="n">
        <v>814154.4873282277</v>
      </c>
      <c r="G94" s="151" t="n">
        <v>0.3333333333333333</v>
      </c>
      <c r="H94" s="82" t="inlineStr">
        <is>
          <t>Below-avg early returns: monitor spending levels</t>
        </is>
      </c>
      <c r="I94" s="3" t="n"/>
      <c r="J94" s="4" t="n"/>
    </row>
    <row r="95" ht="30" customHeight="1">
      <c r="A95" s="118" t="inlineStr">
        <is>
          <t>Q3 — Middle 20%</t>
        </is>
      </c>
      <c r="B95" s="152" t="n">
        <v>0.09500277248619693</v>
      </c>
      <c r="C95" s="153" t="n">
        <v>6358362.936065446</v>
      </c>
      <c r="D95" s="154" t="n">
        <v>7575965.546561711</v>
      </c>
      <c r="E95" s="153" t="n">
        <v>9472405.627076507</v>
      </c>
      <c r="F95" s="153" t="n">
        <v>7858814.492402765</v>
      </c>
      <c r="G95" s="155" t="n">
        <v>1</v>
      </c>
      <c r="H95" s="112" t="inlineStr">
        <is>
          <t>Middle outcome: plan as modeled</t>
        </is>
      </c>
      <c r="I95" s="3" t="n"/>
      <c r="J95" s="4" t="n"/>
    </row>
    <row r="96" ht="30" customHeight="1">
      <c r="A96" s="92" t="inlineStr">
        <is>
          <t>Q4</t>
        </is>
      </c>
      <c r="B96" s="81" t="n">
        <v>0.1232819867766737</v>
      </c>
      <c r="C96" s="80" t="n">
        <v>9518090.27835607</v>
      </c>
      <c r="D96" s="93" t="n">
        <v>19463674.17010686</v>
      </c>
      <c r="E96" s="80" t="n">
        <v>20098901.5416664</v>
      </c>
      <c r="F96" s="80" t="n">
        <v>15584358.95336051</v>
      </c>
      <c r="G96" s="156" t="n">
        <v>1</v>
      </c>
      <c r="H96" s="75" t="inlineStr">
        <is>
          <t>Above-avg early returns: strong buffer builds fast</t>
        </is>
      </c>
      <c r="I96" s="3" t="n"/>
      <c r="J96" s="4" t="n"/>
    </row>
    <row r="97" ht="30" customHeight="1">
      <c r="A97" s="119" t="inlineStr">
        <is>
          <t>Q5 — Best 20%</t>
        </is>
      </c>
      <c r="B97" s="157" t="n">
        <v>0.1603843853249111</v>
      </c>
      <c r="C97" s="158" t="n">
        <v>7383471.914855694</v>
      </c>
      <c r="D97" s="159" t="n">
        <v>7527539.228581148</v>
      </c>
      <c r="E97" s="158" t="n">
        <v>19410038.81035395</v>
      </c>
      <c r="F97" s="158" t="n">
        <v>12418552.67360088</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57" t="n">
        <v>1</v>
      </c>
      <c r="D103" s="162" t="n">
        <v>0</v>
      </c>
      <c r="E103" s="162" t="n">
        <v>0.3333333333333333</v>
      </c>
      <c r="F103" s="162" t="n">
        <v>0.6666666666666666</v>
      </c>
      <c r="G103" s="156" t="n">
        <v>1</v>
      </c>
    </row>
    <row r="104" ht="30" customHeight="1">
      <c r="A104" s="130" t="inlineStr">
        <is>
          <t>μ=5%</t>
        </is>
      </c>
      <c r="B104" s="162" t="n">
        <v>0.3333333333333333</v>
      </c>
      <c r="C104" s="157" t="n">
        <v>1</v>
      </c>
      <c r="D104" s="162" t="n">
        <v>0.6666666666666666</v>
      </c>
      <c r="E104" s="162" t="n">
        <v>0.6666666666666666</v>
      </c>
      <c r="F104" s="162" t="n">
        <v>0.6666666666666666</v>
      </c>
      <c r="G104" s="156" t="n">
        <v>1</v>
      </c>
    </row>
    <row r="105" ht="30" customHeight="1">
      <c r="A105" s="163" t="inlineStr">
        <is>
          <t>μ=6%</t>
        </is>
      </c>
      <c r="B105" s="162" t="n">
        <v>0.6666666666666666</v>
      </c>
      <c r="C105" s="162" t="n">
        <v>0.6666666666666666</v>
      </c>
      <c r="D105" s="164" t="n">
        <v>0.6666666666666666</v>
      </c>
      <c r="E105" s="162" t="n">
        <v>0</v>
      </c>
      <c r="F105" s="162" t="n">
        <v>0.3333333333333333</v>
      </c>
      <c r="G105" s="156" t="n">
        <v>0.6666666666666666</v>
      </c>
    </row>
    <row r="106" ht="30" customHeight="1">
      <c r="A106" s="130" t="inlineStr">
        <is>
          <t>μ=7%</t>
        </is>
      </c>
      <c r="B106" s="157" t="n">
        <v>1</v>
      </c>
      <c r="C106" s="162" t="n">
        <v>0.6666666666666666</v>
      </c>
      <c r="D106" s="162" t="n">
        <v>0.6666666666666666</v>
      </c>
      <c r="E106" s="162" t="n">
        <v>0.3333333333333333</v>
      </c>
      <c r="F106" s="162" t="n">
        <v>0.6666666666666666</v>
      </c>
      <c r="G106" s="156" t="n">
        <v>1</v>
      </c>
    </row>
    <row r="107" ht="30" customHeight="1">
      <c r="A107" s="130" t="inlineStr">
        <is>
          <t>μ=8%</t>
        </is>
      </c>
      <c r="B107" s="157" t="n">
        <v>1</v>
      </c>
      <c r="C107" s="157" t="n">
        <v>1</v>
      </c>
      <c r="D107" s="162" t="n">
        <v>0.6666666666666666</v>
      </c>
      <c r="E107" s="162" t="n">
        <v>0.6666666666666666</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$7,189,575 and median total net worth of $10,610,437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Patricia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33%–100%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45" customHeight="1">
      <c r="A4" s="5" t="inlineStr">
        <is>
          <t>Scenario</t>
        </is>
      </c>
      <c r="B4" s="5" t="inlineStr">
        <is>
          <t>Matthew Death</t>
        </is>
      </c>
      <c r="C4" s="5" t="inlineStr">
        <is>
          <t>Patricia Death</t>
        </is>
      </c>
      <c r="D4" s="5" t="inlineStr">
        <is>
          <t>Plan End</t>
        </is>
      </c>
      <c r="E4" s="5" t="inlineStr">
        <is>
          <t>Terminal NW</t>
        </is>
      </c>
      <c r="F4" s="5" t="inlineStr">
        <is>
          <t>Δ vs Base</t>
        </is>
      </c>
      <c r="G4" s="5" t="inlineStr">
        <is>
          <t>Lifetime Tax</t>
        </is>
      </c>
      <c r="H4" s="5" t="inlineStr">
        <is>
          <t>Δ Tax</t>
        </is>
      </c>
      <c r="I4" s="5" t="inlineStr">
        <is>
          <t>Description</t>
        </is>
      </c>
    </row>
    <row r="5" ht="45" customHeight="1">
      <c r="A5" s="11" t="inlineStr">
        <is>
          <t>BASE PLAN</t>
        </is>
      </c>
      <c r="B5" s="138" t="n">
        <v>2054</v>
      </c>
      <c r="C5" s="138" t="n">
        <v>2056</v>
      </c>
      <c r="D5" s="138" t="n">
        <v>2056</v>
      </c>
      <c r="E5" s="76" t="n">
        <v>7867077.363444649</v>
      </c>
      <c r="F5" s="97" t="inlineStr">
        <is>
          <t>Baseline</t>
        </is>
      </c>
      <c r="G5" s="139" t="n">
        <v>915447.1093650959</v>
      </c>
      <c r="H5" s="97" t="inlineStr">
        <is>
          <t>Baseline</t>
        </is>
      </c>
      <c r="I5" s="97" t="inlineStr">
        <is>
          <t>Matthew dies 2054 (age 92), Patricia dies 2056 (age 95)</t>
        </is>
      </c>
    </row>
    <row r="6" ht="90" customHeight="1">
      <c r="A6" s="2" t="inlineStr">
        <is>
          <t>Matthew dies at 65 (before SS &amp; annuities)</t>
        </is>
      </c>
      <c r="B6" s="135" t="n">
        <v>2027</v>
      </c>
      <c r="C6" s="169" t="n">
        <v>2056</v>
      </c>
      <c r="D6" s="169" t="n">
        <v>2056</v>
      </c>
      <c r="E6" s="136" t="n">
        <v>7681275.580468542</v>
      </c>
      <c r="F6" s="108" t="n">
        <v>-185801.7829761067</v>
      </c>
      <c r="G6" s="108" t="n">
        <v>835790.8844098881</v>
      </c>
      <c r="H6" s="108" t="n">
        <v>-79656.22495520778</v>
      </c>
      <c r="I6" s="12" t="inlineStr">
        <is>
          <t>Matthew dies 2027. No SS claimed yet. Joint annuity income continues to Patricia at 100%. Matthew single annuity stops. Patricia files Single.</t>
        </is>
      </c>
    </row>
    <row r="7" ht="90" customHeight="1">
      <c r="A7" s="2" t="inlineStr">
        <is>
          <t>Matthew dies at 72 (early retirement)</t>
        </is>
      </c>
      <c r="B7" s="135" t="n">
        <v>2034</v>
      </c>
      <c r="C7" s="169" t="n">
        <v>2056</v>
      </c>
      <c r="D7" s="169" t="n">
        <v>2056</v>
      </c>
      <c r="E7" s="170" t="n">
        <v>6719739.355333386</v>
      </c>
      <c r="F7" s="171" t="n">
        <v>-1147338.008111263</v>
      </c>
      <c r="G7" s="108" t="n">
        <v>920912.2888020767</v>
      </c>
      <c r="H7" s="108" t="n">
        <v>5465.179436980863</v>
      </c>
      <c r="I7" s="12" t="inlineStr">
        <is>
          <t>Matthew dies 2034. SS claimed but only a few years of benefits. Joint annuities continue. Patricia survives as Single filer.</t>
        </is>
      </c>
    </row>
    <row r="8" ht="90" customHeight="1">
      <c r="A8" s="2" t="inlineStr">
        <is>
          <t>Patricia dies at 65 (pension &amp; annuities lost early)</t>
        </is>
      </c>
      <c r="B8" s="135" t="n">
        <v>2054</v>
      </c>
      <c r="C8" s="169" t="n">
        <v>2026</v>
      </c>
      <c r="D8" s="169" t="n">
        <v>2054</v>
      </c>
      <c r="E8" s="170" t="n">
        <v>6207735.318280307</v>
      </c>
      <c r="F8" s="171" t="n">
        <v>-1659342.045164342</v>
      </c>
      <c r="G8" s="108" t="n">
        <v>855619.7691664355</v>
      </c>
      <c r="H8" s="108" t="n">
        <v>-59827.34019866039</v>
      </c>
      <c r="I8" s="12" t="inlineStr">
        <is>
          <t>Patricia dies 2026: pension/single-life income stops immediately. Joint annuities continue to Matthew. Matthew files Single.</t>
        </is>
      </c>
    </row>
    <row r="9" ht="90" customHeight="1">
      <c r="A9" s="2" t="inlineStr">
        <is>
          <t>Patricia dies at 72 (early retirement)</t>
        </is>
      </c>
      <c r="B9" s="135" t="n">
        <v>2054</v>
      </c>
      <c r="C9" s="169" t="n">
        <v>2033</v>
      </c>
      <c r="D9" s="169" t="n">
        <v>2054</v>
      </c>
      <c r="E9" s="170" t="n">
        <v>6555896.73749975</v>
      </c>
      <c r="F9" s="171" t="n">
        <v>-1311180.625944898</v>
      </c>
      <c r="G9" s="108" t="n">
        <v>936826.2517271097</v>
      </c>
      <c r="H9" s="108" t="n">
        <v>21379.14236201381</v>
      </c>
      <c r="I9" s="12" t="inlineStr">
        <is>
          <t>Patricia dies 2033. Pension stops. Patricia single annuity stops. Joint annuities continue. Matthew survives as Single filer.</t>
        </is>
      </c>
    </row>
    <row r="10" ht="75" customHeight="1">
      <c r="A10" s="2" t="inlineStr">
        <is>
          <t>Both die at 75 (shortened plan)</t>
        </is>
      </c>
      <c r="B10" s="135" t="n">
        <v>2037</v>
      </c>
      <c r="C10" s="169" t="n">
        <v>2036</v>
      </c>
      <c r="D10" s="169" t="n">
        <v>2037</v>
      </c>
      <c r="E10" s="170" t="n">
        <v>5571806.757684223</v>
      </c>
      <c r="F10" s="171" t="n">
        <v>-2295270.605760425</v>
      </c>
      <c r="G10" s="108" t="n">
        <v>573044.4784222309</v>
      </c>
      <c r="H10" s="108" t="n">
        <v>-342402.6309428649</v>
      </c>
      <c r="I10" s="12" t="inlineStr">
        <is>
          <t>Both die by 2037. Plan horizon is sharply shortened.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(Patricia)</t>
        </is>
      </c>
      <c r="B15" s="12" t="inlineStr">
        <is>
          <t>$4,512/yr — STOPS at Patricia's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2763947.626422</v>
      </c>
      <c r="E26" s="103" t="n">
        <v>0</v>
      </c>
      <c r="F26" s="75" t="inlineStr">
        <is>
          <t>Gap Covered</t>
        </is>
      </c>
    </row>
    <row r="27" ht="30" customHeight="1">
      <c r="A27" s="12" t="inlineStr">
        <is>
          <t>Mortgage Payoff</t>
        </is>
      </c>
      <c r="B27" s="103" t="n">
        <v>290769.34</v>
      </c>
      <c r="C27" s="103" t="n">
        <v>0</v>
      </c>
      <c r="D27" s="103" t="n">
        <v>2763947.626422</v>
      </c>
      <c r="E27" s="103" t="n">
        <v>0</v>
      </c>
      <c r="F27" s="75" t="inlineStr">
        <is>
          <t>Gap Covered</t>
        </is>
      </c>
    </row>
    <row r="28" ht="30" customHeight="1">
      <c r="A28" s="12" t="inlineStr">
        <is>
          <t>Estate Liquidity</t>
        </is>
      </c>
      <c r="B28" s="103" t="n">
        <v>500000</v>
      </c>
      <c r="C28" s="103" t="n">
        <v>1362852</v>
      </c>
      <c r="D28" s="103" t="n">
        <v>2763947.626422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insured=Matthew.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Matthew or Patricia</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Matthew</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2"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2"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07/03/2026 11:32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3" t="inlineStr">
        <is>
          <t>2026–2056</t>
        </is>
      </c>
      <c r="C4" s="12" t="inlineStr">
        <is>
          <t>text</t>
        </is>
      </c>
      <c r="D4" s="12" t="inlineStr">
        <is>
          <t>Sets the years included in every income, tax, spending, and terminal-net-worth calculation.</t>
        </is>
      </c>
    </row>
    <row r="5" ht="90" customHeight="1">
      <c r="A5" s="97" t="inlineStr">
        <is>
          <t>Social Security income</t>
        </is>
      </c>
      <c r="B5" s="173"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3"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3"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3"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3"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3"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3"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4" t="n">
        <v>0.025</v>
      </c>
      <c r="C15" s="12" t="inlineStr">
        <is>
          <t>decimal</t>
        </is>
      </c>
      <c r="D15" s="12" t="inlineStr">
        <is>
          <t>2.50% annual</t>
        </is>
      </c>
    </row>
    <row r="16" ht="15" customHeight="1">
      <c r="A16" s="97" t="inlineStr">
        <is>
          <t>SS COLA</t>
        </is>
      </c>
      <c r="B16" s="174" t="n">
        <v>0.02</v>
      </c>
      <c r="C16" s="12" t="inlineStr">
        <is>
          <t>decimal</t>
        </is>
      </c>
      <c r="D16" s="12" t="inlineStr">
        <is>
          <t>2.00% annual</t>
        </is>
      </c>
    </row>
    <row r="17" ht="30" customHeight="1">
      <c r="A17" s="97" t="inlineStr">
        <is>
          <t>Medicare Inflation</t>
        </is>
      </c>
      <c r="B17" s="174" t="n">
        <v>0.055</v>
      </c>
      <c r="C17" s="12" t="inlineStr">
        <is>
          <t>decimal</t>
        </is>
      </c>
      <c r="D17" s="12" t="inlineStr">
        <is>
          <t>5.50% annual</t>
        </is>
      </c>
    </row>
    <row r="18" ht="90" customHeight="1">
      <c r="A18" s="97" t="inlineStr">
        <is>
          <t>Portfolio Nominal Return</t>
        </is>
      </c>
      <c r="B18" s="174"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4" t="n">
        <v>0.02</v>
      </c>
      <c r="C19" s="12" t="inlineStr">
        <is>
          <t>decimal</t>
        </is>
      </c>
      <c r="D19" s="12" t="inlineStr">
        <is>
          <t>2.00%/yr</t>
        </is>
      </c>
    </row>
    <row r="20" ht="30" customHeight="1">
      <c r="A20" s="97" t="inlineStr">
        <is>
          <t>SS Taxable Fraction</t>
        </is>
      </c>
      <c r="B20" s="174" t="n">
        <v>0.85</v>
      </c>
      <c r="C20" s="12" t="inlineStr">
        <is>
          <t>decimal</t>
        </is>
      </c>
      <c r="D20" s="12" t="inlineStr">
        <is>
          <t>85%</t>
        </is>
      </c>
    </row>
    <row r="21" ht="90" customHeight="1">
      <c r="A21" s="97" t="inlineStr">
        <is>
          <t>Roth Conversion Target Bracket</t>
        </is>
      </c>
      <c r="B21" s="174" t="n">
        <v>0.22</v>
      </c>
      <c r="C21" s="12" t="inlineStr">
        <is>
          <t>decimal</t>
        </is>
      </c>
      <c r="D21" s="12" t="inlineStr">
        <is>
          <t>Configured target bracket used when the selected strategy fills bracket headroom.</t>
        </is>
      </c>
    </row>
    <row r="22" ht="90" customHeight="1">
      <c r="A22" s="97" t="inlineStr">
        <is>
          <t>Roth Legacy Objective Mode</t>
        </is>
      </c>
      <c r="B22" s="173"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4" t="n">
        <v>0.1</v>
      </c>
      <c r="C23" s="12" t="inlineStr">
        <is>
          <t>decimal</t>
        </is>
      </c>
      <c r="D23" s="12" t="inlineStr">
        <is>
          <t>Additional ordinary-tax-rate stress used only in the Roth conversion objective.</t>
        </is>
      </c>
    </row>
    <row r="24" ht="75" customHeight="1">
      <c r="A24" s="97" t="inlineStr">
        <is>
          <t>Heir Ordinary Tax Assumption</t>
        </is>
      </c>
      <c r="B24" s="174"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3"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5" t="n">
        <v>30</v>
      </c>
      <c r="C29" s="12" t="inlineStr">
        <is>
          <t>years</t>
        </is>
      </c>
      <c r="D29" s="12" t="inlineStr">
        <is>
          <t>Supported horizons: 1, 3, 5, 10, 20, 25, 30 years. 30 is the long-term baseline.</t>
        </is>
      </c>
    </row>
    <row r="30" ht="90" customHeight="1">
      <c r="A30" s="97" t="inlineStr">
        <is>
          <t>Capital Market Preset</t>
        </is>
      </c>
      <c r="B30" s="173" t="inlineStr">
        <is>
          <t>BASELINE</t>
        </is>
      </c>
      <c r="C30" s="12" t="inlineStr">
        <is>
          <t>text</t>
        </is>
      </c>
      <c r="D30" s="12" t="inlineStr">
        <is>
          <t>CONSERVATIVE, BASELINE, or AGGRESSIVE. These are planning assumptions, not live forecasts.</t>
        </is>
      </c>
    </row>
    <row r="31" ht="90" customHeight="1">
      <c r="A31" s="97" t="inlineStr">
        <is>
          <t>Correlation Mode</t>
        </is>
      </c>
      <c r="B31" s="173" t="inlineStr">
        <is>
          <t>PRESET</t>
        </is>
      </c>
      <c r="C31" s="12" t="inlineStr">
        <is>
          <t>text</t>
        </is>
      </c>
      <c r="D31" s="12" t="inlineStr">
        <is>
          <t>PRESET, ADVANCED, or CUSTOM_FILE. Pairwise correlations affect diversification benefit.</t>
        </is>
      </c>
    </row>
    <row r="32" ht="75" customHeight="1">
      <c r="A32" s="97" t="inlineStr">
        <is>
          <t>Correlation Preset</t>
        </is>
      </c>
      <c r="B32" s="173" t="inlineStr">
        <is>
          <t>MODERATE</t>
        </is>
      </c>
      <c r="C32" s="12" t="inlineStr">
        <is>
          <t>text</t>
        </is>
      </c>
      <c r="D32" s="12" t="inlineStr">
        <is>
          <t>LOW, MODERATE, HIGH, or STRESS. Stress assumes weaker diversification.</t>
        </is>
      </c>
    </row>
    <row r="33" ht="90" customHeight="1">
      <c r="A33" s="97" t="inlineStr">
        <is>
          <t>Workbook Pricing Source</t>
        </is>
      </c>
      <c r="B33" s="173" t="inlineStr">
        <is>
          <t>CACHE — as of 07/03/2026 11:32 AM</t>
        </is>
      </c>
      <c r="C33" s="12" t="inlineStr">
        <is>
          <t>text</t>
        </is>
      </c>
      <c r="D33" s="12" t="inlineStr">
        <is>
          <t>Cached quotes were used as of 07/03/2026 11:32 AM; cache TTL is 24.0 hours. CACHE mode checks the cache before calling live providers; the cache is still valid until 07/04/2026 11:32 AM. Ticker-level source counts: cash: 1, fresh_cache_24h_from_yahoo: 7.</t>
        </is>
      </c>
    </row>
    <row r="34" ht="90" customHeight="1">
      <c r="A34" s="97" t="inlineStr">
        <is>
          <t>Asset Allocation Recommendation Source</t>
        </is>
      </c>
      <c r="B34" s="173"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3"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3"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4"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4"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4"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4"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4"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4"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4"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4"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4"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4"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4"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4"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4"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4"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4"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4"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4"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3"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4"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3"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4"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3"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4"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3"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4"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3"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4"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3"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4"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3"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4"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3"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4"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3"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4"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3"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4"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3"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4"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3"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4"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3"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4"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3"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4" t="n">
        <v>0.612712653784277</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4" t="n">
        <v>0.2168060159544365</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4" t="n">
        <v>0.1131161822370973</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4" t="n">
        <v>0.0573651480241892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3"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3"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4" t="n">
        <v>0.2</v>
      </c>
      <c r="C90" s="12" t="inlineStr">
        <is>
          <t>decimal</t>
        </is>
      </c>
      <c r="D90" s="12" t="inlineStr">
        <is>
          <t>Addresses unintended consequence: excessive turnover and noisy small improvements.</t>
        </is>
      </c>
    </row>
    <row r="91" ht="60" customHeight="1">
      <c r="A91" s="97" t="inlineStr">
        <is>
          <t>Minimum Trade Amount</t>
        </is>
      </c>
      <c r="B91" s="176" t="n">
        <v>500</v>
      </c>
      <c r="C91" s="12" t="inlineStr">
        <is>
          <t>USD</t>
        </is>
      </c>
      <c r="D91" s="12" t="inlineStr">
        <is>
          <t>Addresses false precision and operational burden.</t>
        </is>
      </c>
    </row>
    <row r="92" ht="90" customHeight="1">
      <c r="A92" s="97" t="inlineStr">
        <is>
          <t>Taxable Gain Policy</t>
        </is>
      </c>
      <c r="B92" s="173"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6" t="n">
        <v>2500</v>
      </c>
      <c r="C93" s="12" t="inlineStr">
        <is>
          <t>USD</t>
        </is>
      </c>
      <c r="D93" s="12" t="inlineStr">
        <is>
          <t>Limits estimated tax cost from taxable gain sales in one workbook cycle.</t>
        </is>
      </c>
    </row>
    <row r="94" ht="75" customHeight="1">
      <c r="A94" s="97" t="inlineStr">
        <is>
          <t>Max Tax Cost</t>
        </is>
      </c>
      <c r="B94" s="173" t="n">
        <v>25</v>
      </c>
      <c r="C94" s="12" t="inlineStr">
        <is>
          <t>bps</t>
        </is>
      </c>
      <c r="D94" s="12" t="inlineStr">
        <is>
          <t>Basis-point tax-drag limit for taxable sales before deferral.</t>
        </is>
      </c>
    </row>
    <row r="95" ht="90" customHeight="1">
      <c r="A95" s="97" t="inlineStr">
        <is>
          <t>Asset Location Strength</t>
        </is>
      </c>
      <c r="B95" s="173"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4" t="n">
        <v>0.45</v>
      </c>
      <c r="C96" s="12" t="inlineStr">
        <is>
          <t>decimal</t>
        </is>
      </c>
      <c r="D96" s="12" t="inlineStr">
        <is>
          <t>Reduces account-level concentration risk.</t>
        </is>
      </c>
    </row>
    <row r="97" ht="75" customHeight="1">
      <c r="A97" s="97" t="inlineStr">
        <is>
          <t>Max Roth High-Growth Tilt</t>
        </is>
      </c>
      <c r="B97" s="174" t="n">
        <v>0.85</v>
      </c>
      <c r="C97" s="12" t="inlineStr">
        <is>
          <t>decimal</t>
        </is>
      </c>
      <c r="D97" s="12" t="inlineStr">
        <is>
          <t>Limits unintended high-volatility concentration in Roth accounts.</t>
        </is>
      </c>
    </row>
    <row r="98" ht="90" customHeight="1">
      <c r="A98" s="97" t="inlineStr">
        <is>
          <t>Annuity calibration dependency</t>
        </is>
      </c>
      <c r="B98" s="173"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4" t="n">
        <v>0.85</v>
      </c>
      <c r="C99" s="12" t="inlineStr">
        <is>
          <t>decimal</t>
        </is>
      </c>
      <c r="D99" s="12" t="inlineStr">
        <is>
          <t>Limits unintended bond-heavy pre-tax allocation and future RMD concentration risk.</t>
        </is>
      </c>
    </row>
    <row r="100" ht="90" customHeight="1">
      <c r="A100" s="97" t="inlineStr">
        <is>
          <t>Wash-Sale Policy</t>
        </is>
      </c>
      <c r="B100" s="173"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3"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6" t="n">
        <v>23200</v>
      </c>
      <c r="C105" s="12" t="inlineStr">
        <is>
          <t>USD</t>
        </is>
      </c>
      <c r="D105" s="12" t="inlineStr">
        <is>
          <t>inflates at bracket inflator</t>
        </is>
      </c>
    </row>
    <row r="106" ht="30" customHeight="1">
      <c r="A106" s="97" t="inlineStr">
        <is>
          <t>12% bracket top</t>
        </is>
      </c>
      <c r="B106" s="176" t="n">
        <v>94300</v>
      </c>
      <c r="C106" s="12" t="inlineStr">
        <is>
          <t>USD</t>
        </is>
      </c>
      <c r="D106" s="33" t="inlineStr"/>
    </row>
    <row r="107" ht="30" customHeight="1">
      <c r="A107" s="97" t="inlineStr">
        <is>
          <t>22% bracket top</t>
        </is>
      </c>
      <c r="B107" s="176" t="n">
        <v>201050</v>
      </c>
      <c r="C107" s="12" t="inlineStr">
        <is>
          <t>USD</t>
        </is>
      </c>
      <c r="D107" s="33" t="inlineStr"/>
    </row>
    <row r="108" ht="30" customHeight="1">
      <c r="A108" s="97" t="inlineStr">
        <is>
          <t>24% bracket top</t>
        </is>
      </c>
      <c r="B108" s="176" t="n">
        <v>383900</v>
      </c>
      <c r="C108" s="12" t="inlineStr">
        <is>
          <t>USD</t>
        </is>
      </c>
      <c r="D108" s="33" t="inlineStr"/>
    </row>
    <row r="109" ht="30" customHeight="1">
      <c r="A109" s="97" t="inlineStr">
        <is>
          <t>32% bracket top</t>
        </is>
      </c>
      <c r="B109" s="176" t="n">
        <v>487450</v>
      </c>
      <c r="C109" s="12" t="inlineStr">
        <is>
          <t>USD</t>
        </is>
      </c>
      <c r="D109" s="33" t="inlineStr"/>
    </row>
    <row r="110" ht="30" customHeight="1">
      <c r="A110" s="97" t="inlineStr">
        <is>
          <t>35% bracket top</t>
        </is>
      </c>
      <c r="B110" s="176" t="n">
        <v>731200</v>
      </c>
      <c r="C110" s="12" t="inlineStr">
        <is>
          <t>USD</t>
        </is>
      </c>
      <c r="D110" s="33" t="inlineStr"/>
    </row>
    <row r="111" ht="15" customHeight="1">
      <c r="A111" s="97" t="inlineStr">
        <is>
          <t>37%+</t>
        </is>
      </c>
      <c r="B111" s="173"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6" t="n">
        <v>40000</v>
      </c>
      <c r="C115" s="12" t="inlineStr">
        <is>
          <t>USD</t>
        </is>
      </c>
      <c r="D115" s="12" t="inlineStr">
        <is>
          <t>Phase-down: max(cap - 0.30×max(MAGI-500K,0), 10000)</t>
        </is>
      </c>
    </row>
    <row r="116" ht="45" customHeight="1">
      <c r="A116" s="97" t="inlineStr">
        <is>
          <t>Reference-Year SALT Cap</t>
        </is>
      </c>
      <c r="B116" s="176" t="n">
        <v>40400</v>
      </c>
      <c r="C116" s="12" t="inlineStr">
        <is>
          <t>USD</t>
        </is>
      </c>
      <c r="D116" s="33" t="inlineStr"/>
    </row>
    <row r="117" ht="30" customHeight="1">
      <c r="A117" s="97" t="inlineStr">
        <is>
          <t>2027 SALT Cap</t>
        </is>
      </c>
      <c r="B117" s="176" t="n">
        <v>40804</v>
      </c>
      <c r="C117" s="12" t="inlineStr">
        <is>
          <t>USD</t>
        </is>
      </c>
      <c r="D117" s="33" t="inlineStr"/>
    </row>
    <row r="118" ht="45" customHeight="1">
      <c r="A118" s="97" t="inlineStr">
        <is>
          <t>Reference-Year + 2 SALT Cap</t>
        </is>
      </c>
      <c r="B118" s="176" t="n">
        <v>41212</v>
      </c>
      <c r="C118" s="12" t="inlineStr">
        <is>
          <t>USD</t>
        </is>
      </c>
      <c r="D118" s="33" t="inlineStr"/>
    </row>
    <row r="119" ht="45" customHeight="1">
      <c r="A119" s="97" t="inlineStr">
        <is>
          <t>Reference-Year + 3 SALT Cap</t>
        </is>
      </c>
      <c r="B119" s="176" t="n">
        <v>41624</v>
      </c>
      <c r="C119" s="12" t="inlineStr">
        <is>
          <t>USD</t>
        </is>
      </c>
      <c r="D119" s="33" t="inlineStr"/>
    </row>
    <row r="120" ht="45" customHeight="1">
      <c r="A120" s="97" t="inlineStr">
        <is>
          <t>Post-Schedule SALT Cap</t>
        </is>
      </c>
      <c r="B120" s="176"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6" t="n">
        <v>500000</v>
      </c>
      <c r="C124" s="12" t="inlineStr">
        <is>
          <t>USD</t>
        </is>
      </c>
      <c r="D124" s="12" t="inlineStr">
        <is>
          <t>Home sale gain exclusion</t>
        </is>
      </c>
    </row>
    <row r="125" ht="45" customHeight="1">
      <c r="A125" s="97" t="inlineStr">
        <is>
          <t>QCD Annual Limit (per person)</t>
        </is>
      </c>
      <c r="B125" s="176" t="n">
        <v>108000</v>
      </c>
      <c r="C125" s="12" t="inlineStr">
        <is>
          <t>USD</t>
        </is>
      </c>
      <c r="D125" s="12" t="inlineStr">
        <is>
          <t>2025, indexed</t>
        </is>
      </c>
    </row>
    <row r="126" ht="45" customHeight="1">
      <c r="A126" s="97" t="inlineStr">
        <is>
          <t>Federal Estate Exemption (MFJ)</t>
        </is>
      </c>
      <c r="B126" s="176" t="n">
        <v>30000000</v>
      </c>
      <c r="C126" s="12" t="inlineStr">
        <is>
          <t>USD</t>
        </is>
      </c>
      <c r="D126" s="12" t="inlineStr">
        <is>
          <t>Indexed from the tax reference year</t>
        </is>
      </c>
    </row>
    <row r="127" ht="45" customHeight="1">
      <c r="A127" s="97" t="inlineStr">
        <is>
          <t>IL State Estate Exemption</t>
        </is>
      </c>
      <c r="B127" s="176" t="n">
        <v>4000000</v>
      </c>
      <c r="C127" s="12" t="inlineStr">
        <is>
          <t>USD</t>
        </is>
      </c>
      <c r="D127" s="12" t="inlineStr">
        <is>
          <t>With CST doubling, cliff structure</t>
        </is>
      </c>
    </row>
    <row r="128" ht="45" customHeight="1">
      <c r="A128" s="97" t="inlineStr">
        <is>
          <t>Annual Gift-Tax Exclusion</t>
        </is>
      </c>
      <c r="B128" s="176" t="n">
        <v>19000</v>
      </c>
      <c r="C128" s="12" t="inlineStr">
        <is>
          <t>USD</t>
        </is>
      </c>
      <c r="D128" s="12" t="inlineStr">
        <is>
          <t>tax reference year, per donee</t>
        </is>
      </c>
    </row>
    <row r="129" ht="30" customHeight="1">
      <c r="A129" s="97" t="inlineStr">
        <is>
          <t>RMD Start Age</t>
        </is>
      </c>
      <c r="B129" s="175" t="n">
        <v>75</v>
      </c>
      <c r="C129" s="12" t="inlineStr">
        <is>
          <t>years</t>
        </is>
      </c>
      <c r="D129" s="12" t="inlineStr">
        <is>
          <t>SECURE 2.0 §107 — born 1960+</t>
        </is>
      </c>
    </row>
    <row r="130" ht="45" customHeight="1">
      <c r="A130" s="97" t="inlineStr">
        <is>
          <t>NIIT Rate</t>
        </is>
      </c>
      <c r="B130" s="174" t="n">
        <v>0.038</v>
      </c>
      <c r="C130" s="12" t="inlineStr">
        <is>
          <t>decimal</t>
        </is>
      </c>
      <c r="D130" s="12" t="inlineStr">
        <is>
          <t>3.8% on NII above MAGI threshold</t>
        </is>
      </c>
    </row>
    <row r="131" ht="45" customHeight="1">
      <c r="A131" s="97" t="inlineStr">
        <is>
          <t>NIIT MAGI Threshold (MFJ)</t>
        </is>
      </c>
      <c r="B131" s="176" t="n">
        <v>250000</v>
      </c>
      <c r="C131" s="12" t="inlineStr">
        <is>
          <t>USD</t>
        </is>
      </c>
      <c r="D131" s="12" t="inlineStr">
        <is>
          <t>NOT indexed</t>
        </is>
      </c>
    </row>
    <row r="132" ht="60" customHeight="1">
      <c r="A132" s="97" t="inlineStr">
        <is>
          <t>Standard Deduction MFJ — Reference Year</t>
        </is>
      </c>
      <c r="B132" s="176" t="n">
        <v>31500</v>
      </c>
      <c r="C132" s="12" t="inlineStr">
        <is>
          <t>USD</t>
        </is>
      </c>
      <c r="D132" s="12" t="inlineStr">
        <is>
          <t>+ $1,650/spouse age 65+</t>
        </is>
      </c>
    </row>
    <row r="133" ht="60" customHeight="1">
      <c r="A133" s="97" t="inlineStr">
        <is>
          <t>IRMAA Tier 2 Threshold (MFJ)</t>
        </is>
      </c>
      <c r="B133" s="176"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7"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7" t="inlineStr">
        <is>
          <t>Calculated Ending</t>
        </is>
      </c>
      <c r="O4" s="177" t="inlineStr">
        <is>
          <t>Reported Ending</t>
        </is>
      </c>
      <c r="P4" s="177"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72070.00887999999</v>
      </c>
      <c r="G7" s="27" t="n">
        <v>7575</v>
      </c>
      <c r="H7" s="27" t="n">
        <v>0</v>
      </c>
      <c r="I7" s="27" t="n">
        <v>0</v>
      </c>
      <c r="J7" s="27" t="n">
        <v>0</v>
      </c>
      <c r="K7" s="27" t="n">
        <v>0</v>
      </c>
      <c r="L7" s="27" t="n">
        <v>0</v>
      </c>
      <c r="M7" s="27" t="n">
        <v>4778.7005328</v>
      </c>
      <c r="N7" s="27" t="n">
        <v>84423.70941279999</v>
      </c>
      <c r="O7" s="27" t="n">
        <v>84423.70941279999</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14934.4</v>
      </c>
      <c r="G8" s="27" t="n">
        <v>24000</v>
      </c>
      <c r="H8" s="27" t="n">
        <v>0</v>
      </c>
      <c r="I8" s="27" t="n">
        <v>0</v>
      </c>
      <c r="J8" s="27" t="n">
        <v>0</v>
      </c>
      <c r="K8" s="27" t="n">
        <v>0</v>
      </c>
      <c r="L8" s="27" t="n">
        <v>0</v>
      </c>
      <c r="M8" s="27" t="n">
        <v>2336.064</v>
      </c>
      <c r="N8" s="27" t="n">
        <v>41270.464</v>
      </c>
      <c r="O8" s="27" t="n">
        <v>41270.464</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1331690.46142</v>
      </c>
      <c r="G9" s="27" t="n">
        <v>0</v>
      </c>
      <c r="H9" s="27" t="n">
        <v>0</v>
      </c>
      <c r="I9" s="27" t="n">
        <v>0</v>
      </c>
      <c r="J9" s="27" t="n">
        <v>0</v>
      </c>
      <c r="K9" s="27" t="n">
        <v>0</v>
      </c>
      <c r="L9" s="27" t="n">
        <v>0</v>
      </c>
      <c r="M9" s="27" t="n">
        <v>79901.42768520002</v>
      </c>
      <c r="N9" s="27" t="n">
        <v>1411591.8891052</v>
      </c>
      <c r="O9" s="27" t="n">
        <v>1411591.8891052</v>
      </c>
      <c r="P9" s="27" t="n">
        <v>0</v>
      </c>
      <c r="Q9" s="33" t="inlineStr"/>
    </row>
    <row r="10" ht="30" customHeight="1">
      <c r="A10" s="26" t="n">
        <v>2026</v>
      </c>
      <c r="B10" s="12" t="inlineStr">
        <is>
          <t>Member_1_Roth</t>
        </is>
      </c>
      <c r="C10" s="12" t="inlineStr">
        <is>
          <t>Matthew</t>
        </is>
      </c>
      <c r="D10" s="41" t="inlineStr">
        <is>
          <t>roth</t>
        </is>
      </c>
      <c r="E10" s="12" t="inlineStr">
        <is>
          <t>roth_ira</t>
        </is>
      </c>
      <c r="F10" s="27" t="n">
        <v>138318.17527</v>
      </c>
      <c r="G10" s="27" t="n">
        <v>0</v>
      </c>
      <c r="H10" s="27" t="n">
        <v>0</v>
      </c>
      <c r="I10" s="27" t="n">
        <v>0</v>
      </c>
      <c r="J10" s="27" t="n">
        <v>0</v>
      </c>
      <c r="K10" s="27" t="n">
        <v>0</v>
      </c>
      <c r="L10" s="27" t="n">
        <v>0</v>
      </c>
      <c r="M10" s="27" t="n">
        <v>8299.090516199998</v>
      </c>
      <c r="N10" s="27" t="n">
        <v>146617.2657862</v>
      </c>
      <c r="O10" s="27" t="n">
        <v>146617.2657862</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207796.24624</v>
      </c>
      <c r="G11" s="27" t="n">
        <v>81570.67891651829</v>
      </c>
      <c r="H11" s="27" t="n">
        <v>0</v>
      </c>
      <c r="I11" s="27" t="n">
        <v>0</v>
      </c>
      <c r="J11" s="27" t="n">
        <v>0</v>
      </c>
      <c r="K11" s="27" t="n">
        <v>0</v>
      </c>
      <c r="L11" s="27" t="n">
        <v>0</v>
      </c>
      <c r="M11" s="27" t="n">
        <v>11188.181255893</v>
      </c>
      <c r="N11" s="27" t="n">
        <v>300555.1064124113</v>
      </c>
      <c r="O11" s="27" t="n">
        <v>300555.1064124113</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460853.2724699999</v>
      </c>
      <c r="G12" s="27" t="n">
        <v>0</v>
      </c>
      <c r="H12" s="27" t="n">
        <v>0</v>
      </c>
      <c r="I12" s="27" t="n">
        <v>0</v>
      </c>
      <c r="J12" s="27" t="n">
        <v>0</v>
      </c>
      <c r="K12" s="27" t="n">
        <v>0</v>
      </c>
      <c r="L12" s="27" t="n">
        <v>0</v>
      </c>
      <c r="M12" s="27" t="n">
        <v>27651.19634819999</v>
      </c>
      <c r="N12" s="27" t="n">
        <v>488504.4688181999</v>
      </c>
      <c r="O12" s="27" t="n">
        <v>488504.4688181999</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206022.888794</v>
      </c>
      <c r="G13" s="27" t="n">
        <v>0</v>
      </c>
      <c r="H13" s="27" t="n">
        <v>0</v>
      </c>
      <c r="I13" s="27" t="n">
        <v>0</v>
      </c>
      <c r="J13" s="27" t="n">
        <v>0</v>
      </c>
      <c r="K13" s="27" t="n">
        <v>0</v>
      </c>
      <c r="L13" s="27" t="n">
        <v>0</v>
      </c>
      <c r="M13" s="27" t="n">
        <v>12361.37332764</v>
      </c>
      <c r="N13" s="27" t="n">
        <v>218384.26212164</v>
      </c>
      <c r="O13" s="27" t="n">
        <v>218384.26212164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332262.173348</v>
      </c>
      <c r="G14" s="27" t="n">
        <v>0</v>
      </c>
      <c r="H14" s="27" t="n">
        <v>0</v>
      </c>
      <c r="I14" s="27" t="n">
        <v>0</v>
      </c>
      <c r="J14" s="27" t="n">
        <v>0</v>
      </c>
      <c r="K14" s="27" t="n">
        <v>0</v>
      </c>
      <c r="L14" s="27" t="n">
        <v>0</v>
      </c>
      <c r="M14" s="27" t="n">
        <v>14013.19278044</v>
      </c>
      <c r="N14" s="27" t="n">
        <v>346275.36612844</v>
      </c>
      <c r="O14" s="27" t="n">
        <v>346275.36612844</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84423.70941279999</v>
      </c>
      <c r="G17" s="27" t="n">
        <v>0</v>
      </c>
      <c r="H17" s="27" t="n">
        <v>0</v>
      </c>
      <c r="I17" s="27" t="n">
        <v>0</v>
      </c>
      <c r="J17" s="27" t="n">
        <v>0</v>
      </c>
      <c r="K17" s="27" t="n">
        <v>0</v>
      </c>
      <c r="L17" s="27" t="n">
        <v>0</v>
      </c>
      <c r="M17" s="27" t="n">
        <v>5065.422564767999</v>
      </c>
      <c r="N17" s="27" t="n">
        <v>89489.13197756799</v>
      </c>
      <c r="O17" s="27" t="n">
        <v>89489.13197756799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41270.464</v>
      </c>
      <c r="G18" s="27" t="n">
        <v>0</v>
      </c>
      <c r="H18" s="27" t="n">
        <v>0</v>
      </c>
      <c r="I18" s="27" t="n">
        <v>0</v>
      </c>
      <c r="J18" s="27" t="n">
        <v>0</v>
      </c>
      <c r="K18" s="27" t="n">
        <v>0</v>
      </c>
      <c r="L18" s="27" t="n">
        <v>0.000171719897476116</v>
      </c>
      <c r="M18" s="27" t="n">
        <v>2476.227829696806</v>
      </c>
      <c r="N18" s="27" t="n">
        <v>43746.69165797691</v>
      </c>
      <c r="O18" s="27" t="n">
        <v>43746.69165797691</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1411591.8891052</v>
      </c>
      <c r="G19" s="27" t="n">
        <v>0</v>
      </c>
      <c r="H19" s="27" t="n">
        <v>0</v>
      </c>
      <c r="I19" s="27" t="n">
        <v>0</v>
      </c>
      <c r="J19" s="27" t="n">
        <v>0</v>
      </c>
      <c r="K19" s="27" t="n">
        <v>0</v>
      </c>
      <c r="L19" s="27" t="n">
        <v>0.005873411417794136</v>
      </c>
      <c r="M19" s="27" t="n">
        <v>84695.51299390732</v>
      </c>
      <c r="N19" s="27" t="n">
        <v>1496287.396225696</v>
      </c>
      <c r="O19" s="27" t="n">
        <v>1496287.396225696</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146617.2657862</v>
      </c>
      <c r="G20" s="27" t="n">
        <v>0</v>
      </c>
      <c r="H20" s="27" t="n">
        <v>0</v>
      </c>
      <c r="I20" s="27" t="n">
        <v>0</v>
      </c>
      <c r="J20" s="27" t="n">
        <v>0</v>
      </c>
      <c r="K20" s="27" t="n">
        <v>0</v>
      </c>
      <c r="L20" s="27" t="n">
        <v>0</v>
      </c>
      <c r="M20" s="27" t="n">
        <v>8797.035947171998</v>
      </c>
      <c r="N20" s="27" t="n">
        <v>155414.301733372</v>
      </c>
      <c r="O20" s="27" t="n">
        <v>155414.301733372</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300555.1064124113</v>
      </c>
      <c r="G21" s="27" t="n">
        <v>0</v>
      </c>
      <c r="H21" s="27" t="n">
        <v>0</v>
      </c>
      <c r="I21" s="27" t="n">
        <v>0</v>
      </c>
      <c r="J21" s="27" t="n">
        <v>0</v>
      </c>
      <c r="K21" s="27" t="n">
        <v>0</v>
      </c>
      <c r="L21" s="27" t="n">
        <v>145079.5002726487</v>
      </c>
      <c r="M21" s="27" t="n">
        <v>6011.361738804828</v>
      </c>
      <c r="N21" s="27" t="n">
        <v>161486.9678785675</v>
      </c>
      <c r="O21" s="27" t="n">
        <v>161486.9678785675</v>
      </c>
      <c r="P21" s="27" t="n">
        <v>0</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488504.4688181999</v>
      </c>
      <c r="G22" s="27" t="n">
        <v>0</v>
      </c>
      <c r="H22" s="27" t="n">
        <v>0</v>
      </c>
      <c r="I22" s="27" t="n">
        <v>0</v>
      </c>
      <c r="J22" s="27" t="n">
        <v>0</v>
      </c>
      <c r="K22" s="27" t="n">
        <v>224099.137238685</v>
      </c>
      <c r="L22" s="27" t="n">
        <v>0.001100148920811085</v>
      </c>
      <c r="M22" s="27" t="n">
        <v>15864.31982876196</v>
      </c>
      <c r="N22" s="27" t="n">
        <v>280269.6503081279</v>
      </c>
      <c r="O22" s="27" t="n">
        <v>280269.6503081279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218384.26212164</v>
      </c>
      <c r="G23" s="27" t="n">
        <v>0</v>
      </c>
      <c r="H23" s="27" t="n">
        <v>0</v>
      </c>
      <c r="I23" s="27" t="n">
        <v>0</v>
      </c>
      <c r="J23" s="27" t="n">
        <v>224099.137238685</v>
      </c>
      <c r="K23" s="27" t="n">
        <v>0</v>
      </c>
      <c r="L23" s="27" t="n">
        <v>0</v>
      </c>
      <c r="M23" s="27" t="n">
        <v>26549.0039616195</v>
      </c>
      <c r="N23" s="27" t="n">
        <v>469032.4033219445</v>
      </c>
      <c r="O23" s="27" t="n">
        <v>469032.4033219445</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346275.36612844</v>
      </c>
      <c r="G24" s="27" t="n">
        <v>0</v>
      </c>
      <c r="H24" s="27" t="n">
        <v>0</v>
      </c>
      <c r="I24" s="27" t="n">
        <v>0</v>
      </c>
      <c r="J24" s="27" t="n">
        <v>0</v>
      </c>
      <c r="K24" s="27" t="n">
        <v>0</v>
      </c>
      <c r="L24" s="27" t="n">
        <v>167148.9054846017</v>
      </c>
      <c r="M24" s="27" t="n">
        <v>7554.677680540471</v>
      </c>
      <c r="N24" s="27" t="n">
        <v>186681.1383243788</v>
      </c>
      <c r="O24" s="27" t="n">
        <v>186681.1383243788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89489.13197756799</v>
      </c>
      <c r="G27" s="27" t="n">
        <v>0</v>
      </c>
      <c r="H27" s="27" t="n">
        <v>0</v>
      </c>
      <c r="I27" s="27" t="n">
        <v>0</v>
      </c>
      <c r="J27" s="27" t="n">
        <v>0</v>
      </c>
      <c r="K27" s="27" t="n">
        <v>0</v>
      </c>
      <c r="L27" s="27" t="n">
        <v>0</v>
      </c>
      <c r="M27" s="27" t="n">
        <v>5369.347918654079</v>
      </c>
      <c r="N27" s="27" t="n">
        <v>94858.47989622207</v>
      </c>
      <c r="O27" s="27" t="n">
        <v>94858.47989622207</v>
      </c>
      <c r="P27" s="27" t="n">
        <v>0</v>
      </c>
      <c r="Q27" s="33" t="inlineStr"/>
    </row>
    <row r="28" ht="30" customHeight="1">
      <c r="A28" s="26" t="n">
        <v>2028</v>
      </c>
      <c r="B28" s="12" t="inlineStr">
        <is>
          <t>Member_1_401k</t>
        </is>
      </c>
      <c r="C28" s="12" t="inlineStr">
        <is>
          <t>Matthew</t>
        </is>
      </c>
      <c r="D28" s="41" t="inlineStr">
        <is>
          <t>pre_tax</t>
        </is>
      </c>
      <c r="E28" s="12" t="inlineStr">
        <is>
          <t>401k</t>
        </is>
      </c>
      <c r="F28" s="27" t="n">
        <v>43746.69165797691</v>
      </c>
      <c r="G28" s="27" t="n">
        <v>0</v>
      </c>
      <c r="H28" s="27" t="n">
        <v>0</v>
      </c>
      <c r="I28" s="27" t="n">
        <v>0</v>
      </c>
      <c r="J28" s="27" t="n">
        <v>0</v>
      </c>
      <c r="K28" s="27" t="n">
        <v>0</v>
      </c>
      <c r="L28" s="27" t="n">
        <v>8.627482595455527e-05</v>
      </c>
      <c r="M28" s="27" t="n">
        <v>2624.801494302125</v>
      </c>
      <c r="N28" s="27" t="n">
        <v>46371.49306600421</v>
      </c>
      <c r="O28" s="27" t="n">
        <v>46371.49306600421</v>
      </c>
      <c r="P28" s="27" t="n">
        <v>0</v>
      </c>
      <c r="Q28" s="12" t="inlineStr">
        <is>
          <t>withdrawal</t>
        </is>
      </c>
    </row>
    <row r="29" ht="30" customHeight="1">
      <c r="A29" s="26" t="n">
        <v>2028</v>
      </c>
      <c r="B29" s="12" t="inlineStr">
        <is>
          <t>Member_1_IRA</t>
        </is>
      </c>
      <c r="C29" s="12" t="inlineStr">
        <is>
          <t>Matthew</t>
        </is>
      </c>
      <c r="D29" s="41" t="inlineStr">
        <is>
          <t>pre_tax</t>
        </is>
      </c>
      <c r="E29" s="12" t="inlineStr">
        <is>
          <t>traditional_ira</t>
        </is>
      </c>
      <c r="F29" s="27" t="n">
        <v>1496287.396225696</v>
      </c>
      <c r="G29" s="27" t="n">
        <v>0</v>
      </c>
      <c r="H29" s="27" t="n">
        <v>0</v>
      </c>
      <c r="I29" s="27" t="n">
        <v>0</v>
      </c>
      <c r="J29" s="27" t="n">
        <v>0</v>
      </c>
      <c r="K29" s="27" t="n">
        <v>0</v>
      </c>
      <c r="L29" s="27" t="n">
        <v>0.002950895937380618</v>
      </c>
      <c r="M29" s="27" t="n">
        <v>89777.243596488</v>
      </c>
      <c r="N29" s="27" t="n">
        <v>1586064.636871288</v>
      </c>
      <c r="O29" s="27" t="n">
        <v>1586064.636871288</v>
      </c>
      <c r="P29" s="27" t="n">
        <v>0</v>
      </c>
      <c r="Q29" s="12" t="inlineStr">
        <is>
          <t>withdrawal</t>
        </is>
      </c>
    </row>
    <row r="30" ht="30" customHeight="1">
      <c r="A30" s="26" t="n">
        <v>2028</v>
      </c>
      <c r="B30" s="12" t="inlineStr">
        <is>
          <t>Member_1_Roth</t>
        </is>
      </c>
      <c r="C30" s="12" t="inlineStr">
        <is>
          <t>Matthew</t>
        </is>
      </c>
      <c r="D30" s="41" t="inlineStr">
        <is>
          <t>roth</t>
        </is>
      </c>
      <c r="E30" s="12" t="inlineStr">
        <is>
          <t>roth_ira</t>
        </is>
      </c>
      <c r="F30" s="27" t="n">
        <v>155414.301733372</v>
      </c>
      <c r="G30" s="27" t="n">
        <v>0</v>
      </c>
      <c r="H30" s="27" t="n">
        <v>0</v>
      </c>
      <c r="I30" s="27" t="n">
        <v>0</v>
      </c>
      <c r="J30" s="27" t="n">
        <v>0</v>
      </c>
      <c r="K30" s="27" t="n">
        <v>0</v>
      </c>
      <c r="L30" s="27" t="n">
        <v>0</v>
      </c>
      <c r="M30" s="27" t="n">
        <v>9324.858104002318</v>
      </c>
      <c r="N30" s="27" t="n">
        <v>164739.1598373743</v>
      </c>
      <c r="O30" s="27" t="n">
        <v>164739.1598373743</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161486.9678785675</v>
      </c>
      <c r="G31" s="27" t="n">
        <v>0</v>
      </c>
      <c r="H31" s="27" t="n">
        <v>0</v>
      </c>
      <c r="I31" s="27" t="n">
        <v>0</v>
      </c>
      <c r="J31" s="27" t="n">
        <v>0</v>
      </c>
      <c r="K31" s="27" t="n">
        <v>0</v>
      </c>
      <c r="L31" s="27" t="n">
        <v>118185.2172372927</v>
      </c>
      <c r="M31" s="27" t="n">
        <v>1674.233620895043</v>
      </c>
      <c r="N31" s="27" t="n">
        <v>44975.98426216979</v>
      </c>
      <c r="O31" s="27" t="n">
        <v>44975.98426216979</v>
      </c>
      <c r="P31" s="27" t="n">
        <v>0</v>
      </c>
      <c r="Q31" s="12" t="inlineStr">
        <is>
          <t>withdrawal</t>
        </is>
      </c>
    </row>
    <row r="32" ht="60" customHeight="1">
      <c r="A32" s="26" t="n">
        <v>2028</v>
      </c>
      <c r="B32" s="12" t="inlineStr">
        <is>
          <t>Member_2_IRA</t>
        </is>
      </c>
      <c r="C32" s="12" t="inlineStr">
        <is>
          <t>Patricia</t>
        </is>
      </c>
      <c r="D32" s="41" t="inlineStr">
        <is>
          <t>pre_tax</t>
        </is>
      </c>
      <c r="E32" s="12" t="inlineStr">
        <is>
          <t>traditional_ira</t>
        </is>
      </c>
      <c r="F32" s="27" t="n">
        <v>280269.6503081279</v>
      </c>
      <c r="G32" s="27" t="n">
        <v>0</v>
      </c>
      <c r="H32" s="27" t="n">
        <v>0</v>
      </c>
      <c r="I32" s="27" t="n">
        <v>0</v>
      </c>
      <c r="J32" s="27" t="n">
        <v>0</v>
      </c>
      <c r="K32" s="27" t="n">
        <v>212480.7504860891</v>
      </c>
      <c r="L32" s="27" t="n">
        <v>0.0001336895502755292</v>
      </c>
      <c r="M32" s="27" t="n">
        <v>4067.333981300953</v>
      </c>
      <c r="N32" s="27" t="n">
        <v>71856.23366965017</v>
      </c>
      <c r="O32" s="27" t="n">
        <v>71856.23366965017</v>
      </c>
      <c r="P32" s="27" t="n">
        <v>0</v>
      </c>
      <c r="Q32" s="12" t="inlineStr">
        <is>
          <t>Roth conversion; withdrawal</t>
        </is>
      </c>
    </row>
    <row r="33" ht="30" customHeight="1">
      <c r="A33" s="26" t="n">
        <v>2028</v>
      </c>
      <c r="B33" s="12" t="inlineStr">
        <is>
          <t>Member_2_Roth</t>
        </is>
      </c>
      <c r="C33" s="12" t="inlineStr">
        <is>
          <t>Patricia</t>
        </is>
      </c>
      <c r="D33" s="41" t="inlineStr">
        <is>
          <t>roth</t>
        </is>
      </c>
      <c r="E33" s="12" t="inlineStr">
        <is>
          <t>roth_ira</t>
        </is>
      </c>
      <c r="F33" s="27" t="n">
        <v>469032.4033219445</v>
      </c>
      <c r="G33" s="27" t="n">
        <v>0</v>
      </c>
      <c r="H33" s="27" t="n">
        <v>0</v>
      </c>
      <c r="I33" s="27" t="n">
        <v>0</v>
      </c>
      <c r="J33" s="27" t="n">
        <v>212480.7504860891</v>
      </c>
      <c r="K33" s="27" t="n">
        <v>0</v>
      </c>
      <c r="L33" s="27" t="n">
        <v>0</v>
      </c>
      <c r="M33" s="27" t="n">
        <v>40890.78922848201</v>
      </c>
      <c r="N33" s="27" t="n">
        <v>722403.9430365156</v>
      </c>
      <c r="O33" s="27" t="n">
        <v>722403.9430365156</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186681.1383243788</v>
      </c>
      <c r="G34" s="27" t="n">
        <v>0</v>
      </c>
      <c r="H34" s="27" t="n">
        <v>0</v>
      </c>
      <c r="I34" s="27" t="n">
        <v>0</v>
      </c>
      <c r="J34" s="27" t="n">
        <v>0</v>
      </c>
      <c r="K34" s="27" t="n">
        <v>0</v>
      </c>
      <c r="L34" s="27" t="n">
        <v>136623.7237395055</v>
      </c>
      <c r="M34" s="27" t="n">
        <v>2111.176826419988</v>
      </c>
      <c r="N34" s="27" t="n">
        <v>52168.59141129329</v>
      </c>
      <c r="O34" s="27" t="n">
        <v>52168.59141129328</v>
      </c>
      <c r="P34" s="27" t="n">
        <v>-7.275957614183426e-12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94858.47989622207</v>
      </c>
      <c r="G37" s="27" t="n">
        <v>0</v>
      </c>
      <c r="H37" s="27" t="n">
        <v>0</v>
      </c>
      <c r="I37" s="27" t="n">
        <v>0</v>
      </c>
      <c r="J37" s="27" t="n">
        <v>0</v>
      </c>
      <c r="K37" s="27" t="n">
        <v>0</v>
      </c>
      <c r="L37" s="27" t="n">
        <v>0</v>
      </c>
      <c r="M37" s="27" t="n">
        <v>5691.508793773324</v>
      </c>
      <c r="N37" s="27" t="n">
        <v>100549.9886899954</v>
      </c>
      <c r="O37" s="27" t="n">
        <v>100549.9886899954</v>
      </c>
      <c r="P37" s="27" t="n">
        <v>0</v>
      </c>
      <c r="Q37" s="33" t="inlineStr"/>
    </row>
    <row r="38" ht="30" customHeight="1">
      <c r="A38" s="26" t="n">
        <v>2029</v>
      </c>
      <c r="B38" s="12" t="inlineStr">
        <is>
          <t>Member_1_401k</t>
        </is>
      </c>
      <c r="C38" s="12" t="inlineStr">
        <is>
          <t>Matthew</t>
        </is>
      </c>
      <c r="D38" s="41" t="inlineStr">
        <is>
          <t>pre_tax</t>
        </is>
      </c>
      <c r="E38" s="12" t="inlineStr">
        <is>
          <t>401k</t>
        </is>
      </c>
      <c r="F38" s="27" t="n">
        <v>46371.49306600421</v>
      </c>
      <c r="G38" s="27" t="n">
        <v>0</v>
      </c>
      <c r="H38" s="27" t="n">
        <v>0</v>
      </c>
      <c r="I38" s="27" t="n">
        <v>0</v>
      </c>
      <c r="J38" s="27" t="n">
        <v>0</v>
      </c>
      <c r="K38" s="27" t="n">
        <v>46371.49306600421</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1586064.636871288</v>
      </c>
      <c r="G39" s="27" t="n">
        <v>0</v>
      </c>
      <c r="H39" s="27" t="n">
        <v>0</v>
      </c>
      <c r="I39" s="27" t="n">
        <v>0</v>
      </c>
      <c r="J39" s="27" t="n">
        <v>0</v>
      </c>
      <c r="K39" s="27" t="n">
        <v>25543.45641567057</v>
      </c>
      <c r="L39" s="27" t="n">
        <v>46270.06130349458</v>
      </c>
      <c r="M39" s="27" t="n">
        <v>90855.06714912738</v>
      </c>
      <c r="N39" s="27" t="n">
        <v>1605106.18630125</v>
      </c>
      <c r="O39" s="27" t="n">
        <v>1605106.18630125</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164739.1598373743</v>
      </c>
      <c r="G40" s="27" t="n">
        <v>0</v>
      </c>
      <c r="H40" s="27" t="n">
        <v>0</v>
      </c>
      <c r="I40" s="27" t="n">
        <v>0</v>
      </c>
      <c r="J40" s="27" t="n">
        <v>71914.94948167478</v>
      </c>
      <c r="K40" s="27" t="n">
        <v>0</v>
      </c>
      <c r="L40" s="27" t="n">
        <v>0</v>
      </c>
      <c r="M40" s="27" t="n">
        <v>14199.24655914294</v>
      </c>
      <c r="N40" s="27" t="n">
        <v>250853.355878192</v>
      </c>
      <c r="O40" s="27" t="n">
        <v>250853.355878192</v>
      </c>
      <c r="P40" s="27" t="n">
        <v>2.91038304567337e-11</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44975.98426216979</v>
      </c>
      <c r="G41" s="27" t="n">
        <v>0</v>
      </c>
      <c r="H41" s="27" t="n">
        <v>0</v>
      </c>
      <c r="I41" s="27" t="n">
        <v>0</v>
      </c>
      <c r="J41" s="27" t="n">
        <v>0</v>
      </c>
      <c r="K41" s="27" t="n">
        <v>0</v>
      </c>
      <c r="L41" s="27" t="n">
        <v>44975.98426216979</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71856.23366965017</v>
      </c>
      <c r="G42" s="27" t="n">
        <v>0</v>
      </c>
      <c r="H42" s="27" t="n">
        <v>0</v>
      </c>
      <c r="I42" s="27" t="n">
        <v>0</v>
      </c>
      <c r="J42" s="27" t="n">
        <v>0</v>
      </c>
      <c r="K42" s="27" t="n">
        <v>71856.23366965017</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722403.9430365156</v>
      </c>
      <c r="G43" s="27" t="n">
        <v>0</v>
      </c>
      <c r="H43" s="27" t="n">
        <v>0</v>
      </c>
      <c r="I43" s="27" t="n">
        <v>0</v>
      </c>
      <c r="J43" s="27" t="n">
        <v>71856.23366965017</v>
      </c>
      <c r="K43" s="27" t="n">
        <v>0</v>
      </c>
      <c r="L43" s="27" t="n">
        <v>0</v>
      </c>
      <c r="M43" s="27" t="n">
        <v>47655.61060236995</v>
      </c>
      <c r="N43" s="27" t="n">
        <v>841915.7873085358</v>
      </c>
      <c r="O43" s="27" t="n">
        <v>841915.7873085358</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52168.59141129328</v>
      </c>
      <c r="G44" s="27" t="n">
        <v>0</v>
      </c>
      <c r="H44" s="27" t="n">
        <v>0</v>
      </c>
      <c r="I44" s="27" t="n">
        <v>0</v>
      </c>
      <c r="J44" s="27" t="n">
        <v>0</v>
      </c>
      <c r="K44" s="27" t="n">
        <v>0</v>
      </c>
      <c r="L44" s="27" t="n">
        <v>52168.59141129328</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100549.9886899954</v>
      </c>
      <c r="G47" s="27" t="n">
        <v>0</v>
      </c>
      <c r="H47" s="27" t="n">
        <v>0</v>
      </c>
      <c r="I47" s="27" t="n">
        <v>0</v>
      </c>
      <c r="J47" s="27" t="n">
        <v>0</v>
      </c>
      <c r="K47" s="27" t="n">
        <v>0</v>
      </c>
      <c r="L47" s="27" t="n">
        <v>0</v>
      </c>
      <c r="M47" s="27" t="n">
        <v>6032.999321399723</v>
      </c>
      <c r="N47" s="27" t="n">
        <v>106582.9880113951</v>
      </c>
      <c r="O47" s="27" t="n">
        <v>106582.9880113951</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1605106.18630125</v>
      </c>
      <c r="G49" s="27" t="n">
        <v>0</v>
      </c>
      <c r="H49" s="27" t="n">
        <v>0</v>
      </c>
      <c r="I49" s="27" t="n">
        <v>0</v>
      </c>
      <c r="J49" s="27" t="n">
        <v>0</v>
      </c>
      <c r="K49" s="27" t="n">
        <v>155297.4833840013</v>
      </c>
      <c r="L49" s="27" t="n">
        <v>105517.6818934454</v>
      </c>
      <c r="M49" s="27" t="n">
        <v>80657.46126142821</v>
      </c>
      <c r="N49" s="27" t="n">
        <v>1424948.482285232</v>
      </c>
      <c r="O49" s="27" t="n">
        <v>1424948.482285232</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250853.355878192</v>
      </c>
      <c r="G50" s="27" t="n">
        <v>0</v>
      </c>
      <c r="H50" s="27" t="n">
        <v>0</v>
      </c>
      <c r="I50" s="27" t="n">
        <v>0</v>
      </c>
      <c r="J50" s="27" t="n">
        <v>155297.4833840013</v>
      </c>
      <c r="K50" s="27" t="n">
        <v>0</v>
      </c>
      <c r="L50" s="27" t="n">
        <v>0</v>
      </c>
      <c r="M50" s="27" t="n">
        <v>24369.0503557316</v>
      </c>
      <c r="N50" s="27" t="n">
        <v>430519.8896179249</v>
      </c>
      <c r="O50" s="27" t="n">
        <v>430519.8896179249</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841915.7873085358</v>
      </c>
      <c r="G53" s="27" t="n">
        <v>0</v>
      </c>
      <c r="H53" s="27" t="n">
        <v>0</v>
      </c>
      <c r="I53" s="27" t="n">
        <v>0</v>
      </c>
      <c r="J53" s="27" t="n">
        <v>0</v>
      </c>
      <c r="K53" s="27" t="n">
        <v>0</v>
      </c>
      <c r="L53" s="27" t="n">
        <v>0</v>
      </c>
      <c r="M53" s="27" t="n">
        <v>50514.94723851215</v>
      </c>
      <c r="N53" s="27" t="n">
        <v>892430.7345470479</v>
      </c>
      <c r="O53" s="27" t="n">
        <v>892430.7345470479</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106582.9880113951</v>
      </c>
      <c r="G57" s="27" t="n">
        <v>0</v>
      </c>
      <c r="H57" s="27" t="n">
        <v>0</v>
      </c>
      <c r="I57" s="27" t="n">
        <v>0</v>
      </c>
      <c r="J57" s="27" t="n">
        <v>0</v>
      </c>
      <c r="K57" s="27" t="n">
        <v>0</v>
      </c>
      <c r="L57" s="27" t="n">
        <v>10658.29880113951</v>
      </c>
      <c r="M57" s="27" t="n">
        <v>5755.481352615336</v>
      </c>
      <c r="N57" s="27" t="n">
        <v>101680.1705628709</v>
      </c>
      <c r="O57" s="27" t="n">
        <v>101680.1705628709</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1424948.482285232</v>
      </c>
      <c r="G59" s="27" t="n">
        <v>0</v>
      </c>
      <c r="H59" s="27" t="n">
        <v>0</v>
      </c>
      <c r="I59" s="27" t="n">
        <v>0</v>
      </c>
      <c r="J59" s="27" t="n">
        <v>0</v>
      </c>
      <c r="K59" s="27" t="n">
        <v>125267.2076368838</v>
      </c>
      <c r="L59" s="27" t="n">
        <v>93169.69669736034</v>
      </c>
      <c r="M59" s="27" t="n">
        <v>72390.69467705926</v>
      </c>
      <c r="N59" s="27" t="n">
        <v>1278902.272628047</v>
      </c>
      <c r="O59" s="27" t="n">
        <v>1278902.272628047</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430519.8896179249</v>
      </c>
      <c r="G60" s="27" t="n">
        <v>0</v>
      </c>
      <c r="H60" s="27" t="n">
        <v>0</v>
      </c>
      <c r="I60" s="27" t="n">
        <v>0</v>
      </c>
      <c r="J60" s="27" t="n">
        <v>125267.2076368838</v>
      </c>
      <c r="K60" s="27" t="n">
        <v>0</v>
      </c>
      <c r="L60" s="27" t="n">
        <v>0</v>
      </c>
      <c r="M60" s="27" t="n">
        <v>33347.22583528853</v>
      </c>
      <c r="N60" s="27" t="n">
        <v>589134.3230900973</v>
      </c>
      <c r="O60" s="27" t="n">
        <v>589134.3230900973</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892430.7345470479</v>
      </c>
      <c r="G63" s="27" t="n">
        <v>0</v>
      </c>
      <c r="H63" s="27" t="n">
        <v>0</v>
      </c>
      <c r="I63" s="27" t="n">
        <v>0</v>
      </c>
      <c r="J63" s="27" t="n">
        <v>0</v>
      </c>
      <c r="K63" s="27" t="n">
        <v>0</v>
      </c>
      <c r="L63" s="27" t="n">
        <v>0</v>
      </c>
      <c r="M63" s="27" t="n">
        <v>53545.84407282287</v>
      </c>
      <c r="N63" s="27" t="n">
        <v>945976.5786198707</v>
      </c>
      <c r="O63" s="27" t="n">
        <v>945976.5786198707</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101680.1705628709</v>
      </c>
      <c r="G67" s="27" t="n">
        <v>0</v>
      </c>
      <c r="H67" s="27" t="n">
        <v>0</v>
      </c>
      <c r="I67" s="27" t="n">
        <v>0</v>
      </c>
      <c r="J67" s="27" t="n">
        <v>0</v>
      </c>
      <c r="K67" s="27" t="n">
        <v>0</v>
      </c>
      <c r="L67" s="27" t="n">
        <v>11297.79672920788</v>
      </c>
      <c r="M67" s="27" t="n">
        <v>5422.942430019782</v>
      </c>
      <c r="N67" s="27" t="n">
        <v>95805.31626368283</v>
      </c>
      <c r="O67" s="27" t="n">
        <v>95805.31626368283</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1278902.272628047</v>
      </c>
      <c r="G69" s="27" t="n">
        <v>0</v>
      </c>
      <c r="H69" s="27" t="n">
        <v>0</v>
      </c>
      <c r="I69" s="27" t="n">
        <v>0</v>
      </c>
      <c r="J69" s="27" t="n">
        <v>0</v>
      </c>
      <c r="K69" s="27" t="n">
        <v>108908.4900564799</v>
      </c>
      <c r="L69" s="27" t="n">
        <v>197013.206159968</v>
      </c>
      <c r="M69" s="27" t="n">
        <v>58378.83458469596</v>
      </c>
      <c r="N69" s="27" t="n">
        <v>1031359.410996295</v>
      </c>
      <c r="O69" s="27" t="n">
        <v>1031359.410996295</v>
      </c>
      <c r="P69" s="27" t="n">
        <v>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589134.3230900973</v>
      </c>
      <c r="G70" s="27" t="n">
        <v>0</v>
      </c>
      <c r="H70" s="27" t="n">
        <v>0</v>
      </c>
      <c r="I70" s="27" t="n">
        <v>0</v>
      </c>
      <c r="J70" s="27" t="n">
        <v>108908.4900564799</v>
      </c>
      <c r="K70" s="27" t="n">
        <v>0</v>
      </c>
      <c r="L70" s="27" t="n">
        <v>0</v>
      </c>
      <c r="M70" s="27" t="n">
        <v>41882.56878879463</v>
      </c>
      <c r="N70" s="27" t="n">
        <v>739925.3819353719</v>
      </c>
      <c r="O70" s="27" t="n">
        <v>739925.3819353719</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945976.5786198707</v>
      </c>
      <c r="G73" s="27" t="n">
        <v>0</v>
      </c>
      <c r="H73" s="27" t="n">
        <v>0</v>
      </c>
      <c r="I73" s="27" t="n">
        <v>0</v>
      </c>
      <c r="J73" s="27" t="n">
        <v>0</v>
      </c>
      <c r="K73" s="27" t="n">
        <v>0</v>
      </c>
      <c r="L73" s="27" t="n">
        <v>0</v>
      </c>
      <c r="M73" s="27" t="n">
        <v>56758.59471719224</v>
      </c>
      <c r="N73" s="27" t="n">
        <v>1002735.173337063</v>
      </c>
      <c r="O73" s="27" t="n">
        <v>1002735.173337063</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95805.31626368283</v>
      </c>
      <c r="G77" s="27" t="n">
        <v>0</v>
      </c>
      <c r="H77" s="27" t="n">
        <v>0</v>
      </c>
      <c r="I77" s="27" t="n">
        <v>0</v>
      </c>
      <c r="J77" s="27" t="n">
        <v>0</v>
      </c>
      <c r="K77" s="27" t="n">
        <v>0</v>
      </c>
      <c r="L77" s="27" t="n">
        <v>11975.66453296035</v>
      </c>
      <c r="M77" s="27" t="n">
        <v>5029.779103843349</v>
      </c>
      <c r="N77" s="27" t="n">
        <v>88859.43083456584</v>
      </c>
      <c r="O77" s="27" t="n">
        <v>88859.43083456584</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1031359.410996295</v>
      </c>
      <c r="G79" s="27" t="n">
        <v>0</v>
      </c>
      <c r="H79" s="27" t="n">
        <v>0</v>
      </c>
      <c r="I79" s="27" t="n">
        <v>0</v>
      </c>
      <c r="J79" s="27" t="n">
        <v>0</v>
      </c>
      <c r="K79" s="27" t="n">
        <v>116223.4463601649</v>
      </c>
      <c r="L79" s="27" t="n">
        <v>76368.04381169875</v>
      </c>
      <c r="M79" s="27" t="n">
        <v>50326.0752494659</v>
      </c>
      <c r="N79" s="27" t="n">
        <v>889093.9960738975</v>
      </c>
      <c r="O79" s="27" t="n">
        <v>889093.9960738975</v>
      </c>
      <c r="P79" s="27" t="n">
        <v>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739925.3819353719</v>
      </c>
      <c r="G80" s="27" t="n">
        <v>0</v>
      </c>
      <c r="H80" s="27" t="n">
        <v>0</v>
      </c>
      <c r="I80" s="27" t="n">
        <v>0</v>
      </c>
      <c r="J80" s="27" t="n">
        <v>116223.4463601649</v>
      </c>
      <c r="K80" s="27" t="n">
        <v>0</v>
      </c>
      <c r="L80" s="27" t="n">
        <v>0</v>
      </c>
      <c r="M80" s="27" t="n">
        <v>51368.92969773221</v>
      </c>
      <c r="N80" s="27" t="n">
        <v>907517.757993269</v>
      </c>
      <c r="O80" s="27" t="n">
        <v>907517.757993269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1002735.173337063</v>
      </c>
      <c r="G83" s="27" t="n">
        <v>0</v>
      </c>
      <c r="H83" s="27" t="n">
        <v>0</v>
      </c>
      <c r="I83" s="27" t="n">
        <v>0</v>
      </c>
      <c r="J83" s="27" t="n">
        <v>0</v>
      </c>
      <c r="K83" s="27" t="n">
        <v>0</v>
      </c>
      <c r="L83" s="27" t="n">
        <v>0</v>
      </c>
      <c r="M83" s="27" t="n">
        <v>60164.11040022378</v>
      </c>
      <c r="N83" s="27" t="n">
        <v>1062899.283737287</v>
      </c>
      <c r="O83" s="27" t="n">
        <v>1062899.283737287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88859.43083456584</v>
      </c>
      <c r="G87" s="27" t="n">
        <v>0</v>
      </c>
      <c r="H87" s="27" t="n">
        <v>0</v>
      </c>
      <c r="I87" s="27" t="n">
        <v>0</v>
      </c>
      <c r="J87" s="27" t="n">
        <v>0</v>
      </c>
      <c r="K87" s="27" t="n">
        <v>0</v>
      </c>
      <c r="L87" s="27" t="n">
        <v>12694.20440493798</v>
      </c>
      <c r="M87" s="27" t="n">
        <v>4569.913585777671</v>
      </c>
      <c r="N87" s="27" t="n">
        <v>80735.14001540553</v>
      </c>
      <c r="O87" s="27" t="n">
        <v>80735.14001540553</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889093.9960738975</v>
      </c>
      <c r="G89" s="27" t="n">
        <v>0</v>
      </c>
      <c r="H89" s="27" t="n">
        <v>0</v>
      </c>
      <c r="I89" s="27" t="n">
        <v>0</v>
      </c>
      <c r="J89" s="27" t="n">
        <v>0</v>
      </c>
      <c r="K89" s="27" t="n">
        <v>123594.1810203279</v>
      </c>
      <c r="L89" s="27" t="n">
        <v>165626.6796342347</v>
      </c>
      <c r="M89" s="27" t="n">
        <v>35992.3881251601</v>
      </c>
      <c r="N89" s="27" t="n">
        <v>635865.5235444951</v>
      </c>
      <c r="O89" s="27" t="n">
        <v>635865.5235444951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907517.757993269</v>
      </c>
      <c r="G90" s="27" t="n">
        <v>0</v>
      </c>
      <c r="H90" s="27" t="n">
        <v>0</v>
      </c>
      <c r="I90" s="27" t="n">
        <v>0</v>
      </c>
      <c r="J90" s="27" t="n">
        <v>123594.1810203279</v>
      </c>
      <c r="K90" s="27" t="n">
        <v>0</v>
      </c>
      <c r="L90" s="27" t="n">
        <v>0</v>
      </c>
      <c r="M90" s="27" t="n">
        <v>61866.71634081581</v>
      </c>
      <c r="N90" s="27" t="n">
        <v>1092978.655354413</v>
      </c>
      <c r="O90" s="27" t="n">
        <v>1092978.655354413</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1062899.283737287</v>
      </c>
      <c r="G93" s="27" t="n">
        <v>0</v>
      </c>
      <c r="H93" s="27" t="n">
        <v>0</v>
      </c>
      <c r="I93" s="27" t="n">
        <v>0</v>
      </c>
      <c r="J93" s="27" t="n">
        <v>0</v>
      </c>
      <c r="K93" s="27" t="n">
        <v>0</v>
      </c>
      <c r="L93" s="27" t="n">
        <v>0</v>
      </c>
      <c r="M93" s="27" t="n">
        <v>63773.9570242372</v>
      </c>
      <c r="N93" s="27" t="n">
        <v>1126673.240761524</v>
      </c>
      <c r="O93" s="27" t="n">
        <v>1126673.240761524</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80735.14001540553</v>
      </c>
      <c r="G97" s="27" t="n">
        <v>0</v>
      </c>
      <c r="H97" s="27" t="n">
        <v>0</v>
      </c>
      <c r="I97" s="27" t="n">
        <v>0</v>
      </c>
      <c r="J97" s="27" t="n">
        <v>0</v>
      </c>
      <c r="K97" s="27" t="n">
        <v>0</v>
      </c>
      <c r="L97" s="27" t="n">
        <v>13455.85666923426</v>
      </c>
      <c r="M97" s="27" t="n">
        <v>4036.757000770276</v>
      </c>
      <c r="N97" s="27" t="n">
        <v>71316.04034694155</v>
      </c>
      <c r="O97" s="27" t="n">
        <v>71316.04034694155</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635865.5235444951</v>
      </c>
      <c r="G99" s="27" t="n">
        <v>0</v>
      </c>
      <c r="H99" s="27" t="n">
        <v>0</v>
      </c>
      <c r="I99" s="27" t="n">
        <v>0</v>
      </c>
      <c r="J99" s="27" t="n">
        <v>0</v>
      </c>
      <c r="K99" s="27" t="n">
        <v>125645.7590895275</v>
      </c>
      <c r="L99" s="27" t="n">
        <v>122735.9682249518</v>
      </c>
      <c r="M99" s="27" t="n">
        <v>23249.02777380095</v>
      </c>
      <c r="N99" s="27" t="n">
        <v>410732.8240038168</v>
      </c>
      <c r="O99" s="27" t="n">
        <v>410732.8240038168</v>
      </c>
      <c r="P99" s="27" t="n">
        <v>0</v>
      </c>
      <c r="Q99" s="12" t="inlineStr">
        <is>
          <t>Roth conversion; withdrawal</t>
        </is>
      </c>
    </row>
    <row r="100" ht="30" customHeight="1">
      <c r="A100" s="26" t="n">
        <v>2035</v>
      </c>
      <c r="B100" s="12" t="inlineStr">
        <is>
          <t>Member_1_Roth</t>
        </is>
      </c>
      <c r="C100" s="12" t="inlineStr">
        <is>
          <t>Matthew</t>
        </is>
      </c>
      <c r="D100" s="41" t="inlineStr">
        <is>
          <t>roth</t>
        </is>
      </c>
      <c r="E100" s="12" t="inlineStr">
        <is>
          <t>roth_ira</t>
        </is>
      </c>
      <c r="F100" s="27" t="n">
        <v>1092978.655354413</v>
      </c>
      <c r="G100" s="27" t="n">
        <v>0</v>
      </c>
      <c r="H100" s="27" t="n">
        <v>0</v>
      </c>
      <c r="I100" s="27" t="n">
        <v>0</v>
      </c>
      <c r="J100" s="27" t="n">
        <v>125645.7590895275</v>
      </c>
      <c r="K100" s="27" t="n">
        <v>0</v>
      </c>
      <c r="L100" s="27" t="n">
        <v>0</v>
      </c>
      <c r="M100" s="27" t="n">
        <v>73117.46486663641</v>
      </c>
      <c r="N100" s="27" t="n">
        <v>1291741.879310576</v>
      </c>
      <c r="O100" s="27" t="n">
        <v>1291741.879310576</v>
      </c>
      <c r="P100" s="27" t="n">
        <v>0</v>
      </c>
      <c r="Q100" s="12" t="inlineStr">
        <is>
          <t>Roth conversion</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1126673.240761524</v>
      </c>
      <c r="G103" s="27" t="n">
        <v>0</v>
      </c>
      <c r="H103" s="27" t="n">
        <v>0</v>
      </c>
      <c r="I103" s="27" t="n">
        <v>0</v>
      </c>
      <c r="J103" s="27" t="n">
        <v>0</v>
      </c>
      <c r="K103" s="27" t="n">
        <v>0</v>
      </c>
      <c r="L103" s="27" t="n">
        <v>0</v>
      </c>
      <c r="M103" s="27" t="n">
        <v>67600.39444569143</v>
      </c>
      <c r="N103" s="27" t="n">
        <v>1194273.635207215</v>
      </c>
      <c r="O103" s="27" t="n">
        <v>1194273.635207215</v>
      </c>
      <c r="P103" s="27" t="n">
        <v>0</v>
      </c>
      <c r="Q103" s="33" t="inlineStr"/>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71316.04034694155</v>
      </c>
      <c r="G107" s="27" t="n">
        <v>0</v>
      </c>
      <c r="H107" s="27" t="n">
        <v>0</v>
      </c>
      <c r="I107" s="27" t="n">
        <v>0</v>
      </c>
      <c r="J107" s="27" t="n">
        <v>0</v>
      </c>
      <c r="K107" s="27" t="n">
        <v>0</v>
      </c>
      <c r="L107" s="27" t="n">
        <v>14263.20806938831</v>
      </c>
      <c r="M107" s="27" t="n">
        <v>3423.169936653194</v>
      </c>
      <c r="N107" s="27" t="n">
        <v>60476.00221420643</v>
      </c>
      <c r="O107" s="27" t="n">
        <v>60476.00221420643</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410732.8240038168</v>
      </c>
      <c r="G109" s="27" t="n">
        <v>0</v>
      </c>
      <c r="H109" s="27" t="n">
        <v>0</v>
      </c>
      <c r="I109" s="27" t="n">
        <v>0</v>
      </c>
      <c r="J109" s="27" t="n">
        <v>0</v>
      </c>
      <c r="K109" s="27" t="n">
        <v>0</v>
      </c>
      <c r="L109" s="27" t="n">
        <v>82304.74656285347</v>
      </c>
      <c r="M109" s="27" t="n">
        <v>19705.6846464578</v>
      </c>
      <c r="N109" s="27" t="n">
        <v>348133.7620874211</v>
      </c>
      <c r="O109" s="27" t="n">
        <v>348133.7620874211</v>
      </c>
      <c r="P109" s="27" t="n">
        <v>0</v>
      </c>
      <c r="Q109" s="12" t="inlineStr">
        <is>
          <t>withdrawal</t>
        </is>
      </c>
    </row>
    <row r="110" ht="30" customHeight="1">
      <c r="A110" s="26" t="n">
        <v>2036</v>
      </c>
      <c r="B110" s="12" t="inlineStr">
        <is>
          <t>Member_1_Roth</t>
        </is>
      </c>
      <c r="C110" s="12" t="inlineStr">
        <is>
          <t>Matthew</t>
        </is>
      </c>
      <c r="D110" s="41" t="inlineStr">
        <is>
          <t>roth</t>
        </is>
      </c>
      <c r="E110" s="12" t="inlineStr">
        <is>
          <t>roth_ira</t>
        </is>
      </c>
      <c r="F110" s="27" t="n">
        <v>1291741.879310576</v>
      </c>
      <c r="G110" s="27" t="n">
        <v>0</v>
      </c>
      <c r="H110" s="27" t="n">
        <v>0</v>
      </c>
      <c r="I110" s="27" t="n">
        <v>0</v>
      </c>
      <c r="J110" s="27" t="n">
        <v>0</v>
      </c>
      <c r="K110" s="27" t="n">
        <v>0</v>
      </c>
      <c r="L110" s="27" t="n">
        <v>0</v>
      </c>
      <c r="M110" s="27" t="n">
        <v>77504.51275863459</v>
      </c>
      <c r="N110" s="27" t="n">
        <v>1369246.392069211</v>
      </c>
      <c r="O110" s="27" t="n">
        <v>1369246.392069211</v>
      </c>
      <c r="P110" s="27" t="n">
        <v>0</v>
      </c>
      <c r="Q110" s="33" t="inlineStr"/>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1194273.635207215</v>
      </c>
      <c r="G113" s="27" t="n">
        <v>0</v>
      </c>
      <c r="H113" s="27" t="n">
        <v>0</v>
      </c>
      <c r="I113" s="27" t="n">
        <v>0</v>
      </c>
      <c r="J113" s="27" t="n">
        <v>0</v>
      </c>
      <c r="K113" s="27" t="n">
        <v>0</v>
      </c>
      <c r="L113" s="27" t="n">
        <v>0</v>
      </c>
      <c r="M113" s="27" t="n">
        <v>71656.41811243292</v>
      </c>
      <c r="N113" s="27" t="n">
        <v>1265930.053319648</v>
      </c>
      <c r="O113" s="27" t="n">
        <v>1265930.053319648</v>
      </c>
      <c r="P113" s="27" t="n">
        <v>0</v>
      </c>
      <c r="Q113" s="33" t="inlineStr"/>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60476.00221420643</v>
      </c>
      <c r="G117" s="27" t="n">
        <v>0</v>
      </c>
      <c r="H117" s="27" t="n">
        <v>0</v>
      </c>
      <c r="I117" s="27" t="n">
        <v>0</v>
      </c>
      <c r="J117" s="27" t="n">
        <v>0</v>
      </c>
      <c r="K117" s="27" t="n">
        <v>0</v>
      </c>
      <c r="L117" s="27" t="n">
        <v>15119.00055355161</v>
      </c>
      <c r="M117" s="27" t="n">
        <v>2721.420099639289</v>
      </c>
      <c r="N117" s="27" t="n">
        <v>48078.42176029411</v>
      </c>
      <c r="O117" s="27" t="n">
        <v>48078.42176029411</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348133.7620874211</v>
      </c>
      <c r="G119" s="27" t="n">
        <v>0</v>
      </c>
      <c r="H119" s="27" t="n">
        <v>0</v>
      </c>
      <c r="I119" s="27" t="n">
        <v>0</v>
      </c>
      <c r="J119" s="27" t="n">
        <v>0</v>
      </c>
      <c r="K119" s="27" t="n">
        <v>0</v>
      </c>
      <c r="L119" s="27" t="n">
        <v>90562.19694933332</v>
      </c>
      <c r="M119" s="27" t="n">
        <v>15454.29390828527</v>
      </c>
      <c r="N119" s="27" t="n">
        <v>273025.8590463731</v>
      </c>
      <c r="O119" s="27" t="n">
        <v>273025.8590463731</v>
      </c>
      <c r="P119" s="27" t="n">
        <v>0</v>
      </c>
      <c r="Q119" s="12" t="inlineStr">
        <is>
          <t>withdrawal</t>
        </is>
      </c>
    </row>
    <row r="120" ht="30" customHeight="1">
      <c r="A120" s="26" t="n">
        <v>2037</v>
      </c>
      <c r="B120" s="12" t="inlineStr">
        <is>
          <t>Member_1_Roth</t>
        </is>
      </c>
      <c r="C120" s="12" t="inlineStr">
        <is>
          <t>Matthew</t>
        </is>
      </c>
      <c r="D120" s="41" t="inlineStr">
        <is>
          <t>roth</t>
        </is>
      </c>
      <c r="E120" s="12" t="inlineStr">
        <is>
          <t>roth_ira</t>
        </is>
      </c>
      <c r="F120" s="27" t="n">
        <v>1369246.392069211</v>
      </c>
      <c r="G120" s="27" t="n">
        <v>0</v>
      </c>
      <c r="H120" s="27" t="n">
        <v>0</v>
      </c>
      <c r="I120" s="27" t="n">
        <v>0</v>
      </c>
      <c r="J120" s="27" t="n">
        <v>0</v>
      </c>
      <c r="K120" s="27" t="n">
        <v>0</v>
      </c>
      <c r="L120" s="27" t="n">
        <v>0</v>
      </c>
      <c r="M120" s="27" t="n">
        <v>82154.78352415266</v>
      </c>
      <c r="N120" s="27" t="n">
        <v>1451401.175593364</v>
      </c>
      <c r="O120" s="27" t="n">
        <v>1451401.175593364</v>
      </c>
      <c r="P120" s="27" t="n">
        <v>0</v>
      </c>
      <c r="Q120" s="33" t="inlineStr"/>
    </row>
    <row r="121" ht="30" customHeight="1">
      <c r="A121" s="26" t="n">
        <v>2037</v>
      </c>
      <c r="B121" s="12" t="inlineStr">
        <is>
          <t>Member_1_Trust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2.813201009536497e-13</v>
      </c>
      <c r="N121" s="27" t="n">
        <v>2.813201009536497e-13</v>
      </c>
      <c r="O121" s="27" t="n">
        <v>7.557277715137075e-12</v>
      </c>
      <c r="P121" s="27" t="n">
        <v>7.275957614183426e-12</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1265930.053319648</v>
      </c>
      <c r="G123" s="27" t="n">
        <v>0</v>
      </c>
      <c r="H123" s="27" t="n">
        <v>0</v>
      </c>
      <c r="I123" s="27" t="n">
        <v>0</v>
      </c>
      <c r="J123" s="27" t="n">
        <v>0</v>
      </c>
      <c r="K123" s="27" t="n">
        <v>0</v>
      </c>
      <c r="L123" s="27" t="n">
        <v>0</v>
      </c>
      <c r="M123" s="27" t="n">
        <v>75955.80319917889</v>
      </c>
      <c r="N123" s="27" t="n">
        <v>1341885.856518827</v>
      </c>
      <c r="O123" s="27" t="n">
        <v>1341885.856518827</v>
      </c>
      <c r="P123" s="27" t="n">
        <v>0</v>
      </c>
      <c r="Q123" s="33" t="inlineStr"/>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48078.42176029411</v>
      </c>
      <c r="G127" s="27" t="n">
        <v>0</v>
      </c>
      <c r="H127" s="27" t="n">
        <v>0</v>
      </c>
      <c r="I127" s="27" t="n">
        <v>0</v>
      </c>
      <c r="J127" s="27" t="n">
        <v>0</v>
      </c>
      <c r="K127" s="27" t="n">
        <v>0</v>
      </c>
      <c r="L127" s="27" t="n">
        <v>16026.1405867647</v>
      </c>
      <c r="M127" s="27" t="n">
        <v>1923.136870411764</v>
      </c>
      <c r="N127" s="27" t="n">
        <v>33975.41804394116</v>
      </c>
      <c r="O127" s="27" t="n">
        <v>33975.41804394116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273025.8590463731</v>
      </c>
      <c r="G129" s="27" t="n">
        <v>0</v>
      </c>
      <c r="H129" s="27" t="n">
        <v>0</v>
      </c>
      <c r="I129" s="27" t="n">
        <v>0</v>
      </c>
      <c r="J129" s="27" t="n">
        <v>0</v>
      </c>
      <c r="K129" s="27" t="n">
        <v>0</v>
      </c>
      <c r="L129" s="27" t="n">
        <v>96203.02288326206</v>
      </c>
      <c r="M129" s="27" t="n">
        <v>10609.37016978666</v>
      </c>
      <c r="N129" s="27" t="n">
        <v>187432.2063328976</v>
      </c>
      <c r="O129" s="27" t="n">
        <v>187432.2063328977</v>
      </c>
      <c r="P129" s="27" t="n">
        <v>2.91038304567337e-11</v>
      </c>
      <c r="Q129" s="12" t="inlineStr">
        <is>
          <t>withdrawal</t>
        </is>
      </c>
    </row>
    <row r="130" ht="30" customHeight="1">
      <c r="A130" s="26" t="n">
        <v>2038</v>
      </c>
      <c r="B130" s="12" t="inlineStr">
        <is>
          <t>Member_1_Roth</t>
        </is>
      </c>
      <c r="C130" s="12" t="inlineStr">
        <is>
          <t>Matthew</t>
        </is>
      </c>
      <c r="D130" s="41" t="inlineStr">
        <is>
          <t>roth</t>
        </is>
      </c>
      <c r="E130" s="12" t="inlineStr">
        <is>
          <t>roth_ira</t>
        </is>
      </c>
      <c r="F130" s="27" t="n">
        <v>1451401.175593364</v>
      </c>
      <c r="G130" s="27" t="n">
        <v>0</v>
      </c>
      <c r="H130" s="27" t="n">
        <v>0</v>
      </c>
      <c r="I130" s="27" t="n">
        <v>0</v>
      </c>
      <c r="J130" s="27" t="n">
        <v>0</v>
      </c>
      <c r="K130" s="27" t="n">
        <v>0</v>
      </c>
      <c r="L130" s="27" t="n">
        <v>0</v>
      </c>
      <c r="M130" s="27" t="n">
        <v>87084.07053560182</v>
      </c>
      <c r="N130" s="27" t="n">
        <v>1538485.246128965</v>
      </c>
      <c r="O130" s="27" t="n">
        <v>1538485.246128965</v>
      </c>
      <c r="P130" s="27" t="n">
        <v>0</v>
      </c>
      <c r="Q130" s="33" t="inlineStr"/>
    </row>
    <row r="131" ht="30" customHeight="1">
      <c r="A131" s="26" t="n">
        <v>2038</v>
      </c>
      <c r="B131" s="12" t="inlineStr">
        <is>
          <t>Member_1_Trust</t>
        </is>
      </c>
      <c r="C131" s="12" t="inlineStr">
        <is>
          <t>Matthew</t>
        </is>
      </c>
      <c r="D131" s="41" t="inlineStr">
        <is>
          <t>taxable</t>
        </is>
      </c>
      <c r="E131" s="12" t="inlineStr">
        <is>
          <t>trust</t>
        </is>
      </c>
      <c r="F131" s="27" t="n">
        <v>7.557277715137075e-12</v>
      </c>
      <c r="G131" s="27" t="n">
        <v>0</v>
      </c>
      <c r="H131" s="27" t="n">
        <v>0</v>
      </c>
      <c r="I131" s="27" t="n">
        <v>0</v>
      </c>
      <c r="J131" s="27" t="n">
        <v>0</v>
      </c>
      <c r="K131" s="27" t="n">
        <v>0</v>
      </c>
      <c r="L131" s="27" t="n">
        <v>0</v>
      </c>
      <c r="M131" s="27" t="n">
        <v>2.921971570605047e-13</v>
      </c>
      <c r="N131" s="27" t="n">
        <v>7.84947487219758e-12</v>
      </c>
      <c r="O131" s="27" t="n">
        <v>7.84947487219758e-12</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1341885.856518827</v>
      </c>
      <c r="G133" s="27" t="n">
        <v>0</v>
      </c>
      <c r="H133" s="27" t="n">
        <v>0</v>
      </c>
      <c r="I133" s="27" t="n">
        <v>0</v>
      </c>
      <c r="J133" s="27" t="n">
        <v>0</v>
      </c>
      <c r="K133" s="27" t="n">
        <v>0</v>
      </c>
      <c r="L133" s="27" t="n">
        <v>0</v>
      </c>
      <c r="M133" s="27" t="n">
        <v>80513.15139112961</v>
      </c>
      <c r="N133" s="27" t="n">
        <v>1422399.007909957</v>
      </c>
      <c r="O133" s="27" t="n">
        <v>1422399.007909957</v>
      </c>
      <c r="P133" s="27" t="n">
        <v>0</v>
      </c>
      <c r="Q133" s="33" t="inlineStr"/>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33975.41804394116</v>
      </c>
      <c r="G137" s="27" t="n">
        <v>0</v>
      </c>
      <c r="H137" s="27" t="n">
        <v>0</v>
      </c>
      <c r="I137" s="27" t="n">
        <v>0</v>
      </c>
      <c r="J137" s="27" t="n">
        <v>0</v>
      </c>
      <c r="K137" s="27" t="n">
        <v>0</v>
      </c>
      <c r="L137" s="27" t="n">
        <v>16987.70902197058</v>
      </c>
      <c r="M137" s="27" t="n">
        <v>1019.262541318235</v>
      </c>
      <c r="N137" s="27" t="n">
        <v>18006.97156328882</v>
      </c>
      <c r="O137" s="27" t="n">
        <v>18006.97156328882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187432.2063328977</v>
      </c>
      <c r="G139" s="27" t="n">
        <v>0</v>
      </c>
      <c r="H139" s="27" t="n">
        <v>0</v>
      </c>
      <c r="I139" s="27" t="n">
        <v>0</v>
      </c>
      <c r="J139" s="27" t="n">
        <v>0</v>
      </c>
      <c r="K139" s="27" t="n">
        <v>0</v>
      </c>
      <c r="L139" s="27" t="n">
        <v>104772.4946869976</v>
      </c>
      <c r="M139" s="27" t="n">
        <v>4959.582698753999</v>
      </c>
      <c r="N139" s="27" t="n">
        <v>87619.29434465402</v>
      </c>
      <c r="O139" s="27" t="n">
        <v>87619.294344654</v>
      </c>
      <c r="P139" s="27" t="n">
        <v>-1.455191522836685e-11</v>
      </c>
      <c r="Q139" s="12" t="inlineStr">
        <is>
          <t>withdrawal</t>
        </is>
      </c>
    </row>
    <row r="140" ht="30" customHeight="1">
      <c r="A140" s="26" t="n">
        <v>2039</v>
      </c>
      <c r="B140" s="12" t="inlineStr">
        <is>
          <t>Member_1_Roth</t>
        </is>
      </c>
      <c r="C140" s="12" t="inlineStr">
        <is>
          <t>Matthew</t>
        </is>
      </c>
      <c r="D140" s="41" t="inlineStr">
        <is>
          <t>roth</t>
        </is>
      </c>
      <c r="E140" s="12" t="inlineStr">
        <is>
          <t>roth_ira</t>
        </is>
      </c>
      <c r="F140" s="27" t="n">
        <v>1538485.246128965</v>
      </c>
      <c r="G140" s="27" t="n">
        <v>0</v>
      </c>
      <c r="H140" s="27" t="n">
        <v>0</v>
      </c>
      <c r="I140" s="27" t="n">
        <v>0</v>
      </c>
      <c r="J140" s="27" t="n">
        <v>0</v>
      </c>
      <c r="K140" s="27" t="n">
        <v>0</v>
      </c>
      <c r="L140" s="27" t="n">
        <v>0</v>
      </c>
      <c r="M140" s="27" t="n">
        <v>92309.11476773792</v>
      </c>
      <c r="N140" s="27" t="n">
        <v>1630794.360896703</v>
      </c>
      <c r="O140" s="27" t="n">
        <v>1630794.360896703</v>
      </c>
      <c r="P140" s="27" t="n">
        <v>0</v>
      </c>
      <c r="Q140" s="33" t="inlineStr"/>
    </row>
    <row r="141" ht="30" customHeight="1">
      <c r="A141" s="26" t="n">
        <v>2039</v>
      </c>
      <c r="B141" s="12" t="inlineStr">
        <is>
          <t>Member_1_Trust</t>
        </is>
      </c>
      <c r="C141" s="12" t="inlineStr">
        <is>
          <t>Matthew</t>
        </is>
      </c>
      <c r="D141" s="41" t="inlineStr">
        <is>
          <t>taxable</t>
        </is>
      </c>
      <c r="E141" s="12" t="inlineStr">
        <is>
          <t>trust</t>
        </is>
      </c>
      <c r="F141" s="27" t="n">
        <v>7.84947487219758e-12</v>
      </c>
      <c r="G141" s="27" t="n">
        <v>0</v>
      </c>
      <c r="H141" s="27" t="n">
        <v>0</v>
      </c>
      <c r="I141" s="27" t="n">
        <v>0</v>
      </c>
      <c r="J141" s="27" t="n">
        <v>0</v>
      </c>
      <c r="K141" s="27" t="n">
        <v>0</v>
      </c>
      <c r="L141" s="27" t="n">
        <v>0</v>
      </c>
      <c r="M141" s="27" t="n">
        <v>3.034947673657643e-13</v>
      </c>
      <c r="N141" s="27" t="n">
        <v>8.152969639563345e-12</v>
      </c>
      <c r="O141" s="27" t="n">
        <v>8.152969639563345e-12</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1422399.007909957</v>
      </c>
      <c r="G143" s="27" t="n">
        <v>0</v>
      </c>
      <c r="H143" s="27" t="n">
        <v>0</v>
      </c>
      <c r="I143" s="27" t="n">
        <v>0</v>
      </c>
      <c r="J143" s="27" t="n">
        <v>0</v>
      </c>
      <c r="K143" s="27" t="n">
        <v>0</v>
      </c>
      <c r="L143" s="27" t="n">
        <v>0</v>
      </c>
      <c r="M143" s="27" t="n">
        <v>85343.94047459739</v>
      </c>
      <c r="N143" s="27" t="n">
        <v>1507742.948384554</v>
      </c>
      <c r="O143" s="27" t="n">
        <v>1507742.948384554</v>
      </c>
      <c r="P143" s="27" t="n">
        <v>0</v>
      </c>
      <c r="Q143" s="33" t="inlineStr"/>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18006.97156328882</v>
      </c>
      <c r="G147" s="27" t="n">
        <v>0</v>
      </c>
      <c r="H147" s="27" t="n">
        <v>0</v>
      </c>
      <c r="I147" s="27" t="n">
        <v>0</v>
      </c>
      <c r="J147" s="27" t="n">
        <v>0</v>
      </c>
      <c r="K147" s="27" t="n">
        <v>0</v>
      </c>
      <c r="L147" s="27" t="n">
        <v>18006.97156328882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87619.294344654</v>
      </c>
      <c r="G149" s="27" t="n">
        <v>0</v>
      </c>
      <c r="H149" s="27" t="n">
        <v>0</v>
      </c>
      <c r="I149" s="27" t="n">
        <v>0</v>
      </c>
      <c r="J149" s="27" t="n">
        <v>0</v>
      </c>
      <c r="K149" s="27" t="n">
        <v>0</v>
      </c>
      <c r="L149" s="27" t="n">
        <v>87619.294344654</v>
      </c>
      <c r="M149" s="27" t="n">
        <v>0</v>
      </c>
      <c r="N149" s="27" t="n">
        <v>0</v>
      </c>
      <c r="O149" s="27" t="n">
        <v>0</v>
      </c>
      <c r="P149" s="27" t="n">
        <v>0</v>
      </c>
      <c r="Q149" s="12" t="inlineStr">
        <is>
          <t>withdrawal</t>
        </is>
      </c>
    </row>
    <row r="150" ht="30" customHeight="1">
      <c r="A150" s="26" t="n">
        <v>2040</v>
      </c>
      <c r="B150" s="12" t="inlineStr">
        <is>
          <t>Member_1_Roth</t>
        </is>
      </c>
      <c r="C150" s="12" t="inlineStr">
        <is>
          <t>Matthew</t>
        </is>
      </c>
      <c r="D150" s="41" t="inlineStr">
        <is>
          <t>roth</t>
        </is>
      </c>
      <c r="E150" s="12" t="inlineStr">
        <is>
          <t>roth_ira</t>
        </is>
      </c>
      <c r="F150" s="27" t="n">
        <v>1630794.360896703</v>
      </c>
      <c r="G150" s="27" t="n">
        <v>0</v>
      </c>
      <c r="H150" s="27" t="n">
        <v>0</v>
      </c>
      <c r="I150" s="27" t="n">
        <v>0</v>
      </c>
      <c r="J150" s="27" t="n">
        <v>0</v>
      </c>
      <c r="K150" s="27" t="n">
        <v>0</v>
      </c>
      <c r="L150" s="27" t="n">
        <v>10493.1283627174</v>
      </c>
      <c r="M150" s="27" t="n">
        <v>97218.07395203915</v>
      </c>
      <c r="N150" s="27" t="n">
        <v>1717519.306486025</v>
      </c>
      <c r="O150" s="27" t="n">
        <v>1717519.306486025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8.152969639563345e-12</v>
      </c>
      <c r="G151" s="27" t="n">
        <v>0</v>
      </c>
      <c r="H151" s="27" t="n">
        <v>0</v>
      </c>
      <c r="I151" s="27" t="n">
        <v>0</v>
      </c>
      <c r="J151" s="27" t="n">
        <v>0</v>
      </c>
      <c r="K151" s="27" t="n">
        <v>0</v>
      </c>
      <c r="L151" s="27" t="n">
        <v>0</v>
      </c>
      <c r="M151" s="27" t="n">
        <v>0</v>
      </c>
      <c r="N151" s="27" t="n">
        <v>8.152969639563345e-12</v>
      </c>
      <c r="O151" s="27" t="n">
        <v>0</v>
      </c>
      <c r="P151" s="27" t="n">
        <v>-8.152969639563345e-12</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1507742.948384554</v>
      </c>
      <c r="G153" s="27" t="n">
        <v>0</v>
      </c>
      <c r="H153" s="27" t="n">
        <v>0</v>
      </c>
      <c r="I153" s="27" t="n">
        <v>0</v>
      </c>
      <c r="J153" s="27" t="n">
        <v>0</v>
      </c>
      <c r="K153" s="27" t="n">
        <v>0</v>
      </c>
      <c r="L153" s="27" t="n">
        <v>9701.370494488257</v>
      </c>
      <c r="M153" s="27" t="n">
        <v>89882.49467340395</v>
      </c>
      <c r="N153" s="27" t="n">
        <v>1587924.07256347</v>
      </c>
      <c r="O153" s="27" t="n">
        <v>1587924.07256347</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1717519.306486025</v>
      </c>
      <c r="G160" s="27" t="n">
        <v>0</v>
      </c>
      <c r="H160" s="27" t="n">
        <v>0</v>
      </c>
      <c r="I160" s="27" t="n">
        <v>0</v>
      </c>
      <c r="J160" s="27" t="n">
        <v>0</v>
      </c>
      <c r="K160" s="27" t="n">
        <v>0</v>
      </c>
      <c r="L160" s="27" t="n">
        <v>56919.16035035972</v>
      </c>
      <c r="M160" s="27" t="n">
        <v>99636.00876813993</v>
      </c>
      <c r="N160" s="27" t="n">
        <v>1760236.154903805</v>
      </c>
      <c r="O160" s="27" t="n">
        <v>1760236.154903805</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1587924.07256347</v>
      </c>
      <c r="G163" s="27" t="n">
        <v>0</v>
      </c>
      <c r="H163" s="27" t="n">
        <v>0</v>
      </c>
      <c r="I163" s="27" t="n">
        <v>0</v>
      </c>
      <c r="J163" s="27" t="n">
        <v>0</v>
      </c>
      <c r="K163" s="27" t="n">
        <v>0</v>
      </c>
      <c r="L163" s="27" t="n">
        <v>52624.33124862914</v>
      </c>
      <c r="M163" s="27" t="n">
        <v>92117.98447889044</v>
      </c>
      <c r="N163" s="27" t="n">
        <v>1627417.725793731</v>
      </c>
      <c r="O163" s="27" t="n">
        <v>1627417.725793731</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1760236.154903805</v>
      </c>
      <c r="G170" s="27" t="n">
        <v>0</v>
      </c>
      <c r="H170" s="27" t="n">
        <v>0</v>
      </c>
      <c r="I170" s="27" t="n">
        <v>0</v>
      </c>
      <c r="J170" s="27" t="n">
        <v>0</v>
      </c>
      <c r="K170" s="27" t="n">
        <v>0</v>
      </c>
      <c r="L170" s="27" t="n">
        <v>58527.92690639218</v>
      </c>
      <c r="M170" s="27" t="n">
        <v>102102.4936798448</v>
      </c>
      <c r="N170" s="27" t="n">
        <v>1803810.721677258</v>
      </c>
      <c r="O170" s="27" t="n">
        <v>1803810.721677258</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1627417.725793731</v>
      </c>
      <c r="G173" s="27" t="n">
        <v>0</v>
      </c>
      <c r="H173" s="27" t="n">
        <v>0</v>
      </c>
      <c r="I173" s="27" t="n">
        <v>0</v>
      </c>
      <c r="J173" s="27" t="n">
        <v>0</v>
      </c>
      <c r="K173" s="27" t="n">
        <v>0</v>
      </c>
      <c r="L173" s="27" t="n">
        <v>54111.70849778833</v>
      </c>
      <c r="M173" s="27" t="n">
        <v>94398.36103775656</v>
      </c>
      <c r="N173" s="27" t="n">
        <v>1667704.378333699</v>
      </c>
      <c r="O173" s="27" t="n">
        <v>1667704.378333699</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1803810.721677258</v>
      </c>
      <c r="G180" s="27" t="n">
        <v>0</v>
      </c>
      <c r="H180" s="27" t="n">
        <v>0</v>
      </c>
      <c r="I180" s="27" t="n">
        <v>0</v>
      </c>
      <c r="J180" s="27" t="n">
        <v>0</v>
      </c>
      <c r="K180" s="27" t="n">
        <v>0</v>
      </c>
      <c r="L180" s="27" t="n">
        <v>60194.81693334442</v>
      </c>
      <c r="M180" s="27" t="n">
        <v>104616.9542846348</v>
      </c>
      <c r="N180" s="27" t="n">
        <v>1848232.859028548</v>
      </c>
      <c r="O180" s="27" t="n">
        <v>1848232.859028548</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1667704.378333699</v>
      </c>
      <c r="G183" s="27" t="n">
        <v>0</v>
      </c>
      <c r="H183" s="27" t="n">
        <v>0</v>
      </c>
      <c r="I183" s="27" t="n">
        <v>0</v>
      </c>
      <c r="J183" s="27" t="n">
        <v>0</v>
      </c>
      <c r="K183" s="27" t="n">
        <v>0</v>
      </c>
      <c r="L183" s="27" t="n">
        <v>55652.8235176415</v>
      </c>
      <c r="M183" s="27" t="n">
        <v>96723.09328896347</v>
      </c>
      <c r="N183" s="27" t="n">
        <v>1708774.648105021</v>
      </c>
      <c r="O183" s="27" t="n">
        <v>1708774.648105021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1848232.859028548</v>
      </c>
      <c r="G190" s="27" t="n">
        <v>0</v>
      </c>
      <c r="H190" s="27" t="n">
        <v>0</v>
      </c>
      <c r="I190" s="27" t="n">
        <v>0</v>
      </c>
      <c r="J190" s="27" t="n">
        <v>0</v>
      </c>
      <c r="K190" s="27" t="n">
        <v>0</v>
      </c>
      <c r="L190" s="27" t="n">
        <v>61927.62471999828</v>
      </c>
      <c r="M190" s="27" t="n">
        <v>107178.314058513</v>
      </c>
      <c r="N190" s="27" t="n">
        <v>1893483.548367063</v>
      </c>
      <c r="O190" s="27" t="n">
        <v>1893483.548367063</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5.626402019072994e-13</v>
      </c>
      <c r="N191" s="27" t="n">
        <v>5.626402019072994e-13</v>
      </c>
      <c r="O191" s="27" t="n">
        <v>1.511455543027415e-11</v>
      </c>
      <c r="P191" s="27" t="n">
        <v>1.455191522836685e-11</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1708774.648105021</v>
      </c>
      <c r="G193" s="27" t="n">
        <v>0</v>
      </c>
      <c r="H193" s="27" t="n">
        <v>0</v>
      </c>
      <c r="I193" s="27" t="n">
        <v>0</v>
      </c>
      <c r="J193" s="27" t="n">
        <v>0</v>
      </c>
      <c r="K193" s="27" t="n">
        <v>0</v>
      </c>
      <c r="L193" s="27" t="n">
        <v>57254.88247975161</v>
      </c>
      <c r="M193" s="27" t="n">
        <v>99091.18593751617</v>
      </c>
      <c r="N193" s="27" t="n">
        <v>1750610.951562786</v>
      </c>
      <c r="O193" s="27" t="n">
        <v>1750610.951562786</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1893483.548367063</v>
      </c>
      <c r="G200" s="27" t="n">
        <v>0</v>
      </c>
      <c r="H200" s="27" t="n">
        <v>0</v>
      </c>
      <c r="I200" s="27" t="n">
        <v>0</v>
      </c>
      <c r="J200" s="27" t="n">
        <v>0</v>
      </c>
      <c r="K200" s="27" t="n">
        <v>0</v>
      </c>
      <c r="L200" s="27" t="n">
        <v>63734.32934761766</v>
      </c>
      <c r="M200" s="27" t="n">
        <v>109784.9531411667</v>
      </c>
      <c r="N200" s="27" t="n">
        <v>1939534.172160612</v>
      </c>
      <c r="O200" s="27" t="n">
        <v>1939534.172160612</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1.511455543027415e-11</v>
      </c>
      <c r="G201" s="27" t="n">
        <v>0</v>
      </c>
      <c r="H201" s="27" t="n">
        <v>0</v>
      </c>
      <c r="I201" s="27" t="n">
        <v>0</v>
      </c>
      <c r="J201" s="27" t="n">
        <v>0</v>
      </c>
      <c r="K201" s="27" t="n">
        <v>0</v>
      </c>
      <c r="L201" s="27" t="n">
        <v>0</v>
      </c>
      <c r="M201" s="27" t="n">
        <v>0</v>
      </c>
      <c r="N201" s="27" t="n">
        <v>1.511455543027415e-11</v>
      </c>
      <c r="O201" s="27" t="n">
        <v>0</v>
      </c>
      <c r="P201" s="27" t="n">
        <v>-1.511455543027415e-11</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1750610.951562786</v>
      </c>
      <c r="G203" s="27" t="n">
        <v>0</v>
      </c>
      <c r="H203" s="27" t="n">
        <v>0</v>
      </c>
      <c r="I203" s="27" t="n">
        <v>0</v>
      </c>
      <c r="J203" s="27" t="n">
        <v>0</v>
      </c>
      <c r="K203" s="27" t="n">
        <v>0</v>
      </c>
      <c r="L203" s="27" t="n">
        <v>58925.26240466688</v>
      </c>
      <c r="M203" s="27" t="n">
        <v>101501.1413494871</v>
      </c>
      <c r="N203" s="27" t="n">
        <v>1793186.830507606</v>
      </c>
      <c r="O203" s="27" t="n">
        <v>1793186.830507606</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1939534.172160612</v>
      </c>
      <c r="G210" s="27" t="n">
        <v>0</v>
      </c>
      <c r="H210" s="27" t="n">
        <v>0</v>
      </c>
      <c r="I210" s="27" t="n">
        <v>0</v>
      </c>
      <c r="J210" s="27" t="n">
        <v>0</v>
      </c>
      <c r="K210" s="27" t="n">
        <v>0</v>
      </c>
      <c r="L210" s="27" t="n">
        <v>65623.11822731911</v>
      </c>
      <c r="M210" s="27" t="n">
        <v>112434.6632359976</v>
      </c>
      <c r="N210" s="27" t="n">
        <v>1986345.71716929</v>
      </c>
      <c r="O210" s="27" t="n">
        <v>1986345.71716929</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1793186.830507606</v>
      </c>
      <c r="G213" s="27" t="n">
        <v>0</v>
      </c>
      <c r="H213" s="27" t="n">
        <v>0</v>
      </c>
      <c r="I213" s="27" t="n">
        <v>0</v>
      </c>
      <c r="J213" s="27" t="n">
        <v>0</v>
      </c>
      <c r="K213" s="27" t="n">
        <v>0</v>
      </c>
      <c r="L213" s="27" t="n">
        <v>60671.53292328159</v>
      </c>
      <c r="M213" s="27" t="n">
        <v>103950.9178550595</v>
      </c>
      <c r="N213" s="27" t="n">
        <v>1836466.215439384</v>
      </c>
      <c r="O213" s="27" t="n">
        <v>1836466.215439384</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1986345.71716929</v>
      </c>
      <c r="G220" s="27" t="n">
        <v>0</v>
      </c>
      <c r="H220" s="27" t="n">
        <v>0</v>
      </c>
      <c r="I220" s="27" t="n">
        <v>0</v>
      </c>
      <c r="J220" s="27" t="n">
        <v>0</v>
      </c>
      <c r="K220" s="27" t="n">
        <v>0</v>
      </c>
      <c r="L220" s="27" t="n">
        <v>71664.85591727724</v>
      </c>
      <c r="M220" s="27" t="n">
        <v>114880.8516751208</v>
      </c>
      <c r="N220" s="27" t="n">
        <v>2029561.712927134</v>
      </c>
      <c r="O220" s="27" t="n">
        <v>2029561.712927134</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1836466.215439384</v>
      </c>
      <c r="G223" s="27" t="n">
        <v>0</v>
      </c>
      <c r="H223" s="27" t="n">
        <v>0</v>
      </c>
      <c r="I223" s="27" t="n">
        <v>0</v>
      </c>
      <c r="J223" s="27" t="n">
        <v>0</v>
      </c>
      <c r="K223" s="27" t="n">
        <v>0</v>
      </c>
      <c r="L223" s="27" t="n">
        <v>66257.39194784596</v>
      </c>
      <c r="M223" s="27" t="n">
        <v>106212.5294094923</v>
      </c>
      <c r="N223" s="27" t="n">
        <v>1876421.35290103</v>
      </c>
      <c r="O223" s="27" t="n">
        <v>1876421.35290103</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2029561.712927134</v>
      </c>
      <c r="G230" s="27" t="n">
        <v>0</v>
      </c>
      <c r="H230" s="27" t="n">
        <v>0</v>
      </c>
      <c r="I230" s="27" t="n">
        <v>0</v>
      </c>
      <c r="J230" s="27" t="n">
        <v>0</v>
      </c>
      <c r="K230" s="27" t="n">
        <v>0</v>
      </c>
      <c r="L230" s="27" t="n">
        <v>83536.46222151877</v>
      </c>
      <c r="M230" s="27" t="n">
        <v>116761.5150423369</v>
      </c>
      <c r="N230" s="27" t="n">
        <v>2062786.765747952</v>
      </c>
      <c r="O230" s="27" t="n">
        <v>2062786.765747952</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1876421.35290103</v>
      </c>
      <c r="G233" s="27" t="n">
        <v>0</v>
      </c>
      <c r="H233" s="27" t="n">
        <v>0</v>
      </c>
      <c r="I233" s="27" t="n">
        <v>0</v>
      </c>
      <c r="J233" s="27" t="n">
        <v>0</v>
      </c>
      <c r="K233" s="27" t="n">
        <v>0</v>
      </c>
      <c r="L233" s="27" t="n">
        <v>77233.22747954089</v>
      </c>
      <c r="M233" s="27" t="n">
        <v>107951.2875252893</v>
      </c>
      <c r="N233" s="27" t="n">
        <v>1907139.412946778</v>
      </c>
      <c r="O233" s="27" t="n">
        <v>1907139.412946778</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2062786.765747952</v>
      </c>
      <c r="G240" s="27" t="n">
        <v>0</v>
      </c>
      <c r="H240" s="27" t="n">
        <v>0</v>
      </c>
      <c r="I240" s="27" t="n">
        <v>0</v>
      </c>
      <c r="J240" s="27" t="n">
        <v>0</v>
      </c>
      <c r="K240" s="27" t="n">
        <v>0</v>
      </c>
      <c r="L240" s="27" t="n">
        <v>85217.1641293389</v>
      </c>
      <c r="M240" s="27" t="n">
        <v>118654.1760971168</v>
      </c>
      <c r="N240" s="27" t="n">
        <v>2096223.77771573</v>
      </c>
      <c r="O240" s="27" t="n">
        <v>2096223.77771573</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1907139.412946778</v>
      </c>
      <c r="G243" s="27" t="n">
        <v>0</v>
      </c>
      <c r="H243" s="27" t="n">
        <v>0</v>
      </c>
      <c r="I243" s="27" t="n">
        <v>0</v>
      </c>
      <c r="J243" s="27" t="n">
        <v>0</v>
      </c>
      <c r="K243" s="27" t="n">
        <v>0</v>
      </c>
      <c r="L243" s="27" t="n">
        <v>78787.1122062816</v>
      </c>
      <c r="M243" s="27" t="n">
        <v>109701.1380444298</v>
      </c>
      <c r="N243" s="27" t="n">
        <v>1938053.438784926</v>
      </c>
      <c r="O243" s="27" t="n">
        <v>1938053.438784926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2096223.77771573</v>
      </c>
      <c r="G250" s="27" t="n">
        <v>0</v>
      </c>
      <c r="H250" s="27" t="n">
        <v>0</v>
      </c>
      <c r="I250" s="27" t="n">
        <v>0</v>
      </c>
      <c r="J250" s="27" t="n">
        <v>0</v>
      </c>
      <c r="K250" s="27" t="n">
        <v>0</v>
      </c>
      <c r="L250" s="27" t="n">
        <v>87031.69052690048</v>
      </c>
      <c r="M250" s="27" t="n">
        <v>120551.5252313298</v>
      </c>
      <c r="N250" s="27" t="n">
        <v>2129743.612420159</v>
      </c>
      <c r="O250" s="27" t="n">
        <v>2129743.612420159</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1.125280403814599e-12</v>
      </c>
      <c r="N251" s="27" t="n">
        <v>1.125280403814599e-12</v>
      </c>
      <c r="O251" s="27" t="n">
        <v>3.02291108605483e-11</v>
      </c>
      <c r="P251" s="27" t="n">
        <v>2.91038304567337e-11</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1938053.438784926</v>
      </c>
      <c r="G253" s="27" t="n">
        <v>0</v>
      </c>
      <c r="H253" s="27" t="n">
        <v>0</v>
      </c>
      <c r="I253" s="27" t="n">
        <v>0</v>
      </c>
      <c r="J253" s="27" t="n">
        <v>0</v>
      </c>
      <c r="K253" s="27" t="n">
        <v>0</v>
      </c>
      <c r="L253" s="27" t="n">
        <v>80464.72371033215</v>
      </c>
      <c r="M253" s="27" t="n">
        <v>111455.3229044756</v>
      </c>
      <c r="N253" s="27" t="n">
        <v>1969044.03797907</v>
      </c>
      <c r="O253" s="27" t="n">
        <v>1969044.03797907</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2129743.612420159</v>
      </c>
      <c r="G260" s="27" t="n">
        <v>0</v>
      </c>
      <c r="H260" s="27" t="n">
        <v>0</v>
      </c>
      <c r="I260" s="27" t="n">
        <v>0</v>
      </c>
      <c r="J260" s="27" t="n">
        <v>0</v>
      </c>
      <c r="K260" s="27" t="n">
        <v>0</v>
      </c>
      <c r="L260" s="27" t="n">
        <v>88989.30179546039</v>
      </c>
      <c r="M260" s="27" t="n">
        <v>122445.2586374819</v>
      </c>
      <c r="N260" s="27" t="n">
        <v>2163199.569262181</v>
      </c>
      <c r="O260" s="27" t="n">
        <v>2163199.569262181</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3.02291108605483e-11</v>
      </c>
      <c r="G261" s="27" t="n">
        <v>0</v>
      </c>
      <c r="H261" s="27" t="n">
        <v>0</v>
      </c>
      <c r="I261" s="27" t="n">
        <v>0</v>
      </c>
      <c r="J261" s="27" t="n">
        <v>0</v>
      </c>
      <c r="K261" s="27" t="n">
        <v>0</v>
      </c>
      <c r="L261" s="27" t="n">
        <v>0</v>
      </c>
      <c r="M261" s="27" t="n">
        <v>0</v>
      </c>
      <c r="N261" s="27" t="n">
        <v>3.02291108605483e-11</v>
      </c>
      <c r="O261" s="27" t="n">
        <v>0</v>
      </c>
      <c r="P261" s="27" t="n">
        <v>-3.02291108605483e-11</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1969044.03797907</v>
      </c>
      <c r="G263" s="27" t="n">
        <v>0</v>
      </c>
      <c r="H263" s="27" t="n">
        <v>0</v>
      </c>
      <c r="I263" s="27" t="n">
        <v>0</v>
      </c>
      <c r="J263" s="27" t="n">
        <v>0</v>
      </c>
      <c r="K263" s="27" t="n">
        <v>0</v>
      </c>
      <c r="L263" s="27" t="n">
        <v>82274.62363188106</v>
      </c>
      <c r="M263" s="27" t="n">
        <v>113206.1648608313</v>
      </c>
      <c r="N263" s="27" t="n">
        <v>1999975.57920802</v>
      </c>
      <c r="O263" s="27" t="n">
        <v>1999975.57920802</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2163199.569262181</v>
      </c>
      <c r="G270" s="27" t="n">
        <v>0</v>
      </c>
      <c r="H270" s="27" t="n">
        <v>0</v>
      </c>
      <c r="I270" s="27" t="n">
        <v>0</v>
      </c>
      <c r="J270" s="27" t="n">
        <v>0</v>
      </c>
      <c r="K270" s="27" t="n">
        <v>0</v>
      </c>
      <c r="L270" s="27" t="n">
        <v>91086.32165936015</v>
      </c>
      <c r="M270" s="27" t="n">
        <v>124326.7948561692</v>
      </c>
      <c r="N270" s="27" t="n">
        <v>2196440.04245899</v>
      </c>
      <c r="O270" s="27" t="n">
        <v>2196440.04245899</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1999975.57920802</v>
      </c>
      <c r="G273" s="27" t="n">
        <v>0</v>
      </c>
      <c r="H273" s="27" t="n">
        <v>0</v>
      </c>
      <c r="I273" s="27" t="n">
        <v>0</v>
      </c>
      <c r="J273" s="27" t="n">
        <v>0</v>
      </c>
      <c r="K273" s="27" t="n">
        <v>0</v>
      </c>
      <c r="L273" s="27" t="n">
        <v>84213.41308825293</v>
      </c>
      <c r="M273" s="27" t="n">
        <v>114945.729967186</v>
      </c>
      <c r="N273" s="27" t="n">
        <v>2030707.896086953</v>
      </c>
      <c r="O273" s="27" t="n">
        <v>2030707.896086953</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2196440.04245899</v>
      </c>
      <c r="G280" s="27" t="n">
        <v>0</v>
      </c>
      <c r="H280" s="27" t="n">
        <v>0</v>
      </c>
      <c r="I280" s="27" t="n">
        <v>0</v>
      </c>
      <c r="J280" s="27" t="n">
        <v>0</v>
      </c>
      <c r="K280" s="27" t="n">
        <v>0</v>
      </c>
      <c r="L280" s="27" t="n">
        <v>93294.83010561322</v>
      </c>
      <c r="M280" s="27" t="n">
        <v>126188.7127412026</v>
      </c>
      <c r="N280" s="27" t="n">
        <v>2229333.925094579</v>
      </c>
      <c r="O280" s="27" t="n">
        <v>2229333.925094579</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2030707.896086953</v>
      </c>
      <c r="G283" s="27" t="n">
        <v>0</v>
      </c>
      <c r="H283" s="27" t="n">
        <v>0</v>
      </c>
      <c r="I283" s="27" t="n">
        <v>0</v>
      </c>
      <c r="J283" s="27" t="n">
        <v>0</v>
      </c>
      <c r="K283" s="27" t="n">
        <v>0</v>
      </c>
      <c r="L283" s="27" t="n">
        <v>86255.27876802806</v>
      </c>
      <c r="M283" s="27" t="n">
        <v>116667.1570391355</v>
      </c>
      <c r="N283" s="27" t="n">
        <v>2061119.77435806</v>
      </c>
      <c r="O283" s="27" t="n">
        <v>2061119.77435806</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2229333.925094579</v>
      </c>
      <c r="G290" s="27" t="n">
        <v>0</v>
      </c>
      <c r="H290" s="27" t="n">
        <v>0</v>
      </c>
      <c r="I290" s="27" t="n">
        <v>2229333.925094579</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2061119.77435806</v>
      </c>
      <c r="G293" s="27" t="n">
        <v>0</v>
      </c>
      <c r="H293" s="27" t="n">
        <v>2229333.925094579</v>
      </c>
      <c r="I293" s="27" t="n">
        <v>0</v>
      </c>
      <c r="J293" s="27" t="n">
        <v>0</v>
      </c>
      <c r="K293" s="27" t="n">
        <v>0</v>
      </c>
      <c r="L293" s="27" t="n">
        <v>184023.0135724556</v>
      </c>
      <c r="M293" s="27" t="n">
        <v>246385.841152811</v>
      </c>
      <c r="N293" s="27" t="n">
        <v>4352816.527032995</v>
      </c>
      <c r="O293" s="27" t="n">
        <v>4352816.527032995</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4352816.527032995</v>
      </c>
      <c r="G303" s="27" t="n">
        <v>0</v>
      </c>
      <c r="H303" s="27" t="n">
        <v>0</v>
      </c>
      <c r="I303" s="27" t="n">
        <v>0</v>
      </c>
      <c r="J303" s="27" t="n">
        <v>0</v>
      </c>
      <c r="K303" s="27" t="n">
        <v>0</v>
      </c>
      <c r="L303" s="27" t="n">
        <v>187854.6283763782</v>
      </c>
      <c r="M303" s="27" t="n">
        <v>249897.713919397</v>
      </c>
      <c r="N303" s="27" t="n">
        <v>4414859.612576013</v>
      </c>
      <c r="O303" s="27" t="n">
        <v>4414859.612576013</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4414859.612576013</v>
      </c>
      <c r="G313" s="27" t="n">
        <v>0</v>
      </c>
      <c r="H313" s="27" t="n">
        <v>0</v>
      </c>
      <c r="I313" s="27" t="n">
        <v>0</v>
      </c>
      <c r="J313" s="27" t="n">
        <v>0</v>
      </c>
      <c r="K313" s="27" t="n">
        <v>0</v>
      </c>
      <c r="L313" s="27" t="n">
        <v>191460.3431033025</v>
      </c>
      <c r="M313" s="27" t="n">
        <v>253403.9561683626</v>
      </c>
      <c r="N313" s="27" t="n">
        <v>4476803.225641074</v>
      </c>
      <c r="O313" s="27" t="n">
        <v>4476803.225641074</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$7,867,077</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NW=6,007,535 vs projection Y0=6,007,535</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$2,783,948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$915,447</t>
        </is>
      </c>
    </row>
    <row r="15" ht="90" customHeight="1">
      <c r="A15" s="97" t="inlineStr">
        <is>
          <t>1E. Charts</t>
        </is>
      </c>
      <c r="B15" s="12" t="inlineStr">
        <is>
          <t>6 charts: NW, CF Income, CF Expense, MC Bands, Alloc Before, Alloc After</t>
        </is>
      </c>
      <c r="C15" s="4" t="n"/>
      <c r="D15" s="128" t="inlineStr">
        <is>
          <t>PASS</t>
        </is>
      </c>
      <c r="E15" s="12" t="inlineStr">
        <is>
          <t>NW, Income (15 ser, ymax=$500,000), Expense (8 ser, ymax=$500,000),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$1,335,288  Forced: $0  Voluntary: $1,335,288</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$671,904,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end=$7,189,575</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$-2,295,271</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$40,732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8"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Matthew Age</t>
        </is>
      </c>
      <c r="C2" s="39" t="inlineStr">
        <is>
          <t>Patricia Age</t>
        </is>
      </c>
      <c r="D2" s="39" t="inlineStr">
        <is>
          <t>Filing</t>
        </is>
      </c>
      <c r="E2" s="39" t="inlineStr">
        <is>
          <t>Matthew Alive</t>
        </is>
      </c>
      <c r="F2" s="39" t="inlineStr">
        <is>
          <t>Patricia Alive</t>
        </is>
      </c>
      <c r="G2" s="179" t="inlineStr">
        <is>
          <t>Matthew IRA Bal (BOY)</t>
        </is>
      </c>
      <c r="H2" s="179" t="inlineStr">
        <is>
          <t>Matthew 401k Bal</t>
        </is>
      </c>
      <c r="I2" s="179" t="inlineStr">
        <is>
          <t>Matthew RMD Required</t>
        </is>
      </c>
      <c r="J2" s="179" t="inlineStr">
        <is>
          <t>Matthew RMD Satisfied?</t>
        </is>
      </c>
      <c r="K2" s="179" t="inlineStr">
        <is>
          <t>Matthew IRA Elective</t>
        </is>
      </c>
      <c r="L2" s="179" t="inlineStr">
        <is>
          <t>Matthew IRA Conversion</t>
        </is>
      </c>
      <c r="M2" s="179" t="inlineStr">
        <is>
          <t>Matthew IRA Total Outflow</t>
        </is>
      </c>
      <c r="N2" s="177" t="inlineStr">
        <is>
          <t>Matthew IRA RMD%</t>
        </is>
      </c>
      <c r="O2" s="177" t="inlineStr">
        <is>
          <t>Patricia IRA Bal (BOY)</t>
        </is>
      </c>
      <c r="P2" s="177" t="inlineStr">
        <is>
          <t>Patricia RMD Required</t>
        </is>
      </c>
      <c r="Q2" s="177" t="inlineStr">
        <is>
          <t>Patricia RMD Satisfied?</t>
        </is>
      </c>
      <c r="R2" s="177" t="inlineStr">
        <is>
          <t>Patricia IRA Elective</t>
        </is>
      </c>
      <c r="S2" s="177" t="inlineStr">
        <is>
          <t>Patricia IRA Conversion</t>
        </is>
      </c>
      <c r="T2" s="180" t="inlineStr">
        <is>
          <t>Patricia IRA Total Outflow</t>
        </is>
      </c>
      <c r="U2" s="180" t="inlineStr">
        <is>
          <t>Patricia IRA RMD%</t>
        </is>
      </c>
      <c r="V2" s="180"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1" t="n">
        <v>2026</v>
      </c>
      <c r="B3" s="182" t="n">
        <v>64</v>
      </c>
      <c r="C3" s="181" t="n">
        <v>65</v>
      </c>
      <c r="D3" s="183" t="inlineStr">
        <is>
          <t>MFJ</t>
        </is>
      </c>
      <c r="E3" s="183" t="inlineStr">
        <is>
          <t>ALIVE</t>
        </is>
      </c>
      <c r="F3" s="183" t="inlineStr">
        <is>
          <t>ALIVE</t>
        </is>
      </c>
      <c r="G3" s="184" t="n">
        <v>1452862.3531052</v>
      </c>
      <c r="H3" s="184" t="n">
        <v>41270.464</v>
      </c>
      <c r="I3" s="185" t="n">
        <v>0</v>
      </c>
      <c r="J3" s="186" t="inlineStr">
        <is>
          <t>N/A</t>
        </is>
      </c>
      <c r="K3" s="184" t="n">
        <v>0</v>
      </c>
      <c r="L3" s="185" t="n">
        <v>0</v>
      </c>
      <c r="M3" s="184" t="n">
        <v>0</v>
      </c>
      <c r="N3" s="187" t="n"/>
      <c r="O3" s="185" t="n">
        <v>488504.4688181999</v>
      </c>
      <c r="P3" s="188" t="n">
        <v>0</v>
      </c>
      <c r="Q3" s="183" t="inlineStr">
        <is>
          <t>N/A</t>
        </is>
      </c>
      <c r="R3" s="185" t="n">
        <v>0</v>
      </c>
      <c r="S3" s="184" t="n">
        <v>0</v>
      </c>
      <c r="T3" s="185" t="n">
        <v>0</v>
      </c>
      <c r="U3" s="189" t="n"/>
      <c r="V3" s="184" t="n">
        <v>0</v>
      </c>
      <c r="W3" s="184" t="n">
        <v>0</v>
      </c>
      <c r="X3" s="184" t="n">
        <v>0</v>
      </c>
      <c r="Y3" s="190" t="inlineStr">
        <is>
          <t>✓</t>
        </is>
      </c>
      <c r="Z3" s="191" t="inlineStr"/>
      <c r="AA3" s="191" t="inlineStr"/>
    </row>
    <row r="4" ht="15" customHeight="1">
      <c r="A4" s="181" t="n">
        <v>2027</v>
      </c>
      <c r="B4" s="182" t="n">
        <v>65</v>
      </c>
      <c r="C4" s="181" t="n">
        <v>66</v>
      </c>
      <c r="D4" s="183" t="inlineStr">
        <is>
          <t>MFJ</t>
        </is>
      </c>
      <c r="E4" s="183" t="inlineStr">
        <is>
          <t>ALIVE</t>
        </is>
      </c>
      <c r="F4" s="183" t="inlineStr">
        <is>
          <t>ALIVE</t>
        </is>
      </c>
      <c r="G4" s="184" t="n">
        <v>1540034.087883673</v>
      </c>
      <c r="H4" s="184" t="n">
        <v>43746.69165797691</v>
      </c>
      <c r="I4" s="185" t="n">
        <v>0</v>
      </c>
      <c r="J4" s="186" t="inlineStr">
        <is>
          <t>N/A</t>
        </is>
      </c>
      <c r="K4" s="184" t="n">
        <v>0.006045131315270252</v>
      </c>
      <c r="L4" s="185" t="n">
        <v>0</v>
      </c>
      <c r="M4" s="184" t="n">
        <v>0.006045131315270252</v>
      </c>
      <c r="N4" s="187" t="n">
        <v>0</v>
      </c>
      <c r="O4" s="185" t="n">
        <v>280269.6503081279</v>
      </c>
      <c r="P4" s="188" t="n">
        <v>0</v>
      </c>
      <c r="Q4" s="183" t="inlineStr">
        <is>
          <t>N/A</t>
        </is>
      </c>
      <c r="R4" s="185" t="n">
        <v>0.001100148920811085</v>
      </c>
      <c r="S4" s="184" t="n">
        <v>224099.137238685</v>
      </c>
      <c r="T4" s="185" t="n">
        <v>224099.1383388339</v>
      </c>
      <c r="U4" s="189" t="n">
        <v>0</v>
      </c>
      <c r="V4" s="184" t="n">
        <v>0</v>
      </c>
      <c r="W4" s="184" t="n">
        <v>0.007145280236081337</v>
      </c>
      <c r="X4" s="184" t="n">
        <v>224099.1443839652</v>
      </c>
      <c r="Y4" s="190" t="inlineStr">
        <is>
          <t>✓</t>
        </is>
      </c>
      <c r="Z4" s="191" t="inlineStr"/>
      <c r="AA4" s="191" t="inlineStr"/>
    </row>
    <row r="5" ht="15" customHeight="1">
      <c r="A5" s="181" t="n">
        <v>2028</v>
      </c>
      <c r="B5" s="182" t="n">
        <v>66</v>
      </c>
      <c r="C5" s="181" t="n">
        <v>67</v>
      </c>
      <c r="D5" s="183" t="inlineStr">
        <is>
          <t>MFJ</t>
        </is>
      </c>
      <c r="E5" s="183" t="inlineStr">
        <is>
          <t>ALIVE</t>
        </is>
      </c>
      <c r="F5" s="183" t="inlineStr">
        <is>
          <t>ALIVE</t>
        </is>
      </c>
      <c r="G5" s="184" t="n">
        <v>1632436.129937292</v>
      </c>
      <c r="H5" s="184" t="n">
        <v>46371.49306600421</v>
      </c>
      <c r="I5" s="185" t="n">
        <v>0</v>
      </c>
      <c r="J5" s="186" t="inlineStr">
        <is>
          <t>N/A</t>
        </is>
      </c>
      <c r="K5" s="184" t="n">
        <v>0.003037170763335173</v>
      </c>
      <c r="L5" s="185" t="n">
        <v>0</v>
      </c>
      <c r="M5" s="184" t="n">
        <v>0.003037170763335173</v>
      </c>
      <c r="N5" s="187" t="n">
        <v>0</v>
      </c>
      <c r="O5" s="185" t="n">
        <v>71856.23366965017</v>
      </c>
      <c r="P5" s="188" t="n">
        <v>0</v>
      </c>
      <c r="Q5" s="183" t="inlineStr">
        <is>
          <t>N/A</t>
        </is>
      </c>
      <c r="R5" s="185" t="n">
        <v>0.0001336895502755292</v>
      </c>
      <c r="S5" s="184" t="n">
        <v>212480.7504860891</v>
      </c>
      <c r="T5" s="185" t="n">
        <v>212480.7506197787</v>
      </c>
      <c r="U5" s="189" t="n">
        <v>0</v>
      </c>
      <c r="V5" s="184" t="n">
        <v>0</v>
      </c>
      <c r="W5" s="184" t="n">
        <v>0.003170860313610702</v>
      </c>
      <c r="X5" s="184" t="n">
        <v>212480.7536569495</v>
      </c>
      <c r="Y5" s="190" t="inlineStr">
        <is>
          <t>✓</t>
        </is>
      </c>
      <c r="Z5" s="191" t="inlineStr"/>
      <c r="AA5" s="191" t="inlineStr"/>
    </row>
    <row r="6" ht="15" customHeight="1">
      <c r="A6" s="181" t="n">
        <v>2029</v>
      </c>
      <c r="B6" s="182" t="n">
        <v>67</v>
      </c>
      <c r="C6" s="181" t="n">
        <v>68</v>
      </c>
      <c r="D6" s="183" t="inlineStr">
        <is>
          <t>MFJ</t>
        </is>
      </c>
      <c r="E6" s="183" t="inlineStr">
        <is>
          <t>ALIVE</t>
        </is>
      </c>
      <c r="F6" s="183" t="inlineStr">
        <is>
          <t>ALIVE</t>
        </is>
      </c>
      <c r="G6" s="184" t="n">
        <v>1605106.18630125</v>
      </c>
      <c r="H6" s="184" t="n">
        <v>0</v>
      </c>
      <c r="I6" s="185" t="n">
        <v>0</v>
      </c>
      <c r="J6" s="186" t="inlineStr">
        <is>
          <t>N/A</t>
        </is>
      </c>
      <c r="K6" s="184" t="n">
        <v>46270.06130349458</v>
      </c>
      <c r="L6" s="185" t="n">
        <v>71914.94948167478</v>
      </c>
      <c r="M6" s="184" t="n">
        <v>118185.0107851693</v>
      </c>
      <c r="N6" s="187" t="n">
        <v>0</v>
      </c>
      <c r="O6" s="185" t="n">
        <v>0</v>
      </c>
      <c r="P6" s="188" t="n">
        <v>0</v>
      </c>
      <c r="Q6" s="183" t="inlineStr">
        <is>
          <t>N/A</t>
        </is>
      </c>
      <c r="R6" s="185" t="n">
        <v>0</v>
      </c>
      <c r="S6" s="184" t="n">
        <v>71856.23366965017</v>
      </c>
      <c r="T6" s="185" t="n">
        <v>71856.23366965017</v>
      </c>
      <c r="U6" s="189" t="n"/>
      <c r="V6" s="184" t="n">
        <v>0</v>
      </c>
      <c r="W6" s="184" t="n">
        <v>46270.06130349458</v>
      </c>
      <c r="X6" s="184" t="n">
        <v>190041.2444548195</v>
      </c>
      <c r="Y6" s="190" t="inlineStr">
        <is>
          <t>✓</t>
        </is>
      </c>
      <c r="Z6" s="191" t="inlineStr"/>
      <c r="AA6" s="191" t="inlineStr"/>
    </row>
    <row r="7" ht="15" customHeight="1">
      <c r="A7" s="181" t="n">
        <v>2030</v>
      </c>
      <c r="B7" s="182" t="n">
        <v>68</v>
      </c>
      <c r="C7" s="181" t="n">
        <v>69</v>
      </c>
      <c r="D7" s="183" t="inlineStr">
        <is>
          <t>MFJ</t>
        </is>
      </c>
      <c r="E7" s="183" t="inlineStr">
        <is>
          <t>ALIVE</t>
        </is>
      </c>
      <c r="F7" s="183" t="inlineStr">
        <is>
          <t>ALIVE</t>
        </is>
      </c>
      <c r="G7" s="184" t="n">
        <v>1424948.482285232</v>
      </c>
      <c r="H7" s="184" t="n">
        <v>0</v>
      </c>
      <c r="I7" s="185" t="n">
        <v>0</v>
      </c>
      <c r="J7" s="186" t="inlineStr">
        <is>
          <t>N/A</t>
        </is>
      </c>
      <c r="K7" s="184" t="n">
        <v>105517.6818934454</v>
      </c>
      <c r="L7" s="185" t="n">
        <v>155297.4833840013</v>
      </c>
      <c r="M7" s="184" t="n">
        <v>260815.1652774467</v>
      </c>
      <c r="N7" s="187" t="n">
        <v>0</v>
      </c>
      <c r="O7" s="185" t="n">
        <v>0</v>
      </c>
      <c r="P7" s="188" t="n">
        <v>0</v>
      </c>
      <c r="Q7" s="183" t="inlineStr">
        <is>
          <t>N/A</t>
        </is>
      </c>
      <c r="R7" s="185" t="n">
        <v>0</v>
      </c>
      <c r="S7" s="184" t="n">
        <v>0</v>
      </c>
      <c r="T7" s="185" t="n">
        <v>0</v>
      </c>
      <c r="U7" s="189" t="n"/>
      <c r="V7" s="184" t="n">
        <v>0</v>
      </c>
      <c r="W7" s="184" t="n">
        <v>105517.6818934454</v>
      </c>
      <c r="X7" s="184" t="n">
        <v>260815.1652774467</v>
      </c>
      <c r="Y7" s="190" t="inlineStr">
        <is>
          <t>✓</t>
        </is>
      </c>
      <c r="Z7" s="191" t="inlineStr"/>
      <c r="AA7" s="183" t="inlineStr">
        <is>
          <t>workplace plan rollover</t>
        </is>
      </c>
    </row>
    <row r="8" ht="15" customHeight="1">
      <c r="A8" s="181" t="n">
        <v>2031</v>
      </c>
      <c r="B8" s="182" t="n">
        <v>69</v>
      </c>
      <c r="C8" s="181" t="n">
        <v>70</v>
      </c>
      <c r="D8" s="183" t="inlineStr">
        <is>
          <t>MFJ</t>
        </is>
      </c>
      <c r="E8" s="183" t="inlineStr">
        <is>
          <t>ALIVE</t>
        </is>
      </c>
      <c r="F8" s="183" t="inlineStr">
        <is>
          <t>ALIVE</t>
        </is>
      </c>
      <c r="G8" s="184" t="n">
        <v>1278902.272628047</v>
      </c>
      <c r="H8" s="184" t="n">
        <v>0</v>
      </c>
      <c r="I8" s="185" t="n">
        <v>0</v>
      </c>
      <c r="J8" s="186" t="inlineStr">
        <is>
          <t>N/A</t>
        </is>
      </c>
      <c r="K8" s="184" t="n">
        <v>93169.69669736034</v>
      </c>
      <c r="L8" s="185" t="n">
        <v>125267.2076368838</v>
      </c>
      <c r="M8" s="184" t="n">
        <v>218436.9043342441</v>
      </c>
      <c r="N8" s="187" t="n">
        <v>0</v>
      </c>
      <c r="O8" s="185" t="n">
        <v>0</v>
      </c>
      <c r="P8" s="188" t="n">
        <v>0</v>
      </c>
      <c r="Q8" s="183" t="inlineStr">
        <is>
          <t>N/A</t>
        </is>
      </c>
      <c r="R8" s="185" t="n">
        <v>0</v>
      </c>
      <c r="S8" s="184" t="n">
        <v>0</v>
      </c>
      <c r="T8" s="185" t="n">
        <v>0</v>
      </c>
      <c r="U8" s="189" t="n"/>
      <c r="V8" s="184" t="n">
        <v>0</v>
      </c>
      <c r="W8" s="184" t="n">
        <v>93169.69669736034</v>
      </c>
      <c r="X8" s="184" t="n">
        <v>218436.9043342441</v>
      </c>
      <c r="Y8" s="190" t="inlineStr">
        <is>
          <t>✓</t>
        </is>
      </c>
      <c r="Z8" s="191" t="inlineStr"/>
      <c r="AA8" s="191" t="inlineStr"/>
    </row>
    <row r="9" ht="15" customHeight="1">
      <c r="A9" s="181" t="n">
        <v>2032</v>
      </c>
      <c r="B9" s="182" t="n">
        <v>70</v>
      </c>
      <c r="C9" s="181" t="n">
        <v>71</v>
      </c>
      <c r="D9" s="183" t="inlineStr">
        <is>
          <t>MFJ</t>
        </is>
      </c>
      <c r="E9" s="183" t="inlineStr">
        <is>
          <t>ALIVE</t>
        </is>
      </c>
      <c r="F9" s="183" t="inlineStr">
        <is>
          <t>ALIVE</t>
        </is>
      </c>
      <c r="G9" s="184" t="n">
        <v>1031359.410996295</v>
      </c>
      <c r="H9" s="184" t="n">
        <v>0</v>
      </c>
      <c r="I9" s="185" t="n">
        <v>0</v>
      </c>
      <c r="J9" s="186" t="inlineStr">
        <is>
          <t>N/A</t>
        </is>
      </c>
      <c r="K9" s="184" t="n">
        <v>197013.206159968</v>
      </c>
      <c r="L9" s="185" t="n">
        <v>108908.4900564799</v>
      </c>
      <c r="M9" s="184" t="n">
        <v>305921.6962164479</v>
      </c>
      <c r="N9" s="187" t="n">
        <v>0</v>
      </c>
      <c r="O9" s="185" t="n">
        <v>0</v>
      </c>
      <c r="P9" s="188" t="n">
        <v>0</v>
      </c>
      <c r="Q9" s="183" t="inlineStr">
        <is>
          <t>N/A</t>
        </is>
      </c>
      <c r="R9" s="185" t="n">
        <v>0</v>
      </c>
      <c r="S9" s="184" t="n">
        <v>0</v>
      </c>
      <c r="T9" s="185" t="n">
        <v>0</v>
      </c>
      <c r="U9" s="189" t="n"/>
      <c r="V9" s="184" t="n">
        <v>0</v>
      </c>
      <c r="W9" s="184" t="n">
        <v>197013.206159968</v>
      </c>
      <c r="X9" s="184" t="n">
        <v>305921.6962164479</v>
      </c>
      <c r="Y9" s="190" t="inlineStr">
        <is>
          <t>✓</t>
        </is>
      </c>
      <c r="Z9" s="191" t="inlineStr"/>
      <c r="AA9" s="191" t="inlineStr"/>
    </row>
    <row r="10" ht="15" customHeight="1">
      <c r="A10" s="181" t="n">
        <v>2033</v>
      </c>
      <c r="B10" s="182" t="n">
        <v>71</v>
      </c>
      <c r="C10" s="181" t="n">
        <v>72</v>
      </c>
      <c r="D10" s="183" t="inlineStr">
        <is>
          <t>MFJ</t>
        </is>
      </c>
      <c r="E10" s="183" t="inlineStr">
        <is>
          <t>ALIVE</t>
        </is>
      </c>
      <c r="F10" s="183" t="inlineStr">
        <is>
          <t>ALIVE</t>
        </is>
      </c>
      <c r="G10" s="184" t="n">
        <v>889093.9960738975</v>
      </c>
      <c r="H10" s="184" t="n">
        <v>0</v>
      </c>
      <c r="I10" s="185" t="n">
        <v>0</v>
      </c>
      <c r="J10" s="186" t="inlineStr">
        <is>
          <t>N/A</t>
        </is>
      </c>
      <c r="K10" s="184" t="n">
        <v>76368.04381169875</v>
      </c>
      <c r="L10" s="185" t="n">
        <v>116223.4463601649</v>
      </c>
      <c r="M10" s="184" t="n">
        <v>192591.4901718636</v>
      </c>
      <c r="N10" s="187" t="n">
        <v>0</v>
      </c>
      <c r="O10" s="185" t="n">
        <v>0</v>
      </c>
      <c r="P10" s="188" t="n">
        <v>0</v>
      </c>
      <c r="Q10" s="183" t="inlineStr">
        <is>
          <t>N/A</t>
        </is>
      </c>
      <c r="R10" s="185" t="n">
        <v>0</v>
      </c>
      <c r="S10" s="184" t="n">
        <v>0</v>
      </c>
      <c r="T10" s="185" t="n">
        <v>0</v>
      </c>
      <c r="U10" s="189" t="n"/>
      <c r="V10" s="184" t="n">
        <v>0</v>
      </c>
      <c r="W10" s="184" t="n">
        <v>76368.04381169875</v>
      </c>
      <c r="X10" s="184" t="n">
        <v>192591.4901718636</v>
      </c>
      <c r="Y10" s="190" t="inlineStr">
        <is>
          <t>✓</t>
        </is>
      </c>
      <c r="Z10" s="191" t="inlineStr"/>
      <c r="AA10" s="191" t="inlineStr"/>
    </row>
    <row r="11" ht="15" customHeight="1">
      <c r="A11" s="181" t="n">
        <v>2034</v>
      </c>
      <c r="B11" s="182" t="n">
        <v>72</v>
      </c>
      <c r="C11" s="181" t="n">
        <v>73</v>
      </c>
      <c r="D11" s="183" t="inlineStr">
        <is>
          <t>MFJ</t>
        </is>
      </c>
      <c r="E11" s="183" t="inlineStr">
        <is>
          <t>ALIVE</t>
        </is>
      </c>
      <c r="F11" s="183" t="inlineStr">
        <is>
          <t>ALIVE</t>
        </is>
      </c>
      <c r="G11" s="184" t="n">
        <v>635865.5235444951</v>
      </c>
      <c r="H11" s="184" t="n">
        <v>0</v>
      </c>
      <c r="I11" s="185" t="n">
        <v>0</v>
      </c>
      <c r="J11" s="186" t="inlineStr">
        <is>
          <t>N/A</t>
        </is>
      </c>
      <c r="K11" s="184" t="n">
        <v>165626.6796342347</v>
      </c>
      <c r="L11" s="185" t="n">
        <v>123594.1810203279</v>
      </c>
      <c r="M11" s="184" t="n">
        <v>289220.8606545626</v>
      </c>
      <c r="N11" s="187" t="n">
        <v>0</v>
      </c>
      <c r="O11" s="185" t="n">
        <v>0</v>
      </c>
      <c r="P11" s="188" t="n">
        <v>0</v>
      </c>
      <c r="Q11" s="183" t="inlineStr">
        <is>
          <t>N/A</t>
        </is>
      </c>
      <c r="R11" s="185" t="n">
        <v>0</v>
      </c>
      <c r="S11" s="184" t="n">
        <v>0</v>
      </c>
      <c r="T11" s="185" t="n">
        <v>0</v>
      </c>
      <c r="U11" s="189" t="n"/>
      <c r="V11" s="184" t="n">
        <v>0</v>
      </c>
      <c r="W11" s="184" t="n">
        <v>165626.6796342347</v>
      </c>
      <c r="X11" s="184" t="n">
        <v>289220.8606545626</v>
      </c>
      <c r="Y11" s="190" t="inlineStr">
        <is>
          <t>✓</t>
        </is>
      </c>
      <c r="Z11" s="191" t="inlineStr"/>
      <c r="AA11" s="191" t="inlineStr"/>
    </row>
    <row r="12" ht="15" customHeight="1">
      <c r="A12" s="181" t="n">
        <v>2035</v>
      </c>
      <c r="B12" s="182" t="n">
        <v>73</v>
      </c>
      <c r="C12" s="181" t="n">
        <v>74</v>
      </c>
      <c r="D12" s="183" t="inlineStr">
        <is>
          <t>MFJ</t>
        </is>
      </c>
      <c r="E12" s="183" t="inlineStr">
        <is>
          <t>ALIVE</t>
        </is>
      </c>
      <c r="F12" s="183" t="inlineStr">
        <is>
          <t>ALIVE</t>
        </is>
      </c>
      <c r="G12" s="184" t="n">
        <v>410732.8240038168</v>
      </c>
      <c r="H12" s="184" t="n">
        <v>0</v>
      </c>
      <c r="I12" s="185" t="n">
        <v>0</v>
      </c>
      <c r="J12" s="186" t="inlineStr">
        <is>
          <t>N/A</t>
        </is>
      </c>
      <c r="K12" s="184" t="n">
        <v>122735.9682249518</v>
      </c>
      <c r="L12" s="185" t="n">
        <v>125645.7590895275</v>
      </c>
      <c r="M12" s="184" t="n">
        <v>248381.7273144793</v>
      </c>
      <c r="N12" s="187" t="n">
        <v>0</v>
      </c>
      <c r="O12" s="185" t="n">
        <v>0</v>
      </c>
      <c r="P12" s="188" t="n">
        <v>0</v>
      </c>
      <c r="Q12" s="183" t="inlineStr">
        <is>
          <t>N/A</t>
        </is>
      </c>
      <c r="R12" s="185" t="n">
        <v>0</v>
      </c>
      <c r="S12" s="184" t="n">
        <v>0</v>
      </c>
      <c r="T12" s="185" t="n">
        <v>0</v>
      </c>
      <c r="U12" s="189" t="n"/>
      <c r="V12" s="184" t="n">
        <v>0</v>
      </c>
      <c r="W12" s="184" t="n">
        <v>122735.9682249518</v>
      </c>
      <c r="X12" s="184" t="n">
        <v>248381.7273144793</v>
      </c>
      <c r="Y12" s="190" t="inlineStr">
        <is>
          <t>✓</t>
        </is>
      </c>
      <c r="Z12" s="191" t="inlineStr"/>
      <c r="AA12" s="191" t="inlineStr"/>
    </row>
    <row r="13" ht="15" customHeight="1">
      <c r="A13" s="181" t="n">
        <v>2036</v>
      </c>
      <c r="B13" s="182" t="n">
        <v>74</v>
      </c>
      <c r="C13" s="181" t="n">
        <v>75</v>
      </c>
      <c r="D13" s="183" t="inlineStr">
        <is>
          <t>MFJ</t>
        </is>
      </c>
      <c r="E13" s="183" t="inlineStr">
        <is>
          <t>ALIVE</t>
        </is>
      </c>
      <c r="F13" s="183" t="inlineStr">
        <is>
          <t>ALIVE</t>
        </is>
      </c>
      <c r="G13" s="184" t="n">
        <v>348133.7620874211</v>
      </c>
      <c r="H13" s="184" t="n">
        <v>0</v>
      </c>
      <c r="I13" s="185" t="n">
        <v>0</v>
      </c>
      <c r="J13" s="186" t="inlineStr">
        <is>
          <t>N/A</t>
        </is>
      </c>
      <c r="K13" s="184" t="n">
        <v>82304.74656285347</v>
      </c>
      <c r="L13" s="185" t="n">
        <v>0</v>
      </c>
      <c r="M13" s="184" t="n">
        <v>82304.74656285347</v>
      </c>
      <c r="N13" s="187" t="n">
        <v>0</v>
      </c>
      <c r="O13" s="185" t="n">
        <v>0</v>
      </c>
      <c r="P13" s="188" t="n">
        <v>0</v>
      </c>
      <c r="Q13" s="183" t="inlineStr">
        <is>
          <t>✓</t>
        </is>
      </c>
      <c r="R13" s="185" t="n">
        <v>0</v>
      </c>
      <c r="S13" s="184" t="n">
        <v>0</v>
      </c>
      <c r="T13" s="185" t="n">
        <v>0</v>
      </c>
      <c r="U13" s="189" t="n"/>
      <c r="V13" s="184" t="n">
        <v>0</v>
      </c>
      <c r="W13" s="184" t="n">
        <v>82304.74656285347</v>
      </c>
      <c r="X13" s="184" t="n">
        <v>82304.74656285347</v>
      </c>
      <c r="Y13" s="190" t="inlineStr">
        <is>
          <t>✓</t>
        </is>
      </c>
      <c r="Z13" s="191" t="inlineStr"/>
      <c r="AA13" s="191" t="inlineStr"/>
    </row>
    <row r="14" ht="45" customHeight="1">
      <c r="A14" s="192" t="n">
        <v>2037</v>
      </c>
      <c r="B14" s="192" t="n">
        <v>75</v>
      </c>
      <c r="C14" s="192" t="n">
        <v>76</v>
      </c>
      <c r="D14" s="190" t="inlineStr">
        <is>
          <t>MFJ</t>
        </is>
      </c>
      <c r="E14" s="190" t="inlineStr">
        <is>
          <t>ALIVE</t>
        </is>
      </c>
      <c r="F14" s="190" t="inlineStr">
        <is>
          <t>ALIVE</t>
        </is>
      </c>
      <c r="G14" s="193" t="n">
        <v>273025.8590463731</v>
      </c>
      <c r="H14" s="193" t="n">
        <v>0</v>
      </c>
      <c r="I14" s="194" t="n">
        <v>14151.77894664313</v>
      </c>
      <c r="J14" s="190" t="inlineStr">
        <is>
          <t>✓</t>
        </is>
      </c>
      <c r="K14" s="193" t="n">
        <v>76410.41800269019</v>
      </c>
      <c r="L14" s="194" t="n">
        <v>0</v>
      </c>
      <c r="M14" s="193" t="n">
        <v>90562.19694933332</v>
      </c>
      <c r="N14" s="195" t="n">
        <v>0.1562658528984296</v>
      </c>
      <c r="O14" s="194" t="n">
        <v>0</v>
      </c>
      <c r="P14" s="196" t="n">
        <v>0</v>
      </c>
      <c r="Q14" s="190" t="inlineStr">
        <is>
          <t>✓</t>
        </is>
      </c>
      <c r="R14" s="194" t="n">
        <v>0</v>
      </c>
      <c r="S14" s="193" t="n">
        <v>0</v>
      </c>
      <c r="T14" s="194" t="n">
        <v>0</v>
      </c>
      <c r="U14" s="197" t="n"/>
      <c r="V14" s="193" t="n">
        <v>14151.77894664313</v>
      </c>
      <c r="W14" s="193" t="n">
        <v>90562.19694933332</v>
      </c>
      <c r="X14" s="193" t="n">
        <v>90562.19694933332</v>
      </c>
      <c r="Y14" s="190" t="inlineStr">
        <is>
          <t>✓</t>
        </is>
      </c>
      <c r="Z14" s="198" t="inlineStr"/>
      <c r="AA14" s="190" t="inlineStr">
        <is>
          <t>H: RMD $14,152 + Elec $76,410</t>
        </is>
      </c>
    </row>
    <row r="15" ht="45" customHeight="1">
      <c r="A15" s="192" t="n">
        <v>2038</v>
      </c>
      <c r="B15" s="192" t="n">
        <v>76</v>
      </c>
      <c r="C15" s="192" t="n">
        <v>77</v>
      </c>
      <c r="D15" s="190" t="inlineStr">
        <is>
          <t>MFJ</t>
        </is>
      </c>
      <c r="E15" s="190" t="inlineStr">
        <is>
          <t>ALIVE</t>
        </is>
      </c>
      <c r="F15" s="190" t="inlineStr">
        <is>
          <t>ALIVE</t>
        </is>
      </c>
      <c r="G15" s="193" t="n">
        <v>187432.2063328977</v>
      </c>
      <c r="H15" s="193" t="n">
        <v>0</v>
      </c>
      <c r="I15" s="194" t="n">
        <v>11520.07844077523</v>
      </c>
      <c r="J15" s="190" t="inlineStr">
        <is>
          <t>✓</t>
        </is>
      </c>
      <c r="K15" s="193" t="n">
        <v>84682.94444248683</v>
      </c>
      <c r="L15" s="194" t="n">
        <v>0</v>
      </c>
      <c r="M15" s="193" t="n">
        <v>96203.02288326206</v>
      </c>
      <c r="N15" s="195" t="n">
        <v>0.1197475723268521</v>
      </c>
      <c r="O15" s="194" t="n">
        <v>0</v>
      </c>
      <c r="P15" s="196" t="n">
        <v>0</v>
      </c>
      <c r="Q15" s="190" t="inlineStr">
        <is>
          <t>✓</t>
        </is>
      </c>
      <c r="R15" s="194" t="n">
        <v>0</v>
      </c>
      <c r="S15" s="193" t="n">
        <v>0</v>
      </c>
      <c r="T15" s="194" t="n">
        <v>0</v>
      </c>
      <c r="U15" s="197" t="n"/>
      <c r="V15" s="193" t="n">
        <v>11520.07844077523</v>
      </c>
      <c r="W15" s="193" t="n">
        <v>96203.02288326206</v>
      </c>
      <c r="X15" s="193" t="n">
        <v>96203.02288326206</v>
      </c>
      <c r="Y15" s="190" t="inlineStr">
        <is>
          <t>✓</t>
        </is>
      </c>
      <c r="Z15" s="198" t="inlineStr"/>
      <c r="AA15" s="190" t="inlineStr">
        <is>
          <t>H: RMD $11,520 + Elec $84,683</t>
        </is>
      </c>
    </row>
    <row r="16" ht="45" customHeight="1">
      <c r="A16" s="192" t="n">
        <v>2039</v>
      </c>
      <c r="B16" s="192" t="n">
        <v>77</v>
      </c>
      <c r="C16" s="192" t="n">
        <v>78</v>
      </c>
      <c r="D16" s="190" t="inlineStr">
        <is>
          <t>MFJ</t>
        </is>
      </c>
      <c r="E16" s="190" t="inlineStr">
        <is>
          <t>ALIVE</t>
        </is>
      </c>
      <c r="F16" s="190" t="inlineStr">
        <is>
          <t>ALIVE</t>
        </is>
      </c>
      <c r="G16" s="193" t="n">
        <v>87619.294344654</v>
      </c>
      <c r="H16" s="193" t="n">
        <v>0</v>
      </c>
      <c r="I16" s="194" t="n">
        <v>8184.812503619985</v>
      </c>
      <c r="J16" s="190" t="inlineStr">
        <is>
          <t>✓</t>
        </is>
      </c>
      <c r="K16" s="193" t="n">
        <v>96587.68218337766</v>
      </c>
      <c r="L16" s="194" t="n">
        <v>0</v>
      </c>
      <c r="M16" s="193" t="n">
        <v>104772.4946869976</v>
      </c>
      <c r="N16" s="195" t="n">
        <v>0.07811985891976406</v>
      </c>
      <c r="O16" s="194" t="n">
        <v>0</v>
      </c>
      <c r="P16" s="196" t="n">
        <v>0</v>
      </c>
      <c r="Q16" s="190" t="inlineStr">
        <is>
          <t>✓</t>
        </is>
      </c>
      <c r="R16" s="194" t="n">
        <v>0</v>
      </c>
      <c r="S16" s="193" t="n">
        <v>0</v>
      </c>
      <c r="T16" s="194" t="n">
        <v>0</v>
      </c>
      <c r="U16" s="197" t="n"/>
      <c r="V16" s="193" t="n">
        <v>8184.812503619985</v>
      </c>
      <c r="W16" s="193" t="n">
        <v>104772.4946869976</v>
      </c>
      <c r="X16" s="193" t="n">
        <v>104772.4946869976</v>
      </c>
      <c r="Y16" s="190" t="inlineStr">
        <is>
          <t>✓</t>
        </is>
      </c>
      <c r="Z16" s="198" t="inlineStr"/>
      <c r="AA16" s="190" t="inlineStr">
        <is>
          <t>H: RMD $8,185 + Elec $96,588</t>
        </is>
      </c>
    </row>
    <row r="17" ht="45" customHeight="1">
      <c r="A17" s="192" t="n">
        <v>2040</v>
      </c>
      <c r="B17" s="192" t="n">
        <v>78</v>
      </c>
      <c r="C17" s="192" t="n">
        <v>79</v>
      </c>
      <c r="D17" s="190" t="inlineStr">
        <is>
          <t>MFJ</t>
        </is>
      </c>
      <c r="E17" s="190" t="inlineStr">
        <is>
          <t>ALIVE</t>
        </is>
      </c>
      <c r="F17" s="190" t="inlineStr">
        <is>
          <t>ALIVE</t>
        </is>
      </c>
      <c r="G17" s="193" t="n">
        <v>0</v>
      </c>
      <c r="H17" s="193" t="n">
        <v>0</v>
      </c>
      <c r="I17" s="194" t="n">
        <v>3982.695197484273</v>
      </c>
      <c r="J17" s="190" t="inlineStr">
        <is>
          <t>✓</t>
        </is>
      </c>
      <c r="K17" s="193" t="n">
        <v>83636.59914716973</v>
      </c>
      <c r="L17" s="194" t="n">
        <v>0</v>
      </c>
      <c r="M17" s="193" t="n">
        <v>87619.294344654</v>
      </c>
      <c r="N17" s="195" t="n">
        <v>0.04545454545454546</v>
      </c>
      <c r="O17" s="194" t="n">
        <v>0</v>
      </c>
      <c r="P17" s="196" t="n">
        <v>0</v>
      </c>
      <c r="Q17" s="190" t="inlineStr">
        <is>
          <t>✓</t>
        </is>
      </c>
      <c r="R17" s="194" t="n">
        <v>0</v>
      </c>
      <c r="S17" s="193" t="n">
        <v>0</v>
      </c>
      <c r="T17" s="194" t="n">
        <v>0</v>
      </c>
      <c r="U17" s="197" t="n"/>
      <c r="V17" s="193" t="n">
        <v>3982.695197484273</v>
      </c>
      <c r="W17" s="193" t="n">
        <v>87619.294344654</v>
      </c>
      <c r="X17" s="193" t="n">
        <v>87619.294344654</v>
      </c>
      <c r="Y17" s="190" t="inlineStr">
        <is>
          <t>✓</t>
        </is>
      </c>
      <c r="Z17" s="198" t="inlineStr"/>
      <c r="AA17" s="190" t="inlineStr">
        <is>
          <t>H: RMD $3,983 + Elec $83,637</t>
        </is>
      </c>
    </row>
    <row r="18" ht="15" customHeight="1">
      <c r="A18" s="181" t="n">
        <v>2041</v>
      </c>
      <c r="B18" s="182" t="n">
        <v>79</v>
      </c>
      <c r="C18" s="181" t="n">
        <v>80</v>
      </c>
      <c r="D18" s="183" t="inlineStr">
        <is>
          <t>MFJ</t>
        </is>
      </c>
      <c r="E18" s="183" t="inlineStr">
        <is>
          <t>ALIVE</t>
        </is>
      </c>
      <c r="F18" s="183" t="inlineStr">
        <is>
          <t>ALIVE</t>
        </is>
      </c>
      <c r="G18" s="184" t="n">
        <v>0</v>
      </c>
      <c r="H18" s="184" t="n">
        <v>0</v>
      </c>
      <c r="I18" s="185" t="n">
        <v>0</v>
      </c>
      <c r="J18" s="190" t="inlineStr">
        <is>
          <t>✓</t>
        </is>
      </c>
      <c r="K18" s="184" t="n">
        <v>0</v>
      </c>
      <c r="L18" s="185" t="n">
        <v>0</v>
      </c>
      <c r="M18" s="184" t="n">
        <v>0</v>
      </c>
      <c r="N18" s="187" t="n"/>
      <c r="O18" s="185" t="n">
        <v>0</v>
      </c>
      <c r="P18" s="188" t="n">
        <v>0</v>
      </c>
      <c r="Q18" s="183" t="inlineStr">
        <is>
          <t>✓</t>
        </is>
      </c>
      <c r="R18" s="185" t="n">
        <v>0</v>
      </c>
      <c r="S18" s="184" t="n">
        <v>0</v>
      </c>
      <c r="T18" s="185" t="n">
        <v>0</v>
      </c>
      <c r="U18" s="189" t="n"/>
      <c r="V18" s="184" t="n">
        <v>0</v>
      </c>
      <c r="W18" s="184" t="n">
        <v>0</v>
      </c>
      <c r="X18" s="184" t="n">
        <v>0</v>
      </c>
      <c r="Y18" s="190" t="inlineStr">
        <is>
          <t>✓</t>
        </is>
      </c>
      <c r="Z18" s="191" t="inlineStr"/>
      <c r="AA18" s="191" t="inlineStr"/>
    </row>
    <row r="19" ht="15" customHeight="1">
      <c r="A19" s="181" t="n">
        <v>2042</v>
      </c>
      <c r="B19" s="182" t="n">
        <v>80</v>
      </c>
      <c r="C19" s="181" t="n">
        <v>81</v>
      </c>
      <c r="D19" s="183" t="inlineStr">
        <is>
          <t>MFJ</t>
        </is>
      </c>
      <c r="E19" s="183" t="inlineStr">
        <is>
          <t>ALIVE</t>
        </is>
      </c>
      <c r="F19" s="183" t="inlineStr">
        <is>
          <t>ALIVE</t>
        </is>
      </c>
      <c r="G19" s="184" t="n">
        <v>0</v>
      </c>
      <c r="H19" s="184" t="n">
        <v>0</v>
      </c>
      <c r="I19" s="185" t="n">
        <v>0</v>
      </c>
      <c r="J19" s="190" t="inlineStr">
        <is>
          <t>✓</t>
        </is>
      </c>
      <c r="K19" s="184" t="n">
        <v>0</v>
      </c>
      <c r="L19" s="185" t="n">
        <v>0</v>
      </c>
      <c r="M19" s="184" t="n">
        <v>0</v>
      </c>
      <c r="N19" s="187" t="n"/>
      <c r="O19" s="185" t="n">
        <v>0</v>
      </c>
      <c r="P19" s="188" t="n">
        <v>0</v>
      </c>
      <c r="Q19" s="183" t="inlineStr">
        <is>
          <t>✓</t>
        </is>
      </c>
      <c r="R19" s="185" t="n">
        <v>0</v>
      </c>
      <c r="S19" s="184" t="n">
        <v>0</v>
      </c>
      <c r="T19" s="185" t="n">
        <v>0</v>
      </c>
      <c r="U19" s="189" t="n"/>
      <c r="V19" s="184" t="n">
        <v>0</v>
      </c>
      <c r="W19" s="184" t="n">
        <v>0</v>
      </c>
      <c r="X19" s="184" t="n">
        <v>0</v>
      </c>
      <c r="Y19" s="190" t="inlineStr">
        <is>
          <t>✓</t>
        </is>
      </c>
      <c r="Z19" s="191" t="inlineStr"/>
      <c r="AA19" s="191" t="inlineStr"/>
    </row>
    <row r="20" ht="15" customHeight="1">
      <c r="A20" s="181" t="n">
        <v>2043</v>
      </c>
      <c r="B20" s="182" t="n">
        <v>81</v>
      </c>
      <c r="C20" s="181" t="n">
        <v>82</v>
      </c>
      <c r="D20" s="183" t="inlineStr">
        <is>
          <t>MFJ</t>
        </is>
      </c>
      <c r="E20" s="183" t="inlineStr">
        <is>
          <t>ALIVE</t>
        </is>
      </c>
      <c r="F20" s="183" t="inlineStr">
        <is>
          <t>ALIVE</t>
        </is>
      </c>
      <c r="G20" s="184" t="n">
        <v>0</v>
      </c>
      <c r="H20" s="184" t="n">
        <v>0</v>
      </c>
      <c r="I20" s="185" t="n">
        <v>0</v>
      </c>
      <c r="J20" s="190" t="inlineStr">
        <is>
          <t>✓</t>
        </is>
      </c>
      <c r="K20" s="184" t="n">
        <v>0</v>
      </c>
      <c r="L20" s="185" t="n">
        <v>0</v>
      </c>
      <c r="M20" s="184" t="n">
        <v>0</v>
      </c>
      <c r="N20" s="187" t="n"/>
      <c r="O20" s="185" t="n">
        <v>0</v>
      </c>
      <c r="P20" s="188" t="n">
        <v>0</v>
      </c>
      <c r="Q20" s="183" t="inlineStr">
        <is>
          <t>✓</t>
        </is>
      </c>
      <c r="R20" s="185" t="n">
        <v>0</v>
      </c>
      <c r="S20" s="184" t="n">
        <v>0</v>
      </c>
      <c r="T20" s="185" t="n">
        <v>0</v>
      </c>
      <c r="U20" s="189" t="n"/>
      <c r="V20" s="184" t="n">
        <v>0</v>
      </c>
      <c r="W20" s="184" t="n">
        <v>0</v>
      </c>
      <c r="X20" s="184" t="n">
        <v>0</v>
      </c>
      <c r="Y20" s="190" t="inlineStr">
        <is>
          <t>✓</t>
        </is>
      </c>
      <c r="Z20" s="191" t="inlineStr"/>
      <c r="AA20" s="191" t="inlineStr"/>
    </row>
    <row r="21" ht="15" customHeight="1">
      <c r="A21" s="181" t="n">
        <v>2044</v>
      </c>
      <c r="B21" s="182" t="n">
        <v>82</v>
      </c>
      <c r="C21" s="181" t="n">
        <v>83</v>
      </c>
      <c r="D21" s="183" t="inlineStr">
        <is>
          <t>MFJ</t>
        </is>
      </c>
      <c r="E21" s="183" t="inlineStr">
        <is>
          <t>ALIVE</t>
        </is>
      </c>
      <c r="F21" s="183" t="inlineStr">
        <is>
          <t>ALIVE</t>
        </is>
      </c>
      <c r="G21" s="184" t="n">
        <v>0</v>
      </c>
      <c r="H21" s="184" t="n">
        <v>0</v>
      </c>
      <c r="I21" s="185" t="n">
        <v>0</v>
      </c>
      <c r="J21" s="190" t="inlineStr">
        <is>
          <t>✓</t>
        </is>
      </c>
      <c r="K21" s="184" t="n">
        <v>0</v>
      </c>
      <c r="L21" s="185" t="n">
        <v>0</v>
      </c>
      <c r="M21" s="184" t="n">
        <v>0</v>
      </c>
      <c r="N21" s="187" t="n"/>
      <c r="O21" s="185" t="n">
        <v>0</v>
      </c>
      <c r="P21" s="188" t="n">
        <v>0</v>
      </c>
      <c r="Q21" s="183" t="inlineStr">
        <is>
          <t>✓</t>
        </is>
      </c>
      <c r="R21" s="185" t="n">
        <v>0</v>
      </c>
      <c r="S21" s="184" t="n">
        <v>0</v>
      </c>
      <c r="T21" s="185" t="n">
        <v>0</v>
      </c>
      <c r="U21" s="189" t="n"/>
      <c r="V21" s="184" t="n">
        <v>0</v>
      </c>
      <c r="W21" s="184" t="n">
        <v>0</v>
      </c>
      <c r="X21" s="184" t="n">
        <v>0</v>
      </c>
      <c r="Y21" s="190" t="inlineStr">
        <is>
          <t>✓</t>
        </is>
      </c>
      <c r="Z21" s="191" t="inlineStr"/>
      <c r="AA21" s="191" t="inlineStr"/>
    </row>
    <row r="22" ht="15" customHeight="1">
      <c r="A22" s="181" t="n">
        <v>2045</v>
      </c>
      <c r="B22" s="182" t="n">
        <v>83</v>
      </c>
      <c r="C22" s="181" t="n">
        <v>84</v>
      </c>
      <c r="D22" s="183" t="inlineStr">
        <is>
          <t>MFJ</t>
        </is>
      </c>
      <c r="E22" s="183" t="inlineStr">
        <is>
          <t>ALIVE</t>
        </is>
      </c>
      <c r="F22" s="183" t="inlineStr">
        <is>
          <t>ALIVE</t>
        </is>
      </c>
      <c r="G22" s="184" t="n">
        <v>0</v>
      </c>
      <c r="H22" s="184" t="n">
        <v>0</v>
      </c>
      <c r="I22" s="185" t="n">
        <v>0</v>
      </c>
      <c r="J22" s="190" t="inlineStr">
        <is>
          <t>✓</t>
        </is>
      </c>
      <c r="K22" s="184" t="n">
        <v>0</v>
      </c>
      <c r="L22" s="185" t="n">
        <v>0</v>
      </c>
      <c r="M22" s="184" t="n">
        <v>0</v>
      </c>
      <c r="N22" s="187" t="n"/>
      <c r="O22" s="185" t="n">
        <v>0</v>
      </c>
      <c r="P22" s="188" t="n">
        <v>0</v>
      </c>
      <c r="Q22" s="183" t="inlineStr">
        <is>
          <t>✓</t>
        </is>
      </c>
      <c r="R22" s="185" t="n">
        <v>0</v>
      </c>
      <c r="S22" s="184" t="n">
        <v>0</v>
      </c>
      <c r="T22" s="185" t="n">
        <v>0</v>
      </c>
      <c r="U22" s="189" t="n"/>
      <c r="V22" s="184" t="n">
        <v>0</v>
      </c>
      <c r="W22" s="184" t="n">
        <v>0</v>
      </c>
      <c r="X22" s="184" t="n">
        <v>0</v>
      </c>
      <c r="Y22" s="190" t="inlineStr">
        <is>
          <t>✓</t>
        </is>
      </c>
      <c r="Z22" s="191" t="inlineStr"/>
      <c r="AA22" s="191" t="inlineStr"/>
    </row>
    <row r="23" ht="15" customHeight="1">
      <c r="A23" s="181" t="n">
        <v>2046</v>
      </c>
      <c r="B23" s="182" t="n">
        <v>84</v>
      </c>
      <c r="C23" s="181" t="n">
        <v>85</v>
      </c>
      <c r="D23" s="183" t="inlineStr">
        <is>
          <t>MFJ</t>
        </is>
      </c>
      <c r="E23" s="183" t="inlineStr">
        <is>
          <t>ALIVE</t>
        </is>
      </c>
      <c r="F23" s="183" t="inlineStr">
        <is>
          <t>ALIVE</t>
        </is>
      </c>
      <c r="G23" s="184" t="n">
        <v>0</v>
      </c>
      <c r="H23" s="184" t="n">
        <v>0</v>
      </c>
      <c r="I23" s="185" t="n">
        <v>0</v>
      </c>
      <c r="J23" s="190" t="inlineStr">
        <is>
          <t>✓</t>
        </is>
      </c>
      <c r="K23" s="184" t="n">
        <v>0</v>
      </c>
      <c r="L23" s="185" t="n">
        <v>0</v>
      </c>
      <c r="M23" s="184" t="n">
        <v>0</v>
      </c>
      <c r="N23" s="187" t="n"/>
      <c r="O23" s="185" t="n">
        <v>0</v>
      </c>
      <c r="P23" s="188" t="n">
        <v>0</v>
      </c>
      <c r="Q23" s="183" t="inlineStr">
        <is>
          <t>✓</t>
        </is>
      </c>
      <c r="R23" s="185" t="n">
        <v>0</v>
      </c>
      <c r="S23" s="184" t="n">
        <v>0</v>
      </c>
      <c r="T23" s="185" t="n">
        <v>0</v>
      </c>
      <c r="U23" s="189" t="n"/>
      <c r="V23" s="184" t="n">
        <v>0</v>
      </c>
      <c r="W23" s="184" t="n">
        <v>0</v>
      </c>
      <c r="X23" s="184" t="n">
        <v>0</v>
      </c>
      <c r="Y23" s="190" t="inlineStr">
        <is>
          <t>✓</t>
        </is>
      </c>
      <c r="Z23" s="191" t="inlineStr"/>
      <c r="AA23" s="191" t="inlineStr"/>
    </row>
    <row r="24" ht="15" customHeight="1">
      <c r="A24" s="181" t="n">
        <v>2047</v>
      </c>
      <c r="B24" s="182" t="n">
        <v>85</v>
      </c>
      <c r="C24" s="181" t="n">
        <v>86</v>
      </c>
      <c r="D24" s="183" t="inlineStr">
        <is>
          <t>MFJ</t>
        </is>
      </c>
      <c r="E24" s="183" t="inlineStr">
        <is>
          <t>ALIVE</t>
        </is>
      </c>
      <c r="F24" s="183" t="inlineStr">
        <is>
          <t>ALIVE</t>
        </is>
      </c>
      <c r="G24" s="184" t="n">
        <v>0</v>
      </c>
      <c r="H24" s="184" t="n">
        <v>0</v>
      </c>
      <c r="I24" s="185" t="n">
        <v>0</v>
      </c>
      <c r="J24" s="190" t="inlineStr">
        <is>
          <t>✓</t>
        </is>
      </c>
      <c r="K24" s="184" t="n">
        <v>0</v>
      </c>
      <c r="L24" s="185" t="n">
        <v>0</v>
      </c>
      <c r="M24" s="184" t="n">
        <v>0</v>
      </c>
      <c r="N24" s="187" t="n"/>
      <c r="O24" s="185" t="n">
        <v>0</v>
      </c>
      <c r="P24" s="188" t="n">
        <v>0</v>
      </c>
      <c r="Q24" s="183" t="inlineStr">
        <is>
          <t>✓</t>
        </is>
      </c>
      <c r="R24" s="185" t="n">
        <v>0</v>
      </c>
      <c r="S24" s="184" t="n">
        <v>0</v>
      </c>
      <c r="T24" s="185" t="n">
        <v>0</v>
      </c>
      <c r="U24" s="189" t="n"/>
      <c r="V24" s="184" t="n">
        <v>0</v>
      </c>
      <c r="W24" s="184" t="n">
        <v>0</v>
      </c>
      <c r="X24" s="184" t="n">
        <v>0</v>
      </c>
      <c r="Y24" s="190" t="inlineStr">
        <is>
          <t>✓</t>
        </is>
      </c>
      <c r="Z24" s="191" t="inlineStr"/>
      <c r="AA24" s="191" t="inlineStr"/>
    </row>
    <row r="25" ht="15" customHeight="1">
      <c r="A25" s="181" t="n">
        <v>2048</v>
      </c>
      <c r="B25" s="182" t="n">
        <v>86</v>
      </c>
      <c r="C25" s="181" t="n">
        <v>87</v>
      </c>
      <c r="D25" s="183" t="inlineStr">
        <is>
          <t>MFJ</t>
        </is>
      </c>
      <c r="E25" s="183" t="inlineStr">
        <is>
          <t>ALIVE</t>
        </is>
      </c>
      <c r="F25" s="183" t="inlineStr">
        <is>
          <t>ALIVE</t>
        </is>
      </c>
      <c r="G25" s="184" t="n">
        <v>0</v>
      </c>
      <c r="H25" s="184" t="n">
        <v>0</v>
      </c>
      <c r="I25" s="185" t="n">
        <v>0</v>
      </c>
      <c r="J25" s="190" t="inlineStr">
        <is>
          <t>✓</t>
        </is>
      </c>
      <c r="K25" s="184" t="n">
        <v>0</v>
      </c>
      <c r="L25" s="185" t="n">
        <v>0</v>
      </c>
      <c r="M25" s="184" t="n">
        <v>0</v>
      </c>
      <c r="N25" s="187" t="n"/>
      <c r="O25" s="185" t="n">
        <v>0</v>
      </c>
      <c r="P25" s="188" t="n">
        <v>0</v>
      </c>
      <c r="Q25" s="183" t="inlineStr">
        <is>
          <t>✓</t>
        </is>
      </c>
      <c r="R25" s="185" t="n">
        <v>0</v>
      </c>
      <c r="S25" s="184" t="n">
        <v>0</v>
      </c>
      <c r="T25" s="185" t="n">
        <v>0</v>
      </c>
      <c r="U25" s="189" t="n"/>
      <c r="V25" s="184" t="n">
        <v>0</v>
      </c>
      <c r="W25" s="184" t="n">
        <v>0</v>
      </c>
      <c r="X25" s="184" t="n">
        <v>0</v>
      </c>
      <c r="Y25" s="190" t="inlineStr">
        <is>
          <t>✓</t>
        </is>
      </c>
      <c r="Z25" s="191" t="inlineStr"/>
      <c r="AA25" s="191" t="inlineStr"/>
    </row>
    <row r="26" ht="15" customHeight="1">
      <c r="A26" s="181" t="n">
        <v>2049</v>
      </c>
      <c r="B26" s="182" t="n">
        <v>87</v>
      </c>
      <c r="C26" s="181" t="n">
        <v>88</v>
      </c>
      <c r="D26" s="183" t="inlineStr">
        <is>
          <t>MFJ</t>
        </is>
      </c>
      <c r="E26" s="183" t="inlineStr">
        <is>
          <t>ALIVE</t>
        </is>
      </c>
      <c r="F26" s="183" t="inlineStr">
        <is>
          <t>ALIVE</t>
        </is>
      </c>
      <c r="G26" s="184" t="n">
        <v>0</v>
      </c>
      <c r="H26" s="184" t="n">
        <v>0</v>
      </c>
      <c r="I26" s="185" t="n">
        <v>0</v>
      </c>
      <c r="J26" s="190" t="inlineStr">
        <is>
          <t>✓</t>
        </is>
      </c>
      <c r="K26" s="184" t="n">
        <v>0</v>
      </c>
      <c r="L26" s="185" t="n">
        <v>0</v>
      </c>
      <c r="M26" s="184" t="n">
        <v>0</v>
      </c>
      <c r="N26" s="187" t="n"/>
      <c r="O26" s="185" t="n">
        <v>0</v>
      </c>
      <c r="P26" s="188" t="n">
        <v>0</v>
      </c>
      <c r="Q26" s="183" t="inlineStr">
        <is>
          <t>✓</t>
        </is>
      </c>
      <c r="R26" s="185" t="n">
        <v>0</v>
      </c>
      <c r="S26" s="184" t="n">
        <v>0</v>
      </c>
      <c r="T26" s="185" t="n">
        <v>0</v>
      </c>
      <c r="U26" s="189" t="n"/>
      <c r="V26" s="184" t="n">
        <v>0</v>
      </c>
      <c r="W26" s="184" t="n">
        <v>0</v>
      </c>
      <c r="X26" s="184" t="n">
        <v>0</v>
      </c>
      <c r="Y26" s="190" t="inlineStr">
        <is>
          <t>✓</t>
        </is>
      </c>
      <c r="Z26" s="191" t="inlineStr"/>
      <c r="AA26" s="191" t="inlineStr"/>
    </row>
    <row r="27" ht="15" customHeight="1">
      <c r="A27" s="181" t="n">
        <v>2050</v>
      </c>
      <c r="B27" s="182" t="n">
        <v>88</v>
      </c>
      <c r="C27" s="181" t="n">
        <v>89</v>
      </c>
      <c r="D27" s="183" t="inlineStr">
        <is>
          <t>MFJ</t>
        </is>
      </c>
      <c r="E27" s="183" t="inlineStr">
        <is>
          <t>ALIVE</t>
        </is>
      </c>
      <c r="F27" s="183" t="inlineStr">
        <is>
          <t>ALIVE</t>
        </is>
      </c>
      <c r="G27" s="184" t="n">
        <v>0</v>
      </c>
      <c r="H27" s="184" t="n">
        <v>0</v>
      </c>
      <c r="I27" s="185" t="n">
        <v>0</v>
      </c>
      <c r="J27" s="190" t="inlineStr">
        <is>
          <t>✓</t>
        </is>
      </c>
      <c r="K27" s="184" t="n">
        <v>0</v>
      </c>
      <c r="L27" s="185" t="n">
        <v>0</v>
      </c>
      <c r="M27" s="184" t="n">
        <v>0</v>
      </c>
      <c r="N27" s="187" t="n"/>
      <c r="O27" s="185" t="n">
        <v>0</v>
      </c>
      <c r="P27" s="188" t="n">
        <v>0</v>
      </c>
      <c r="Q27" s="183" t="inlineStr">
        <is>
          <t>✓</t>
        </is>
      </c>
      <c r="R27" s="185" t="n">
        <v>0</v>
      </c>
      <c r="S27" s="184" t="n">
        <v>0</v>
      </c>
      <c r="T27" s="185" t="n">
        <v>0</v>
      </c>
      <c r="U27" s="189" t="n"/>
      <c r="V27" s="184" t="n">
        <v>0</v>
      </c>
      <c r="W27" s="184" t="n">
        <v>0</v>
      </c>
      <c r="X27" s="184" t="n">
        <v>0</v>
      </c>
      <c r="Y27" s="190" t="inlineStr">
        <is>
          <t>✓</t>
        </is>
      </c>
      <c r="Z27" s="191" t="inlineStr"/>
      <c r="AA27" s="191" t="inlineStr"/>
    </row>
    <row r="28" ht="15" customHeight="1">
      <c r="A28" s="181" t="n">
        <v>2051</v>
      </c>
      <c r="B28" s="182" t="n">
        <v>89</v>
      </c>
      <c r="C28" s="181" t="n">
        <v>90</v>
      </c>
      <c r="D28" s="183" t="inlineStr">
        <is>
          <t>MFJ</t>
        </is>
      </c>
      <c r="E28" s="183" t="inlineStr">
        <is>
          <t>ALIVE</t>
        </is>
      </c>
      <c r="F28" s="183" t="inlineStr">
        <is>
          <t>ALIVE</t>
        </is>
      </c>
      <c r="G28" s="184" t="n">
        <v>0</v>
      </c>
      <c r="H28" s="184" t="n">
        <v>0</v>
      </c>
      <c r="I28" s="185" t="n">
        <v>0</v>
      </c>
      <c r="J28" s="190" t="inlineStr">
        <is>
          <t>✓</t>
        </is>
      </c>
      <c r="K28" s="184" t="n">
        <v>0</v>
      </c>
      <c r="L28" s="185" t="n">
        <v>0</v>
      </c>
      <c r="M28" s="184" t="n">
        <v>0</v>
      </c>
      <c r="N28" s="187" t="n"/>
      <c r="O28" s="185" t="n">
        <v>0</v>
      </c>
      <c r="P28" s="188" t="n">
        <v>0</v>
      </c>
      <c r="Q28" s="183" t="inlineStr">
        <is>
          <t>✓</t>
        </is>
      </c>
      <c r="R28" s="185" t="n">
        <v>0</v>
      </c>
      <c r="S28" s="184" t="n">
        <v>0</v>
      </c>
      <c r="T28" s="185" t="n">
        <v>0</v>
      </c>
      <c r="U28" s="189" t="n"/>
      <c r="V28" s="184" t="n">
        <v>0</v>
      </c>
      <c r="W28" s="184" t="n">
        <v>0</v>
      </c>
      <c r="X28" s="184" t="n">
        <v>0</v>
      </c>
      <c r="Y28" s="190" t="inlineStr">
        <is>
          <t>✓</t>
        </is>
      </c>
      <c r="Z28" s="191" t="inlineStr"/>
      <c r="AA28" s="191" t="inlineStr"/>
    </row>
    <row r="29" ht="15" customHeight="1">
      <c r="A29" s="181" t="n">
        <v>2052</v>
      </c>
      <c r="B29" s="182" t="n">
        <v>90</v>
      </c>
      <c r="C29" s="181" t="n">
        <v>91</v>
      </c>
      <c r="D29" s="183" t="inlineStr">
        <is>
          <t>MFJ</t>
        </is>
      </c>
      <c r="E29" s="183" t="inlineStr">
        <is>
          <t>ALIVE</t>
        </is>
      </c>
      <c r="F29" s="183" t="inlineStr">
        <is>
          <t>ALIVE</t>
        </is>
      </c>
      <c r="G29" s="184" t="n">
        <v>0</v>
      </c>
      <c r="H29" s="184" t="n">
        <v>0</v>
      </c>
      <c r="I29" s="185" t="n">
        <v>0</v>
      </c>
      <c r="J29" s="190" t="inlineStr">
        <is>
          <t>✓</t>
        </is>
      </c>
      <c r="K29" s="184" t="n">
        <v>0</v>
      </c>
      <c r="L29" s="185" t="n">
        <v>0</v>
      </c>
      <c r="M29" s="184" t="n">
        <v>0</v>
      </c>
      <c r="N29" s="187" t="n"/>
      <c r="O29" s="185" t="n">
        <v>0</v>
      </c>
      <c r="P29" s="188" t="n">
        <v>0</v>
      </c>
      <c r="Q29" s="183" t="inlineStr">
        <is>
          <t>✓</t>
        </is>
      </c>
      <c r="R29" s="185" t="n">
        <v>0</v>
      </c>
      <c r="S29" s="184" t="n">
        <v>0</v>
      </c>
      <c r="T29" s="185" t="n">
        <v>0</v>
      </c>
      <c r="U29" s="189" t="n"/>
      <c r="V29" s="184" t="n">
        <v>0</v>
      </c>
      <c r="W29" s="184" t="n">
        <v>0</v>
      </c>
      <c r="X29" s="184" t="n">
        <v>0</v>
      </c>
      <c r="Y29" s="190" t="inlineStr">
        <is>
          <t>✓</t>
        </is>
      </c>
      <c r="Z29" s="191" t="inlineStr"/>
      <c r="AA29" s="191" t="inlineStr"/>
    </row>
    <row r="30" ht="15" customHeight="1">
      <c r="A30" s="181" t="n">
        <v>2053</v>
      </c>
      <c r="B30" s="182" t="n">
        <v>91</v>
      </c>
      <c r="C30" s="181" t="n">
        <v>92</v>
      </c>
      <c r="D30" s="183" t="inlineStr">
        <is>
          <t>MFJ</t>
        </is>
      </c>
      <c r="E30" s="183" t="inlineStr">
        <is>
          <t>ALIVE</t>
        </is>
      </c>
      <c r="F30" s="183" t="inlineStr">
        <is>
          <t>ALIVE</t>
        </is>
      </c>
      <c r="G30" s="184" t="n">
        <v>0</v>
      </c>
      <c r="H30" s="184" t="n">
        <v>0</v>
      </c>
      <c r="I30" s="185" t="n">
        <v>0</v>
      </c>
      <c r="J30" s="190" t="inlineStr">
        <is>
          <t>✓</t>
        </is>
      </c>
      <c r="K30" s="184" t="n">
        <v>0</v>
      </c>
      <c r="L30" s="185" t="n">
        <v>0</v>
      </c>
      <c r="M30" s="184" t="n">
        <v>0</v>
      </c>
      <c r="N30" s="187" t="n"/>
      <c r="O30" s="185" t="n">
        <v>0</v>
      </c>
      <c r="P30" s="188" t="n">
        <v>0</v>
      </c>
      <c r="Q30" s="183" t="inlineStr">
        <is>
          <t>✓</t>
        </is>
      </c>
      <c r="R30" s="185" t="n">
        <v>0</v>
      </c>
      <c r="S30" s="184" t="n">
        <v>0</v>
      </c>
      <c r="T30" s="185" t="n">
        <v>0</v>
      </c>
      <c r="U30" s="189" t="n"/>
      <c r="V30" s="184" t="n">
        <v>0</v>
      </c>
      <c r="W30" s="184" t="n">
        <v>0</v>
      </c>
      <c r="X30" s="184" t="n">
        <v>0</v>
      </c>
      <c r="Y30" s="190" t="inlineStr">
        <is>
          <t>✓</t>
        </is>
      </c>
      <c r="Z30" s="191" t="inlineStr"/>
      <c r="AA30" s="191" t="inlineStr"/>
    </row>
    <row r="31" ht="30" customHeight="1">
      <c r="A31" s="199" t="n">
        <v>2054</v>
      </c>
      <c r="B31" s="199" t="n">
        <v>92</v>
      </c>
      <c r="C31" s="199" t="n">
        <v>93</v>
      </c>
      <c r="D31" s="200" t="inlineStr">
        <is>
          <t>MFJ</t>
        </is>
      </c>
      <c r="E31" s="200" t="inlineStr">
        <is>
          <t>ALIVE</t>
        </is>
      </c>
      <c r="F31" s="200" t="inlineStr">
        <is>
          <t>ALIVE</t>
        </is>
      </c>
      <c r="G31" s="201" t="n">
        <v>0</v>
      </c>
      <c r="H31" s="201" t="n">
        <v>0</v>
      </c>
      <c r="I31" s="202" t="n">
        <v>0</v>
      </c>
      <c r="J31" s="190" t="inlineStr">
        <is>
          <t>✓</t>
        </is>
      </c>
      <c r="K31" s="201" t="n">
        <v>0</v>
      </c>
      <c r="L31" s="202" t="n">
        <v>0</v>
      </c>
      <c r="M31" s="201" t="n">
        <v>0</v>
      </c>
      <c r="N31" s="203" t="n"/>
      <c r="O31" s="202" t="n">
        <v>0</v>
      </c>
      <c r="P31" s="196" t="n">
        <v>0</v>
      </c>
      <c r="Q31" s="200" t="inlineStr">
        <is>
          <t>✓</t>
        </is>
      </c>
      <c r="R31" s="202" t="n">
        <v>0</v>
      </c>
      <c r="S31" s="201" t="n">
        <v>0</v>
      </c>
      <c r="T31" s="202" t="n">
        <v>0</v>
      </c>
      <c r="U31" s="204" t="n"/>
      <c r="V31" s="201" t="n">
        <v>0</v>
      </c>
      <c r="W31" s="201" t="n">
        <v>0</v>
      </c>
      <c r="X31" s="201" t="n">
        <v>0</v>
      </c>
      <c r="Y31" s="190" t="inlineStr">
        <is>
          <t>✓</t>
        </is>
      </c>
      <c r="Z31" s="200" t="inlineStr">
        <is>
          <t>H→W (spousal rollover)</t>
        </is>
      </c>
      <c r="AA31" s="200" t="inlineStr">
        <is>
          <t>Rollover: H→W (spousal rollover)</t>
        </is>
      </c>
    </row>
    <row r="32" ht="15" customHeight="1">
      <c r="A32" s="205" t="n">
        <v>2055</v>
      </c>
      <c r="B32" s="205" t="n">
        <v>93</v>
      </c>
      <c r="C32" s="205" t="n">
        <v>94</v>
      </c>
      <c r="D32" s="186" t="inlineStr">
        <is>
          <t>Single</t>
        </is>
      </c>
      <c r="E32" s="186" t="inlineStr">
        <is>
          <t>DIED 2054</t>
        </is>
      </c>
      <c r="F32" s="186" t="inlineStr">
        <is>
          <t>ALIVE</t>
        </is>
      </c>
      <c r="G32" s="196" t="n">
        <v>0</v>
      </c>
      <c r="H32" s="196" t="n">
        <v>0</v>
      </c>
      <c r="I32" s="206" t="n">
        <v>0</v>
      </c>
      <c r="J32" s="186" t="inlineStr">
        <is>
          <t>N/A</t>
        </is>
      </c>
      <c r="K32" s="196" t="n">
        <v>0</v>
      </c>
      <c r="L32" s="206" t="n">
        <v>0</v>
      </c>
      <c r="M32" s="196" t="n">
        <v>0</v>
      </c>
      <c r="N32" s="207" t="n"/>
      <c r="O32" s="206" t="n">
        <v>0</v>
      </c>
      <c r="P32" s="196" t="n">
        <v>0</v>
      </c>
      <c r="Q32" s="186" t="inlineStr">
        <is>
          <t>✓</t>
        </is>
      </c>
      <c r="R32" s="206" t="n">
        <v>0</v>
      </c>
      <c r="S32" s="196" t="n">
        <v>0</v>
      </c>
      <c r="T32" s="206" t="n">
        <v>0</v>
      </c>
      <c r="U32" s="208" t="n"/>
      <c r="V32" s="196" t="n">
        <v>0</v>
      </c>
      <c r="W32" s="196" t="n">
        <v>0</v>
      </c>
      <c r="X32" s="196" t="n">
        <v>0</v>
      </c>
      <c r="Y32" s="190" t="inlineStr">
        <is>
          <t>✓</t>
        </is>
      </c>
      <c r="Z32" s="209" t="inlineStr"/>
      <c r="AA32" s="186" t="inlineStr">
        <is>
          <t>H died 2054</t>
        </is>
      </c>
    </row>
    <row r="33" ht="90" customHeight="1">
      <c r="A33" s="199" t="n">
        <v>2056</v>
      </c>
      <c r="B33" s="199" t="n">
        <v>94</v>
      </c>
      <c r="C33" s="199" t="n">
        <v>95</v>
      </c>
      <c r="D33" s="200" t="inlineStr">
        <is>
          <t>Single</t>
        </is>
      </c>
      <c r="E33" s="200" t="inlineStr">
        <is>
          <t>DIED 2054</t>
        </is>
      </c>
      <c r="F33" s="200" t="inlineStr">
        <is>
          <t>ALIVE</t>
        </is>
      </c>
      <c r="G33" s="201" t="n">
        <v>0</v>
      </c>
      <c r="H33" s="201" t="n">
        <v>0</v>
      </c>
      <c r="I33" s="202" t="n">
        <v>0</v>
      </c>
      <c r="J33" s="186" t="inlineStr">
        <is>
          <t>N/A</t>
        </is>
      </c>
      <c r="K33" s="201" t="n">
        <v>0</v>
      </c>
      <c r="L33" s="202" t="n">
        <v>0</v>
      </c>
      <c r="M33" s="201" t="n">
        <v>0</v>
      </c>
      <c r="N33" s="203" t="n"/>
      <c r="O33" s="202" t="n">
        <v>0</v>
      </c>
      <c r="P33" s="196" t="n">
        <v>0</v>
      </c>
      <c r="Q33" s="200" t="inlineStr">
        <is>
          <t>✓</t>
        </is>
      </c>
      <c r="R33" s="202" t="n">
        <v>0</v>
      </c>
      <c r="S33" s="201" t="n">
        <v>0</v>
      </c>
      <c r="T33" s="202" t="n">
        <v>0</v>
      </c>
      <c r="U33" s="204" t="n"/>
      <c r="V33" s="201" t="n">
        <v>0</v>
      </c>
      <c r="W33" s="201" t="n">
        <v>0</v>
      </c>
      <c r="X33" s="201" t="n">
        <v>0</v>
      </c>
      <c r="Y33" s="190" t="inlineStr">
        <is>
          <t>✓</t>
        </is>
      </c>
      <c r="Z33" s="200" t="inlineStr">
        <is>
          <t>W 2nd death — taxable → Member_2_Trust; IRAs/Roths inherited by beneficiaries</t>
        </is>
      </c>
      <c r="AA33" s="200" t="inlineStr">
        <is>
          <t>H died 2054; Rollover: W 2nd death — taxable → Member_2_Trust; IRAs/Roths inherited by beneficiaries</t>
        </is>
      </c>
    </row>
    <row r="34"/>
    <row r="35" ht="15" customHeight="1">
      <c r="A35" s="210" t="n"/>
      <c r="B35" s="211" t="inlineStr">
        <is>
          <t>RMD year — satisfied correctly</t>
        </is>
      </c>
    </row>
    <row r="36" ht="15" customHeight="1">
      <c r="A36" s="212" t="n"/>
      <c r="B36" s="211" t="inlineStr">
        <is>
          <t>RMD shortfall or CF mismatch</t>
        </is>
      </c>
    </row>
    <row r="37" ht="15" customHeight="1">
      <c r="A37" s="213" t="n"/>
      <c r="B37" s="211" t="inlineStr">
        <is>
          <t>Spousal rollover year</t>
        </is>
      </c>
    </row>
    <row r="38" ht="15" customHeight="1">
      <c r="A38" s="214" t="n"/>
      <c r="B38" s="211"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5" t="inlineStr">
        <is>
          <t>WHAT-IF SCENARIO ANALYSIS</t>
        </is>
      </c>
    </row>
    <row r="2"/>
    <row r="3">
      <c r="A3" s="216"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7867077.363444649</v>
      </c>
      <c r="D5" s="108" t="n">
        <v>915447.1093650959</v>
      </c>
      <c r="E5" s="217" t="inlineStr">
        <is>
          <t>YES</t>
        </is>
      </c>
      <c r="F5" s="108" t="n">
        <v>0</v>
      </c>
    </row>
    <row r="6">
      <c r="A6" s="33" t="inlineStr">
        <is>
          <t>Allocation — User Defined</t>
        </is>
      </c>
      <c r="B6" s="33" t="inlineStr">
        <is>
          <t>Use user-specified target_pct allocation; implied return 7.22%, volatility 14.02%, geometric approx 6.24%</t>
        </is>
      </c>
      <c r="C6" s="108" t="n">
        <v>11645467.80774269</v>
      </c>
      <c r="D6" s="108" t="n">
        <v>930441.1095219038</v>
      </c>
      <c r="E6" s="217" t="inlineStr">
        <is>
          <t>YES</t>
        </is>
      </c>
      <c r="F6" s="108" t="n">
        <v>3778390.444298044</v>
      </c>
    </row>
    <row r="7">
      <c r="A7" s="33" t="inlineStr">
        <is>
          <t>Allocation — Optimizer Defined</t>
        </is>
      </c>
      <c r="B7" s="33" t="inlineStr">
        <is>
          <t>Use optimizer allocation recommendation; implied return 6.96%, volatility 12.93%, geometric approx 6.13%</t>
        </is>
      </c>
      <c r="C7" s="108" t="n">
        <v>10721322.05737043</v>
      </c>
      <c r="D7" s="108" t="n">
        <v>924233.2972394757</v>
      </c>
      <c r="E7" s="217" t="inlineStr">
        <is>
          <t>YES</t>
        </is>
      </c>
      <c r="F7" s="108" t="n">
        <v>2854244.693925785</v>
      </c>
    </row>
    <row r="8">
      <c r="A8" s="33" t="inlineStr">
        <is>
          <t>Retire Later (2029)</t>
        </is>
      </c>
      <c r="B8" s="33" t="inlineStr">
        <is>
          <t>earn_end 2029 vs 2027; +2 yrs @ 0.0% growth, $50,000 salary</t>
        </is>
      </c>
      <c r="C8" s="108" t="n">
        <v>11866190.35386894</v>
      </c>
      <c r="D8" s="108" t="n">
        <v>1915255.242195678</v>
      </c>
      <c r="E8" s="217" t="inlineStr">
        <is>
          <t>YES</t>
        </is>
      </c>
      <c r="F8" s="108" t="n">
        <v>3999112.99042429</v>
      </c>
    </row>
    <row r="9">
      <c r="A9" s="33" t="inlineStr">
        <is>
          <t>Spend 19% More</t>
        </is>
      </c>
      <c r="B9" s="33" t="inlineStr">
        <is>
          <t>$171,247/yr vs $142,706 base</t>
        </is>
      </c>
      <c r="C9" s="108" t="n">
        <v>4703540.770036156</v>
      </c>
      <c r="D9" s="108" t="n">
        <v>899893.052391196</v>
      </c>
      <c r="E9" s="217" t="inlineStr">
        <is>
          <t>YES</t>
        </is>
      </c>
      <c r="F9" s="108" t="n">
        <v>-3163536.593408492</v>
      </c>
    </row>
    <row r="10">
      <c r="A10" s="33" t="inlineStr">
        <is>
          <t>Sell Home 2045</t>
        </is>
      </c>
      <c r="B10" s="33" t="inlineStr">
        <is>
          <t>Gross $2,302,353 · basis $800,000 · net $2,055,711 → Member_2_Trust</t>
        </is>
      </c>
      <c r="C10" s="108" t="n">
        <v>9475115.151976611</v>
      </c>
      <c r="D10" s="108" t="n">
        <v>1134019.639365181</v>
      </c>
      <c r="E10" s="217" t="inlineStr">
        <is>
          <t>YES</t>
        </is>
      </c>
      <c r="F10" s="108" t="n">
        <v>1608037.788531963</v>
      </c>
    </row>
    <row r="11">
      <c r="A11" s="33" t="inlineStr">
        <is>
          <t>High Inflation 4.5%</t>
        </is>
      </c>
      <c r="B11" s="33" t="inlineStr">
        <is>
          <t>Inflation 4.5% vs 2.5%</t>
        </is>
      </c>
      <c r="C11" s="108" t="n">
        <v>3834084.39937207</v>
      </c>
      <c r="D11" s="108" t="n">
        <v>900062.4187403045</v>
      </c>
      <c r="E11" s="217" t="inlineStr">
        <is>
          <t>YES</t>
        </is>
      </c>
      <c r="F11" s="108" t="n">
        <v>-4032992.964072579</v>
      </c>
    </row>
    <row r="12">
      <c r="A12" s="33" t="inlineStr">
        <is>
          <t>Low Return 4.0%</t>
        </is>
      </c>
      <c r="B12" s="33" t="inlineStr">
        <is>
          <t>Portfolio return 4.0% vs 6.0%</t>
        </is>
      </c>
      <c r="C12" s="108" t="n">
        <v>4328289.911571588</v>
      </c>
      <c r="D12" s="108" t="n">
        <v>900390.5920174296</v>
      </c>
      <c r="E12" s="217" t="inlineStr">
        <is>
          <t>YES</t>
        </is>
      </c>
      <c r="F12" s="108" t="n">
        <v>-3538787.45187306</v>
      </c>
    </row>
    <row r="13">
      <c r="A13" s="33" t="inlineStr">
        <is>
          <t>PDIA Div 4.5%</t>
        </is>
      </c>
      <c r="B13" s="33" t="inlineStr">
        <is>
          <t>All annuity dividends at 4.5% (vs illustrated 5.50-5.75%). Annuity income at age 80: $104,395 vs $117,223 base</t>
        </is>
      </c>
      <c r="C13" s="108" t="n">
        <v>7223955.27358954</v>
      </c>
      <c r="D13" s="108" t="n">
        <v>856044.7577776812</v>
      </c>
      <c r="E13" s="217" t="inlineStr">
        <is>
          <t>YES</t>
        </is>
      </c>
      <c r="F13" s="108" t="n">
        <v>-643122.0898551084</v>
      </c>
    </row>
    <row r="14">
      <c r="A14" s="33" t="inlineStr">
        <is>
          <t>PDIA 50/50 Split</t>
        </is>
      </c>
      <c r="B14" s="33" t="inlineStr">
        <is>
          <t>50% cash / 50% reinvest (vs 80/20). Less cash now, more income growth later. Annuity income at age 80: $116,475 vs $117,223 base</t>
        </is>
      </c>
      <c r="C14" s="108" t="n">
        <v>7769345.607699704</v>
      </c>
      <c r="D14" s="108" t="n">
        <v>953083.821775167</v>
      </c>
      <c r="E14" s="217" t="inlineStr">
        <is>
          <t>YES</t>
        </is>
      </c>
      <c r="F14" s="108" t="n">
        <v>-97731.75574494433</v>
      </c>
    </row>
    <row r="15">
      <c r="A15" s="33" t="inlineStr">
        <is>
          <t>COMBINED Stress Test</t>
        </is>
      </c>
      <c r="B15" s="33" t="inlineStr">
        <is>
          <t>Stacked: sell home, low return, pdia low div</t>
        </is>
      </c>
      <c r="C15" s="108" t="n">
        <v>4508804.817692909</v>
      </c>
      <c r="D15" s="108" t="n">
        <v>1065983.24097026</v>
      </c>
      <c r="E15" s="217" t="inlineStr">
        <is>
          <t>YES</t>
        </is>
      </c>
      <c r="F15" s="108" t="n">
        <v>-3358272.545751739</v>
      </c>
    </row>
    <row r="16"/>
    <row r="17"/>
    <row r="18">
      <c r="A18" s="218"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9" t="inlineStr">
        <is>
          <t>Spending Reduction Analysis</t>
        </is>
      </c>
      <c r="B32" s="3" t="n"/>
      <c r="C32" s="3" t="n"/>
      <c r="D32" s="3" t="n"/>
      <c r="E32" s="3" t="n"/>
      <c r="F32" s="4" t="n"/>
    </row>
    <row r="33">
      <c r="A33" s="33" t="inlineStr">
        <is>
          <t>Current Base Spending</t>
        </is>
      </c>
      <c r="B33" s="108" t="n">
        <v>142706</v>
      </c>
    </row>
    <row r="34">
      <c r="A34" s="33" t="inlineStr">
        <is>
          <t>Reduced Spending (−10%)</t>
        </is>
      </c>
      <c r="B34" s="108" t="n">
        <v>128435.4</v>
      </c>
    </row>
    <row r="35">
      <c r="A35" s="33" t="inlineStr">
        <is>
          <t>Terminal NW with Reduction</t>
        </is>
      </c>
      <c r="B35" s="108" t="n">
        <v>9513436.175241655</v>
      </c>
    </row>
    <row r="36">
      <c r="A36" s="220" t="inlineStr">
        <is>
          <t>Increase in Terminal NW</t>
        </is>
      </c>
      <c r="B36" s="136" t="n">
        <v>1646358.811797006</v>
      </c>
    </row>
    <row r="37">
      <c r="A37" s="33" t="inlineStr">
        <is>
          <t>A 10% spending reduction ($14,271/yr) adds $1,646,359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21" t="inlineStr">
        <is>
          <t>CHARTS DASHBOARD — Matthew &amp; Patricia  ·  2026–2056</t>
        </is>
      </c>
    </row>
    <row r="2">
      <c r="A2" s="222" t="inlineStr">
        <is>
          <t>Net Worth by Component  ·  2026–2056</t>
        </is>
      </c>
      <c r="K2" s="223" t="inlineStr">
        <is>
          <t>Cash Flow — Income &amp; Portfolio Draws  ·  2026–2056</t>
        </is>
      </c>
      <c r="AC2" s="224" t="inlineStr">
        <is>
          <t>Cash Flow — Spending &amp; Taxes  ·  2026–2056</t>
        </is>
      </c>
      <c r="AQ2" s="225" t="inlineStr">
        <is>
          <t>MC Percentile Bands Data  ·  used by Chart 4</t>
        </is>
      </c>
    </row>
    <row r="3"/>
    <row r="4">
      <c r="A4" s="226" t="inlineStr">
        <is>
          <t>Year</t>
        </is>
      </c>
      <c r="B4" s="226" t="inlineStr">
        <is>
          <t>Annuities &amp; Pension</t>
        </is>
      </c>
      <c r="C4" s="226" t="inlineStr">
        <is>
          <t>Pre-Tax IRA/401k</t>
        </is>
      </c>
      <c r="D4" s="226" t="inlineStr">
        <is>
          <t>Roth</t>
        </is>
      </c>
      <c r="E4" s="226" t="inlineStr">
        <is>
          <t>Trust</t>
        </is>
      </c>
      <c r="F4" s="226" t="inlineStr">
        <is>
          <t>HSA</t>
        </is>
      </c>
      <c r="G4" s="226" t="inlineStr">
        <is>
          <t>Home Equity</t>
        </is>
      </c>
      <c r="H4" s="226" t="inlineStr">
        <is>
          <t>Other Assets</t>
        </is>
      </c>
      <c r="I4" s="227" t="inlineStr">
        <is>
          <t>Total NW</t>
        </is>
      </c>
      <c r="K4" s="226" t="inlineStr">
        <is>
          <t>Year</t>
        </is>
      </c>
      <c r="L4" s="226" t="inlineStr">
        <is>
          <t>Earned Income</t>
        </is>
      </c>
      <c r="M4" s="226" t="inlineStr">
        <is>
          <t>Matthew SS</t>
        </is>
      </c>
      <c r="N4" s="226" t="inlineStr">
        <is>
          <t>Patricia SS</t>
        </is>
      </c>
      <c r="O4" s="226" t="inlineStr">
        <is>
          <t>Pension</t>
        </is>
      </c>
      <c r="P4" s="226" t="inlineStr">
        <is>
          <t>Patricia Single Ann</t>
        </is>
      </c>
      <c r="Q4" s="226" t="inlineStr">
        <is>
          <t>Patricia Joint Ann</t>
        </is>
      </c>
      <c r="R4" s="226" t="inlineStr">
        <is>
          <t>Matthew Single Ann</t>
        </is>
      </c>
      <c r="S4" s="226" t="inlineStr">
        <is>
          <t>Matthew Joint Ann</t>
        </is>
      </c>
      <c r="T4" s="226" t="inlineStr">
        <is>
          <t>Note P+I</t>
        </is>
      </c>
      <c r="U4" s="226" t="inlineStr">
        <is>
          <t>RMD</t>
        </is>
      </c>
      <c r="V4" s="226" t="inlineStr">
        <is>
          <t>Trust Draw</t>
        </is>
      </c>
      <c r="W4" s="226" t="inlineStr">
        <is>
          <t>HSA Draw</t>
        </is>
      </c>
      <c r="X4" s="226" t="inlineStr">
        <is>
          <t>Roth Draw</t>
        </is>
      </c>
      <c r="Y4" s="226" t="inlineStr">
        <is>
          <t>IRA Draw</t>
        </is>
      </c>
      <c r="Z4" s="226" t="inlineStr">
        <is>
          <t>HELOC Draw</t>
        </is>
      </c>
      <c r="AA4" s="228" t="inlineStr">
        <is>
          <t>Σ Income</t>
        </is>
      </c>
      <c r="AC4" s="226" t="inlineStr">
        <is>
          <t>Year</t>
        </is>
      </c>
      <c r="AD4" s="226" t="inlineStr">
        <is>
          <t>Base Spending</t>
        </is>
      </c>
      <c r="AE4" s="226" t="inlineStr">
        <is>
          <t>Housing</t>
        </is>
      </c>
      <c r="AF4" s="226" t="inlineStr">
        <is>
          <t>Wellness</t>
        </is>
      </c>
      <c r="AG4" s="226" t="inlineStr">
        <is>
          <t>Travel</t>
        </is>
      </c>
      <c r="AH4" s="226" t="inlineStr">
        <is>
          <t>Other</t>
        </is>
      </c>
      <c r="AI4" s="226" t="inlineStr">
        <is>
          <t>Federal Tax</t>
        </is>
      </c>
      <c r="AJ4" s="226" t="inlineStr">
        <is>
          <t>State Tax (Il)</t>
        </is>
      </c>
      <c r="AK4" s="226" t="inlineStr">
        <is>
          <t>NIIT</t>
        </is>
      </c>
      <c r="AL4" s="226" t="inlineStr">
        <is>
          <t>Payroll Tax</t>
        </is>
      </c>
      <c r="AM4" s="226" t="inlineStr">
        <is>
          <t>HELOC P&amp;I</t>
        </is>
      </c>
      <c r="AN4" s="229" t="inlineStr">
        <is>
          <t>Σ Spend+Tax</t>
        </is>
      </c>
      <c r="AQ4" s="226" t="inlineStr">
        <is>
          <t>Year</t>
        </is>
      </c>
      <c r="AR4" s="226" t="inlineStr">
        <is>
          <t>P10</t>
        </is>
      </c>
      <c r="AS4" s="226" t="inlineStr">
        <is>
          <t>P25</t>
        </is>
      </c>
      <c r="AT4" s="226" t="inlineStr">
        <is>
          <t>P50 Median</t>
        </is>
      </c>
      <c r="AU4" s="226" t="inlineStr">
        <is>
          <t>P75</t>
        </is>
      </c>
      <c r="AV4" s="226" t="inlineStr">
        <is>
          <t>P90</t>
        </is>
      </c>
    </row>
    <row r="5">
      <c r="A5" s="230" t="n">
        <v>2026</v>
      </c>
      <c r="B5" s="231" t="n">
        <v>1360666</v>
      </c>
      <c r="C5" s="231" t="n">
        <v>1941367</v>
      </c>
      <c r="D5" s="231" t="n">
        <v>365002</v>
      </c>
      <c r="E5" s="231" t="n">
        <v>646830</v>
      </c>
      <c r="F5" s="231" t="n">
        <v>84424</v>
      </c>
      <c r="G5" s="231" t="n">
        <v>1061621</v>
      </c>
      <c r="H5" s="231" t="n">
        <v>547626</v>
      </c>
      <c r="I5" s="232" t="n">
        <v>6007536</v>
      </c>
      <c r="K5" s="230" t="n">
        <v>2026</v>
      </c>
      <c r="L5" s="231" t="n">
        <v>290000</v>
      </c>
      <c r="M5" s="231" t="n">
        <v>0</v>
      </c>
      <c r="N5" s="231" t="n">
        <v>0</v>
      </c>
      <c r="O5" s="231" t="n">
        <v>4512</v>
      </c>
      <c r="P5" s="231" t="n">
        <v>0</v>
      </c>
      <c r="Q5" s="231" t="n">
        <v>0</v>
      </c>
      <c r="R5" s="231" t="n">
        <v>0</v>
      </c>
      <c r="S5" s="231" t="n">
        <v>0</v>
      </c>
      <c r="T5" s="231" t="n">
        <v>100547</v>
      </c>
      <c r="U5" s="231" t="n">
        <v>0</v>
      </c>
      <c r="V5" s="231" t="n">
        <v>0</v>
      </c>
      <c r="W5" s="231" t="n">
        <v>0</v>
      </c>
      <c r="X5" s="231" t="n">
        <v>0</v>
      </c>
      <c r="Y5" s="231" t="n">
        <v>0</v>
      </c>
      <c r="Z5" s="231" t="n">
        <v>0</v>
      </c>
      <c r="AA5" s="232" t="n">
        <v>395059</v>
      </c>
      <c r="AC5" s="230" t="n">
        <v>2026</v>
      </c>
      <c r="AD5" s="231" t="n">
        <v>142706</v>
      </c>
      <c r="AE5" s="231" t="n">
        <v>105600</v>
      </c>
      <c r="AF5" s="231" t="n">
        <v>21760</v>
      </c>
      <c r="AG5" s="231" t="n">
        <v>0</v>
      </c>
      <c r="AH5" s="231" t="n">
        <v>0</v>
      </c>
      <c r="AI5" s="231" t="n">
        <v>44139</v>
      </c>
      <c r="AJ5" s="231" t="n">
        <v>15734</v>
      </c>
      <c r="AK5" s="231" t="n">
        <v>0</v>
      </c>
      <c r="AL5" s="231" t="n">
        <v>0</v>
      </c>
      <c r="AM5" s="231" t="n">
        <v>0</v>
      </c>
      <c r="AN5" s="232" t="n">
        <v>329939</v>
      </c>
      <c r="AQ5" s="230" t="n">
        <v>2026</v>
      </c>
      <c r="AR5" s="231" t="n">
        <v>5889990.842535384</v>
      </c>
      <c r="AS5" s="231" t="n">
        <v>5957332.390148232</v>
      </c>
      <c r="AT5" s="231" t="n">
        <v>6116468.861189939</v>
      </c>
      <c r="AU5" s="231" t="n">
        <v>6248477.381537726</v>
      </c>
      <c r="AV5" s="231" t="n">
        <v>6344942.298863876</v>
      </c>
    </row>
    <row r="6">
      <c r="A6" s="233" t="n">
        <v>2027</v>
      </c>
      <c r="B6" s="234" t="n">
        <v>1437523</v>
      </c>
      <c r="C6" s="234" t="n">
        <v>1820304</v>
      </c>
      <c r="D6" s="234" t="n">
        <v>624447</v>
      </c>
      <c r="E6" s="234" t="n">
        <v>348168</v>
      </c>
      <c r="F6" s="234" t="n">
        <v>89489</v>
      </c>
      <c r="G6" s="234" t="n">
        <v>1132406</v>
      </c>
      <c r="H6" s="234" t="n">
        <v>480568</v>
      </c>
      <c r="I6" s="235" t="n">
        <v>5932905</v>
      </c>
      <c r="K6" s="233" t="n">
        <v>2027</v>
      </c>
      <c r="L6" s="234" t="n">
        <v>0</v>
      </c>
      <c r="M6" s="234" t="n">
        <v>0</v>
      </c>
      <c r="N6" s="234" t="n">
        <v>0</v>
      </c>
      <c r="O6" s="234" t="n">
        <v>4512</v>
      </c>
      <c r="P6" s="234" t="n">
        <v>0</v>
      </c>
      <c r="Q6" s="234" t="n">
        <v>0</v>
      </c>
      <c r="R6" s="234" t="n">
        <v>0</v>
      </c>
      <c r="S6" s="234" t="n">
        <v>0</v>
      </c>
      <c r="T6" s="234" t="n">
        <v>91446</v>
      </c>
      <c r="U6" s="234" t="n">
        <v>0</v>
      </c>
      <c r="V6" s="234" t="n">
        <v>312228</v>
      </c>
      <c r="W6" s="234" t="n">
        <v>0</v>
      </c>
      <c r="X6" s="234" t="n">
        <v>0</v>
      </c>
      <c r="Y6" s="234" t="n">
        <v>0</v>
      </c>
      <c r="Z6" s="234" t="n">
        <v>0</v>
      </c>
      <c r="AA6" s="235" t="n">
        <v>408186</v>
      </c>
      <c r="AC6" s="233" t="n">
        <v>2027</v>
      </c>
      <c r="AD6" s="234" t="n">
        <v>146274</v>
      </c>
      <c r="AE6" s="234" t="n">
        <v>107340</v>
      </c>
      <c r="AF6" s="234" t="n">
        <v>35186</v>
      </c>
      <c r="AG6" s="234" t="n">
        <v>0</v>
      </c>
      <c r="AH6" s="234" t="n">
        <v>100000</v>
      </c>
      <c r="AI6" s="234" t="n">
        <v>41329</v>
      </c>
      <c r="AJ6" s="234" t="n">
        <v>2215</v>
      </c>
      <c r="AK6" s="234" t="n">
        <v>888</v>
      </c>
      <c r="AL6" s="234" t="n">
        <v>0</v>
      </c>
      <c r="AM6" s="234" t="n">
        <v>0</v>
      </c>
      <c r="AN6" s="235" t="n">
        <v>433232</v>
      </c>
      <c r="AQ6" s="233" t="n">
        <v>2027</v>
      </c>
      <c r="AR6" s="234" t="n">
        <v>5414858.874330752</v>
      </c>
      <c r="AS6" s="234" t="n">
        <v>5829420.352313109</v>
      </c>
      <c r="AT6" s="234" t="n">
        <v>6133889.297073562</v>
      </c>
      <c r="AU6" s="234" t="n">
        <v>6368609.783093402</v>
      </c>
      <c r="AV6" s="234" t="n">
        <v>6672496.272535829</v>
      </c>
    </row>
    <row r="7">
      <c r="A7" s="230" t="n">
        <v>2028</v>
      </c>
      <c r="B7" s="231" t="n">
        <v>1518992</v>
      </c>
      <c r="C7" s="231" t="n">
        <v>1704292</v>
      </c>
      <c r="D7" s="231" t="n">
        <v>887143</v>
      </c>
      <c r="E7" s="231" t="n">
        <v>97145</v>
      </c>
      <c r="F7" s="231" t="n">
        <v>94858</v>
      </c>
      <c r="G7" s="231" t="n">
        <v>1205010</v>
      </c>
      <c r="H7" s="231" t="n">
        <v>413511</v>
      </c>
      <c r="I7" s="232" t="n">
        <v>5920951</v>
      </c>
      <c r="K7" s="230" t="n">
        <v>2028</v>
      </c>
      <c r="L7" s="231" t="n">
        <v>0</v>
      </c>
      <c r="M7" s="231" t="n">
        <v>0</v>
      </c>
      <c r="N7" s="231" t="n">
        <v>0</v>
      </c>
      <c r="O7" s="231" t="n">
        <v>4512</v>
      </c>
      <c r="P7" s="231" t="n">
        <v>0</v>
      </c>
      <c r="Q7" s="231" t="n">
        <v>27611</v>
      </c>
      <c r="R7" s="231" t="n">
        <v>0</v>
      </c>
      <c r="S7" s="231" t="n">
        <v>0</v>
      </c>
      <c r="T7" s="231" t="n">
        <v>86732</v>
      </c>
      <c r="U7" s="231" t="n">
        <v>0</v>
      </c>
      <c r="V7" s="231" t="n">
        <v>254809</v>
      </c>
      <c r="W7" s="231" t="n">
        <v>0</v>
      </c>
      <c r="X7" s="231" t="n">
        <v>0</v>
      </c>
      <c r="Y7" s="231" t="n">
        <v>0</v>
      </c>
      <c r="Z7" s="231" t="n">
        <v>0</v>
      </c>
      <c r="AA7" s="232" t="n">
        <v>373664</v>
      </c>
      <c r="AC7" s="230" t="n">
        <v>2028</v>
      </c>
      <c r="AD7" s="231" t="n">
        <v>149930</v>
      </c>
      <c r="AE7" s="231" t="n">
        <v>109124</v>
      </c>
      <c r="AF7" s="231" t="n">
        <v>36941</v>
      </c>
      <c r="AG7" s="231" t="n">
        <v>0</v>
      </c>
      <c r="AH7" s="231" t="n">
        <v>50000</v>
      </c>
      <c r="AI7" s="231" t="n">
        <v>42256</v>
      </c>
      <c r="AJ7" s="231" t="n">
        <v>1694</v>
      </c>
      <c r="AK7" s="231" t="n">
        <v>1095</v>
      </c>
      <c r="AL7" s="231" t="n">
        <v>0</v>
      </c>
      <c r="AM7" s="231" t="n">
        <v>0</v>
      </c>
      <c r="AN7" s="232" t="n">
        <v>391040</v>
      </c>
      <c r="AQ7" s="230" t="n">
        <v>2028</v>
      </c>
      <c r="AR7" s="231" t="n">
        <v>5315760.872515993</v>
      </c>
      <c r="AS7" s="231" t="n">
        <v>5669212.23326591</v>
      </c>
      <c r="AT7" s="231" t="n">
        <v>6162946.116922238</v>
      </c>
      <c r="AU7" s="231" t="n">
        <v>6458076.572554987</v>
      </c>
      <c r="AV7" s="231" t="n">
        <v>7016382.090347119</v>
      </c>
    </row>
    <row r="8">
      <c r="A8" s="233" t="n">
        <v>2029</v>
      </c>
      <c r="B8" s="234" t="n">
        <v>1576080</v>
      </c>
      <c r="C8" s="234" t="n">
        <v>1605106</v>
      </c>
      <c r="D8" s="234" t="n">
        <v>1092769</v>
      </c>
      <c r="E8" s="234" t="n">
        <v>0</v>
      </c>
      <c r="F8" s="234" t="n">
        <v>100550</v>
      </c>
      <c r="G8" s="234" t="n">
        <v>1279481</v>
      </c>
      <c r="H8" s="234" t="n">
        <v>346454</v>
      </c>
      <c r="I8" s="235" t="n">
        <v>6000440</v>
      </c>
      <c r="K8" s="233" t="n">
        <v>2029</v>
      </c>
      <c r="L8" s="234" t="n">
        <v>0</v>
      </c>
      <c r="M8" s="234" t="n">
        <v>0</v>
      </c>
      <c r="N8" s="234" t="n">
        <v>0</v>
      </c>
      <c r="O8" s="234" t="n">
        <v>4512</v>
      </c>
      <c r="P8" s="234" t="n">
        <v>4600</v>
      </c>
      <c r="Q8" s="234" t="n">
        <v>27437</v>
      </c>
      <c r="R8" s="234" t="n">
        <v>8123</v>
      </c>
      <c r="S8" s="234" t="n">
        <v>71336</v>
      </c>
      <c r="T8" s="234" t="n">
        <v>82017</v>
      </c>
      <c r="U8" s="234" t="n">
        <v>0</v>
      </c>
      <c r="V8" s="234" t="n">
        <v>97145</v>
      </c>
      <c r="W8" s="234" t="n">
        <v>0</v>
      </c>
      <c r="X8" s="234" t="n">
        <v>0</v>
      </c>
      <c r="Y8" s="234" t="n">
        <v>46270</v>
      </c>
      <c r="Z8" s="234" t="n">
        <v>0</v>
      </c>
      <c r="AA8" s="235" t="n">
        <v>341440</v>
      </c>
      <c r="AC8" s="233" t="n">
        <v>2029</v>
      </c>
      <c r="AD8" s="234" t="n">
        <v>153679</v>
      </c>
      <c r="AE8" s="234" t="n">
        <v>110952</v>
      </c>
      <c r="AF8" s="234" t="n">
        <v>38790</v>
      </c>
      <c r="AG8" s="234" t="n">
        <v>0</v>
      </c>
      <c r="AH8" s="234" t="n">
        <v>0</v>
      </c>
      <c r="AI8" s="234" t="n">
        <v>42745</v>
      </c>
      <c r="AJ8" s="234" t="n">
        <v>1704</v>
      </c>
      <c r="AK8" s="234" t="n">
        <v>1196</v>
      </c>
      <c r="AL8" s="234" t="n">
        <v>0</v>
      </c>
      <c r="AM8" s="234" t="n">
        <v>0</v>
      </c>
      <c r="AN8" s="235" t="n">
        <v>349066</v>
      </c>
      <c r="AQ8" s="233" t="n">
        <v>2029</v>
      </c>
      <c r="AR8" s="234" t="n">
        <v>5133190.630720186</v>
      </c>
      <c r="AS8" s="234" t="n">
        <v>5741636.926698485</v>
      </c>
      <c r="AT8" s="234" t="n">
        <v>6538217.204995528</v>
      </c>
      <c r="AU8" s="234" t="n">
        <v>6920288.897591485</v>
      </c>
      <c r="AV8" s="234" t="n">
        <v>7434117.054253696</v>
      </c>
    </row>
    <row r="9">
      <c r="A9" s="230" t="n">
        <v>2030</v>
      </c>
      <c r="B9" s="231" t="n">
        <v>1547677</v>
      </c>
      <c r="C9" s="231" t="n">
        <v>1424948</v>
      </c>
      <c r="D9" s="231" t="n">
        <v>1322951</v>
      </c>
      <c r="E9" s="231" t="n">
        <v>0</v>
      </c>
      <c r="F9" s="231" t="n">
        <v>106583</v>
      </c>
      <c r="G9" s="231" t="n">
        <v>1355868</v>
      </c>
      <c r="H9" s="231" t="n">
        <v>213396</v>
      </c>
      <c r="I9" s="232" t="n">
        <v>5971423</v>
      </c>
      <c r="K9" s="230" t="n">
        <v>2030</v>
      </c>
      <c r="L9" s="231" t="n">
        <v>0</v>
      </c>
      <c r="M9" s="231" t="n">
        <v>0</v>
      </c>
      <c r="N9" s="231" t="n">
        <v>0</v>
      </c>
      <c r="O9" s="231" t="n">
        <v>4512</v>
      </c>
      <c r="P9" s="231" t="n">
        <v>4583</v>
      </c>
      <c r="Q9" s="231" t="n">
        <v>27268</v>
      </c>
      <c r="R9" s="231" t="n">
        <v>8088</v>
      </c>
      <c r="S9" s="231" t="n">
        <v>70915</v>
      </c>
      <c r="T9" s="231" t="n">
        <v>77303</v>
      </c>
      <c r="U9" s="231" t="n">
        <v>0</v>
      </c>
      <c r="V9" s="231" t="n">
        <v>66000</v>
      </c>
      <c r="W9" s="231" t="n">
        <v>0</v>
      </c>
      <c r="X9" s="231" t="n">
        <v>0</v>
      </c>
      <c r="Y9" s="231" t="n">
        <v>105518</v>
      </c>
      <c r="Z9" s="231" t="n">
        <v>0</v>
      </c>
      <c r="AA9" s="232" t="n">
        <v>364187</v>
      </c>
      <c r="AC9" s="230" t="n">
        <v>2030</v>
      </c>
      <c r="AD9" s="231" t="n">
        <v>157521</v>
      </c>
      <c r="AE9" s="231" t="n">
        <v>112825</v>
      </c>
      <c r="AF9" s="231" t="n">
        <v>40738</v>
      </c>
      <c r="AG9" s="231" t="n">
        <v>0</v>
      </c>
      <c r="AH9" s="231" t="n">
        <v>0</v>
      </c>
      <c r="AI9" s="231" t="n">
        <v>44332</v>
      </c>
      <c r="AJ9" s="231" t="n">
        <v>1445</v>
      </c>
      <c r="AK9" s="231" t="n">
        <v>1109</v>
      </c>
      <c r="AL9" s="231" t="n">
        <v>6217</v>
      </c>
      <c r="AM9" s="231" t="n">
        <v>0</v>
      </c>
      <c r="AN9" s="232" t="n">
        <v>364187</v>
      </c>
      <c r="AQ9" s="230" t="n">
        <v>2030</v>
      </c>
      <c r="AR9" s="231" t="n">
        <v>4918476.423201844</v>
      </c>
      <c r="AS9" s="231" t="n">
        <v>5593643.362042287</v>
      </c>
      <c r="AT9" s="231" t="n">
        <v>6565541.572350612</v>
      </c>
      <c r="AU9" s="231" t="n">
        <v>7150717.334784303</v>
      </c>
      <c r="AV9" s="231" t="n">
        <v>7917429.432484565</v>
      </c>
    </row>
    <row r="10">
      <c r="A10" s="233" t="n">
        <v>2031</v>
      </c>
      <c r="B10" s="234" t="n">
        <v>1518250</v>
      </c>
      <c r="C10" s="234" t="n">
        <v>1278902</v>
      </c>
      <c r="D10" s="234" t="n">
        <v>1535111</v>
      </c>
      <c r="E10" s="234" t="n">
        <v>0</v>
      </c>
      <c r="F10" s="234" t="n">
        <v>101680</v>
      </c>
      <c r="G10" s="234" t="n">
        <v>1434223</v>
      </c>
      <c r="H10" s="234" t="n">
        <v>146339</v>
      </c>
      <c r="I10" s="235" t="n">
        <v>6014505</v>
      </c>
      <c r="K10" s="233" t="n">
        <v>2031</v>
      </c>
      <c r="L10" s="234" t="n">
        <v>0</v>
      </c>
      <c r="M10" s="234" t="n">
        <v>0</v>
      </c>
      <c r="N10" s="234" t="n">
        <v>50088</v>
      </c>
      <c r="O10" s="234" t="n">
        <v>4512</v>
      </c>
      <c r="P10" s="234" t="n">
        <v>4567</v>
      </c>
      <c r="Q10" s="234" t="n">
        <v>27109</v>
      </c>
      <c r="R10" s="234" t="n">
        <v>8055</v>
      </c>
      <c r="S10" s="234" t="n">
        <v>70503</v>
      </c>
      <c r="T10" s="234" t="n">
        <v>72588</v>
      </c>
      <c r="U10" s="234" t="n">
        <v>0</v>
      </c>
      <c r="V10" s="234" t="n">
        <v>0</v>
      </c>
      <c r="W10" s="234" t="n">
        <v>10658</v>
      </c>
      <c r="X10" s="234" t="n">
        <v>0</v>
      </c>
      <c r="Y10" s="234" t="n">
        <v>93170</v>
      </c>
      <c r="Z10" s="234" t="n">
        <v>0</v>
      </c>
      <c r="AA10" s="235" t="n">
        <v>341250</v>
      </c>
      <c r="AC10" s="233" t="n">
        <v>2031</v>
      </c>
      <c r="AD10" s="234" t="n">
        <v>161459</v>
      </c>
      <c r="AE10" s="234" t="n">
        <v>86461</v>
      </c>
      <c r="AF10" s="234" t="n">
        <v>42792</v>
      </c>
      <c r="AG10" s="234" t="n">
        <v>0</v>
      </c>
      <c r="AH10" s="234" t="n">
        <v>0</v>
      </c>
      <c r="AI10" s="234" t="n">
        <v>45235</v>
      </c>
      <c r="AJ10" s="234" t="n">
        <v>1140</v>
      </c>
      <c r="AK10" s="234" t="n">
        <v>0</v>
      </c>
      <c r="AL10" s="234" t="n">
        <v>4163</v>
      </c>
      <c r="AM10" s="234" t="n">
        <v>0</v>
      </c>
      <c r="AN10" s="235" t="n">
        <v>341250</v>
      </c>
      <c r="AQ10" s="233" t="n">
        <v>2031</v>
      </c>
      <c r="AR10" s="234" t="n">
        <v>4810406.208486319</v>
      </c>
      <c r="AS10" s="234" t="n">
        <v>5789914.942034069</v>
      </c>
      <c r="AT10" s="234" t="n">
        <v>6763235.090986274</v>
      </c>
      <c r="AU10" s="234" t="n">
        <v>7644642.497781562</v>
      </c>
      <c r="AV10" s="234" t="n">
        <v>8032636.256281877</v>
      </c>
    </row>
    <row r="11">
      <c r="A11" s="230" t="n">
        <v>2032</v>
      </c>
      <c r="B11" s="231" t="n">
        <v>1487715</v>
      </c>
      <c r="C11" s="231" t="n">
        <v>1031359</v>
      </c>
      <c r="D11" s="231" t="n">
        <v>1742661</v>
      </c>
      <c r="E11" s="231" t="n">
        <v>0</v>
      </c>
      <c r="F11" s="231" t="n">
        <v>95805</v>
      </c>
      <c r="G11" s="231" t="n">
        <v>1514599</v>
      </c>
      <c r="H11" s="231" t="n">
        <v>79282</v>
      </c>
      <c r="I11" s="232" t="n">
        <v>5951421</v>
      </c>
      <c r="K11" s="230" t="n">
        <v>2032</v>
      </c>
      <c r="L11" s="231" t="n">
        <v>0</v>
      </c>
      <c r="M11" s="231" t="n">
        <v>47549</v>
      </c>
      <c r="N11" s="231" t="n">
        <v>39850</v>
      </c>
      <c r="O11" s="231" t="n">
        <v>4512</v>
      </c>
      <c r="P11" s="231" t="n">
        <v>4552</v>
      </c>
      <c r="Q11" s="231" t="n">
        <v>26960</v>
      </c>
      <c r="R11" s="231" t="n">
        <v>8023</v>
      </c>
      <c r="S11" s="231" t="n">
        <v>70118</v>
      </c>
      <c r="T11" s="231" t="n">
        <v>63730</v>
      </c>
      <c r="U11" s="231" t="n">
        <v>0</v>
      </c>
      <c r="V11" s="231" t="n">
        <v>0</v>
      </c>
      <c r="W11" s="231" t="n">
        <v>11298</v>
      </c>
      <c r="X11" s="231" t="n">
        <v>0</v>
      </c>
      <c r="Y11" s="231" t="n">
        <v>197013</v>
      </c>
      <c r="Z11" s="231" t="n">
        <v>0</v>
      </c>
      <c r="AA11" s="232" t="n">
        <v>473605</v>
      </c>
      <c r="AC11" s="230" t="n">
        <v>2032</v>
      </c>
      <c r="AD11" s="231" t="n">
        <v>165495</v>
      </c>
      <c r="AE11" s="231" t="n">
        <v>87722</v>
      </c>
      <c r="AF11" s="231" t="n">
        <v>44956</v>
      </c>
      <c r="AG11" s="231" t="n">
        <v>0</v>
      </c>
      <c r="AH11" s="231" t="n">
        <v>100000</v>
      </c>
      <c r="AI11" s="231" t="n">
        <v>46156</v>
      </c>
      <c r="AJ11" s="231" t="n">
        <v>700</v>
      </c>
      <c r="AK11" s="231" t="n">
        <v>0</v>
      </c>
      <c r="AL11" s="231" t="n">
        <v>28576</v>
      </c>
      <c r="AM11" s="231" t="n">
        <v>0</v>
      </c>
      <c r="AN11" s="232" t="n">
        <v>473605</v>
      </c>
      <c r="AQ11" s="230" t="n">
        <v>2032</v>
      </c>
      <c r="AR11" s="231" t="n">
        <v>4506716.026163744</v>
      </c>
      <c r="AS11" s="231" t="n">
        <v>5522578.722919991</v>
      </c>
      <c r="AT11" s="231" t="n">
        <v>6773578.088347724</v>
      </c>
      <c r="AU11" s="231" t="n">
        <v>7678719.197724083</v>
      </c>
      <c r="AV11" s="231" t="n">
        <v>8590579.574488206</v>
      </c>
    </row>
    <row r="12">
      <c r="A12" s="233" t="n">
        <v>2033</v>
      </c>
      <c r="B12" s="234" t="n">
        <v>1455962</v>
      </c>
      <c r="C12" s="234" t="n">
        <v>889094</v>
      </c>
      <c r="D12" s="234" t="n">
        <v>1970417</v>
      </c>
      <c r="E12" s="234" t="n">
        <v>0</v>
      </c>
      <c r="F12" s="234" t="n">
        <v>88859</v>
      </c>
      <c r="G12" s="234" t="n">
        <v>1597049</v>
      </c>
      <c r="H12" s="234" t="n">
        <v>20000</v>
      </c>
      <c r="I12" s="235" t="n">
        <v>6021381</v>
      </c>
      <c r="K12" s="233" t="n">
        <v>2033</v>
      </c>
      <c r="L12" s="234" t="n">
        <v>0</v>
      </c>
      <c r="M12" s="234" t="n">
        <v>48500</v>
      </c>
      <c r="N12" s="234" t="n">
        <v>40647</v>
      </c>
      <c r="O12" s="234" t="n">
        <v>4512</v>
      </c>
      <c r="P12" s="234" t="n">
        <v>4538</v>
      </c>
      <c r="Q12" s="234" t="n">
        <v>26822</v>
      </c>
      <c r="R12" s="234" t="n">
        <v>7994</v>
      </c>
      <c r="S12" s="234" t="n">
        <v>69759</v>
      </c>
      <c r="T12" s="234" t="n">
        <v>61552</v>
      </c>
      <c r="U12" s="234" t="n">
        <v>0</v>
      </c>
      <c r="V12" s="234" t="n">
        <v>0</v>
      </c>
      <c r="W12" s="234" t="n">
        <v>11976</v>
      </c>
      <c r="X12" s="234" t="n">
        <v>0</v>
      </c>
      <c r="Y12" s="234" t="n">
        <v>76368</v>
      </c>
      <c r="Z12" s="234" t="n">
        <v>0</v>
      </c>
      <c r="AA12" s="235" t="n">
        <v>352668</v>
      </c>
      <c r="AC12" s="233" t="n">
        <v>2033</v>
      </c>
      <c r="AD12" s="234" t="n">
        <v>169633</v>
      </c>
      <c r="AE12" s="234" t="n">
        <v>89015</v>
      </c>
      <c r="AF12" s="234" t="n">
        <v>47237</v>
      </c>
      <c r="AG12" s="234" t="n">
        <v>0</v>
      </c>
      <c r="AH12" s="234" t="n">
        <v>0</v>
      </c>
      <c r="AI12" s="234" t="n">
        <v>47096</v>
      </c>
      <c r="AJ12" s="234" t="n">
        <v>588</v>
      </c>
      <c r="AK12" s="234" t="n">
        <v>0</v>
      </c>
      <c r="AL12" s="234" t="n">
        <v>0</v>
      </c>
      <c r="AM12" s="234" t="n">
        <v>0</v>
      </c>
      <c r="AN12" s="235" t="n">
        <v>353569</v>
      </c>
      <c r="AQ12" s="233" t="n">
        <v>2033</v>
      </c>
      <c r="AR12" s="234" t="n">
        <v>4760184.670010842</v>
      </c>
      <c r="AS12" s="234" t="n">
        <v>5534036.728685459</v>
      </c>
      <c r="AT12" s="234" t="n">
        <v>6917355.302208296</v>
      </c>
      <c r="AU12" s="234" t="n">
        <v>7946233.751795284</v>
      </c>
      <c r="AV12" s="234" t="n">
        <v>9401355.143275373</v>
      </c>
    </row>
    <row r="13">
      <c r="A13" s="230" t="n">
        <v>2034</v>
      </c>
      <c r="B13" s="231" t="n">
        <v>1422877</v>
      </c>
      <c r="C13" s="231" t="n">
        <v>635866</v>
      </c>
      <c r="D13" s="231" t="n">
        <v>2219652</v>
      </c>
      <c r="E13" s="231" t="n">
        <v>0</v>
      </c>
      <c r="F13" s="231" t="n">
        <v>80735</v>
      </c>
      <c r="G13" s="231" t="n">
        <v>1681629</v>
      </c>
      <c r="H13" s="231" t="n">
        <v>20000</v>
      </c>
      <c r="I13" s="232" t="n">
        <v>6060759</v>
      </c>
      <c r="K13" s="230" t="n">
        <v>2034</v>
      </c>
      <c r="L13" s="231" t="n">
        <v>0</v>
      </c>
      <c r="M13" s="231" t="n">
        <v>49470</v>
      </c>
      <c r="N13" s="231" t="n">
        <v>41460</v>
      </c>
      <c r="O13" s="231" t="n">
        <v>4512</v>
      </c>
      <c r="P13" s="231" t="n">
        <v>4526</v>
      </c>
      <c r="Q13" s="231" t="n">
        <v>26693</v>
      </c>
      <c r="R13" s="231" t="n">
        <v>7967</v>
      </c>
      <c r="S13" s="231" t="n">
        <v>69423</v>
      </c>
      <c r="T13" s="231" t="n">
        <v>0</v>
      </c>
      <c r="U13" s="231" t="n">
        <v>0</v>
      </c>
      <c r="V13" s="231" t="n">
        <v>0</v>
      </c>
      <c r="W13" s="231" t="n">
        <v>12694</v>
      </c>
      <c r="X13" s="231" t="n">
        <v>0</v>
      </c>
      <c r="Y13" s="231" t="n">
        <v>165627</v>
      </c>
      <c r="Z13" s="231" t="n">
        <v>0</v>
      </c>
      <c r="AA13" s="232" t="n">
        <v>382372</v>
      </c>
      <c r="AC13" s="230" t="n">
        <v>2034</v>
      </c>
      <c r="AD13" s="231" t="n">
        <v>173873</v>
      </c>
      <c r="AE13" s="231" t="n">
        <v>90341</v>
      </c>
      <c r="AF13" s="231" t="n">
        <v>49640</v>
      </c>
      <c r="AG13" s="231" t="n">
        <v>0</v>
      </c>
      <c r="AH13" s="231" t="n">
        <v>0</v>
      </c>
      <c r="AI13" s="231" t="n">
        <v>48054</v>
      </c>
      <c r="AJ13" s="231" t="n">
        <v>476</v>
      </c>
      <c r="AK13" s="231" t="n">
        <v>0</v>
      </c>
      <c r="AL13" s="231" t="n">
        <v>19988</v>
      </c>
      <c r="AM13" s="231" t="n">
        <v>0</v>
      </c>
      <c r="AN13" s="232" t="n">
        <v>382372</v>
      </c>
      <c r="AQ13" s="230" t="n">
        <v>2034</v>
      </c>
      <c r="AR13" s="231" t="n">
        <v>4641654.717040862</v>
      </c>
      <c r="AS13" s="231" t="n">
        <v>5711054.187094379</v>
      </c>
      <c r="AT13" s="231" t="n">
        <v>6865727.591773255</v>
      </c>
      <c r="AU13" s="231" t="n">
        <v>7849738.17391428</v>
      </c>
      <c r="AV13" s="231" t="n">
        <v>9365890.280762989</v>
      </c>
    </row>
    <row r="14">
      <c r="A14" s="233" t="n">
        <v>2035</v>
      </c>
      <c r="B14" s="234" t="n">
        <v>1388342</v>
      </c>
      <c r="C14" s="234" t="n">
        <v>410733</v>
      </c>
      <c r="D14" s="234" t="n">
        <v>2486016</v>
      </c>
      <c r="E14" s="234" t="n">
        <v>0</v>
      </c>
      <c r="F14" s="234" t="n">
        <v>71316</v>
      </c>
      <c r="G14" s="234" t="n">
        <v>1764562</v>
      </c>
      <c r="H14" s="234" t="n">
        <v>20000</v>
      </c>
      <c r="I14" s="235" t="n">
        <v>6140969</v>
      </c>
      <c r="K14" s="233" t="n">
        <v>2035</v>
      </c>
      <c r="L14" s="234" t="n">
        <v>0</v>
      </c>
      <c r="M14" s="234" t="n">
        <v>50459</v>
      </c>
      <c r="N14" s="234" t="n">
        <v>42289</v>
      </c>
      <c r="O14" s="234" t="n">
        <v>4512</v>
      </c>
      <c r="P14" s="234" t="n">
        <v>4514</v>
      </c>
      <c r="Q14" s="234" t="n">
        <v>29725</v>
      </c>
      <c r="R14" s="234" t="n">
        <v>7941</v>
      </c>
      <c r="S14" s="234" t="n">
        <v>69111</v>
      </c>
      <c r="T14" s="234" t="n">
        <v>0</v>
      </c>
      <c r="U14" s="234" t="n">
        <v>0</v>
      </c>
      <c r="V14" s="234" t="n">
        <v>0</v>
      </c>
      <c r="W14" s="234" t="n">
        <v>13456</v>
      </c>
      <c r="X14" s="234" t="n">
        <v>0</v>
      </c>
      <c r="Y14" s="234" t="n">
        <v>122736</v>
      </c>
      <c r="Z14" s="234" t="n">
        <v>0</v>
      </c>
      <c r="AA14" s="235" t="n">
        <v>344743</v>
      </c>
      <c r="AC14" s="233" t="n">
        <v>2035</v>
      </c>
      <c r="AD14" s="234" t="n">
        <v>178220</v>
      </c>
      <c r="AE14" s="234" t="n">
        <v>55699</v>
      </c>
      <c r="AF14" s="234" t="n">
        <v>52174</v>
      </c>
      <c r="AG14" s="234" t="n">
        <v>0</v>
      </c>
      <c r="AH14" s="234" t="n">
        <v>0</v>
      </c>
      <c r="AI14" s="234" t="n">
        <v>49031</v>
      </c>
      <c r="AJ14" s="234" t="n">
        <v>475</v>
      </c>
      <c r="AK14" s="234" t="n">
        <v>0</v>
      </c>
      <c r="AL14" s="234" t="n">
        <v>9144</v>
      </c>
      <c r="AM14" s="234" t="n">
        <v>0</v>
      </c>
      <c r="AN14" s="235" t="n">
        <v>344743</v>
      </c>
      <c r="AQ14" s="233" t="n">
        <v>2035</v>
      </c>
      <c r="AR14" s="234" t="n">
        <v>4483845.420336449</v>
      </c>
      <c r="AS14" s="234" t="n">
        <v>5591320.461539689</v>
      </c>
      <c r="AT14" s="234" t="n">
        <v>7145983.022922767</v>
      </c>
      <c r="AU14" s="234" t="n">
        <v>7683130.115046559</v>
      </c>
      <c r="AV14" s="234" t="n">
        <v>9510205.329758016</v>
      </c>
    </row>
    <row r="15">
      <c r="A15" s="230" t="n">
        <v>2036</v>
      </c>
      <c r="B15" s="231" t="n">
        <v>1348892</v>
      </c>
      <c r="C15" s="231" t="n">
        <v>348134</v>
      </c>
      <c r="D15" s="231" t="n">
        <v>2635176</v>
      </c>
      <c r="E15" s="231" t="n">
        <v>0</v>
      </c>
      <c r="F15" s="231" t="n">
        <v>60476</v>
      </c>
      <c r="G15" s="231" t="n">
        <v>1817499</v>
      </c>
      <c r="H15" s="231" t="n">
        <v>20000</v>
      </c>
      <c r="I15" s="232" t="n">
        <v>6230177</v>
      </c>
      <c r="K15" s="230" t="n">
        <v>2036</v>
      </c>
      <c r="L15" s="231" t="n">
        <v>0</v>
      </c>
      <c r="M15" s="231" t="n">
        <v>51468</v>
      </c>
      <c r="N15" s="231" t="n">
        <v>43135</v>
      </c>
      <c r="O15" s="231" t="n">
        <v>4512</v>
      </c>
      <c r="P15" s="231" t="n">
        <v>4809</v>
      </c>
      <c r="Q15" s="231" t="n">
        <v>29362</v>
      </c>
      <c r="R15" s="231" t="n">
        <v>8540</v>
      </c>
      <c r="S15" s="231" t="n">
        <v>76457</v>
      </c>
      <c r="T15" s="231" t="n">
        <v>0</v>
      </c>
      <c r="U15" s="231" t="n">
        <v>0</v>
      </c>
      <c r="V15" s="231" t="n">
        <v>0</v>
      </c>
      <c r="W15" s="231" t="n">
        <v>14263</v>
      </c>
      <c r="X15" s="231" t="n">
        <v>0</v>
      </c>
      <c r="Y15" s="231" t="n">
        <v>82305</v>
      </c>
      <c r="Z15" s="231" t="n">
        <v>0</v>
      </c>
      <c r="AA15" s="232" t="n">
        <v>314851</v>
      </c>
      <c r="AC15" s="230" t="n">
        <v>2036</v>
      </c>
      <c r="AD15" s="231" t="n">
        <v>182676</v>
      </c>
      <c r="AE15" s="231" t="n">
        <v>57092</v>
      </c>
      <c r="AF15" s="231" t="n">
        <v>54844</v>
      </c>
      <c r="AG15" s="231" t="n">
        <v>0</v>
      </c>
      <c r="AH15" s="231" t="n">
        <v>0</v>
      </c>
      <c r="AI15" s="231" t="n">
        <v>22498</v>
      </c>
      <c r="AJ15" s="231" t="n">
        <v>509</v>
      </c>
      <c r="AK15" s="231" t="n">
        <v>0</v>
      </c>
      <c r="AL15" s="231" t="n">
        <v>0</v>
      </c>
      <c r="AM15" s="231" t="n">
        <v>0</v>
      </c>
      <c r="AN15" s="232" t="n">
        <v>317619</v>
      </c>
      <c r="AQ15" s="230" t="n">
        <v>2036</v>
      </c>
      <c r="AR15" s="231" t="n">
        <v>4442601.584042581</v>
      </c>
      <c r="AS15" s="231" t="n">
        <v>5309512.899414223</v>
      </c>
      <c r="AT15" s="231" t="n">
        <v>7283106.491358753</v>
      </c>
      <c r="AU15" s="231" t="n">
        <v>8163103.430726246</v>
      </c>
      <c r="AV15" s="231" t="n">
        <v>10898267.09056324</v>
      </c>
    </row>
    <row r="16">
      <c r="A16" s="233" t="n">
        <v>2037</v>
      </c>
      <c r="B16" s="234" t="n">
        <v>1298724</v>
      </c>
      <c r="C16" s="234" t="n">
        <v>273026</v>
      </c>
      <c r="D16" s="234" t="n">
        <v>2793287</v>
      </c>
      <c r="E16" s="234" t="n">
        <v>0</v>
      </c>
      <c r="F16" s="234" t="n">
        <v>48078</v>
      </c>
      <c r="G16" s="234" t="n">
        <v>1872024</v>
      </c>
      <c r="H16" s="234" t="n">
        <v>20000</v>
      </c>
      <c r="I16" s="235" t="n">
        <v>6305139</v>
      </c>
      <c r="K16" s="233" t="n">
        <v>2037</v>
      </c>
      <c r="L16" s="234" t="n">
        <v>0</v>
      </c>
      <c r="M16" s="234" t="n">
        <v>52498</v>
      </c>
      <c r="N16" s="234" t="n">
        <v>43998</v>
      </c>
      <c r="O16" s="234" t="n">
        <v>4512</v>
      </c>
      <c r="P16" s="234" t="n">
        <v>4774</v>
      </c>
      <c r="Q16" s="234" t="n">
        <v>29021</v>
      </c>
      <c r="R16" s="234" t="n">
        <v>8468</v>
      </c>
      <c r="S16" s="234" t="n">
        <v>75577</v>
      </c>
      <c r="T16" s="234" t="n">
        <v>0</v>
      </c>
      <c r="U16" s="234" t="n">
        <v>14152</v>
      </c>
      <c r="V16" s="234" t="n">
        <v>0</v>
      </c>
      <c r="W16" s="234" t="n">
        <v>15119</v>
      </c>
      <c r="X16" s="234" t="n">
        <v>0</v>
      </c>
      <c r="Y16" s="234" t="n">
        <v>76410</v>
      </c>
      <c r="Z16" s="234" t="n">
        <v>0</v>
      </c>
      <c r="AA16" s="235" t="n">
        <v>324529</v>
      </c>
      <c r="AC16" s="233" t="n">
        <v>2037</v>
      </c>
      <c r="AD16" s="234" t="n">
        <v>187243</v>
      </c>
      <c r="AE16" s="234" t="n">
        <v>58519</v>
      </c>
      <c r="AF16" s="234" t="n">
        <v>57659</v>
      </c>
      <c r="AG16" s="234" t="n">
        <v>0</v>
      </c>
      <c r="AH16" s="234" t="n">
        <v>0</v>
      </c>
      <c r="AI16" s="234" t="n">
        <v>25244</v>
      </c>
      <c r="AJ16" s="234" t="n">
        <v>505</v>
      </c>
      <c r="AK16" s="234" t="n">
        <v>0</v>
      </c>
      <c r="AL16" s="234" t="n">
        <v>0</v>
      </c>
      <c r="AM16" s="234" t="n">
        <v>0</v>
      </c>
      <c r="AN16" s="235" t="n">
        <v>329170</v>
      </c>
      <c r="AQ16" s="233" t="n">
        <v>2037</v>
      </c>
      <c r="AR16" s="234" t="n">
        <v>4266581.627310898</v>
      </c>
      <c r="AS16" s="234" t="n">
        <v>5036432.983473592</v>
      </c>
      <c r="AT16" s="234" t="n">
        <v>7068873.021083519</v>
      </c>
      <c r="AU16" s="234" t="n">
        <v>8418931.929347353</v>
      </c>
      <c r="AV16" s="234" t="n">
        <v>10748262.93934505</v>
      </c>
    </row>
    <row r="17">
      <c r="A17" s="230" t="n">
        <v>2038</v>
      </c>
      <c r="B17" s="231" t="n">
        <v>1246954</v>
      </c>
      <c r="C17" s="231" t="n">
        <v>187432</v>
      </c>
      <c r="D17" s="231" t="n">
        <v>2960884</v>
      </c>
      <c r="E17" s="231" t="n">
        <v>0</v>
      </c>
      <c r="F17" s="231" t="n">
        <v>33975</v>
      </c>
      <c r="G17" s="231" t="n">
        <v>1928185</v>
      </c>
      <c r="H17" s="231" t="n">
        <v>20000</v>
      </c>
      <c r="I17" s="232" t="n">
        <v>6377430</v>
      </c>
      <c r="K17" s="230" t="n">
        <v>2038</v>
      </c>
      <c r="L17" s="231" t="n">
        <v>0</v>
      </c>
      <c r="M17" s="231" t="n">
        <v>53548</v>
      </c>
      <c r="N17" s="231" t="n">
        <v>44878</v>
      </c>
      <c r="O17" s="231" t="n">
        <v>4512</v>
      </c>
      <c r="P17" s="231" t="n">
        <v>4743</v>
      </c>
      <c r="Q17" s="231" t="n">
        <v>28710</v>
      </c>
      <c r="R17" s="231" t="n">
        <v>8401</v>
      </c>
      <c r="S17" s="231" t="n">
        <v>74750</v>
      </c>
      <c r="T17" s="231" t="n">
        <v>0</v>
      </c>
      <c r="U17" s="231" t="n">
        <v>11520</v>
      </c>
      <c r="V17" s="231" t="n">
        <v>0</v>
      </c>
      <c r="W17" s="231" t="n">
        <v>16026</v>
      </c>
      <c r="X17" s="231" t="n">
        <v>0</v>
      </c>
      <c r="Y17" s="231" t="n">
        <v>84683</v>
      </c>
      <c r="Z17" s="231" t="n">
        <v>0</v>
      </c>
      <c r="AA17" s="232" t="n">
        <v>331771</v>
      </c>
      <c r="AC17" s="230" t="n">
        <v>2038</v>
      </c>
      <c r="AD17" s="231" t="n">
        <v>191924</v>
      </c>
      <c r="AE17" s="231" t="n">
        <v>59982</v>
      </c>
      <c r="AF17" s="231" t="n">
        <v>60626</v>
      </c>
      <c r="AG17" s="231" t="n">
        <v>0</v>
      </c>
      <c r="AH17" s="231" t="n">
        <v>0</v>
      </c>
      <c r="AI17" s="231" t="n">
        <v>24315</v>
      </c>
      <c r="AJ17" s="231" t="n">
        <v>501</v>
      </c>
      <c r="AK17" s="231" t="n">
        <v>0</v>
      </c>
      <c r="AL17" s="231" t="n">
        <v>0</v>
      </c>
      <c r="AM17" s="231" t="n">
        <v>0</v>
      </c>
      <c r="AN17" s="232" t="n">
        <v>337348</v>
      </c>
      <c r="AQ17" s="230" t="n">
        <v>2038</v>
      </c>
      <c r="AR17" s="231" t="n">
        <v>4184866.621009451</v>
      </c>
      <c r="AS17" s="231" t="n">
        <v>5116884.449141624</v>
      </c>
      <c r="AT17" s="231" t="n">
        <v>6894375.063654812</v>
      </c>
      <c r="AU17" s="231" t="n">
        <v>8901979.142680617</v>
      </c>
      <c r="AV17" s="231" t="n">
        <v>10992872.43864061</v>
      </c>
    </row>
    <row r="18">
      <c r="A18" s="233" t="n">
        <v>2039</v>
      </c>
      <c r="B18" s="234" t="n">
        <v>1193388</v>
      </c>
      <c r="C18" s="234" t="n">
        <v>87619</v>
      </c>
      <c r="D18" s="234" t="n">
        <v>3138537</v>
      </c>
      <c r="E18" s="234" t="n">
        <v>0</v>
      </c>
      <c r="F18" s="234" t="n">
        <v>18007</v>
      </c>
      <c r="G18" s="234" t="n">
        <v>1986030</v>
      </c>
      <c r="H18" s="234" t="n">
        <v>20000</v>
      </c>
      <c r="I18" s="235" t="n">
        <v>6443581</v>
      </c>
      <c r="K18" s="233" t="n">
        <v>2039</v>
      </c>
      <c r="L18" s="234" t="n">
        <v>0</v>
      </c>
      <c r="M18" s="234" t="n">
        <v>54619</v>
      </c>
      <c r="N18" s="234" t="n">
        <v>45775</v>
      </c>
      <c r="O18" s="234" t="n">
        <v>4512</v>
      </c>
      <c r="P18" s="234" t="n">
        <v>4714</v>
      </c>
      <c r="Q18" s="234" t="n">
        <v>28428</v>
      </c>
      <c r="R18" s="234" t="n">
        <v>8340</v>
      </c>
      <c r="S18" s="234" t="n">
        <v>73998</v>
      </c>
      <c r="T18" s="234" t="n">
        <v>0</v>
      </c>
      <c r="U18" s="234" t="n">
        <v>8185</v>
      </c>
      <c r="V18" s="234" t="n">
        <v>0</v>
      </c>
      <c r="W18" s="234" t="n">
        <v>16988</v>
      </c>
      <c r="X18" s="234" t="n">
        <v>0</v>
      </c>
      <c r="Y18" s="234" t="n">
        <v>96588</v>
      </c>
      <c r="Z18" s="234" t="n">
        <v>0</v>
      </c>
      <c r="AA18" s="235" t="n">
        <v>342147</v>
      </c>
      <c r="AC18" s="233" t="n">
        <v>2039</v>
      </c>
      <c r="AD18" s="234" t="n">
        <v>196722</v>
      </c>
      <c r="AE18" s="234" t="n">
        <v>61482</v>
      </c>
      <c r="AF18" s="234" t="n">
        <v>63754</v>
      </c>
      <c r="AG18" s="234" t="n">
        <v>0</v>
      </c>
      <c r="AH18" s="234" t="n">
        <v>0</v>
      </c>
      <c r="AI18" s="234" t="n">
        <v>23254</v>
      </c>
      <c r="AJ18" s="234" t="n">
        <v>498</v>
      </c>
      <c r="AK18" s="234" t="n">
        <v>0</v>
      </c>
      <c r="AL18" s="234" t="n">
        <v>0</v>
      </c>
      <c r="AM18" s="234" t="n">
        <v>0</v>
      </c>
      <c r="AN18" s="235" t="n">
        <v>345710</v>
      </c>
      <c r="AQ18" s="233" t="n">
        <v>2039</v>
      </c>
      <c r="AR18" s="234" t="n">
        <v>4121427.216780398</v>
      </c>
      <c r="AS18" s="234" t="n">
        <v>5038949.47555011</v>
      </c>
      <c r="AT18" s="234" t="n">
        <v>6706893.680466999</v>
      </c>
      <c r="AU18" s="234" t="n">
        <v>9155060.109822966</v>
      </c>
      <c r="AV18" s="234" t="n">
        <v>11601671.4097402</v>
      </c>
    </row>
    <row r="19">
      <c r="A19" s="230" t="n">
        <v>2040</v>
      </c>
      <c r="B19" s="231" t="n">
        <v>1137801</v>
      </c>
      <c r="C19" s="231" t="n">
        <v>0</v>
      </c>
      <c r="D19" s="231" t="n">
        <v>3305443</v>
      </c>
      <c r="E19" s="231" t="n">
        <v>0</v>
      </c>
      <c r="F19" s="231" t="n">
        <v>0</v>
      </c>
      <c r="G19" s="231" t="n">
        <v>2045611</v>
      </c>
      <c r="H19" s="231" t="n">
        <v>20000</v>
      </c>
      <c r="I19" s="232" t="n">
        <v>6508855</v>
      </c>
      <c r="K19" s="230" t="n">
        <v>2040</v>
      </c>
      <c r="L19" s="231" t="n">
        <v>0</v>
      </c>
      <c r="M19" s="231" t="n">
        <v>55711</v>
      </c>
      <c r="N19" s="231" t="n">
        <v>46691</v>
      </c>
      <c r="O19" s="231" t="n">
        <v>4512</v>
      </c>
      <c r="P19" s="231" t="n">
        <v>4689</v>
      </c>
      <c r="Q19" s="231" t="n">
        <v>28173</v>
      </c>
      <c r="R19" s="231" t="n">
        <v>8284</v>
      </c>
      <c r="S19" s="231" t="n">
        <v>73315</v>
      </c>
      <c r="T19" s="231" t="n">
        <v>0</v>
      </c>
      <c r="U19" s="231" t="n">
        <v>3983</v>
      </c>
      <c r="V19" s="231" t="n">
        <v>0</v>
      </c>
      <c r="W19" s="231" t="n">
        <v>18007</v>
      </c>
      <c r="X19" s="231" t="n">
        <v>20194</v>
      </c>
      <c r="Y19" s="231" t="n">
        <v>83637</v>
      </c>
      <c r="Z19" s="231" t="n">
        <v>0</v>
      </c>
      <c r="AA19" s="232" t="n">
        <v>347196</v>
      </c>
      <c r="AC19" s="230" t="n">
        <v>2040</v>
      </c>
      <c r="AD19" s="231" t="n">
        <v>201640</v>
      </c>
      <c r="AE19" s="231" t="n">
        <v>63019</v>
      </c>
      <c r="AF19" s="231" t="n">
        <v>67051</v>
      </c>
      <c r="AG19" s="231" t="n">
        <v>0</v>
      </c>
      <c r="AH19" s="231" t="n">
        <v>0</v>
      </c>
      <c r="AI19" s="231" t="n">
        <v>22024</v>
      </c>
      <c r="AJ19" s="231" t="n">
        <v>495</v>
      </c>
      <c r="AK19" s="231" t="n">
        <v>0</v>
      </c>
      <c r="AL19" s="231" t="n">
        <v>0</v>
      </c>
      <c r="AM19" s="231" t="n">
        <v>0</v>
      </c>
      <c r="AN19" s="232" t="n">
        <v>354229</v>
      </c>
      <c r="AQ19" s="230" t="n">
        <v>2040</v>
      </c>
      <c r="AR19" s="231" t="n">
        <v>3997238.651463084</v>
      </c>
      <c r="AS19" s="231" t="n">
        <v>4881649.862647777</v>
      </c>
      <c r="AT19" s="231" t="n">
        <v>6646742.350429583</v>
      </c>
      <c r="AU19" s="231" t="n">
        <v>9655888.446176207</v>
      </c>
      <c r="AV19" s="231" t="n">
        <v>11618887.44368782</v>
      </c>
    </row>
    <row r="20">
      <c r="A20" s="233" t="n">
        <v>2041</v>
      </c>
      <c r="B20" s="234" t="n">
        <v>1079958</v>
      </c>
      <c r="C20" s="234" t="n">
        <v>0</v>
      </c>
      <c r="D20" s="234" t="n">
        <v>3387654</v>
      </c>
      <c r="E20" s="234" t="n">
        <v>0</v>
      </c>
      <c r="F20" s="234" t="n">
        <v>0</v>
      </c>
      <c r="G20" s="234" t="n">
        <v>2106980</v>
      </c>
      <c r="H20" s="234" t="n">
        <v>20000</v>
      </c>
      <c r="I20" s="235" t="n">
        <v>6594592</v>
      </c>
      <c r="K20" s="233" t="n">
        <v>2041</v>
      </c>
      <c r="L20" s="234" t="n">
        <v>0</v>
      </c>
      <c r="M20" s="234" t="n">
        <v>56825</v>
      </c>
      <c r="N20" s="234" t="n">
        <v>47624</v>
      </c>
      <c r="O20" s="234" t="n">
        <v>4512</v>
      </c>
      <c r="P20" s="234" t="n">
        <v>4665</v>
      </c>
      <c r="Q20" s="234" t="n">
        <v>27944</v>
      </c>
      <c r="R20" s="234" t="n">
        <v>8234</v>
      </c>
      <c r="S20" s="234" t="n">
        <v>72697</v>
      </c>
      <c r="T20" s="234" t="n">
        <v>0</v>
      </c>
      <c r="U20" s="234" t="n">
        <v>0</v>
      </c>
      <c r="V20" s="234" t="n">
        <v>0</v>
      </c>
      <c r="W20" s="234" t="n">
        <v>0</v>
      </c>
      <c r="X20" s="234" t="n">
        <v>109543</v>
      </c>
      <c r="Y20" s="234" t="n">
        <v>0</v>
      </c>
      <c r="Z20" s="234" t="n">
        <v>0</v>
      </c>
      <c r="AA20" s="235" t="n">
        <v>332044</v>
      </c>
      <c r="AC20" s="233" t="n">
        <v>2041</v>
      </c>
      <c r="AD20" s="234" t="n">
        <v>201640</v>
      </c>
      <c r="AE20" s="234" t="n">
        <v>64594</v>
      </c>
      <c r="AF20" s="234" t="n">
        <v>70527</v>
      </c>
      <c r="AG20" s="234" t="n">
        <v>0</v>
      </c>
      <c r="AH20" s="234" t="n">
        <v>0</v>
      </c>
      <c r="AI20" s="234" t="n">
        <v>20862</v>
      </c>
      <c r="AJ20" s="234" t="n">
        <v>492</v>
      </c>
      <c r="AK20" s="234" t="n">
        <v>0</v>
      </c>
      <c r="AL20" s="234" t="n">
        <v>0</v>
      </c>
      <c r="AM20" s="234" t="n">
        <v>0</v>
      </c>
      <c r="AN20" s="235" t="n">
        <v>358115</v>
      </c>
      <c r="AQ20" s="233" t="n">
        <v>2041</v>
      </c>
      <c r="AR20" s="234" t="n">
        <v>4007066.664818654</v>
      </c>
      <c r="AS20" s="234" t="n">
        <v>4789084.55642982</v>
      </c>
      <c r="AT20" s="234" t="n">
        <v>6619871.110214613</v>
      </c>
      <c r="AU20" s="234" t="n">
        <v>10354770.88243948</v>
      </c>
      <c r="AV20" s="234" t="n">
        <v>12771160.29510412</v>
      </c>
    </row>
    <row r="21">
      <c r="A21" s="230" t="n">
        <v>2042</v>
      </c>
      <c r="B21" s="231" t="n">
        <v>1019621</v>
      </c>
      <c r="C21" s="231" t="n">
        <v>0</v>
      </c>
      <c r="D21" s="231" t="n">
        <v>3471515</v>
      </c>
      <c r="E21" s="231" t="n">
        <v>0</v>
      </c>
      <c r="F21" s="231" t="n">
        <v>0</v>
      </c>
      <c r="G21" s="231" t="n">
        <v>2170189</v>
      </c>
      <c r="H21" s="231" t="n">
        <v>20000</v>
      </c>
      <c r="I21" s="232" t="n">
        <v>6681325</v>
      </c>
      <c r="K21" s="230" t="n">
        <v>2042</v>
      </c>
      <c r="L21" s="231" t="n">
        <v>0</v>
      </c>
      <c r="M21" s="231" t="n">
        <v>57962</v>
      </c>
      <c r="N21" s="231" t="n">
        <v>48577</v>
      </c>
      <c r="O21" s="231" t="n">
        <v>4512</v>
      </c>
      <c r="P21" s="231" t="n">
        <v>4644</v>
      </c>
      <c r="Q21" s="231" t="n">
        <v>27738</v>
      </c>
      <c r="R21" s="231" t="n">
        <v>8188</v>
      </c>
      <c r="S21" s="231" t="n">
        <v>72141</v>
      </c>
      <c r="T21" s="231" t="n">
        <v>0</v>
      </c>
      <c r="U21" s="231" t="n">
        <v>0</v>
      </c>
      <c r="V21" s="231" t="n">
        <v>0</v>
      </c>
      <c r="W21" s="231" t="n">
        <v>0</v>
      </c>
      <c r="X21" s="231" t="n">
        <v>112640</v>
      </c>
      <c r="Y21" s="231" t="n">
        <v>0</v>
      </c>
      <c r="Z21" s="231" t="n">
        <v>0</v>
      </c>
      <c r="AA21" s="232" t="n">
        <v>336402</v>
      </c>
      <c r="AC21" s="230" t="n">
        <v>2042</v>
      </c>
      <c r="AD21" s="231" t="n">
        <v>201640</v>
      </c>
      <c r="AE21" s="231" t="n">
        <v>66209</v>
      </c>
      <c r="AF21" s="231" t="n">
        <v>74191</v>
      </c>
      <c r="AG21" s="231" t="n">
        <v>0</v>
      </c>
      <c r="AH21" s="231" t="n">
        <v>0</v>
      </c>
      <c r="AI21" s="231" t="n">
        <v>20593</v>
      </c>
      <c r="AJ21" s="231" t="n">
        <v>489</v>
      </c>
      <c r="AK21" s="231" t="n">
        <v>0</v>
      </c>
      <c r="AL21" s="231" t="n">
        <v>0</v>
      </c>
      <c r="AM21" s="231" t="n">
        <v>0</v>
      </c>
      <c r="AN21" s="232" t="n">
        <v>363122</v>
      </c>
      <c r="AQ21" s="230" t="n">
        <v>2042</v>
      </c>
      <c r="AR21" s="231" t="n">
        <v>3935256.103609017</v>
      </c>
      <c r="AS21" s="231" t="n">
        <v>4606080.033068547</v>
      </c>
      <c r="AT21" s="231" t="n">
        <v>7028054.146431489</v>
      </c>
      <c r="AU21" s="231" t="n">
        <v>9869470.865269817</v>
      </c>
      <c r="AV21" s="231" t="n">
        <v>12662709.37796302</v>
      </c>
    </row>
    <row r="22">
      <c r="A22" s="233" t="n">
        <v>2043</v>
      </c>
      <c r="B22" s="234" t="n">
        <v>956542</v>
      </c>
      <c r="C22" s="234" t="n">
        <v>0</v>
      </c>
      <c r="D22" s="234" t="n">
        <v>3557008</v>
      </c>
      <c r="E22" s="234" t="n">
        <v>0</v>
      </c>
      <c r="F22" s="234" t="n">
        <v>0</v>
      </c>
      <c r="G22" s="234" t="n">
        <v>2235295</v>
      </c>
      <c r="H22" s="234" t="n">
        <v>20000</v>
      </c>
      <c r="I22" s="235" t="n">
        <v>6768845</v>
      </c>
      <c r="K22" s="233" t="n">
        <v>2043</v>
      </c>
      <c r="L22" s="234" t="n">
        <v>0</v>
      </c>
      <c r="M22" s="234" t="n">
        <v>59121</v>
      </c>
      <c r="N22" s="234" t="n">
        <v>49548</v>
      </c>
      <c r="O22" s="234" t="n">
        <v>4512</v>
      </c>
      <c r="P22" s="234" t="n">
        <v>4626</v>
      </c>
      <c r="Q22" s="234" t="n">
        <v>27554</v>
      </c>
      <c r="R22" s="234" t="n">
        <v>8147</v>
      </c>
      <c r="S22" s="234" t="n">
        <v>71642</v>
      </c>
      <c r="T22" s="234" t="n">
        <v>0</v>
      </c>
      <c r="U22" s="234" t="n">
        <v>0</v>
      </c>
      <c r="V22" s="234" t="n">
        <v>0</v>
      </c>
      <c r="W22" s="234" t="n">
        <v>0</v>
      </c>
      <c r="X22" s="234" t="n">
        <v>115848</v>
      </c>
      <c r="Y22" s="234" t="n">
        <v>0</v>
      </c>
      <c r="Z22" s="234" t="n">
        <v>0</v>
      </c>
      <c r="AA22" s="235" t="n">
        <v>340998</v>
      </c>
      <c r="AC22" s="233" t="n">
        <v>2043</v>
      </c>
      <c r="AD22" s="234" t="n">
        <v>201640</v>
      </c>
      <c r="AE22" s="234" t="n">
        <v>67864</v>
      </c>
      <c r="AF22" s="234" t="n">
        <v>78054</v>
      </c>
      <c r="AG22" s="234" t="n">
        <v>0</v>
      </c>
      <c r="AH22" s="234" t="n">
        <v>0</v>
      </c>
      <c r="AI22" s="234" t="n">
        <v>20342</v>
      </c>
      <c r="AJ22" s="234" t="n">
        <v>487</v>
      </c>
      <c r="AK22" s="234" t="n">
        <v>0</v>
      </c>
      <c r="AL22" s="234" t="n">
        <v>0</v>
      </c>
      <c r="AM22" s="234" t="n">
        <v>0</v>
      </c>
      <c r="AN22" s="235" t="n">
        <v>368387</v>
      </c>
      <c r="AQ22" s="233" t="n">
        <v>2043</v>
      </c>
      <c r="AR22" s="234" t="n">
        <v>3848566.693676592</v>
      </c>
      <c r="AS22" s="234" t="n">
        <v>4517891.588868054</v>
      </c>
      <c r="AT22" s="234" t="n">
        <v>7181793.672900596</v>
      </c>
      <c r="AU22" s="234" t="n">
        <v>10494242.36822859</v>
      </c>
      <c r="AV22" s="234" t="n">
        <v>11894612.11299435</v>
      </c>
    </row>
    <row r="23">
      <c r="A23" s="230" t="n">
        <v>2044</v>
      </c>
      <c r="B23" s="231" t="n">
        <v>890464</v>
      </c>
      <c r="C23" s="231" t="n">
        <v>0</v>
      </c>
      <c r="D23" s="231" t="n">
        <v>3644094</v>
      </c>
      <c r="E23" s="231" t="n">
        <v>0</v>
      </c>
      <c r="F23" s="231" t="n">
        <v>0</v>
      </c>
      <c r="G23" s="231" t="n">
        <v>2302353</v>
      </c>
      <c r="H23" s="231" t="n">
        <v>20000</v>
      </c>
      <c r="I23" s="232" t="n">
        <v>6856911</v>
      </c>
      <c r="K23" s="230" t="n">
        <v>2044</v>
      </c>
      <c r="L23" s="231" t="n">
        <v>0</v>
      </c>
      <c r="M23" s="231" t="n">
        <v>60303</v>
      </c>
      <c r="N23" s="231" t="n">
        <v>50539</v>
      </c>
      <c r="O23" s="231" t="n">
        <v>4512</v>
      </c>
      <c r="P23" s="231" t="n">
        <v>4609</v>
      </c>
      <c r="Q23" s="231" t="n">
        <v>27391</v>
      </c>
      <c r="R23" s="231" t="n">
        <v>8111</v>
      </c>
      <c r="S23" s="231" t="n">
        <v>71197</v>
      </c>
      <c r="T23" s="231" t="n">
        <v>0</v>
      </c>
      <c r="U23" s="231" t="n">
        <v>0</v>
      </c>
      <c r="V23" s="231" t="n">
        <v>0</v>
      </c>
      <c r="W23" s="231" t="n">
        <v>0</v>
      </c>
      <c r="X23" s="231" t="n">
        <v>119183</v>
      </c>
      <c r="Y23" s="231" t="n">
        <v>0</v>
      </c>
      <c r="Z23" s="231" t="n">
        <v>0</v>
      </c>
      <c r="AA23" s="232" t="n">
        <v>345845</v>
      </c>
      <c r="AC23" s="230" t="n">
        <v>2044</v>
      </c>
      <c r="AD23" s="231" t="n">
        <v>201640</v>
      </c>
      <c r="AE23" s="231" t="n">
        <v>69561</v>
      </c>
      <c r="AF23" s="231" t="n">
        <v>82127</v>
      </c>
      <c r="AG23" s="231" t="n">
        <v>0</v>
      </c>
      <c r="AH23" s="231" t="n">
        <v>0</v>
      </c>
      <c r="AI23" s="231" t="n">
        <v>20107</v>
      </c>
      <c r="AJ23" s="231" t="n">
        <v>485</v>
      </c>
      <c r="AK23" s="231" t="n">
        <v>0</v>
      </c>
      <c r="AL23" s="231" t="n">
        <v>0</v>
      </c>
      <c r="AM23" s="231" t="n">
        <v>0</v>
      </c>
      <c r="AN23" s="232" t="n">
        <v>373920</v>
      </c>
      <c r="AQ23" s="230" t="n">
        <v>2044</v>
      </c>
      <c r="AR23" s="231" t="n">
        <v>3763274.852317232</v>
      </c>
      <c r="AS23" s="231" t="n">
        <v>4568443.214792321</v>
      </c>
      <c r="AT23" s="231" t="n">
        <v>7709495.822306955</v>
      </c>
      <c r="AU23" s="231" t="n">
        <v>9650989.253883652</v>
      </c>
      <c r="AV23" s="231" t="n">
        <v>12267593.21820698</v>
      </c>
    </row>
    <row r="24">
      <c r="A24" s="233" t="n">
        <v>2045</v>
      </c>
      <c r="B24" s="234" t="n">
        <v>821122</v>
      </c>
      <c r="C24" s="234" t="n">
        <v>0</v>
      </c>
      <c r="D24" s="234" t="n">
        <v>3732721</v>
      </c>
      <c r="E24" s="234" t="n">
        <v>0</v>
      </c>
      <c r="F24" s="234" t="n">
        <v>0</v>
      </c>
      <c r="G24" s="234" t="n">
        <v>2371424</v>
      </c>
      <c r="H24" s="234" t="n">
        <v>20000</v>
      </c>
      <c r="I24" s="235" t="n">
        <v>6945267</v>
      </c>
      <c r="K24" s="233" t="n">
        <v>2045</v>
      </c>
      <c r="L24" s="234" t="n">
        <v>0</v>
      </c>
      <c r="M24" s="234" t="n">
        <v>61509</v>
      </c>
      <c r="N24" s="234" t="n">
        <v>51550</v>
      </c>
      <c r="O24" s="234" t="n">
        <v>4512</v>
      </c>
      <c r="P24" s="234" t="n">
        <v>4595</v>
      </c>
      <c r="Q24" s="234" t="n">
        <v>27247</v>
      </c>
      <c r="R24" s="234" t="n">
        <v>8079</v>
      </c>
      <c r="S24" s="234" t="n">
        <v>70802</v>
      </c>
      <c r="T24" s="234" t="n">
        <v>0</v>
      </c>
      <c r="U24" s="234" t="n">
        <v>0</v>
      </c>
      <c r="V24" s="234" t="n">
        <v>0</v>
      </c>
      <c r="W24" s="234" t="n">
        <v>0</v>
      </c>
      <c r="X24" s="234" t="n">
        <v>122660</v>
      </c>
      <c r="Y24" s="234" t="n">
        <v>0</v>
      </c>
      <c r="Z24" s="234" t="n">
        <v>0</v>
      </c>
      <c r="AA24" s="235" t="n">
        <v>350954</v>
      </c>
      <c r="AC24" s="233" t="n">
        <v>2045</v>
      </c>
      <c r="AD24" s="234" t="n">
        <v>201640</v>
      </c>
      <c r="AE24" s="234" t="n">
        <v>71300</v>
      </c>
      <c r="AF24" s="234" t="n">
        <v>86422</v>
      </c>
      <c r="AG24" s="234" t="n">
        <v>0</v>
      </c>
      <c r="AH24" s="234" t="n">
        <v>0</v>
      </c>
      <c r="AI24" s="234" t="n">
        <v>19886</v>
      </c>
      <c r="AJ24" s="234" t="n">
        <v>483</v>
      </c>
      <c r="AK24" s="234" t="n">
        <v>0</v>
      </c>
      <c r="AL24" s="234" t="n">
        <v>0</v>
      </c>
      <c r="AM24" s="234" t="n">
        <v>0</v>
      </c>
      <c r="AN24" s="235" t="n">
        <v>379731</v>
      </c>
      <c r="AQ24" s="233" t="n">
        <v>2045</v>
      </c>
      <c r="AR24" s="234" t="n">
        <v>3668682.242883112</v>
      </c>
      <c r="AS24" s="234" t="n">
        <v>4421046.40082549</v>
      </c>
      <c r="AT24" s="234" t="n">
        <v>7641927.99607526</v>
      </c>
      <c r="AU24" s="234" t="n">
        <v>9805892.374779046</v>
      </c>
      <c r="AV24" s="234" t="n">
        <v>11963525.31524496</v>
      </c>
    </row>
    <row r="25">
      <c r="A25" s="230" t="n">
        <v>2046</v>
      </c>
      <c r="B25" s="231" t="n">
        <v>748240</v>
      </c>
      <c r="C25" s="231" t="n">
        <v>0</v>
      </c>
      <c r="D25" s="231" t="n">
        <v>3822812</v>
      </c>
      <c r="E25" s="231" t="n">
        <v>0</v>
      </c>
      <c r="F25" s="231" t="n">
        <v>0</v>
      </c>
      <c r="G25" s="231" t="n">
        <v>2442567</v>
      </c>
      <c r="H25" s="231" t="n">
        <v>20000</v>
      </c>
      <c r="I25" s="232" t="n">
        <v>7033619</v>
      </c>
      <c r="K25" s="230" t="n">
        <v>2046</v>
      </c>
      <c r="L25" s="231" t="n">
        <v>0</v>
      </c>
      <c r="M25" s="231" t="n">
        <v>62740</v>
      </c>
      <c r="N25" s="231" t="n">
        <v>52581</v>
      </c>
      <c r="O25" s="231" t="n">
        <v>4512</v>
      </c>
      <c r="P25" s="231" t="n">
        <v>4582</v>
      </c>
      <c r="Q25" s="231" t="n">
        <v>27122</v>
      </c>
      <c r="R25" s="231" t="n">
        <v>8051</v>
      </c>
      <c r="S25" s="231" t="n">
        <v>70454</v>
      </c>
      <c r="T25" s="231" t="n">
        <v>0</v>
      </c>
      <c r="U25" s="231" t="n">
        <v>0</v>
      </c>
      <c r="V25" s="231" t="n">
        <v>0</v>
      </c>
      <c r="W25" s="231" t="n">
        <v>0</v>
      </c>
      <c r="X25" s="231" t="n">
        <v>126295</v>
      </c>
      <c r="Y25" s="231" t="n">
        <v>0</v>
      </c>
      <c r="Z25" s="231" t="n">
        <v>0</v>
      </c>
      <c r="AA25" s="232" t="n">
        <v>356337</v>
      </c>
      <c r="AC25" s="230" t="n">
        <v>2046</v>
      </c>
      <c r="AD25" s="231" t="n">
        <v>201640</v>
      </c>
      <c r="AE25" s="231" t="n">
        <v>73082</v>
      </c>
      <c r="AF25" s="231" t="n">
        <v>90949</v>
      </c>
      <c r="AG25" s="231" t="n">
        <v>0</v>
      </c>
      <c r="AH25" s="231" t="n">
        <v>0</v>
      </c>
      <c r="AI25" s="231" t="n">
        <v>19678</v>
      </c>
      <c r="AJ25" s="231" t="n">
        <v>482</v>
      </c>
      <c r="AK25" s="231" t="n">
        <v>0</v>
      </c>
      <c r="AL25" s="231" t="n">
        <v>0</v>
      </c>
      <c r="AM25" s="231" t="n">
        <v>0</v>
      </c>
      <c r="AN25" s="232" t="n">
        <v>385831</v>
      </c>
      <c r="AQ25" s="230" t="n">
        <v>2046</v>
      </c>
      <c r="AR25" s="231" t="n">
        <v>3601461.253540114</v>
      </c>
      <c r="AS25" s="231" t="n">
        <v>4340778.361415486</v>
      </c>
      <c r="AT25" s="231" t="n">
        <v>8143049.181153623</v>
      </c>
      <c r="AU25" s="231" t="n">
        <v>10238890.15682726</v>
      </c>
      <c r="AV25" s="231" t="n">
        <v>13305464.57888758</v>
      </c>
    </row>
    <row r="26">
      <c r="A26" s="233" t="n">
        <v>2047</v>
      </c>
      <c r="B26" s="234" t="n">
        <v>671530</v>
      </c>
      <c r="C26" s="234" t="n">
        <v>0</v>
      </c>
      <c r="D26" s="234" t="n">
        <v>3905983</v>
      </c>
      <c r="E26" s="234" t="n">
        <v>0</v>
      </c>
      <c r="F26" s="234" t="n">
        <v>0</v>
      </c>
      <c r="G26" s="234" t="n">
        <v>2515844</v>
      </c>
      <c r="H26" s="234" t="n">
        <v>20000</v>
      </c>
      <c r="I26" s="235" t="n">
        <v>7113357</v>
      </c>
      <c r="K26" s="233" t="n">
        <v>2047</v>
      </c>
      <c r="L26" s="234" t="n">
        <v>0</v>
      </c>
      <c r="M26" s="234" t="n">
        <v>63994</v>
      </c>
      <c r="N26" s="234" t="n">
        <v>53633</v>
      </c>
      <c r="O26" s="234" t="n">
        <v>4512</v>
      </c>
      <c r="P26" s="234" t="n">
        <v>3652</v>
      </c>
      <c r="Q26" s="234" t="n">
        <v>17933</v>
      </c>
      <c r="R26" s="234" t="n">
        <v>8026</v>
      </c>
      <c r="S26" s="234" t="n">
        <v>70150</v>
      </c>
      <c r="T26" s="234" t="n">
        <v>0</v>
      </c>
      <c r="U26" s="234" t="n">
        <v>0</v>
      </c>
      <c r="V26" s="234" t="n">
        <v>0</v>
      </c>
      <c r="W26" s="234" t="n">
        <v>0</v>
      </c>
      <c r="X26" s="234" t="n">
        <v>137922</v>
      </c>
      <c r="Y26" s="234" t="n">
        <v>0</v>
      </c>
      <c r="Z26" s="234" t="n">
        <v>0</v>
      </c>
      <c r="AA26" s="235" t="n">
        <v>359822</v>
      </c>
      <c r="AC26" s="233" t="n">
        <v>2047</v>
      </c>
      <c r="AD26" s="234" t="n">
        <v>201640</v>
      </c>
      <c r="AE26" s="234" t="n">
        <v>74909</v>
      </c>
      <c r="AF26" s="234" t="n">
        <v>95723</v>
      </c>
      <c r="AG26" s="234" t="n">
        <v>0</v>
      </c>
      <c r="AH26" s="234" t="n">
        <v>0</v>
      </c>
      <c r="AI26" s="234" t="n">
        <v>17336</v>
      </c>
      <c r="AJ26" s="234" t="n">
        <v>447</v>
      </c>
      <c r="AK26" s="234" t="n">
        <v>0</v>
      </c>
      <c r="AL26" s="234" t="n">
        <v>0</v>
      </c>
      <c r="AM26" s="234" t="n">
        <v>0</v>
      </c>
      <c r="AN26" s="235" t="n">
        <v>390055</v>
      </c>
      <c r="AQ26" s="233" t="n">
        <v>2047</v>
      </c>
      <c r="AR26" s="234" t="n">
        <v>3533719.790798576</v>
      </c>
      <c r="AS26" s="234" t="n">
        <v>4345471.8169421</v>
      </c>
      <c r="AT26" s="234" t="n">
        <v>8319440.690905275</v>
      </c>
      <c r="AU26" s="234" t="n">
        <v>11465265.83367444</v>
      </c>
      <c r="AV26" s="234" t="n">
        <v>14061754.33995804</v>
      </c>
    </row>
    <row r="27">
      <c r="A27" s="230" t="n">
        <v>2048</v>
      </c>
      <c r="B27" s="231" t="n">
        <v>601293</v>
      </c>
      <c r="C27" s="231" t="n">
        <v>0</v>
      </c>
      <c r="D27" s="231" t="n">
        <v>3969926</v>
      </c>
      <c r="E27" s="231" t="n">
        <v>0</v>
      </c>
      <c r="F27" s="231" t="n">
        <v>0</v>
      </c>
      <c r="G27" s="231" t="n">
        <v>2591319</v>
      </c>
      <c r="H27" s="231" t="n">
        <v>20000</v>
      </c>
      <c r="I27" s="232" t="n">
        <v>7182538</v>
      </c>
      <c r="K27" s="230" t="n">
        <v>2048</v>
      </c>
      <c r="L27" s="231" t="n">
        <v>0</v>
      </c>
      <c r="M27" s="231" t="n">
        <v>65274</v>
      </c>
      <c r="N27" s="231" t="n">
        <v>54706</v>
      </c>
      <c r="O27" s="231" t="n">
        <v>4512</v>
      </c>
      <c r="P27" s="231" t="n">
        <v>3680</v>
      </c>
      <c r="Q27" s="231" t="n">
        <v>18208</v>
      </c>
      <c r="R27" s="231" t="n">
        <v>6211</v>
      </c>
      <c r="S27" s="231" t="n">
        <v>47890</v>
      </c>
      <c r="T27" s="231" t="n">
        <v>0</v>
      </c>
      <c r="U27" s="231" t="n">
        <v>0</v>
      </c>
      <c r="V27" s="231" t="n">
        <v>0</v>
      </c>
      <c r="W27" s="231" t="n">
        <v>0</v>
      </c>
      <c r="X27" s="231" t="n">
        <v>160770</v>
      </c>
      <c r="Y27" s="231" t="n">
        <v>0</v>
      </c>
      <c r="Z27" s="231" t="n">
        <v>0</v>
      </c>
      <c r="AA27" s="232" t="n">
        <v>361251</v>
      </c>
      <c r="AC27" s="230" t="n">
        <v>2048</v>
      </c>
      <c r="AD27" s="231" t="n">
        <v>201640</v>
      </c>
      <c r="AE27" s="231" t="n">
        <v>76782</v>
      </c>
      <c r="AF27" s="231" t="n">
        <v>100757</v>
      </c>
      <c r="AG27" s="231" t="n">
        <v>0</v>
      </c>
      <c r="AH27" s="231" t="n">
        <v>0</v>
      </c>
      <c r="AI27" s="231" t="n">
        <v>12683</v>
      </c>
      <c r="AJ27" s="231" t="n">
        <v>377</v>
      </c>
      <c r="AK27" s="231" t="n">
        <v>0</v>
      </c>
      <c r="AL27" s="231" t="n">
        <v>0</v>
      </c>
      <c r="AM27" s="231" t="n">
        <v>0</v>
      </c>
      <c r="AN27" s="232" t="n">
        <v>392239</v>
      </c>
      <c r="AQ27" s="230" t="n">
        <v>2048</v>
      </c>
      <c r="AR27" s="231" t="n">
        <v>3509460.655523635</v>
      </c>
      <c r="AS27" s="231" t="n">
        <v>4276027.290710636</v>
      </c>
      <c r="AT27" s="231" t="n">
        <v>8745672.487362951</v>
      </c>
      <c r="AU27" s="231" t="n">
        <v>12647997.9320096</v>
      </c>
      <c r="AV27" s="231" t="n">
        <v>14351077.98568444</v>
      </c>
    </row>
    <row r="28">
      <c r="A28" s="233" t="n">
        <v>2049</v>
      </c>
      <c r="B28" s="234" t="n">
        <v>552040</v>
      </c>
      <c r="C28" s="234" t="n">
        <v>0</v>
      </c>
      <c r="D28" s="234" t="n">
        <v>4034277</v>
      </c>
      <c r="E28" s="234" t="n">
        <v>0</v>
      </c>
      <c r="F28" s="234" t="n">
        <v>0</v>
      </c>
      <c r="G28" s="234" t="n">
        <v>2669059</v>
      </c>
      <c r="H28" s="234" t="n">
        <v>20000</v>
      </c>
      <c r="I28" s="235" t="n">
        <v>7275376</v>
      </c>
      <c r="K28" s="233" t="n">
        <v>2049</v>
      </c>
      <c r="L28" s="234" t="n">
        <v>0</v>
      </c>
      <c r="M28" s="234" t="n">
        <v>66580</v>
      </c>
      <c r="N28" s="234" t="n">
        <v>55800</v>
      </c>
      <c r="O28" s="234" t="n">
        <v>4512</v>
      </c>
      <c r="P28" s="234" t="n">
        <v>3708</v>
      </c>
      <c r="Q28" s="234" t="n">
        <v>18487</v>
      </c>
      <c r="R28" s="234" t="n">
        <v>6265</v>
      </c>
      <c r="S28" s="234" t="n">
        <v>48555</v>
      </c>
      <c r="T28" s="234" t="n">
        <v>0</v>
      </c>
      <c r="U28" s="234" t="n">
        <v>0</v>
      </c>
      <c r="V28" s="234" t="n">
        <v>0</v>
      </c>
      <c r="W28" s="234" t="n">
        <v>0</v>
      </c>
      <c r="X28" s="234" t="n">
        <v>164004</v>
      </c>
      <c r="Y28" s="234" t="n">
        <v>0</v>
      </c>
      <c r="Z28" s="234" t="n">
        <v>0</v>
      </c>
      <c r="AA28" s="235" t="n">
        <v>367911</v>
      </c>
      <c r="AC28" s="233" t="n">
        <v>2049</v>
      </c>
      <c r="AD28" s="234" t="n">
        <v>201640</v>
      </c>
      <c r="AE28" s="234" t="n">
        <v>78702</v>
      </c>
      <c r="AF28" s="234" t="n">
        <v>106064</v>
      </c>
      <c r="AG28" s="234" t="n">
        <v>0</v>
      </c>
      <c r="AH28" s="234" t="n">
        <v>0</v>
      </c>
      <c r="AI28" s="234" t="n">
        <v>12888</v>
      </c>
      <c r="AJ28" s="234" t="n">
        <v>380</v>
      </c>
      <c r="AK28" s="234" t="n">
        <v>0</v>
      </c>
      <c r="AL28" s="234" t="n">
        <v>0</v>
      </c>
      <c r="AM28" s="234" t="n">
        <v>0</v>
      </c>
      <c r="AN28" s="235" t="n">
        <v>399674</v>
      </c>
      <c r="AQ28" s="233" t="n">
        <v>2049</v>
      </c>
      <c r="AR28" s="234" t="n">
        <v>3432835.96138215</v>
      </c>
      <c r="AS28" s="234" t="n">
        <v>4199170.879218812</v>
      </c>
      <c r="AT28" s="234" t="n">
        <v>8872275.711741241</v>
      </c>
      <c r="AU28" s="234" t="n">
        <v>13179526.10409639</v>
      </c>
      <c r="AV28" s="234" t="n">
        <v>15796245.52734217</v>
      </c>
    </row>
    <row r="29">
      <c r="A29" s="230" t="n">
        <v>2050</v>
      </c>
      <c r="B29" s="231" t="n">
        <v>498744</v>
      </c>
      <c r="C29" s="231" t="n">
        <v>0</v>
      </c>
      <c r="D29" s="231" t="n">
        <v>4098788</v>
      </c>
      <c r="E29" s="231" t="n">
        <v>0</v>
      </c>
      <c r="F29" s="231" t="n">
        <v>0</v>
      </c>
      <c r="G29" s="231" t="n">
        <v>2749130</v>
      </c>
      <c r="H29" s="231" t="n">
        <v>20000</v>
      </c>
      <c r="I29" s="232" t="n">
        <v>7366662</v>
      </c>
      <c r="K29" s="230" t="n">
        <v>2050</v>
      </c>
      <c r="L29" s="231" t="n">
        <v>0</v>
      </c>
      <c r="M29" s="231" t="n">
        <v>67911</v>
      </c>
      <c r="N29" s="231" t="n">
        <v>56916</v>
      </c>
      <c r="O29" s="231" t="n">
        <v>4512</v>
      </c>
      <c r="P29" s="231" t="n">
        <v>3737</v>
      </c>
      <c r="Q29" s="231" t="n">
        <v>18769</v>
      </c>
      <c r="R29" s="231" t="n">
        <v>6320</v>
      </c>
      <c r="S29" s="231" t="n">
        <v>49231</v>
      </c>
      <c r="T29" s="231" t="n">
        <v>0</v>
      </c>
      <c r="U29" s="231" t="n">
        <v>0</v>
      </c>
      <c r="V29" s="231" t="n">
        <v>0</v>
      </c>
      <c r="W29" s="231" t="n">
        <v>0</v>
      </c>
      <c r="X29" s="231" t="n">
        <v>167496</v>
      </c>
      <c r="Y29" s="231" t="n">
        <v>0</v>
      </c>
      <c r="Z29" s="231" t="n">
        <v>0</v>
      </c>
      <c r="AA29" s="232" t="n">
        <v>374892</v>
      </c>
      <c r="AC29" s="230" t="n">
        <v>2050</v>
      </c>
      <c r="AD29" s="231" t="n">
        <v>201640</v>
      </c>
      <c r="AE29" s="231" t="n">
        <v>80669</v>
      </c>
      <c r="AF29" s="231" t="n">
        <v>111661</v>
      </c>
      <c r="AG29" s="231" t="n">
        <v>0</v>
      </c>
      <c r="AH29" s="231" t="n">
        <v>0</v>
      </c>
      <c r="AI29" s="231" t="n">
        <v>13096</v>
      </c>
      <c r="AJ29" s="231" t="n">
        <v>383</v>
      </c>
      <c r="AK29" s="231" t="n">
        <v>0</v>
      </c>
      <c r="AL29" s="231" t="n">
        <v>0</v>
      </c>
      <c r="AM29" s="231" t="n">
        <v>0</v>
      </c>
      <c r="AN29" s="232" t="n">
        <v>407449</v>
      </c>
      <c r="AQ29" s="230" t="n">
        <v>2050</v>
      </c>
      <c r="AR29" s="231" t="n">
        <v>3352113.144082285</v>
      </c>
      <c r="AS29" s="231" t="n">
        <v>4119693.807084864</v>
      </c>
      <c r="AT29" s="231" t="n">
        <v>9329815.958138738</v>
      </c>
      <c r="AU29" s="231" t="n">
        <v>13667704.88897762</v>
      </c>
      <c r="AV29" s="231" t="n">
        <v>14818909.32820479</v>
      </c>
    </row>
    <row r="30">
      <c r="A30" s="233" t="n">
        <v>2051</v>
      </c>
      <c r="B30" s="234" t="n">
        <v>441146</v>
      </c>
      <c r="C30" s="234" t="n">
        <v>0</v>
      </c>
      <c r="D30" s="234" t="n">
        <v>4163175</v>
      </c>
      <c r="E30" s="234" t="n">
        <v>0</v>
      </c>
      <c r="F30" s="234" t="n">
        <v>0</v>
      </c>
      <c r="G30" s="234" t="n">
        <v>2831604</v>
      </c>
      <c r="H30" s="234" t="n">
        <v>20000</v>
      </c>
      <c r="I30" s="235" t="n">
        <v>7455925</v>
      </c>
      <c r="K30" s="233" t="n">
        <v>2051</v>
      </c>
      <c r="L30" s="234" t="n">
        <v>0</v>
      </c>
      <c r="M30" s="234" t="n">
        <v>69270</v>
      </c>
      <c r="N30" s="234" t="n">
        <v>58054</v>
      </c>
      <c r="O30" s="234" t="n">
        <v>4512</v>
      </c>
      <c r="P30" s="234" t="n">
        <v>3766</v>
      </c>
      <c r="Q30" s="234" t="n">
        <v>19054</v>
      </c>
      <c r="R30" s="234" t="n">
        <v>6376</v>
      </c>
      <c r="S30" s="234" t="n">
        <v>49915</v>
      </c>
      <c r="T30" s="234" t="n">
        <v>0</v>
      </c>
      <c r="U30" s="234" t="n">
        <v>0</v>
      </c>
      <c r="V30" s="234" t="n">
        <v>0</v>
      </c>
      <c r="W30" s="234" t="n">
        <v>0</v>
      </c>
      <c r="X30" s="234" t="n">
        <v>171264</v>
      </c>
      <c r="Y30" s="234" t="n">
        <v>0</v>
      </c>
      <c r="Z30" s="234" t="n">
        <v>0</v>
      </c>
      <c r="AA30" s="235" t="n">
        <v>382211</v>
      </c>
      <c r="AC30" s="233" t="n">
        <v>2051</v>
      </c>
      <c r="AD30" s="234" t="n">
        <v>201640</v>
      </c>
      <c r="AE30" s="234" t="n">
        <v>82686</v>
      </c>
      <c r="AF30" s="234" t="n">
        <v>117562</v>
      </c>
      <c r="AG30" s="234" t="n">
        <v>0</v>
      </c>
      <c r="AH30" s="234" t="n">
        <v>0</v>
      </c>
      <c r="AI30" s="234" t="n">
        <v>13307</v>
      </c>
      <c r="AJ30" s="234" t="n">
        <v>387</v>
      </c>
      <c r="AK30" s="234" t="n">
        <v>0</v>
      </c>
      <c r="AL30" s="234" t="n">
        <v>0</v>
      </c>
      <c r="AM30" s="234" t="n">
        <v>0</v>
      </c>
      <c r="AN30" s="235" t="n">
        <v>415582</v>
      </c>
      <c r="AQ30" s="233" t="n">
        <v>2051</v>
      </c>
      <c r="AR30" s="234" t="n">
        <v>3292749.911104669</v>
      </c>
      <c r="AS30" s="234" t="n">
        <v>3928664.975124301</v>
      </c>
      <c r="AT30" s="234" t="n">
        <v>9515493.227951627</v>
      </c>
      <c r="AU30" s="234" t="n">
        <v>13665296.41702594</v>
      </c>
      <c r="AV30" s="234" t="n">
        <v>16039136.90041492</v>
      </c>
    </row>
    <row r="31">
      <c r="A31" s="230" t="n">
        <v>2052</v>
      </c>
      <c r="B31" s="231" t="n">
        <v>378974</v>
      </c>
      <c r="C31" s="231" t="n">
        <v>0</v>
      </c>
      <c r="D31" s="231" t="n">
        <v>4227148</v>
      </c>
      <c r="E31" s="231" t="n">
        <v>0</v>
      </c>
      <c r="F31" s="231" t="n">
        <v>0</v>
      </c>
      <c r="G31" s="231" t="n">
        <v>2916552</v>
      </c>
      <c r="H31" s="231" t="n">
        <v>20000</v>
      </c>
      <c r="I31" s="232" t="n">
        <v>7542674</v>
      </c>
      <c r="K31" s="230" t="n">
        <v>2052</v>
      </c>
      <c r="L31" s="231" t="n">
        <v>0</v>
      </c>
      <c r="M31" s="231" t="n">
        <v>70655</v>
      </c>
      <c r="N31" s="231" t="n">
        <v>59215</v>
      </c>
      <c r="O31" s="231" t="n">
        <v>4512</v>
      </c>
      <c r="P31" s="231" t="n">
        <v>3795</v>
      </c>
      <c r="Q31" s="231" t="n">
        <v>19374</v>
      </c>
      <c r="R31" s="231" t="n">
        <v>6432</v>
      </c>
      <c r="S31" s="231" t="n">
        <v>50606</v>
      </c>
      <c r="T31" s="231" t="n">
        <v>0</v>
      </c>
      <c r="U31" s="231" t="n">
        <v>0</v>
      </c>
      <c r="V31" s="231" t="n">
        <v>0</v>
      </c>
      <c r="W31" s="231" t="n">
        <v>0</v>
      </c>
      <c r="X31" s="231" t="n">
        <v>175300</v>
      </c>
      <c r="Y31" s="231" t="n">
        <v>0</v>
      </c>
      <c r="Z31" s="231" t="n">
        <v>0</v>
      </c>
      <c r="AA31" s="232" t="n">
        <v>389889</v>
      </c>
      <c r="AC31" s="230" t="n">
        <v>2052</v>
      </c>
      <c r="AD31" s="231" t="n">
        <v>201640</v>
      </c>
      <c r="AE31" s="231" t="n">
        <v>84753</v>
      </c>
      <c r="AF31" s="231" t="n">
        <v>123785</v>
      </c>
      <c r="AG31" s="231" t="n">
        <v>0</v>
      </c>
      <c r="AH31" s="231" t="n">
        <v>0</v>
      </c>
      <c r="AI31" s="231" t="n">
        <v>13527</v>
      </c>
      <c r="AJ31" s="231" t="n">
        <v>390</v>
      </c>
      <c r="AK31" s="231" t="n">
        <v>0</v>
      </c>
      <c r="AL31" s="231" t="n">
        <v>0</v>
      </c>
      <c r="AM31" s="231" t="n">
        <v>0</v>
      </c>
      <c r="AN31" s="232" t="n">
        <v>424095</v>
      </c>
      <c r="AQ31" s="230" t="n">
        <v>2052</v>
      </c>
      <c r="AR31" s="231" t="n">
        <v>3315526.453140061</v>
      </c>
      <c r="AS31" s="231" t="n">
        <v>3700087.124547048</v>
      </c>
      <c r="AT31" s="231" t="n">
        <v>9970721.083303886</v>
      </c>
      <c r="AU31" s="231" t="n">
        <v>13420256.9702533</v>
      </c>
      <c r="AV31" s="231" t="n">
        <v>16085373.51843798</v>
      </c>
    </row>
    <row r="32">
      <c r="A32" s="233" t="n">
        <v>2053</v>
      </c>
      <c r="B32" s="234" t="n">
        <v>311910</v>
      </c>
      <c r="C32" s="234" t="n">
        <v>0</v>
      </c>
      <c r="D32" s="234" t="n">
        <v>4290454</v>
      </c>
      <c r="E32" s="234" t="n">
        <v>0</v>
      </c>
      <c r="F32" s="234" t="n">
        <v>0</v>
      </c>
      <c r="G32" s="234" t="n">
        <v>3004049</v>
      </c>
      <c r="H32" s="234" t="n">
        <v>20000</v>
      </c>
      <c r="I32" s="235" t="n">
        <v>7626413</v>
      </c>
      <c r="K32" s="233" t="n">
        <v>2053</v>
      </c>
      <c r="L32" s="234" t="n">
        <v>0</v>
      </c>
      <c r="M32" s="234" t="n">
        <v>72068</v>
      </c>
      <c r="N32" s="234" t="n">
        <v>60399</v>
      </c>
      <c r="O32" s="234" t="n">
        <v>4512</v>
      </c>
      <c r="P32" s="234" t="n">
        <v>3827</v>
      </c>
      <c r="Q32" s="234" t="n">
        <v>19733</v>
      </c>
      <c r="R32" s="234" t="n">
        <v>6495</v>
      </c>
      <c r="S32" s="234" t="n">
        <v>51382</v>
      </c>
      <c r="T32" s="234" t="n">
        <v>0</v>
      </c>
      <c r="U32" s="234" t="n">
        <v>0</v>
      </c>
      <c r="V32" s="234" t="n">
        <v>0</v>
      </c>
      <c r="W32" s="234" t="n">
        <v>0</v>
      </c>
      <c r="X32" s="234" t="n">
        <v>179550</v>
      </c>
      <c r="Y32" s="234" t="n">
        <v>0</v>
      </c>
      <c r="Z32" s="234" t="n">
        <v>0</v>
      </c>
      <c r="AA32" s="235" t="n">
        <v>397966</v>
      </c>
      <c r="AC32" s="233" t="n">
        <v>2053</v>
      </c>
      <c r="AD32" s="234" t="n">
        <v>201640</v>
      </c>
      <c r="AE32" s="234" t="n">
        <v>86872</v>
      </c>
      <c r="AF32" s="234" t="n">
        <v>130347</v>
      </c>
      <c r="AG32" s="234" t="n">
        <v>0</v>
      </c>
      <c r="AH32" s="234" t="n">
        <v>0</v>
      </c>
      <c r="AI32" s="234" t="n">
        <v>13775</v>
      </c>
      <c r="AJ32" s="234" t="n">
        <v>393</v>
      </c>
      <c r="AK32" s="234" t="n">
        <v>0</v>
      </c>
      <c r="AL32" s="234" t="n">
        <v>0</v>
      </c>
      <c r="AM32" s="234" t="n">
        <v>0</v>
      </c>
      <c r="AN32" s="235" t="n">
        <v>433027</v>
      </c>
      <c r="AQ32" s="233" t="n">
        <v>2053</v>
      </c>
      <c r="AR32" s="234" t="n">
        <v>3335958.900418749</v>
      </c>
      <c r="AS32" s="234" t="n">
        <v>3522776.175331784</v>
      </c>
      <c r="AT32" s="234" t="n">
        <v>9907629.399303753</v>
      </c>
      <c r="AU32" s="234" t="n">
        <v>15996197.47619776</v>
      </c>
      <c r="AV32" s="234" t="n">
        <v>16784632.84684703</v>
      </c>
    </row>
    <row r="33">
      <c r="A33" s="230" t="n">
        <v>2054</v>
      </c>
      <c r="B33" s="231" t="n">
        <v>239518</v>
      </c>
      <c r="C33" s="231" t="n">
        <v>0</v>
      </c>
      <c r="D33" s="231" t="n">
        <v>4352817</v>
      </c>
      <c r="E33" s="231" t="n">
        <v>0</v>
      </c>
      <c r="F33" s="231" t="n">
        <v>0</v>
      </c>
      <c r="G33" s="231" t="n">
        <v>3094171</v>
      </c>
      <c r="H33" s="231" t="n">
        <v>0</v>
      </c>
      <c r="I33" s="232" t="n">
        <v>7686506</v>
      </c>
      <c r="K33" s="230" t="n">
        <v>2054</v>
      </c>
      <c r="L33" s="231" t="n">
        <v>0</v>
      </c>
      <c r="M33" s="231" t="n">
        <v>73509</v>
      </c>
      <c r="N33" s="231" t="n">
        <v>61607</v>
      </c>
      <c r="O33" s="231" t="n">
        <v>4512</v>
      </c>
      <c r="P33" s="231" t="n">
        <v>3864</v>
      </c>
      <c r="Q33" s="231" t="n">
        <v>20134</v>
      </c>
      <c r="R33" s="231" t="n">
        <v>6566</v>
      </c>
      <c r="S33" s="231" t="n">
        <v>52251</v>
      </c>
      <c r="T33" s="231" t="n">
        <v>0</v>
      </c>
      <c r="U33" s="231" t="n">
        <v>0</v>
      </c>
      <c r="V33" s="231" t="n">
        <v>0</v>
      </c>
      <c r="W33" s="231" t="n">
        <v>0</v>
      </c>
      <c r="X33" s="231" t="n">
        <v>184023</v>
      </c>
      <c r="Y33" s="231" t="n">
        <v>0</v>
      </c>
      <c r="Z33" s="231" t="n">
        <v>0</v>
      </c>
      <c r="AA33" s="232" t="n">
        <v>406466</v>
      </c>
      <c r="AC33" s="230" t="n">
        <v>2054</v>
      </c>
      <c r="AD33" s="231" t="n">
        <v>201640</v>
      </c>
      <c r="AE33" s="231" t="n">
        <v>89044</v>
      </c>
      <c r="AF33" s="231" t="n">
        <v>137267</v>
      </c>
      <c r="AG33" s="231" t="n">
        <v>0</v>
      </c>
      <c r="AH33" s="231" t="n">
        <v>0</v>
      </c>
      <c r="AI33" s="231" t="n">
        <v>14055</v>
      </c>
      <c r="AJ33" s="231" t="n">
        <v>398</v>
      </c>
      <c r="AK33" s="231" t="n">
        <v>0</v>
      </c>
      <c r="AL33" s="231" t="n">
        <v>0</v>
      </c>
      <c r="AM33" s="231" t="n">
        <v>0</v>
      </c>
      <c r="AN33" s="232" t="n">
        <v>442404</v>
      </c>
      <c r="AQ33" s="230" t="n">
        <v>2054</v>
      </c>
      <c r="AR33" s="231" t="n">
        <v>3354888.410047718</v>
      </c>
      <c r="AS33" s="231" t="n">
        <v>3354888.410047718</v>
      </c>
      <c r="AT33" s="231" t="n">
        <v>10230059.81726182</v>
      </c>
      <c r="AU33" s="231" t="n">
        <v>16792730.37610279</v>
      </c>
      <c r="AV33" s="231" t="n">
        <v>19206617.36882359</v>
      </c>
    </row>
    <row r="34">
      <c r="A34" s="233" t="n">
        <v>2055</v>
      </c>
      <c r="B34" s="234" t="n">
        <v>161323</v>
      </c>
      <c r="C34" s="234" t="n">
        <v>0</v>
      </c>
      <c r="D34" s="234" t="n">
        <v>4414860</v>
      </c>
      <c r="E34" s="234" t="n">
        <v>0</v>
      </c>
      <c r="F34" s="234" t="n">
        <v>0</v>
      </c>
      <c r="G34" s="234" t="n">
        <v>3186996</v>
      </c>
      <c r="H34" s="234" t="n">
        <v>0</v>
      </c>
      <c r="I34" s="235" t="n">
        <v>7763179</v>
      </c>
      <c r="K34" s="233" t="n">
        <v>2055</v>
      </c>
      <c r="L34" s="234" t="n">
        <v>0</v>
      </c>
      <c r="M34" s="234" t="n">
        <v>0</v>
      </c>
      <c r="N34" s="234" t="n">
        <v>73509</v>
      </c>
      <c r="O34" s="234" t="n">
        <v>4512</v>
      </c>
      <c r="P34" s="234" t="n">
        <v>3904</v>
      </c>
      <c r="Q34" s="234" t="n">
        <v>20582</v>
      </c>
      <c r="R34" s="234" t="n">
        <v>0</v>
      </c>
      <c r="S34" s="234" t="n">
        <v>53222</v>
      </c>
      <c r="T34" s="234" t="n">
        <v>0</v>
      </c>
      <c r="U34" s="234" t="n">
        <v>0</v>
      </c>
      <c r="V34" s="234" t="n">
        <v>0</v>
      </c>
      <c r="W34" s="234" t="n">
        <v>0</v>
      </c>
      <c r="X34" s="234" t="n">
        <v>187855</v>
      </c>
      <c r="Y34" s="234" t="n">
        <v>0</v>
      </c>
      <c r="Z34" s="234" t="n">
        <v>0</v>
      </c>
      <c r="AA34" s="235" t="n">
        <v>343584</v>
      </c>
      <c r="AC34" s="233" t="n">
        <v>2055</v>
      </c>
      <c r="AD34" s="234" t="n">
        <v>201640</v>
      </c>
      <c r="AE34" s="234" t="n">
        <v>91270</v>
      </c>
      <c r="AF34" s="234" t="n">
        <v>72282</v>
      </c>
      <c r="AG34" s="234" t="n">
        <v>0</v>
      </c>
      <c r="AH34" s="234" t="n">
        <v>0</v>
      </c>
      <c r="AI34" s="234" t="n">
        <v>14826</v>
      </c>
      <c r="AJ34" s="234" t="n">
        <v>402</v>
      </c>
      <c r="AK34" s="234" t="n">
        <v>0</v>
      </c>
      <c r="AL34" s="234" t="n">
        <v>0</v>
      </c>
      <c r="AM34" s="234" t="n">
        <v>0</v>
      </c>
      <c r="AN34" s="235" t="n">
        <v>380420</v>
      </c>
      <c r="AQ34" s="233" t="n">
        <v>2055</v>
      </c>
      <c r="AR34" s="234" t="n">
        <v>3370790.16580873</v>
      </c>
      <c r="AS34" s="234" t="n">
        <v>3370790.16580873</v>
      </c>
      <c r="AT34" s="234" t="n">
        <v>10334379.5027714</v>
      </c>
      <c r="AU34" s="234" t="n">
        <v>15934264.25733747</v>
      </c>
      <c r="AV34" s="234" t="n">
        <v>21118494.24848141</v>
      </c>
    </row>
    <row r="35">
      <c r="A35" s="230" t="n">
        <v>2056</v>
      </c>
      <c r="B35" s="231" t="n">
        <v>83848</v>
      </c>
      <c r="C35" s="231" t="n">
        <v>0</v>
      </c>
      <c r="D35" s="231" t="n">
        <v>4476803</v>
      </c>
      <c r="E35" s="231" t="n">
        <v>0</v>
      </c>
      <c r="F35" s="231" t="n">
        <v>0</v>
      </c>
      <c r="G35" s="231" t="n">
        <v>3282605</v>
      </c>
      <c r="H35" s="231" t="n">
        <v>0</v>
      </c>
      <c r="I35" s="232" t="n">
        <v>7843256</v>
      </c>
      <c r="K35" s="230" t="n">
        <v>2056</v>
      </c>
      <c r="L35" s="231" t="n">
        <v>0</v>
      </c>
      <c r="M35" s="231" t="n">
        <v>0</v>
      </c>
      <c r="N35" s="231" t="n">
        <v>73509</v>
      </c>
      <c r="O35" s="231" t="n">
        <v>4512</v>
      </c>
      <c r="P35" s="231" t="n">
        <v>3950</v>
      </c>
      <c r="Q35" s="231" t="n">
        <v>21080</v>
      </c>
      <c r="R35" s="231" t="n">
        <v>0</v>
      </c>
      <c r="S35" s="231" t="n">
        <v>54306</v>
      </c>
      <c r="T35" s="231" t="n">
        <v>0</v>
      </c>
      <c r="U35" s="231" t="n">
        <v>0</v>
      </c>
      <c r="V35" s="231" t="n">
        <v>0</v>
      </c>
      <c r="W35" s="231" t="n">
        <v>0</v>
      </c>
      <c r="X35" s="231" t="n">
        <v>191460</v>
      </c>
      <c r="Y35" s="231" t="n">
        <v>0</v>
      </c>
      <c r="Z35" s="231" t="n">
        <v>0</v>
      </c>
      <c r="AA35" s="232" t="n">
        <v>348817</v>
      </c>
      <c r="AC35" s="230" t="n">
        <v>2056</v>
      </c>
      <c r="AD35" s="231" t="n">
        <v>201640</v>
      </c>
      <c r="AE35" s="231" t="n">
        <v>93552</v>
      </c>
      <c r="AF35" s="231" t="n">
        <v>76130</v>
      </c>
      <c r="AG35" s="231" t="n">
        <v>0</v>
      </c>
      <c r="AH35" s="231" t="n">
        <v>0</v>
      </c>
      <c r="AI35" s="231" t="n">
        <v>14845</v>
      </c>
      <c r="AJ35" s="231" t="n">
        <v>407</v>
      </c>
      <c r="AK35" s="231" t="n">
        <v>0</v>
      </c>
      <c r="AL35" s="231" t="n">
        <v>0</v>
      </c>
      <c r="AM35" s="231" t="n">
        <v>0</v>
      </c>
      <c r="AN35" s="232" t="n">
        <v>386574</v>
      </c>
      <c r="AQ35" s="230" t="n">
        <v>2056</v>
      </c>
      <c r="AR35" s="231" t="n">
        <v>3390274.137803575</v>
      </c>
      <c r="AS35" s="231" t="n">
        <v>3390274.137803575</v>
      </c>
      <c r="AT35" s="231" t="n">
        <v>10610437.03436872</v>
      </c>
      <c r="AU35" s="231" t="n">
        <v>15748960.73738749</v>
      </c>
      <c r="AV35" s="231" t="n">
        <v>24741055.05177532</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20" t="inlineStr">
        <is>
          <t>Asset Class</t>
        </is>
      </c>
      <c r="B210" s="220" t="inlineStr">
        <is>
          <t>Current Portfolio Allocation</t>
        </is>
      </c>
      <c r="D210" s="220" t="inlineStr">
        <is>
          <t>Asset Class</t>
        </is>
      </c>
      <c r="E210" s="220" t="inlineStr">
        <is>
          <t>Target Portfolio Allocation</t>
        </is>
      </c>
    </row>
    <row r="211">
      <c r="A211" s="33" t="inlineStr">
        <is>
          <t>US Large Cap</t>
        </is>
      </c>
      <c r="B211" s="108" t="n">
        <v>1357238.41112</v>
      </c>
      <c r="D211" s="33" t="inlineStr">
        <is>
          <t>US Large Cap</t>
        </is>
      </c>
      <c r="E211" s="108" t="n">
        <v>1209226.55896</v>
      </c>
    </row>
    <row r="212">
      <c r="A212" s="33" t="inlineStr">
        <is>
          <t>International</t>
        </is>
      </c>
      <c r="B212" s="108" t="n">
        <v>910327.1116479998</v>
      </c>
      <c r="D212" s="33" t="inlineStr">
        <is>
          <t>International</t>
        </is>
      </c>
      <c r="E212" s="108" t="n">
        <v>690987.1116479998</v>
      </c>
    </row>
    <row r="213">
      <c r="A213" s="33" t="inlineStr">
        <is>
          <t>US Small Cap</t>
        </is>
      </c>
      <c r="B213" s="108" t="n">
        <v>309683.143654</v>
      </c>
      <c r="D213" s="33" t="inlineStr">
        <is>
          <t>US Small Cap</t>
        </is>
      </c>
      <c r="E213" s="108" t="n">
        <v>172747.143654</v>
      </c>
    </row>
    <row r="214">
      <c r="A214" s="33" t="inlineStr">
        <is>
          <t>Commodities</t>
        </is>
      </c>
      <c r="B214" s="108" t="n">
        <v>166714.35</v>
      </c>
      <c r="D214" s="33" t="inlineStr">
        <is>
          <t>Commodities</t>
        </is>
      </c>
      <c r="E214" s="108" t="n">
        <v>172746.35</v>
      </c>
    </row>
    <row r="215">
      <c r="A215" s="33" t="inlineStr">
        <is>
          <t>Cash</t>
        </is>
      </c>
      <c r="B215" s="108" t="n">
        <v>19984.61</v>
      </c>
      <c r="D215" s="33" t="inlineStr">
        <is>
          <t>Cash</t>
        </is>
      </c>
      <c r="E215" s="108" t="n">
        <v>172746.61</v>
      </c>
    </row>
    <row r="216">
      <c r="A216" s="33" t="inlineStr">
        <is>
          <t>Fixed Income (Non-Liquid)</t>
        </is>
      </c>
      <c r="B216" s="108" t="n">
        <v>1274327.16356137</v>
      </c>
      <c r="D216" s="33" t="inlineStr">
        <is>
          <t>Emerging Markets</t>
        </is>
      </c>
      <c r="E216" s="108" t="n">
        <v>172747</v>
      </c>
    </row>
    <row r="217">
      <c r="A217" s="33" t="inlineStr">
        <is>
          <t>Real Estate (Non-Liquid)</t>
        </is>
      </c>
      <c r="B217" s="108" t="n">
        <v>1313000</v>
      </c>
      <c r="D217" s="33" t="inlineStr">
        <is>
          <t>US Mid Cap</t>
        </is>
      </c>
      <c r="E217" s="108" t="n">
        <v>172747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2026-07-03T17:13:35Z</dcterms:created>
  <dcterms:modified xmlns:dcterms="http://purl.org/dc/terms/" xmlns:xsi="http://www.w3.org/2001/XMLSchema-instance" xsi:type="dcterms:W3CDTF">2026-07-03T17:13:43Z</dcterms:modified>
</cp:coreProperties>
</file>