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9">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2D6A4F"/>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6">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4"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4" borderId="0" applyAlignment="1" pivotButton="0" quotePrefix="0" xfId="0">
      <alignment horizontal="left" vertical="top" wrapText="1"/>
    </xf>
    <xf numFmtId="164" fontId="3" fillId="24" borderId="0" applyAlignment="1" pivotButton="0" quotePrefix="0" xfId="0">
      <alignment horizontal="right" vertical="top" wrapText="1"/>
    </xf>
    <xf numFmtId="164" fontId="3" fillId="24" borderId="0" applyAlignment="1" pivotButton="0" quotePrefix="0" xfId="0">
      <alignment horizontal="right" vertical="center"/>
    </xf>
    <xf numFmtId="164" fontId="20" fillId="24" borderId="0" applyAlignment="1" pivotButton="0" quotePrefix="0" xfId="0">
      <alignment horizontal="right" vertical="center"/>
    </xf>
    <xf numFmtId="0" fontId="3" fillId="25" borderId="1" applyAlignment="1" pivotButton="0" quotePrefix="0" xfId="0">
      <alignment horizontal="left" vertical="top" wrapText="1"/>
    </xf>
    <xf numFmtId="164" fontId="3" fillId="25" borderId="1" applyAlignment="1" pivotButton="0" quotePrefix="0" xfId="0">
      <alignment horizontal="right" vertical="top" wrapText="1"/>
    </xf>
    <xf numFmtId="165" fontId="3" fillId="25" borderId="1" applyAlignment="1" pivotButton="0" quotePrefix="0" xfId="0">
      <alignment horizontal="right" vertical="top" wrapText="1"/>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6" borderId="1" applyAlignment="1" pivotButton="0" quotePrefix="0" xfId="0">
      <alignment horizontal="left" vertical="top" wrapText="1"/>
    </xf>
    <xf numFmtId="164" fontId="3" fillId="26" borderId="1" applyAlignment="1" pivotButton="0" quotePrefix="0" xfId="0">
      <alignment horizontal="right" vertical="center"/>
    </xf>
    <xf numFmtId="0" fontId="4" fillId="26" borderId="1" applyAlignment="1" pivotButton="0" quotePrefix="0" xfId="0">
      <alignment horizontal="left" vertical="center"/>
    </xf>
    <xf numFmtId="0" fontId="3" fillId="27" borderId="1" applyAlignment="1" pivotButton="0" quotePrefix="0" xfId="0">
      <alignment horizontal="left" vertical="top" wrapText="1"/>
    </xf>
    <xf numFmtId="164" fontId="3" fillId="27" borderId="1" applyAlignment="1" pivotButton="0" quotePrefix="0" xfId="0">
      <alignment horizontal="right" vertical="top" wrapText="1"/>
    </xf>
    <xf numFmtId="0" fontId="3" fillId="27" borderId="1" applyAlignment="1" pivotButton="0" quotePrefix="0" xfId="0">
      <alignment horizontal="right" vertical="center"/>
    </xf>
    <xf numFmtId="165" fontId="3" fillId="27" borderId="1" applyAlignment="1" pivotButton="0" quotePrefix="0" xfId="0">
      <alignment horizontal="right" vertical="top" wrapText="1"/>
    </xf>
    <xf numFmtId="164" fontId="3" fillId="24" borderId="1" applyAlignment="1" pivotButton="0" quotePrefix="0" xfId="0">
      <alignment horizontal="right" vertical="top" wrapText="1"/>
    </xf>
    <xf numFmtId="0" fontId="3" fillId="24" borderId="1" applyAlignment="1" pivotButton="0" quotePrefix="0" xfId="0">
      <alignment horizontal="right" vertical="center"/>
    </xf>
    <xf numFmtId="165" fontId="3" fillId="24" borderId="1" applyAlignment="1" pivotButton="0" quotePrefix="0" xfId="0">
      <alignment horizontal="right" vertical="top" wrapText="1"/>
    </xf>
    <xf numFmtId="0" fontId="4" fillId="0" borderId="1" applyAlignment="1" pivotButton="0" quotePrefix="0" xfId="0">
      <alignment horizontal="right" vertical="center"/>
    </xf>
    <xf numFmtId="164" fontId="20" fillId="27" borderId="1" applyAlignment="1" pivotButton="0" quotePrefix="0" xfId="0">
      <alignment horizontal="right" vertical="top" wrapText="1"/>
    </xf>
    <xf numFmtId="164" fontId="19" fillId="0" borderId="1" applyAlignment="1" pivotButton="0" quotePrefix="0" xfId="0">
      <alignment horizontal="right" vertical="center"/>
    </xf>
    <xf numFmtId="164" fontId="20" fillId="24" borderId="1" applyAlignment="1" pivotButton="0" quotePrefix="0" xfId="0">
      <alignment horizontal="right" vertical="top" wrapText="1"/>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0" borderId="1" applyAlignment="1" pivotButton="0" quotePrefix="0" xfId="0">
      <alignment horizontal="left" vertical="top" wrapText="1"/>
    </xf>
    <xf numFmtId="0" fontId="4" fillId="12" borderId="1" applyAlignment="1" pivotButton="0" quotePrefix="0" xfId="0">
      <alignment horizontal="left" vertical="top" wrapText="1"/>
    </xf>
    <xf numFmtId="0" fontId="4" fillId="11"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19" fillId="11" borderId="1" applyAlignment="1" pivotButton="0" quotePrefix="0" xfId="0">
      <alignment horizontal="left" vertical="center"/>
    </xf>
    <xf numFmtId="164" fontId="4" fillId="11" borderId="1" applyAlignment="1" pivotButton="0" quotePrefix="0" xfId="0">
      <alignment horizontal="left" vertical="center"/>
    </xf>
    <xf numFmtId="164" fontId="20" fillId="0"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2" fillId="20" borderId="1" applyAlignment="1" pivotButton="0" quotePrefix="0" xfId="0">
      <alignment horizontal="center"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1"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0" fontId="3" fillId="17" borderId="1" applyAlignment="1" pivotButton="0" quotePrefix="0" xfId="0">
      <alignment horizontal="lef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2" borderId="1" applyAlignment="1" pivotButton="0" quotePrefix="0" xfId="0">
      <alignment horizontal="right" vertical="top" wrapText="1"/>
    </xf>
    <xf numFmtId="165" fontId="4" fillId="19" borderId="1" applyAlignment="1" pivotButton="0" quotePrefix="0" xfId="0">
      <alignment horizontal="right" vertical="top" wrapText="1"/>
    </xf>
    <xf numFmtId="0" fontId="3" fillId="4" borderId="1" applyAlignment="1" pivotButton="0" quotePrefix="0" xfId="0">
      <alignment horizontal="center" vertical="top" wrapText="1"/>
    </xf>
    <xf numFmtId="165" fontId="3" fillId="23" borderId="1" applyAlignment="1" pivotButton="0" quotePrefix="0" xfId="0">
      <alignment horizontal="right" vertical="top" wrapText="1"/>
    </xf>
    <xf numFmtId="0" fontId="4" fillId="23"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2" borderId="1" applyAlignment="1" pivotButton="0" quotePrefix="0" xfId="0">
      <alignment horizontal="right" vertical="center"/>
    </xf>
    <xf numFmtId="1" fontId="4" fillId="0" borderId="1" applyAlignment="1" pivotButton="0" quotePrefix="0" xfId="0">
      <alignment horizontal="left" vertical="center"/>
    </xf>
    <xf numFmtId="164" fontId="3" fillId="11" borderId="1" applyAlignment="1" pivotButton="0" quotePrefix="0" xfId="0">
      <alignment horizontal="left" vertical="center"/>
    </xf>
    <xf numFmtId="0" fontId="1" fillId="28"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8"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1368717.35017</v>
                </pt>
                <pt idx="1">
                  <v>924570.240811</v>
                </pt>
                <pt idx="2">
                  <v>310403.602688</v>
                </pt>
                <pt idx="3">
                  <v>169340.6</v>
                </pt>
                <pt idx="4">
                  <v>19984.61</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1221944.72777</v>
                </pt>
                <pt idx="1">
                  <v>698254.240811</v>
                </pt>
                <pt idx="2">
                  <v>174563.602688</v>
                </pt>
                <pt idx="3">
                  <v>174563.6</v>
                </pt>
                <pt idx="4">
                  <v>174562.61</v>
                </pt>
                <pt idx="5">
                  <v>174564</v>
                </pt>
                <pt idx="6">
                  <v>174564</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2026-07-06</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07/06/2026 02:50 PM (configured mode: LIVE)</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5713296.163908464</v>
      </c>
      <c r="C11" s="3" t="n"/>
      <c r="D11" s="3" t="n"/>
      <c r="E11" s="3" t="n"/>
      <c r="F11" s="4" t="n"/>
    </row>
    <row r="12" ht="30" customHeight="1">
      <c r="A12" s="11" t="inlineStr">
        <is>
          <t>Terminal Net Worth (Yn)</t>
        </is>
      </c>
      <c r="B12" s="14" t="n">
        <v>6980960.342980574</v>
      </c>
      <c r="C12" s="3" t="n"/>
      <c r="D12" s="3" t="n"/>
      <c r="E12" s="3" t="n"/>
      <c r="F12" s="4" t="n"/>
    </row>
    <row r="13" ht="45" customHeight="1">
      <c r="A13" s="11" t="inlineStr">
        <is>
          <t>Lifetime Federal Tax (estimated)</t>
        </is>
      </c>
      <c r="B13" s="14" t="n">
        <v>822511.3042277475</v>
      </c>
      <c r="C13" s="3" t="n"/>
      <c r="D13" s="3" t="n"/>
      <c r="E13" s="3" t="n"/>
      <c r="F13" s="4" t="n"/>
    </row>
    <row r="14" ht="30" customHeight="1">
      <c r="A14" s="11" t="inlineStr">
        <is>
          <t>Plan Success Rate (Monte Carlo)</t>
        </is>
      </c>
      <c r="B14" s="15" t="n">
        <v>0.717</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0.6882910866376466</v>
      </c>
      <c r="C17" s="3" t="n"/>
      <c r="D17" s="3" t="n"/>
      <c r="E17" s="3" t="n"/>
      <c r="F17" s="4" t="n"/>
    </row>
    <row r="18" ht="30" customHeight="1">
      <c r="A18" s="11" t="inlineStr">
        <is>
          <t>MC Success 95% CI High</t>
        </is>
      </c>
      <c r="B18" s="15" t="n">
        <v>0.7440480393758599</v>
      </c>
      <c r="C18" s="3" t="n"/>
      <c r="D18" s="3" t="n"/>
      <c r="E18" s="3" t="n"/>
      <c r="F18" s="4" t="n"/>
    </row>
    <row r="19" ht="45" customHeight="1">
      <c r="A19" s="11" t="inlineStr">
        <is>
          <t>Estimated Tax Saved — Roth Strategy</t>
        </is>
      </c>
      <c r="B19" s="14" t="n">
        <v>198340.6480019198</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2026-07-06</t>
        </is>
      </c>
      <c r="B35" s="3" t="n"/>
      <c r="C35" s="3" t="n"/>
      <c r="D35" s="3" t="n"/>
      <c r="E35" s="3" t="n"/>
      <c r="F35" s="4" t="n"/>
    </row>
    <row r="36" ht="60" customHeight="1">
      <c r="A36" s="19" t="inlineStr">
        <is>
          <t>Workbook pricing source: CACHE — as of 07/06/2026 02:50 PM (configured mode: LIVE). Cached quotes were used as of 07/06/2026 02:50 PM; cache TTL is 24.0 hours. Live pricing was not available for these symbols, so the cached quote was used as a fallback.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Matthew Age</t>
        </is>
      </c>
      <c r="C2" s="23" t="inlineStr">
        <is>
          <t>Patricia Age</t>
        </is>
      </c>
      <c r="D2" s="23" t="inlineStr">
        <is>
          <t>Pension PV</t>
        </is>
      </c>
      <c r="E2" s="23" t="inlineStr">
        <is>
          <t>Patricia Single PV</t>
        </is>
      </c>
      <c r="F2" s="23" t="inlineStr">
        <is>
          <t>Patricia Joint PV</t>
        </is>
      </c>
      <c r="G2" s="23" t="inlineStr">
        <is>
          <t>Matthew Single PV</t>
        </is>
      </c>
      <c r="H2" s="23" t="inlineStr">
        <is>
          <t>Matthew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1385951.816524092</v>
      </c>
      <c r="K3" s="27" t="n">
        <v>27450.5662033872</v>
      </c>
      <c r="L3" s="27" t="n">
        <v>350977.1004208188</v>
      </c>
      <c r="M3" s="28" t="n">
        <v>1764379.483148298</v>
      </c>
      <c r="N3" s="27" t="n">
        <v>143561.6306934005</v>
      </c>
      <c r="O3" s="27" t="n">
        <v>342364.6382765257</v>
      </c>
      <c r="P3" s="28" t="n">
        <v>485926.2689699262</v>
      </c>
      <c r="Q3" s="27" t="n">
        <v>158582.5328224145</v>
      </c>
      <c r="R3" s="27" t="n">
        <v>254159.4940405025</v>
      </c>
      <c r="S3" s="28" t="n">
        <v>412742.0268629171</v>
      </c>
      <c r="T3" s="27" t="n">
        <v>78608.18667338893</v>
      </c>
      <c r="U3" s="27" t="n">
        <v>1061620.66</v>
      </c>
      <c r="V3" s="27" t="n">
        <v>0</v>
      </c>
      <c r="W3" s="27" t="n">
        <v>66000</v>
      </c>
      <c r="X3" s="27" t="n">
        <v>48382.38222222222</v>
      </c>
      <c r="Y3" s="27" t="n">
        <v>414971.34</v>
      </c>
      <c r="Z3" s="27" t="n">
        <v>20000</v>
      </c>
      <c r="AA3" s="28" t="n">
        <v>1610974.382222222</v>
      </c>
      <c r="AB3" s="28" t="n">
        <v>5713296.163908464</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1415365.745190598</v>
      </c>
      <c r="K4" s="27" t="n">
        <v>28033.1470597597</v>
      </c>
      <c r="L4" s="27" t="n">
        <v>184357.0732532336</v>
      </c>
      <c r="M4" s="28" t="n">
        <v>1627755.965503591</v>
      </c>
      <c r="N4" s="27" t="n">
        <v>152175.3285350046</v>
      </c>
      <c r="O4" s="27" t="n">
        <v>543584.9046643736</v>
      </c>
      <c r="P4" s="28" t="n">
        <v>695760.2331993782</v>
      </c>
      <c r="Q4" s="27" t="n">
        <v>65434.24388320271</v>
      </c>
      <c r="R4" s="27" t="n">
        <v>105226.3218740423</v>
      </c>
      <c r="S4" s="28" t="n">
        <v>170660.5657572451</v>
      </c>
      <c r="T4" s="27" t="n">
        <v>83324.67787379227</v>
      </c>
      <c r="U4" s="27" t="n">
        <v>1132406.050134</v>
      </c>
      <c r="V4" s="27" t="n">
        <v>0</v>
      </c>
      <c r="W4" s="27" t="n">
        <v>66000</v>
      </c>
      <c r="X4" s="27" t="n">
        <v>42334.58444444444</v>
      </c>
      <c r="Y4" s="27" t="n">
        <v>355689.72</v>
      </c>
      <c r="Z4" s="27" t="n">
        <v>20000</v>
      </c>
      <c r="AA4" s="28" t="n">
        <v>1616430.354578444</v>
      </c>
      <c r="AB4" s="28" t="n">
        <v>5631454.841906065</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1406581.4379842</v>
      </c>
      <c r="K5" s="27" t="n">
        <v>27859.16250730616</v>
      </c>
      <c r="L5" s="27" t="n">
        <v>27681.62616805414</v>
      </c>
      <c r="M5" s="28" t="n">
        <v>1462122.226659561</v>
      </c>
      <c r="N5" s="27" t="n">
        <v>161305.8482471048</v>
      </c>
      <c r="O5" s="27" t="n">
        <v>742092.7244938083</v>
      </c>
      <c r="P5" s="28" t="n">
        <v>903398.5727409131</v>
      </c>
      <c r="Q5" s="27" t="n">
        <v>0</v>
      </c>
      <c r="R5" s="27" t="n">
        <v>0</v>
      </c>
      <c r="S5" s="28" t="n">
        <v>0</v>
      </c>
      <c r="T5" s="27" t="n">
        <v>88324.15854621981</v>
      </c>
      <c r="U5" s="27" t="n">
        <v>1205009.843701667</v>
      </c>
      <c r="V5" s="27" t="n">
        <v>0</v>
      </c>
      <c r="W5" s="27" t="n">
        <v>66000</v>
      </c>
      <c r="X5" s="27" t="n">
        <v>36286.78666666667</v>
      </c>
      <c r="Y5" s="27" t="n">
        <v>296408.1</v>
      </c>
      <c r="Z5" s="27" t="n">
        <v>20000</v>
      </c>
      <c r="AA5" s="28" t="n">
        <v>1623704.730368333</v>
      </c>
      <c r="AB5" s="28" t="n">
        <v>5596541.396008259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1307748.908855325</v>
      </c>
      <c r="K6" s="27" t="n">
        <v>0</v>
      </c>
      <c r="L6" s="27" t="n">
        <v>0</v>
      </c>
      <c r="M6" s="28" t="n">
        <v>1307748.908855325</v>
      </c>
      <c r="N6" s="27" t="n">
        <v>231737.0733809723</v>
      </c>
      <c r="O6" s="27" t="n">
        <v>815960.8117015742</v>
      </c>
      <c r="P6" s="28" t="n">
        <v>1047697.885082547</v>
      </c>
      <c r="Q6" s="27" t="n">
        <v>0</v>
      </c>
      <c r="R6" s="27" t="n">
        <v>0</v>
      </c>
      <c r="S6" s="28" t="n">
        <v>0</v>
      </c>
      <c r="T6" s="27" t="n">
        <v>93623.60805899301</v>
      </c>
      <c r="U6" s="27" t="n">
        <v>1279480.52015643</v>
      </c>
      <c r="V6" s="27" t="n">
        <v>0</v>
      </c>
      <c r="W6" s="27" t="n">
        <v>66000</v>
      </c>
      <c r="X6" s="27" t="n">
        <v>30238.98888888889</v>
      </c>
      <c r="Y6" s="27" t="n">
        <v>237126.48</v>
      </c>
      <c r="Z6" s="27" t="n">
        <v>20000</v>
      </c>
      <c r="AA6" s="28" t="n">
        <v>1632845.989045319</v>
      </c>
      <c r="AB6" s="28" t="n">
        <v>5657996.747124868</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1209272.470757415</v>
      </c>
      <c r="K7" s="27" t="n">
        <v>0</v>
      </c>
      <c r="L7" s="27" t="n">
        <v>0</v>
      </c>
      <c r="M7" s="28" t="n">
        <v>1209272.470757415</v>
      </c>
      <c r="N7" s="27" t="n">
        <v>344663.7072994075</v>
      </c>
      <c r="O7" s="27" t="n">
        <v>864918.4604036687</v>
      </c>
      <c r="P7" s="28" t="n">
        <v>1209582.167703076</v>
      </c>
      <c r="Q7" s="27" t="n">
        <v>0</v>
      </c>
      <c r="R7" s="27" t="n">
        <v>0</v>
      </c>
      <c r="S7" s="28" t="n">
        <v>0</v>
      </c>
      <c r="T7" s="27" t="n">
        <v>99241.02454253258</v>
      </c>
      <c r="U7" s="27" t="n">
        <v>1355867.892489596</v>
      </c>
      <c r="V7" s="27" t="n">
        <v>0</v>
      </c>
      <c r="W7" s="27" t="n">
        <v>0</v>
      </c>
      <c r="X7" s="27" t="n">
        <v>24191.19111111111</v>
      </c>
      <c r="Y7" s="27" t="n">
        <v>177844.86</v>
      </c>
      <c r="Z7" s="27" t="n">
        <v>20000</v>
      </c>
      <c r="AA7" s="28" t="n">
        <v>1577903.943600707</v>
      </c>
      <c r="AB7" s="28" t="n">
        <v>5643676.230908235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1148846.60145837</v>
      </c>
      <c r="K8" s="27" t="n">
        <v>0</v>
      </c>
      <c r="L8" s="27" t="n">
        <v>0</v>
      </c>
      <c r="M8" s="28" t="n">
        <v>1148846.60145837</v>
      </c>
      <c r="N8" s="27" t="n">
        <v>431223.9336449937</v>
      </c>
      <c r="O8" s="27" t="n">
        <v>916813.5680278888</v>
      </c>
      <c r="P8" s="28" t="n">
        <v>1348037.501672883</v>
      </c>
      <c r="Q8" s="27" t="n">
        <v>0</v>
      </c>
      <c r="R8" s="27" t="n">
        <v>0</v>
      </c>
      <c r="S8" s="28" t="n">
        <v>0</v>
      </c>
      <c r="T8" s="27" t="n">
        <v>94675.93741357609</v>
      </c>
      <c r="U8" s="27" t="n">
        <v>1434223.144831653</v>
      </c>
      <c r="V8" s="27" t="n">
        <v>0</v>
      </c>
      <c r="W8" s="27" t="n">
        <v>0</v>
      </c>
      <c r="X8" s="27" t="n">
        <v>18143.39333333333</v>
      </c>
      <c r="Y8" s="27" t="n">
        <v>118563.24</v>
      </c>
      <c r="Z8" s="27" t="n">
        <v>20000</v>
      </c>
      <c r="AA8" s="28" t="n">
        <v>1590929.778164987</v>
      </c>
      <c r="AB8" s="28" t="n">
        <v>5700739.947601842</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996745.7708438257</v>
      </c>
      <c r="K9" s="27" t="n">
        <v>0</v>
      </c>
      <c r="L9" s="27" t="n">
        <v>0</v>
      </c>
      <c r="M9" s="28" t="n">
        <v>996745.7708438257</v>
      </c>
      <c r="N9" s="27" t="n">
        <v>504299.4762123374</v>
      </c>
      <c r="O9" s="27" t="n">
        <v>971822.3821095621</v>
      </c>
      <c r="P9" s="28" t="n">
        <v>1476121.8583219</v>
      </c>
      <c r="Q9" s="27" t="n">
        <v>0</v>
      </c>
      <c r="R9" s="27" t="n">
        <v>0</v>
      </c>
      <c r="S9" s="28" t="n">
        <v>0</v>
      </c>
      <c r="T9" s="27" t="n">
        <v>89205.77214079168</v>
      </c>
      <c r="U9" s="27" t="n">
        <v>1514598.871133763</v>
      </c>
      <c r="V9" s="27" t="n">
        <v>0</v>
      </c>
      <c r="W9" s="27" t="n">
        <v>0</v>
      </c>
      <c r="X9" s="27" t="n">
        <v>12095.59555555556</v>
      </c>
      <c r="Y9" s="27" t="n">
        <v>59281.62000000005</v>
      </c>
      <c r="Z9" s="27" t="n">
        <v>20000</v>
      </c>
      <c r="AA9" s="28" t="n">
        <v>1605976.086689319</v>
      </c>
      <c r="AB9" s="28" t="n">
        <v>5655764.238143425</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954267.6749390614</v>
      </c>
      <c r="K10" s="27" t="n">
        <v>0</v>
      </c>
      <c r="L10" s="27" t="n">
        <v>0</v>
      </c>
      <c r="M10" s="28" t="n">
        <v>954267.6749390614</v>
      </c>
      <c r="N10" s="27" t="n">
        <v>588148.5871574035</v>
      </c>
      <c r="O10" s="27" t="n">
        <v>1030131.725036136</v>
      </c>
      <c r="P10" s="28" t="n">
        <v>1618280.312193539</v>
      </c>
      <c r="Q10" s="27" t="n">
        <v>0</v>
      </c>
      <c r="R10" s="27" t="n">
        <v>0</v>
      </c>
      <c r="S10" s="28" t="n">
        <v>0</v>
      </c>
      <c r="T10" s="27" t="n">
        <v>82738.3536605843</v>
      </c>
      <c r="U10" s="27" t="n">
        <v>1597049.114960884</v>
      </c>
      <c r="V10" s="27" t="n">
        <v>0</v>
      </c>
      <c r="W10" s="27" t="n">
        <v>0</v>
      </c>
      <c r="X10" s="27" t="n">
        <v>6047.797777777778</v>
      </c>
      <c r="Y10" s="27" t="n">
        <v>0</v>
      </c>
      <c r="Z10" s="27" t="n">
        <v>20000</v>
      </c>
      <c r="AA10" s="28" t="n">
        <v>1623096.912738662</v>
      </c>
      <c r="AB10" s="28" t="n">
        <v>5734344.878416443</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811173.9843291799</v>
      </c>
      <c r="K11" s="27" t="n">
        <v>0</v>
      </c>
      <c r="L11" s="27" t="n">
        <v>0</v>
      </c>
      <c r="M11" s="28" t="n">
        <v>811173.9843291799</v>
      </c>
      <c r="N11" s="27" t="n">
        <v>683449.5092835572</v>
      </c>
      <c r="O11" s="27" t="n">
        <v>1091939.628538304</v>
      </c>
      <c r="P11" s="28" t="n">
        <v>1775389.137821861</v>
      </c>
      <c r="Q11" s="27" t="n">
        <v>0</v>
      </c>
      <c r="R11" s="27" t="n">
        <v>0</v>
      </c>
      <c r="S11" s="28" t="n">
        <v>0</v>
      </c>
      <c r="T11" s="27" t="n">
        <v>75173.70418304516</v>
      </c>
      <c r="U11" s="27" t="n">
        <v>1681629.410428911</v>
      </c>
      <c r="V11" s="27" t="n">
        <v>0</v>
      </c>
      <c r="W11" s="27" t="n">
        <v>0</v>
      </c>
      <c r="X11" s="27" t="n">
        <v>0</v>
      </c>
      <c r="Y11" s="27" t="n">
        <v>0</v>
      </c>
      <c r="Z11" s="27" t="n">
        <v>20000</v>
      </c>
      <c r="AA11" s="28" t="n">
        <v>1701629.410428911</v>
      </c>
      <c r="AB11" s="28" t="n">
        <v>5786243.300956093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703589.6069573143</v>
      </c>
      <c r="K12" s="27" t="n">
        <v>0</v>
      </c>
      <c r="L12" s="27" t="n">
        <v>0</v>
      </c>
      <c r="M12" s="28" t="n">
        <v>703589.6069573143</v>
      </c>
      <c r="N12" s="27" t="n">
        <v>785223.202990935</v>
      </c>
      <c r="O12" s="27" t="n">
        <v>1157456.006250602</v>
      </c>
      <c r="P12" s="28" t="n">
        <v>1942679.209241537</v>
      </c>
      <c r="Q12" s="27" t="n">
        <v>0</v>
      </c>
      <c r="R12" s="27" t="n">
        <v>0</v>
      </c>
      <c r="S12" s="28" t="n">
        <v>0</v>
      </c>
      <c r="T12" s="27" t="n">
        <v>66403.43869502323</v>
      </c>
      <c r="U12" s="27" t="n">
        <v>1764562.206078832</v>
      </c>
      <c r="V12" s="27" t="n">
        <v>0</v>
      </c>
      <c r="W12" s="27" t="n">
        <v>0</v>
      </c>
      <c r="X12" s="27" t="n">
        <v>0</v>
      </c>
      <c r="Y12" s="27" t="n">
        <v>0</v>
      </c>
      <c r="Z12" s="27" t="n">
        <v>20000</v>
      </c>
      <c r="AA12" s="28" t="n">
        <v>1784562.206078832</v>
      </c>
      <c r="AB12" s="28" t="n">
        <v>5885576.666022057</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668869.9116771464</v>
      </c>
      <c r="K13" s="27" t="n">
        <v>0</v>
      </c>
      <c r="L13" s="27" t="n">
        <v>0</v>
      </c>
      <c r="M13" s="28" t="n">
        <v>668869.9116771464</v>
      </c>
      <c r="N13" s="27" t="n">
        <v>832336.595170391</v>
      </c>
      <c r="O13" s="27" t="n">
        <v>1226903.366625638</v>
      </c>
      <c r="P13" s="28" t="n">
        <v>2059239.961796029</v>
      </c>
      <c r="Q13" s="27" t="n">
        <v>0</v>
      </c>
      <c r="R13" s="27" t="n">
        <v>0</v>
      </c>
      <c r="S13" s="28" t="n">
        <v>0</v>
      </c>
      <c r="T13" s="27" t="n">
        <v>56310.1160133797</v>
      </c>
      <c r="U13" s="27" t="n">
        <v>1817499.072261197</v>
      </c>
      <c r="V13" s="27" t="n">
        <v>0</v>
      </c>
      <c r="W13" s="27" t="n">
        <v>0</v>
      </c>
      <c r="X13" s="27" t="n">
        <v>0</v>
      </c>
      <c r="Y13" s="27" t="n">
        <v>0</v>
      </c>
      <c r="Z13" s="27" t="n">
        <v>20000</v>
      </c>
      <c r="AA13" s="28" t="n">
        <v>1837499.072261197</v>
      </c>
      <c r="AB13" s="28" t="n">
        <v>5970810.642560546</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623451.4743334404</v>
      </c>
      <c r="K14" s="27" t="n">
        <v>0</v>
      </c>
      <c r="L14" s="27" t="n">
        <v>0</v>
      </c>
      <c r="M14" s="28" t="n">
        <v>623451.4743334404</v>
      </c>
      <c r="N14" s="27" t="n">
        <v>882276.7908806144</v>
      </c>
      <c r="O14" s="27" t="n">
        <v>1300517.568623177</v>
      </c>
      <c r="P14" s="28" t="n">
        <v>2182794.359503791</v>
      </c>
      <c r="Q14" s="27" t="n">
        <v>0</v>
      </c>
      <c r="R14" s="27" t="n">
        <v>0</v>
      </c>
      <c r="S14" s="28" t="n">
        <v>0</v>
      </c>
      <c r="T14" s="27" t="n">
        <v>44766.54223063687</v>
      </c>
      <c r="U14" s="27" t="n">
        <v>1872024.044429033</v>
      </c>
      <c r="V14" s="27" t="n">
        <v>0</v>
      </c>
      <c r="W14" s="27" t="n">
        <v>0</v>
      </c>
      <c r="X14" s="27" t="n">
        <v>0</v>
      </c>
      <c r="Y14" s="27" t="n">
        <v>0</v>
      </c>
      <c r="Z14" s="27" t="n">
        <v>20000</v>
      </c>
      <c r="AA14" s="28" t="n">
        <v>1892024.044429033</v>
      </c>
      <c r="AB14" s="28" t="n">
        <v>6041760.787428214</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566521.4525560265</v>
      </c>
      <c r="K15" s="27" t="n">
        <v>0</v>
      </c>
      <c r="L15" s="27" t="n">
        <v>0</v>
      </c>
      <c r="M15" s="28" t="n">
        <v>566521.4525560265</v>
      </c>
      <c r="N15" s="27" t="n">
        <v>935213.3983334512</v>
      </c>
      <c r="O15" s="27" t="n">
        <v>1378548.622740567</v>
      </c>
      <c r="P15" s="28" t="n">
        <v>2313762.021074018</v>
      </c>
      <c r="Q15" s="27" t="n">
        <v>0</v>
      </c>
      <c r="R15" s="27" t="n">
        <v>0</v>
      </c>
      <c r="S15" s="28" t="n">
        <v>0</v>
      </c>
      <c r="T15" s="27" t="n">
        <v>31635.02317631672</v>
      </c>
      <c r="U15" s="27" t="n">
        <v>1928184.765761904</v>
      </c>
      <c r="V15" s="27" t="n">
        <v>0</v>
      </c>
      <c r="W15" s="27" t="n">
        <v>0</v>
      </c>
      <c r="X15" s="27" t="n">
        <v>0</v>
      </c>
      <c r="Y15" s="27" t="n">
        <v>0</v>
      </c>
      <c r="Z15" s="27" t="n">
        <v>20000</v>
      </c>
      <c r="AA15" s="28" t="n">
        <v>1948184.765761904</v>
      </c>
      <c r="AB15" s="28" t="n">
        <v>6107057.27810753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497230.4328512694</v>
      </c>
      <c r="K16" s="27" t="n">
        <v>0</v>
      </c>
      <c r="L16" s="27" t="n">
        <v>0</v>
      </c>
      <c r="M16" s="28" t="n">
        <v>497230.4328512694</v>
      </c>
      <c r="N16" s="27" t="n">
        <v>991326.2022334583</v>
      </c>
      <c r="O16" s="27" t="n">
        <v>1461261.540105001</v>
      </c>
      <c r="P16" s="28" t="n">
        <v>2452587.742338459</v>
      </c>
      <c r="Q16" s="27" t="n">
        <v>7.557079383786441e-12</v>
      </c>
      <c r="R16" s="27" t="n">
        <v>0</v>
      </c>
      <c r="S16" s="28" t="n">
        <v>7.557079383786441e-12</v>
      </c>
      <c r="T16" s="27" t="n">
        <v>16766.56228344786</v>
      </c>
      <c r="U16" s="27" t="n">
        <v>1986030.308734762</v>
      </c>
      <c r="V16" s="27" t="n">
        <v>0</v>
      </c>
      <c r="W16" s="27" t="n">
        <v>0</v>
      </c>
      <c r="X16" s="27" t="n">
        <v>0</v>
      </c>
      <c r="Y16" s="27" t="n">
        <v>0</v>
      </c>
      <c r="Z16" s="27" t="n">
        <v>20000</v>
      </c>
      <c r="AA16" s="28" t="n">
        <v>2006030.308734762</v>
      </c>
      <c r="AB16" s="28" t="n">
        <v>6166003.426140452</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414659.2922348218</v>
      </c>
      <c r="K17" s="27" t="n">
        <v>0</v>
      </c>
      <c r="L17" s="27" t="n">
        <v>0</v>
      </c>
      <c r="M17" s="28" t="n">
        <v>414659.2922348218</v>
      </c>
      <c r="N17" s="27" t="n">
        <v>1050805.774367466</v>
      </c>
      <c r="O17" s="27" t="n">
        <v>1548937.232511301</v>
      </c>
      <c r="P17" s="28" t="n">
        <v>2599743.006878767</v>
      </c>
      <c r="Q17" s="27" t="n">
        <v>7.849062878200864e-12</v>
      </c>
      <c r="R17" s="27" t="n">
        <v>0</v>
      </c>
      <c r="S17" s="28" t="n">
        <v>7.849062878200864e-12</v>
      </c>
      <c r="T17" s="27" t="n">
        <v>0</v>
      </c>
      <c r="U17" s="27" t="n">
        <v>2045611.217996805</v>
      </c>
      <c r="V17" s="27" t="n">
        <v>0</v>
      </c>
      <c r="W17" s="27" t="n">
        <v>0</v>
      </c>
      <c r="X17" s="27" t="n">
        <v>0</v>
      </c>
      <c r="Y17" s="27" t="n">
        <v>0</v>
      </c>
      <c r="Z17" s="27" t="n">
        <v>20000</v>
      </c>
      <c r="AA17" s="28" t="n">
        <v>2065611.217996805</v>
      </c>
      <c r="AB17" s="28" t="n">
        <v>6217814.279491521</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299617.9068615519</v>
      </c>
      <c r="K18" s="27" t="n">
        <v>0</v>
      </c>
      <c r="L18" s="27" t="n">
        <v>0</v>
      </c>
      <c r="M18" s="28" t="n">
        <v>299617.9068615519</v>
      </c>
      <c r="N18" s="27" t="n">
        <v>1113854.120829514</v>
      </c>
      <c r="O18" s="27" t="n">
        <v>1641873.466461979</v>
      </c>
      <c r="P18" s="28" t="n">
        <v>2755727.587291493</v>
      </c>
      <c r="Q18" s="27" t="n">
        <v>8.15232776277686e-12</v>
      </c>
      <c r="R18" s="27" t="n">
        <v>0</v>
      </c>
      <c r="S18" s="28" t="n">
        <v>8.15232776277686e-12</v>
      </c>
      <c r="T18" s="27" t="n">
        <v>0</v>
      </c>
      <c r="U18" s="27" t="n">
        <v>2106979.554536709</v>
      </c>
      <c r="V18" s="27" t="n">
        <v>0</v>
      </c>
      <c r="W18" s="27" t="n">
        <v>0</v>
      </c>
      <c r="X18" s="27" t="n">
        <v>0</v>
      </c>
      <c r="Y18" s="27" t="n">
        <v>0</v>
      </c>
      <c r="Z18" s="27" t="n">
        <v>20000</v>
      </c>
      <c r="AA18" s="28" t="n">
        <v>2126979.554536709</v>
      </c>
      <c r="AB18" s="28" t="n">
        <v>6262283.332936303</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172794.957663225</v>
      </c>
      <c r="K19" s="27" t="n">
        <v>0</v>
      </c>
      <c r="L19" s="27" t="n">
        <v>0</v>
      </c>
      <c r="M19" s="28" t="n">
        <v>172794.957663225</v>
      </c>
      <c r="N19" s="27" t="n">
        <v>1180685.368079285</v>
      </c>
      <c r="O19" s="27" t="n">
        <v>1740385.874449698</v>
      </c>
      <c r="P19" s="28" t="n">
        <v>2921071.242528982</v>
      </c>
      <c r="Q19" s="27" t="n">
        <v>8.467309917509055e-12</v>
      </c>
      <c r="R19" s="27" t="n">
        <v>0</v>
      </c>
      <c r="S19" s="28" t="n">
        <v>8.467309917509055e-12</v>
      </c>
      <c r="T19" s="27" t="n">
        <v>0</v>
      </c>
      <c r="U19" s="27" t="n">
        <v>2170188.94117281</v>
      </c>
      <c r="V19" s="27" t="n">
        <v>0</v>
      </c>
      <c r="W19" s="27" t="n">
        <v>0</v>
      </c>
      <c r="X19" s="27" t="n">
        <v>0</v>
      </c>
      <c r="Y19" s="27" t="n">
        <v>0</v>
      </c>
      <c r="Z19" s="27" t="n">
        <v>20000</v>
      </c>
      <c r="AA19" s="28" t="n">
        <v>2190188.94117281</v>
      </c>
      <c r="AB19" s="28" t="n">
        <v>6303676.253184769</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33314.74673472879</v>
      </c>
      <c r="K20" s="27" t="n">
        <v>0</v>
      </c>
      <c r="L20" s="27" t="n">
        <v>0</v>
      </c>
      <c r="M20" s="28" t="n">
        <v>33314.74673472879</v>
      </c>
      <c r="N20" s="27" t="n">
        <v>1251526.490164042</v>
      </c>
      <c r="O20" s="27" t="n">
        <v>1844809.02691668</v>
      </c>
      <c r="P20" s="28" t="n">
        <v>3096335.517080721</v>
      </c>
      <c r="Q20" s="27" t="n">
        <v>0</v>
      </c>
      <c r="R20" s="27" t="n">
        <v>0</v>
      </c>
      <c r="S20" s="28" t="n">
        <v>0</v>
      </c>
      <c r="T20" s="27" t="n">
        <v>0</v>
      </c>
      <c r="U20" s="27" t="n">
        <v>2235294.609407994</v>
      </c>
      <c r="V20" s="27" t="n">
        <v>0</v>
      </c>
      <c r="W20" s="27" t="n">
        <v>0</v>
      </c>
      <c r="X20" s="27" t="n">
        <v>0</v>
      </c>
      <c r="Y20" s="27" t="n">
        <v>0</v>
      </c>
      <c r="Z20" s="27" t="n">
        <v>20000</v>
      </c>
      <c r="AA20" s="28" t="n">
        <v>2255294.609407994</v>
      </c>
      <c r="AB20" s="28" t="n">
        <v>6341486.52932418</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1288857.286708671</v>
      </c>
      <c r="O21" s="27" t="n">
        <v>1899836.380303739</v>
      </c>
      <c r="P21" s="28" t="n">
        <v>3188693.66701241</v>
      </c>
      <c r="Q21" s="27" t="n">
        <v>0</v>
      </c>
      <c r="R21" s="27" t="n">
        <v>0</v>
      </c>
      <c r="S21" s="28" t="n">
        <v>0</v>
      </c>
      <c r="T21" s="27" t="n">
        <v>0</v>
      </c>
      <c r="U21" s="27" t="n">
        <v>2302353.447690234</v>
      </c>
      <c r="V21" s="27" t="n">
        <v>0</v>
      </c>
      <c r="W21" s="27" t="n">
        <v>0</v>
      </c>
      <c r="X21" s="27" t="n">
        <v>0</v>
      </c>
      <c r="Y21" s="27" t="n">
        <v>0</v>
      </c>
      <c r="Z21" s="27" t="n">
        <v>20000</v>
      </c>
      <c r="AA21" s="28" t="n">
        <v>2322353.447690234</v>
      </c>
      <c r="AB21" s="28" t="n">
        <v>6401510.858672512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1315576.766879142</v>
      </c>
      <c r="O22" s="27" t="n">
        <v>1939222.153278104</v>
      </c>
      <c r="P22" s="28" t="n">
        <v>3254798.920157245</v>
      </c>
      <c r="Q22" s="27" t="n">
        <v>1.511415876757288e-11</v>
      </c>
      <c r="R22" s="27" t="n">
        <v>0</v>
      </c>
      <c r="S22" s="28" t="n">
        <v>1.511415876757288e-11</v>
      </c>
      <c r="T22" s="27" t="n">
        <v>0</v>
      </c>
      <c r="U22" s="27" t="n">
        <v>2371424.051120941</v>
      </c>
      <c r="V22" s="27" t="n">
        <v>0</v>
      </c>
      <c r="W22" s="27" t="n">
        <v>0</v>
      </c>
      <c r="X22" s="27" t="n">
        <v>0</v>
      </c>
      <c r="Y22" s="27" t="n">
        <v>0</v>
      </c>
      <c r="Z22" s="27" t="n">
        <v>20000</v>
      </c>
      <c r="AA22" s="28" t="n">
        <v>2391424.051120941</v>
      </c>
      <c r="AB22" s="28" t="n">
        <v>6467344.729373005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1342108.298964789</v>
      </c>
      <c r="O23" s="27" t="n">
        <v>1978330.881918052</v>
      </c>
      <c r="P23" s="28" t="n">
        <v>3320439.180882841</v>
      </c>
      <c r="Q23" s="27" t="n">
        <v>1.511415876757288e-11</v>
      </c>
      <c r="R23" s="27" t="n">
        <v>0</v>
      </c>
      <c r="S23" s="28" t="n">
        <v>1.511415876757288e-11</v>
      </c>
      <c r="T23" s="27" t="n">
        <v>0</v>
      </c>
      <c r="U23" s="27" t="n">
        <v>2442566.772654569</v>
      </c>
      <c r="V23" s="27" t="n">
        <v>0</v>
      </c>
      <c r="W23" s="27" t="n">
        <v>0</v>
      </c>
      <c r="X23" s="27" t="n">
        <v>0</v>
      </c>
      <c r="Y23" s="27" t="n">
        <v>0</v>
      </c>
      <c r="Z23" s="27" t="n">
        <v>20000</v>
      </c>
      <c r="AA23" s="28" t="n">
        <v>2462566.772654569</v>
      </c>
      <c r="AB23" s="28" t="n">
        <v>6531245.69633905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1365010.379113764</v>
      </c>
      <c r="O24" s="27" t="n">
        <v>2012089.627358958</v>
      </c>
      <c r="P24" s="28" t="n">
        <v>3377100.006472722</v>
      </c>
      <c r="Q24" s="27" t="n">
        <v>0</v>
      </c>
      <c r="R24" s="27" t="n">
        <v>0</v>
      </c>
      <c r="S24" s="28" t="n">
        <v>0</v>
      </c>
      <c r="T24" s="27" t="n">
        <v>0</v>
      </c>
      <c r="U24" s="27" t="n">
        <v>2515843.775834206</v>
      </c>
      <c r="V24" s="27" t="n">
        <v>0</v>
      </c>
      <c r="W24" s="27" t="n">
        <v>0</v>
      </c>
      <c r="X24" s="27" t="n">
        <v>0</v>
      </c>
      <c r="Y24" s="27" t="n">
        <v>0</v>
      </c>
      <c r="Z24" s="27" t="n">
        <v>20000</v>
      </c>
      <c r="AA24" s="28" t="n">
        <v>2535843.775834206</v>
      </c>
      <c r="AB24" s="28" t="n">
        <v>6584474.255321241</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1379252.134325041</v>
      </c>
      <c r="O25" s="27" t="n">
        <v>2033082.645708459</v>
      </c>
      <c r="P25" s="28" t="n">
        <v>3412334.7800335</v>
      </c>
      <c r="Q25" s="27" t="n">
        <v>0</v>
      </c>
      <c r="R25" s="27" t="n">
        <v>0</v>
      </c>
      <c r="S25" s="28" t="n">
        <v>0</v>
      </c>
      <c r="T25" s="27" t="n">
        <v>0</v>
      </c>
      <c r="U25" s="27" t="n">
        <v>2591319.089109233</v>
      </c>
      <c r="V25" s="27" t="n">
        <v>0</v>
      </c>
      <c r="W25" s="27" t="n">
        <v>0</v>
      </c>
      <c r="X25" s="27" t="n">
        <v>0</v>
      </c>
      <c r="Y25" s="27" t="n">
        <v>0</v>
      </c>
      <c r="Z25" s="27" t="n">
        <v>20000</v>
      </c>
      <c r="AA25" s="28" t="n">
        <v>2611319.089109233</v>
      </c>
      <c r="AB25" s="28" t="n">
        <v>6624946.942565417</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1392710.891529981</v>
      </c>
      <c r="O26" s="27" t="n">
        <v>2052921.488096445</v>
      </c>
      <c r="P26" s="28" t="n">
        <v>3445632.379626426</v>
      </c>
      <c r="Q26" s="27" t="n">
        <v>0</v>
      </c>
      <c r="R26" s="27" t="n">
        <v>0</v>
      </c>
      <c r="S26" s="28" t="n">
        <v>0</v>
      </c>
      <c r="T26" s="27" t="n">
        <v>0</v>
      </c>
      <c r="U26" s="27" t="n">
        <v>2669058.66178251</v>
      </c>
      <c r="V26" s="27" t="n">
        <v>0</v>
      </c>
      <c r="W26" s="27" t="n">
        <v>0</v>
      </c>
      <c r="X26" s="27" t="n">
        <v>0</v>
      </c>
      <c r="Y26" s="27" t="n">
        <v>0</v>
      </c>
      <c r="Z26" s="27" t="n">
        <v>20000</v>
      </c>
      <c r="AA26" s="28" t="n">
        <v>2689058.66178251</v>
      </c>
      <c r="AB26" s="28" t="n">
        <v>6686731.375170732</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1405223.03228313</v>
      </c>
      <c r="O27" s="27" t="n">
        <v>2071364.973223504</v>
      </c>
      <c r="P27" s="28" t="n">
        <v>3476588.005506634</v>
      </c>
      <c r="Q27" s="27" t="n">
        <v>0</v>
      </c>
      <c r="R27" s="27" t="n">
        <v>0</v>
      </c>
      <c r="S27" s="28" t="n">
        <v>0</v>
      </c>
      <c r="T27" s="27" t="n">
        <v>0</v>
      </c>
      <c r="U27" s="27" t="n">
        <v>2749130.421635985</v>
      </c>
      <c r="V27" s="27" t="n">
        <v>0</v>
      </c>
      <c r="W27" s="27" t="n">
        <v>0</v>
      </c>
      <c r="X27" s="27" t="n">
        <v>0</v>
      </c>
      <c r="Y27" s="27" t="n">
        <v>0</v>
      </c>
      <c r="Z27" s="27" t="n">
        <v>20000</v>
      </c>
      <c r="AA27" s="28" t="n">
        <v>2769130.421635985</v>
      </c>
      <c r="AB27" s="28" t="n">
        <v>6744462.440991611</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1416607.327944365</v>
      </c>
      <c r="O28" s="27" t="n">
        <v>2088145.961533374</v>
      </c>
      <c r="P28" s="28" t="n">
        <v>3504753.289477739</v>
      </c>
      <c r="Q28" s="27" t="n">
        <v>0</v>
      </c>
      <c r="R28" s="27" t="n">
        <v>0</v>
      </c>
      <c r="S28" s="28" t="n">
        <v>0</v>
      </c>
      <c r="T28" s="27" t="n">
        <v>0</v>
      </c>
      <c r="U28" s="27" t="n">
        <v>2831604.334285065</v>
      </c>
      <c r="V28" s="27" t="n">
        <v>0</v>
      </c>
      <c r="W28" s="27" t="n">
        <v>0</v>
      </c>
      <c r="X28" s="27" t="n">
        <v>0</v>
      </c>
      <c r="Y28" s="27" t="n">
        <v>0</v>
      </c>
      <c r="Z28" s="27" t="n">
        <v>20000</v>
      </c>
      <c r="AA28" s="28" t="n">
        <v>2851604.334285065</v>
      </c>
      <c r="AB28" s="28" t="n">
        <v>6797503.200582409</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1426674.546276572</v>
      </c>
      <c r="O29" s="27" t="n">
        <v>2102985.515790641</v>
      </c>
      <c r="P29" s="28" t="n">
        <v>3529660.062067213</v>
      </c>
      <c r="Q29" s="27" t="n">
        <v>0</v>
      </c>
      <c r="R29" s="27" t="n">
        <v>0</v>
      </c>
      <c r="S29" s="28" t="n">
        <v>0</v>
      </c>
      <c r="T29" s="27" t="n">
        <v>0</v>
      </c>
      <c r="U29" s="27" t="n">
        <v>2916552.464313617</v>
      </c>
      <c r="V29" s="27" t="n">
        <v>0</v>
      </c>
      <c r="W29" s="27" t="n">
        <v>0</v>
      </c>
      <c r="X29" s="27" t="n">
        <v>0</v>
      </c>
      <c r="Y29" s="27" t="n">
        <v>0</v>
      </c>
      <c r="Z29" s="27" t="n">
        <v>20000</v>
      </c>
      <c r="AA29" s="28" t="n">
        <v>2936552.464313617</v>
      </c>
      <c r="AB29" s="28" t="n">
        <v>6845186.515207274</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1435246.957787151</v>
      </c>
      <c r="O30" s="27" t="n">
        <v>2115621.654347395</v>
      </c>
      <c r="P30" s="28" t="n">
        <v>3550868.612134546</v>
      </c>
      <c r="Q30" s="27" t="n">
        <v>0</v>
      </c>
      <c r="R30" s="27" t="n">
        <v>0</v>
      </c>
      <c r="S30" s="28" t="n">
        <v>0</v>
      </c>
      <c r="T30" s="27" t="n">
        <v>0</v>
      </c>
      <c r="U30" s="27" t="n">
        <v>3004049.038243025</v>
      </c>
      <c r="V30" s="27" t="n">
        <v>0</v>
      </c>
      <c r="W30" s="27" t="n">
        <v>0</v>
      </c>
      <c r="X30" s="27" t="n">
        <v>0</v>
      </c>
      <c r="Y30" s="27" t="n">
        <v>0</v>
      </c>
      <c r="Z30" s="27" t="n">
        <v>20000</v>
      </c>
      <c r="AA30" s="28" t="n">
        <v>3024049.038243025</v>
      </c>
      <c r="AB30" s="28" t="n">
        <v>6886827.512553295</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3567903.983113657</v>
      </c>
      <c r="P31" s="28" t="n">
        <v>3567903.983113657</v>
      </c>
      <c r="Q31" s="27" t="n">
        <v>0</v>
      </c>
      <c r="R31" s="27" t="n">
        <v>0</v>
      </c>
      <c r="S31" s="28" t="n">
        <v>0</v>
      </c>
      <c r="T31" s="27" t="n">
        <v>0</v>
      </c>
      <c r="U31" s="27" t="n">
        <v>3094170.509390316</v>
      </c>
      <c r="V31" s="27" t="n">
        <v>0</v>
      </c>
      <c r="W31" s="27" t="n">
        <v>0</v>
      </c>
      <c r="X31" s="27" t="n">
        <v>0</v>
      </c>
      <c r="Y31" s="27" t="n">
        <v>0</v>
      </c>
      <c r="Z31" s="27" t="n">
        <v>20000</v>
      </c>
      <c r="AA31" s="28" t="n">
        <v>3114170.509390316</v>
      </c>
      <c r="AB31" s="28" t="n">
        <v>6922792.393161375</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3581177.941220051</v>
      </c>
      <c r="P32" s="28" t="n">
        <v>3581177.941220051</v>
      </c>
      <c r="Q32" s="27" t="n">
        <v>0</v>
      </c>
      <c r="R32" s="27" t="n">
        <v>0</v>
      </c>
      <c r="S32" s="28" t="n">
        <v>0</v>
      </c>
      <c r="T32" s="27" t="n">
        <v>0</v>
      </c>
      <c r="U32" s="27" t="n">
        <v>3186995.624672025</v>
      </c>
      <c r="V32" s="27" t="n">
        <v>0</v>
      </c>
      <c r="W32" s="27" t="n">
        <v>0</v>
      </c>
      <c r="X32" s="27" t="n">
        <v>0</v>
      </c>
      <c r="Y32" s="27" t="n">
        <v>0</v>
      </c>
      <c r="Z32" s="27" t="n">
        <v>20000</v>
      </c>
      <c r="AA32" s="28" t="n">
        <v>3206995.624672025</v>
      </c>
      <c r="AB32" s="28" t="n">
        <v>6951968.107028781</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3590686.205177</v>
      </c>
      <c r="P33" s="28" t="n">
        <v>3590686.205177</v>
      </c>
      <c r="Q33" s="27" t="n">
        <v>0</v>
      </c>
      <c r="R33" s="27" t="n">
        <v>0</v>
      </c>
      <c r="S33" s="28" t="n">
        <v>0</v>
      </c>
      <c r="T33" s="27" t="n">
        <v>0</v>
      </c>
      <c r="U33" s="27" t="n">
        <v>3282605.493412186</v>
      </c>
      <c r="V33" s="27" t="n">
        <v>0</v>
      </c>
      <c r="W33" s="27" t="n">
        <v>0</v>
      </c>
      <c r="X33" s="27" t="n">
        <v>0</v>
      </c>
      <c r="Y33" s="27" t="n">
        <v>0</v>
      </c>
      <c r="Z33" s="27" t="n">
        <v>20000</v>
      </c>
      <c r="AA33" s="28" t="n">
        <v>3302605.493412186</v>
      </c>
      <c r="AB33" s="28" t="n">
        <v>6980960.342980574</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1764379.483148298</v>
      </c>
      <c r="C38" s="27" t="n">
        <v>0</v>
      </c>
      <c r="D38" s="27" t="n">
        <v>-1764379.483148298</v>
      </c>
      <c r="E38" s="29" t="n">
        <v>-1</v>
      </c>
    </row>
    <row r="39" ht="15" customHeight="1">
      <c r="A39" s="12" t="inlineStr">
        <is>
          <t>Roth</t>
        </is>
      </c>
      <c r="B39" s="27" t="n">
        <v>485926.2689699262</v>
      </c>
      <c r="C39" s="27" t="n">
        <v>3590686.205177</v>
      </c>
      <c r="D39" s="27" t="n">
        <v>3104759.936207074</v>
      </c>
      <c r="E39" s="29" t="n">
        <v>6.38936426052576</v>
      </c>
    </row>
    <row r="40" ht="15" customHeight="1">
      <c r="A40" s="12" t="inlineStr">
        <is>
          <t>Trusts</t>
        </is>
      </c>
      <c r="B40" s="27" t="n">
        <v>412742.0268629171</v>
      </c>
      <c r="C40" s="27" t="n">
        <v>0</v>
      </c>
      <c r="D40" s="27" t="n">
        <v>-412742.0268629171</v>
      </c>
      <c r="E40" s="29" t="n">
        <v>-1</v>
      </c>
    </row>
    <row r="41" ht="15" customHeight="1">
      <c r="A41" s="12" t="inlineStr">
        <is>
          <t>HSA</t>
        </is>
      </c>
      <c r="B41" s="27" t="n">
        <v>78608.18667338893</v>
      </c>
      <c r="C41" s="27" t="n">
        <v>0</v>
      </c>
      <c r="D41" s="27" t="n">
        <v>-78608.18667338893</v>
      </c>
      <c r="E41" s="29" t="n">
        <v>-1</v>
      </c>
    </row>
    <row r="42" ht="30" customHeight="1">
      <c r="A42" s="12" t="inlineStr">
        <is>
          <t>Other Assets</t>
        </is>
      </c>
      <c r="B42" s="27" t="n">
        <v>1610974.382222222</v>
      </c>
      <c r="C42" s="27" t="n">
        <v>3282605.493412186</v>
      </c>
      <c r="D42" s="27" t="n">
        <v>1671631.111189964</v>
      </c>
      <c r="E42" s="29" t="n">
        <v>1.037652199586235</v>
      </c>
    </row>
    <row r="43" ht="30" customHeight="1">
      <c r="A43" s="11" t="inlineStr">
        <is>
          <t>TOTAL</t>
        </is>
      </c>
      <c r="B43" s="30" t="n">
        <v>5713296.163908464</v>
      </c>
      <c r="C43" s="30" t="n">
        <v>6980960.342980574</v>
      </c>
      <c r="D43" s="30" t="n">
        <v>1267664.17907211</v>
      </c>
      <c r="E43" s="31" t="n">
        <v>0.2218796545293919</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Matthew Age</t>
        </is>
      </c>
      <c r="C2" s="23" t="inlineStr">
        <is>
          <t>Patricia Age</t>
        </is>
      </c>
      <c r="D2" s="23" t="inlineStr">
        <is>
          <t>Earned</t>
        </is>
      </c>
      <c r="E2" s="23" t="inlineStr">
        <is>
          <t>Matthew SS</t>
        </is>
      </c>
      <c r="F2" s="23" t="inlineStr">
        <is>
          <t>Patricia SS</t>
        </is>
      </c>
      <c r="G2" s="23" t="inlineStr">
        <is>
          <t>Pension</t>
        </is>
      </c>
      <c r="H2" s="23" t="inlineStr">
        <is>
          <t>Patricia Single Ann</t>
        </is>
      </c>
      <c r="I2" s="23" t="inlineStr">
        <is>
          <t>Patricia Joint Ann</t>
        </is>
      </c>
      <c r="J2" s="23" t="inlineStr">
        <is>
          <t>Matthew Single Ann</t>
        </is>
      </c>
      <c r="K2" s="23" t="inlineStr">
        <is>
          <t>Matthew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Matthew Trust WD</t>
        </is>
      </c>
      <c r="AW2" s="23" t="inlineStr">
        <is>
          <t>Patricia Trust WD</t>
        </is>
      </c>
      <c r="AX2" s="24" t="inlineStr">
        <is>
          <t>Σ Trust</t>
        </is>
      </c>
      <c r="AY2" s="23" t="inlineStr">
        <is>
          <t>HSA WD</t>
        </is>
      </c>
      <c r="AZ2" s="23" t="inlineStr">
        <is>
          <t>Matthew Roth WD</t>
        </is>
      </c>
      <c r="BA2" s="23" t="inlineStr">
        <is>
          <t>Patricia Roth WD</t>
        </is>
      </c>
      <c r="BB2" s="24" t="inlineStr">
        <is>
          <t>Σ Roth</t>
        </is>
      </c>
      <c r="BC2" s="23" t="inlineStr">
        <is>
          <t>Matthew IRA RMD</t>
        </is>
      </c>
      <c r="BD2" s="23" t="inlineStr">
        <is>
          <t>Matthew IRA Elec</t>
        </is>
      </c>
      <c r="BE2" s="23" t="inlineStr">
        <is>
          <t>Matthew IRA Conv</t>
        </is>
      </c>
      <c r="BF2" s="24" t="inlineStr">
        <is>
          <t>Matthew IRA Outflow</t>
        </is>
      </c>
      <c r="BG2" s="23" t="inlineStr">
        <is>
          <t>Patricia IRA RMD</t>
        </is>
      </c>
      <c r="BH2" s="23" t="inlineStr">
        <is>
          <t>Patricia IRA Elec</t>
        </is>
      </c>
      <c r="BI2" s="23" t="inlineStr">
        <is>
          <t>Patricia IRA Conv</t>
        </is>
      </c>
      <c r="BJ2" s="24" t="inlineStr">
        <is>
          <t>Patricia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125000</v>
      </c>
      <c r="P3" s="28" t="n">
        <v>447494.38011313</v>
      </c>
      <c r="Q3" s="27" t="n">
        <v>364264.5943320957</v>
      </c>
      <c r="R3" s="27" t="n">
        <v>72831.38263970296</v>
      </c>
      <c r="S3" s="27" t="n">
        <v>15740.12781559994</v>
      </c>
      <c r="T3" s="27" t="n">
        <v>2438.065122270334</v>
      </c>
      <c r="U3" s="27" t="n">
        <v>5335.200000000001</v>
      </c>
      <c r="V3" s="27" t="n">
        <v>312218.7401369863</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13647</v>
      </c>
      <c r="AL3" s="27" t="n">
        <v>0</v>
      </c>
      <c r="AM3" s="28" t="n">
        <v>0</v>
      </c>
      <c r="AN3" s="28" t="n">
        <v>453225.8601369863</v>
      </c>
      <c r="AO3" s="27" t="n">
        <v>107387.3418327235</v>
      </c>
      <c r="AP3" s="28" t="n">
        <v>538312.5705922892</v>
      </c>
      <c r="AQ3" s="27" t="n">
        <v>395058.63</v>
      </c>
      <c r="AR3" s="27" t="n">
        <v>10477.49011313</v>
      </c>
      <c r="AS3" s="27" t="n">
        <v>0</v>
      </c>
      <c r="AT3" s="28" t="n">
        <v>137077.0884500006</v>
      </c>
      <c r="AU3" s="28" t="n">
        <v>-4300.637970841402</v>
      </c>
      <c r="AV3" s="27" t="n">
        <v>52780.37955081878</v>
      </c>
      <c r="AW3" s="27" t="n">
        <v>84296.68142659495</v>
      </c>
      <c r="AX3" s="28" t="n">
        <v>137077.0609774137</v>
      </c>
      <c r="AY3" s="27" t="n">
        <v>0</v>
      </c>
      <c r="AZ3" s="27" t="n">
        <v>0</v>
      </c>
      <c r="BA3" s="27" t="n">
        <v>0</v>
      </c>
      <c r="BB3" s="28" t="n">
        <v>0</v>
      </c>
      <c r="BC3" s="27" t="n">
        <v>0</v>
      </c>
      <c r="BD3" s="27" t="n">
        <v>0.02200763503316241</v>
      </c>
      <c r="BE3" s="27" t="n">
        <v>0</v>
      </c>
      <c r="BF3" s="28" t="n">
        <v>0.02200763503316241</v>
      </c>
      <c r="BG3" s="27" t="n">
        <v>0</v>
      </c>
      <c r="BH3" s="27" t="n">
        <v>0.005464951825080014</v>
      </c>
      <c r="BI3" s="27" t="n">
        <v>125000</v>
      </c>
      <c r="BJ3" s="28" t="n">
        <v>125000.0054649518</v>
      </c>
      <c r="BK3" s="27" t="n">
        <v>0</v>
      </c>
      <c r="BL3" s="28" t="n">
        <v>0</v>
      </c>
      <c r="BM3" s="28" t="n">
        <v>137077.0884500006</v>
      </c>
      <c r="BN3" s="27" t="n">
        <v>0</v>
      </c>
      <c r="BO3" s="27" t="n">
        <v>5713296.163908464</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170451.3095200532</v>
      </c>
      <c r="P4" s="28" t="n">
        <v>215050.68</v>
      </c>
      <c r="Q4" s="27" t="n">
        <v>172412.4408</v>
      </c>
      <c r="R4" s="27" t="n">
        <v>27347.78817599999</v>
      </c>
      <c r="S4" s="27" t="n">
        <v>1984.324838757367</v>
      </c>
      <c r="T4" s="27" t="n">
        <v>0</v>
      </c>
      <c r="U4" s="27" t="n">
        <v>0</v>
      </c>
      <c r="V4" s="27" t="n">
        <v>127160.475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13988.175</v>
      </c>
      <c r="AL4" s="27" t="n">
        <v>100000</v>
      </c>
      <c r="AM4" s="28" t="n">
        <v>0</v>
      </c>
      <c r="AN4" s="28" t="n">
        <v>383674.401</v>
      </c>
      <c r="AO4" s="27" t="n">
        <v>32909.82074910814</v>
      </c>
      <c r="AP4" s="28" t="n">
        <v>394556.5140147574</v>
      </c>
      <c r="AQ4" s="27" t="n">
        <v>95957.62</v>
      </c>
      <c r="AR4" s="27" t="n">
        <v>7923.370479946809</v>
      </c>
      <c r="AS4" s="27" t="n">
        <v>0</v>
      </c>
      <c r="AT4" s="28" t="n">
        <v>307081.2856836109</v>
      </c>
      <c r="AU4" s="28" t="n">
        <v>-16405.76214880036</v>
      </c>
      <c r="AV4" s="27" t="n">
        <v>95582.42910089219</v>
      </c>
      <c r="AW4" s="27" t="n">
        <v>153189.5183352204</v>
      </c>
      <c r="AX4" s="28" t="n">
        <v>248771.9474361126</v>
      </c>
      <c r="AY4" s="27" t="n">
        <v>0</v>
      </c>
      <c r="AZ4" s="27" t="n">
        <v>0</v>
      </c>
      <c r="BA4" s="27" t="n">
        <v>0</v>
      </c>
      <c r="BB4" s="28" t="n">
        <v>0</v>
      </c>
      <c r="BC4" s="27" t="n">
        <v>0</v>
      </c>
      <c r="BD4" s="27" t="n">
        <v>51705.31456676441</v>
      </c>
      <c r="BE4" s="27" t="n">
        <v>0</v>
      </c>
      <c r="BF4" s="28" t="n">
        <v>51705.31456676441</v>
      </c>
      <c r="BG4" s="27" t="n">
        <v>0</v>
      </c>
      <c r="BH4" s="27" t="n">
        <v>6604.023680733922</v>
      </c>
      <c r="BI4" s="27" t="n">
        <v>170451.3095200532</v>
      </c>
      <c r="BJ4" s="28" t="n">
        <v>177055.3332007871</v>
      </c>
      <c r="BK4" s="27" t="n">
        <v>0</v>
      </c>
      <c r="BL4" s="28" t="n">
        <v>0</v>
      </c>
      <c r="BM4" s="28" t="n">
        <v>307081.2856836109</v>
      </c>
      <c r="BN4" s="27" t="n">
        <v>1.734723475976807e-18</v>
      </c>
      <c r="BO4" s="27" t="n">
        <v>5631454.841906065</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156502.5712731815</v>
      </c>
      <c r="P5" s="28" t="n">
        <v>219351.6936</v>
      </c>
      <c r="Q5" s="27" t="n">
        <v>176280.689616</v>
      </c>
      <c r="R5" s="27" t="n">
        <v>27987.14393952</v>
      </c>
      <c r="S5" s="27" t="n">
        <v>1520.920916902984</v>
      </c>
      <c r="T5" s="27" t="n">
        <v>0</v>
      </c>
      <c r="U5" s="27" t="n">
        <v>10670.4</v>
      </c>
      <c r="V5" s="27" t="n">
        <v>130339.486875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14337.879375</v>
      </c>
      <c r="AL5" s="27" t="n">
        <v>50000</v>
      </c>
      <c r="AM5" s="28" t="n">
        <v>0</v>
      </c>
      <c r="AN5" s="28" t="n">
        <v>340741.5050775</v>
      </c>
      <c r="AO5" s="27" t="n">
        <v>42637.43937943697</v>
      </c>
      <c r="AP5" s="28" t="n">
        <v>362008.7199339229</v>
      </c>
      <c r="AQ5" s="27" t="n">
        <v>118855.0672378694</v>
      </c>
      <c r="AR5" s="27" t="n">
        <v>3275.675088949178</v>
      </c>
      <c r="AS5" s="27" t="n">
        <v>0</v>
      </c>
      <c r="AT5" s="28" t="n">
        <v>262553.3687993903</v>
      </c>
      <c r="AU5" s="28" t="n">
        <v>-22675.39119228596</v>
      </c>
      <c r="AV5" s="27" t="n">
        <v>65434.24388320271</v>
      </c>
      <c r="AW5" s="27" t="n">
        <v>105226.3218740423</v>
      </c>
      <c r="AX5" s="28" t="n">
        <v>170660.5657572451</v>
      </c>
      <c r="AY5" s="27" t="n">
        <v>0</v>
      </c>
      <c r="AZ5" s="27" t="n">
        <v>0</v>
      </c>
      <c r="BA5" s="27" t="n">
        <v>0</v>
      </c>
      <c r="BB5" s="28" t="n">
        <v>0</v>
      </c>
      <c r="BC5" s="27" t="n">
        <v>0</v>
      </c>
      <c r="BD5" s="27" t="n">
        <v>90153.0427300687</v>
      </c>
      <c r="BE5" s="27" t="n">
        <v>0</v>
      </c>
      <c r="BF5" s="28" t="n">
        <v>90153.0427300687</v>
      </c>
      <c r="BG5" s="27" t="n">
        <v>0</v>
      </c>
      <c r="BH5" s="27" t="n">
        <v>1739.760312076547</v>
      </c>
      <c r="BI5" s="27" t="n">
        <v>156502.5712731815</v>
      </c>
      <c r="BJ5" s="28" t="n">
        <v>158242.331585258</v>
      </c>
      <c r="BK5" s="27" t="n">
        <v>0</v>
      </c>
      <c r="BL5" s="28" t="n">
        <v>0</v>
      </c>
      <c r="BM5" s="28" t="n">
        <v>262553.3687993903</v>
      </c>
      <c r="BN5" s="27" t="n">
        <v>0</v>
      </c>
      <c r="BO5" s="27" t="n">
        <v>5596541.396008259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84995.6584690364</v>
      </c>
      <c r="P6" s="28" t="n">
        <v>220819.7327319301</v>
      </c>
      <c r="Q6" s="27" t="n">
        <v>184662.8036826252</v>
      </c>
      <c r="R6" s="27" t="n">
        <v>29615.31687865754</v>
      </c>
      <c r="S6" s="27" t="n">
        <v>1610.646421316397</v>
      </c>
      <c r="T6" s="27" t="n">
        <v>0</v>
      </c>
      <c r="U6" s="27" t="n">
        <v>0</v>
      </c>
      <c r="V6" s="27" t="n">
        <v>133597.974046875</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14696.32635937499</v>
      </c>
      <c r="AL6" s="27" t="n">
        <v>0</v>
      </c>
      <c r="AM6" s="28" t="n">
        <v>0</v>
      </c>
      <c r="AN6" s="28" t="n">
        <v>298035.6792857936</v>
      </c>
      <c r="AO6" s="27" t="n">
        <v>31225.96329997394</v>
      </c>
      <c r="AP6" s="28" t="n">
        <v>309877.6113357676</v>
      </c>
      <c r="AQ6" s="27" t="n">
        <v>198024.6890029636</v>
      </c>
      <c r="AR6" s="27" t="n">
        <v>0</v>
      </c>
      <c r="AS6" s="27" t="n">
        <v>0</v>
      </c>
      <c r="AT6" s="28" t="n">
        <v>143401.1824779538</v>
      </c>
      <c r="AU6" s="28" t="n">
        <v>-31548.26014514983</v>
      </c>
      <c r="AV6" s="27" t="n">
        <v>0</v>
      </c>
      <c r="AW6" s="27" t="n">
        <v>0</v>
      </c>
      <c r="AX6" s="28" t="n">
        <v>0</v>
      </c>
      <c r="AY6" s="27" t="n">
        <v>0</v>
      </c>
      <c r="AZ6" s="27" t="n">
        <v>0</v>
      </c>
      <c r="BA6" s="27" t="n">
        <v>0</v>
      </c>
      <c r="BB6" s="28" t="n">
        <v>0</v>
      </c>
      <c r="BC6" s="27" t="n">
        <v>0</v>
      </c>
      <c r="BD6" s="27" t="n">
        <v>143401.1824779538</v>
      </c>
      <c r="BE6" s="27" t="n">
        <v>57314.03230098225</v>
      </c>
      <c r="BF6" s="28" t="n">
        <v>200715.2147789361</v>
      </c>
      <c r="BG6" s="27" t="n">
        <v>0</v>
      </c>
      <c r="BH6" s="27" t="n">
        <v>0</v>
      </c>
      <c r="BI6" s="27" t="n">
        <v>27681.62616805414</v>
      </c>
      <c r="BJ6" s="28" t="n">
        <v>27681.62616805414</v>
      </c>
      <c r="BK6" s="27" t="n">
        <v>0</v>
      </c>
      <c r="BL6" s="28" t="n">
        <v>0</v>
      </c>
      <c r="BM6" s="28" t="n">
        <v>143401.1824779538</v>
      </c>
      <c r="BN6" s="27" t="n">
        <v>0</v>
      </c>
      <c r="BO6" s="27" t="n">
        <v>5657996.747124868</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93417.36746752539</v>
      </c>
      <c r="P7" s="28" t="n">
        <v>225306.1969591854</v>
      </c>
      <c r="Q7" s="27" t="n">
        <v>188650.7142929454</v>
      </c>
      <c r="R7" s="27" t="n">
        <v>30272.44721429759</v>
      </c>
      <c r="S7" s="27" t="n">
        <v>1445.134726029391</v>
      </c>
      <c r="T7" s="27" t="n">
        <v>0</v>
      </c>
      <c r="U7" s="27" t="n">
        <v>0</v>
      </c>
      <c r="V7" s="27" t="n">
        <v>136937.9233980468</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15063.73451835937</v>
      </c>
      <c r="AL7" s="27" t="n">
        <v>0</v>
      </c>
      <c r="AM7" s="28" t="n">
        <v>0</v>
      </c>
      <c r="AN7" s="28" t="n">
        <v>305565.4001435626</v>
      </c>
      <c r="AO7" s="27" t="n">
        <v>31717.58194032698</v>
      </c>
      <c r="AP7" s="28" t="n">
        <v>317414.3500526397</v>
      </c>
      <c r="AQ7" s="27" t="n">
        <v>192667.8019535354</v>
      </c>
      <c r="AR7" s="27" t="n">
        <v>1409.952600379279</v>
      </c>
      <c r="AS7" s="27" t="n">
        <v>0</v>
      </c>
      <c r="AT7" s="28" t="n">
        <v>139508.4557675962</v>
      </c>
      <c r="AU7" s="28" t="n">
        <v>-16171.86026887117</v>
      </c>
      <c r="AV7" s="27" t="n">
        <v>66000</v>
      </c>
      <c r="AW7" s="27" t="n">
        <v>0</v>
      </c>
      <c r="AX7" s="28" t="n">
        <v>66000</v>
      </c>
      <c r="AY7" s="27" t="n">
        <v>0</v>
      </c>
      <c r="AZ7" s="27" t="n">
        <v>0</v>
      </c>
      <c r="BA7" s="27" t="n">
        <v>0</v>
      </c>
      <c r="BB7" s="28" t="n">
        <v>0</v>
      </c>
      <c r="BC7" s="27" t="n">
        <v>0</v>
      </c>
      <c r="BD7" s="27" t="n">
        <v>73508.4557675962</v>
      </c>
      <c r="BE7" s="27" t="n">
        <v>93417.36746752539</v>
      </c>
      <c r="BF7" s="28" t="n">
        <v>166925.8232351216</v>
      </c>
      <c r="BG7" s="27" t="n">
        <v>0</v>
      </c>
      <c r="BH7" s="27" t="n">
        <v>0</v>
      </c>
      <c r="BI7" s="27" t="n">
        <v>0</v>
      </c>
      <c r="BJ7" s="28" t="n">
        <v>0</v>
      </c>
      <c r="BK7" s="27" t="n">
        <v>0</v>
      </c>
      <c r="BL7" s="28" t="n">
        <v>0</v>
      </c>
      <c r="BM7" s="28" t="n">
        <v>139508.4557675962</v>
      </c>
      <c r="BN7" s="27" t="n">
        <v>0</v>
      </c>
      <c r="BO7" s="27" t="n">
        <v>5643676.230908235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62151.3244411526</v>
      </c>
      <c r="P8" s="28" t="n">
        <v>229881.6915994137</v>
      </c>
      <c r="Q8" s="27" t="n">
        <v>192493.0992798489</v>
      </c>
      <c r="R8" s="27" t="n">
        <v>30893.15771281334</v>
      </c>
      <c r="S8" s="27" t="n">
        <v>1140.061355787559</v>
      </c>
      <c r="T8" s="27" t="n">
        <v>0</v>
      </c>
      <c r="U8" s="27" t="n">
        <v>0</v>
      </c>
      <c r="V8" s="27" t="n">
        <v>140361.371482998</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15440.32788131835</v>
      </c>
      <c r="AL8" s="27" t="n">
        <v>0</v>
      </c>
      <c r="AM8" s="28" t="n">
        <v>0</v>
      </c>
      <c r="AN8" s="28" t="n">
        <v>285054.3050994917</v>
      </c>
      <c r="AO8" s="27" t="n">
        <v>32033.2190686009</v>
      </c>
      <c r="AP8" s="28" t="n">
        <v>296722.1763360614</v>
      </c>
      <c r="AQ8" s="27" t="n">
        <v>237421.2676207162</v>
      </c>
      <c r="AR8" s="27" t="n">
        <v>0</v>
      </c>
      <c r="AS8" s="27" t="n">
        <v>0</v>
      </c>
      <c r="AT8" s="28" t="n">
        <v>73227.70022488391</v>
      </c>
      <c r="AU8" s="28" t="n">
        <v>-13926.79150953874</v>
      </c>
      <c r="AV8" s="27" t="n">
        <v>0</v>
      </c>
      <c r="AW8" s="27" t="n">
        <v>0</v>
      </c>
      <c r="AX8" s="28" t="n">
        <v>0</v>
      </c>
      <c r="AY8" s="27" t="n">
        <v>9924.102454253258</v>
      </c>
      <c r="AZ8" s="27" t="n">
        <v>0</v>
      </c>
      <c r="BA8" s="27" t="n">
        <v>0</v>
      </c>
      <c r="BB8" s="28" t="n">
        <v>0</v>
      </c>
      <c r="BC8" s="27" t="n">
        <v>0</v>
      </c>
      <c r="BD8" s="27" t="n">
        <v>63303.59777063066</v>
      </c>
      <c r="BE8" s="27" t="n">
        <v>62151.3244411526</v>
      </c>
      <c r="BF8" s="28" t="n">
        <v>125454.9222117833</v>
      </c>
      <c r="BG8" s="27" t="n">
        <v>0</v>
      </c>
      <c r="BH8" s="27" t="n">
        <v>0</v>
      </c>
      <c r="BI8" s="27" t="n">
        <v>0</v>
      </c>
      <c r="BJ8" s="28" t="n">
        <v>0</v>
      </c>
      <c r="BK8" s="27" t="n">
        <v>0</v>
      </c>
      <c r="BL8" s="28" t="n">
        <v>0</v>
      </c>
      <c r="BM8" s="28" t="n">
        <v>73227.70022488391</v>
      </c>
      <c r="BN8" s="27" t="n">
        <v>0</v>
      </c>
      <c r="BO8" s="27" t="n">
        <v>5700739.947601842</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44530.28919683411</v>
      </c>
      <c r="P9" s="28" t="n">
        <v>234547.7465254567</v>
      </c>
      <c r="Q9" s="27" t="n">
        <v>196411.3823595006</v>
      </c>
      <c r="R9" s="27" t="n">
        <v>31526.07350776166</v>
      </c>
      <c r="S9" s="27" t="n">
        <v>699.8239249735219</v>
      </c>
      <c r="T9" s="27" t="n">
        <v>0</v>
      </c>
      <c r="U9" s="27" t="n">
        <v>0</v>
      </c>
      <c r="V9" s="27" t="n">
        <v>143870.4057700729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15826.33607835131</v>
      </c>
      <c r="AL9" s="27" t="n">
        <v>100000</v>
      </c>
      <c r="AM9" s="28" t="n">
        <v>0</v>
      </c>
      <c r="AN9" s="28" t="n">
        <v>392374.9013376451</v>
      </c>
      <c r="AO9" s="27" t="n">
        <v>32225.89743273518</v>
      </c>
      <c r="AP9" s="28" t="n">
        <v>403726.3172425482</v>
      </c>
      <c r="AQ9" s="27" t="n">
        <v>265294.4802262721</v>
      </c>
      <c r="AR9" s="27" t="n">
        <v>0</v>
      </c>
      <c r="AS9" s="27" t="n">
        <v>0</v>
      </c>
      <c r="AT9" s="28" t="n">
        <v>174509.6619537747</v>
      </c>
      <c r="AU9" s="28" t="n">
        <v>-36077.82493749858</v>
      </c>
      <c r="AV9" s="27" t="n">
        <v>0</v>
      </c>
      <c r="AW9" s="27" t="n">
        <v>0</v>
      </c>
      <c r="AX9" s="28" t="n">
        <v>0</v>
      </c>
      <c r="AY9" s="27" t="n">
        <v>10519.54860150845</v>
      </c>
      <c r="AZ9" s="27" t="n">
        <v>0</v>
      </c>
      <c r="BA9" s="27" t="n">
        <v>0</v>
      </c>
      <c r="BB9" s="28" t="n">
        <v>0</v>
      </c>
      <c r="BC9" s="27" t="n">
        <v>0</v>
      </c>
      <c r="BD9" s="27" t="n">
        <v>163990.1133522663</v>
      </c>
      <c r="BE9" s="27" t="n">
        <v>44530.28919683411</v>
      </c>
      <c r="BF9" s="28" t="n">
        <v>208520.4025491004</v>
      </c>
      <c r="BG9" s="27" t="n">
        <v>0</v>
      </c>
      <c r="BH9" s="27" t="n">
        <v>0</v>
      </c>
      <c r="BI9" s="27" t="n">
        <v>0</v>
      </c>
      <c r="BJ9" s="28" t="n">
        <v>0</v>
      </c>
      <c r="BK9" s="27" t="n">
        <v>0</v>
      </c>
      <c r="BL9" s="28" t="n">
        <v>0</v>
      </c>
      <c r="BM9" s="28" t="n">
        <v>174509.6619537747</v>
      </c>
      <c r="BN9" s="27" t="n">
        <v>0</v>
      </c>
      <c r="BO9" s="27" t="n">
        <v>5655764.238143425</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50557.68148332619</v>
      </c>
      <c r="P10" s="28" t="n">
        <v>239306.2166857054</v>
      </c>
      <c r="Q10" s="27" t="n">
        <v>200407.1252364302</v>
      </c>
      <c r="R10" s="27" t="n">
        <v>32171.4483284596</v>
      </c>
      <c r="S10" s="27" t="n">
        <v>588.1244857183825</v>
      </c>
      <c r="T10" s="27" t="n">
        <v>0</v>
      </c>
      <c r="U10" s="27" t="n">
        <v>0</v>
      </c>
      <c r="V10" s="27" t="n">
        <v>147467.1659143248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16221.99448031009</v>
      </c>
      <c r="AL10" s="27" t="n">
        <v>0</v>
      </c>
      <c r="AM10" s="28" t="n">
        <v>0</v>
      </c>
      <c r="AN10" s="28" t="n">
        <v>299941.0645474958</v>
      </c>
      <c r="AO10" s="27" t="n">
        <v>32759.57281417798</v>
      </c>
      <c r="AP10" s="28" t="n">
        <v>311304.293795646</v>
      </c>
      <c r="AQ10" s="27" t="n">
        <v>264323.8309282422</v>
      </c>
      <c r="AR10" s="27" t="n">
        <v>0</v>
      </c>
      <c r="AS10" s="27" t="n">
        <v>0</v>
      </c>
      <c r="AT10" s="28" t="n">
        <v>57086.2873506821</v>
      </c>
      <c r="AU10" s="28" t="n">
        <v>-10105.82448327829</v>
      </c>
      <c r="AV10" s="27" t="n">
        <v>0</v>
      </c>
      <c r="AW10" s="27" t="n">
        <v>0</v>
      </c>
      <c r="AX10" s="28" t="n">
        <v>0</v>
      </c>
      <c r="AY10" s="27" t="n">
        <v>11150.72151759896</v>
      </c>
      <c r="AZ10" s="27" t="n">
        <v>0</v>
      </c>
      <c r="BA10" s="27" t="n">
        <v>0</v>
      </c>
      <c r="BB10" s="28" t="n">
        <v>0</v>
      </c>
      <c r="BC10" s="27" t="n">
        <v>0</v>
      </c>
      <c r="BD10" s="27" t="n">
        <v>45935.56583308314</v>
      </c>
      <c r="BE10" s="27" t="n">
        <v>50557.68148332619</v>
      </c>
      <c r="BF10" s="28" t="n">
        <v>96493.24731640932</v>
      </c>
      <c r="BG10" s="27" t="n">
        <v>0</v>
      </c>
      <c r="BH10" s="27" t="n">
        <v>0</v>
      </c>
      <c r="BI10" s="27" t="n">
        <v>0</v>
      </c>
      <c r="BJ10" s="28" t="n">
        <v>0</v>
      </c>
      <c r="BK10" s="27" t="n">
        <v>0</v>
      </c>
      <c r="BL10" s="28" t="n">
        <v>0</v>
      </c>
      <c r="BM10" s="28" t="n">
        <v>57086.2873506821</v>
      </c>
      <c r="BN10" s="27" t="n">
        <v>0</v>
      </c>
      <c r="BO10" s="27" t="n">
        <v>5734344.878416443</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56615.1008459524</v>
      </c>
      <c r="P11" s="28" t="n">
        <v>244158.9925338892</v>
      </c>
      <c r="Q11" s="27" t="n">
        <v>204481.9192556285</v>
      </c>
      <c r="R11" s="27" t="n">
        <v>32829.54062821211</v>
      </c>
      <c r="S11" s="27" t="n">
        <v>476.460953213454</v>
      </c>
      <c r="T11" s="27" t="n">
        <v>0</v>
      </c>
      <c r="U11" s="27" t="n">
        <v>0</v>
      </c>
      <c r="V11" s="27" t="n">
        <v>151153.8450621828</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16627.54434231784</v>
      </c>
      <c r="AL11" s="27" t="n">
        <v>0</v>
      </c>
      <c r="AM11" s="28" t="n">
        <v>0</v>
      </c>
      <c r="AN11" s="28" t="n">
        <v>307762.403878729</v>
      </c>
      <c r="AO11" s="27" t="n">
        <v>33306.00158142557</v>
      </c>
      <c r="AP11" s="28" t="n">
        <v>319137.1533049761</v>
      </c>
      <c r="AQ11" s="27" t="n">
        <v>204049.9918138473</v>
      </c>
      <c r="AR11" s="27" t="n">
        <v>0</v>
      </c>
      <c r="AS11" s="27" t="n">
        <v>0</v>
      </c>
      <c r="AT11" s="28" t="n">
        <v>144213.8631195188</v>
      </c>
      <c r="AU11" s="28" t="n">
        <v>-29126.70162839006</v>
      </c>
      <c r="AV11" s="27" t="n">
        <v>0</v>
      </c>
      <c r="AW11" s="27" t="n">
        <v>0</v>
      </c>
      <c r="AX11" s="28" t="n">
        <v>0</v>
      </c>
      <c r="AY11" s="27" t="n">
        <v>11819.7648086549</v>
      </c>
      <c r="AZ11" s="27" t="n">
        <v>0</v>
      </c>
      <c r="BA11" s="27" t="n">
        <v>0</v>
      </c>
      <c r="BB11" s="28" t="n">
        <v>0</v>
      </c>
      <c r="BC11" s="27" t="n">
        <v>0</v>
      </c>
      <c r="BD11" s="27" t="n">
        <v>132394.0983108639</v>
      </c>
      <c r="BE11" s="27" t="n">
        <v>56615.1008459524</v>
      </c>
      <c r="BF11" s="28" t="n">
        <v>189009.1991568163</v>
      </c>
      <c r="BG11" s="27" t="n">
        <v>0</v>
      </c>
      <c r="BH11" s="27" t="n">
        <v>0</v>
      </c>
      <c r="BI11" s="27" t="n">
        <v>0</v>
      </c>
      <c r="BJ11" s="28" t="n">
        <v>0</v>
      </c>
      <c r="BK11" s="27" t="n">
        <v>0</v>
      </c>
      <c r="BL11" s="28" t="n">
        <v>0</v>
      </c>
      <c r="BM11" s="28" t="n">
        <v>144213.8631195188</v>
      </c>
      <c r="BN11" s="27" t="n">
        <v>0</v>
      </c>
      <c r="BO11" s="27" t="n">
        <v>5786243.300956093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57327.09731166446</v>
      </c>
      <c r="P12" s="28" t="n">
        <v>249108.0007915249</v>
      </c>
      <c r="Q12" s="27" t="n">
        <v>208637.386047699</v>
      </c>
      <c r="R12" s="27" t="n">
        <v>33500.61369030711</v>
      </c>
      <c r="S12" s="27" t="n">
        <v>475.0310965926355</v>
      </c>
      <c r="T12" s="27" t="n">
        <v>0</v>
      </c>
      <c r="U12" s="27" t="n">
        <v>0</v>
      </c>
      <c r="V12" s="27" t="n">
        <v>154932.6911887374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17043.23295087579</v>
      </c>
      <c r="AL12" s="27" t="n">
        <v>0</v>
      </c>
      <c r="AM12" s="28" t="n">
        <v>0</v>
      </c>
      <c r="AN12" s="28" t="n">
        <v>279848.9599285659</v>
      </c>
      <c r="AO12" s="27" t="n">
        <v>33975.64478689974</v>
      </c>
      <c r="AP12" s="28" t="n">
        <v>291345.0712564078</v>
      </c>
      <c r="AQ12" s="27" t="n">
        <v>208551.2972013312</v>
      </c>
      <c r="AR12" s="27" t="n">
        <v>0</v>
      </c>
      <c r="AS12" s="27" t="n">
        <v>0</v>
      </c>
      <c r="AT12" s="28" t="n">
        <v>102612.0575662797</v>
      </c>
      <c r="AU12" s="28" t="n">
        <v>-19818.28351120322</v>
      </c>
      <c r="AV12" s="27" t="n">
        <v>0</v>
      </c>
      <c r="AW12" s="27" t="n">
        <v>0</v>
      </c>
      <c r="AX12" s="28" t="n">
        <v>0</v>
      </c>
      <c r="AY12" s="27" t="n">
        <v>12528.95069717419</v>
      </c>
      <c r="AZ12" s="27" t="n">
        <v>0</v>
      </c>
      <c r="BA12" s="27" t="n">
        <v>0</v>
      </c>
      <c r="BB12" s="28" t="n">
        <v>0</v>
      </c>
      <c r="BC12" s="27" t="n">
        <v>0</v>
      </c>
      <c r="BD12" s="27" t="n">
        <v>90083.10686910556</v>
      </c>
      <c r="BE12" s="27" t="n">
        <v>57327.09731166446</v>
      </c>
      <c r="BF12" s="28" t="n">
        <v>147410.20418077</v>
      </c>
      <c r="BG12" s="27" t="n">
        <v>0</v>
      </c>
      <c r="BH12" s="27" t="n">
        <v>0</v>
      </c>
      <c r="BI12" s="27" t="n">
        <v>0</v>
      </c>
      <c r="BJ12" s="28" t="n">
        <v>0</v>
      </c>
      <c r="BK12" s="27" t="n">
        <v>0</v>
      </c>
      <c r="BL12" s="28" t="n">
        <v>0</v>
      </c>
      <c r="BM12" s="28" t="n">
        <v>102612.0575662797</v>
      </c>
      <c r="BN12" s="27" t="n">
        <v>0</v>
      </c>
      <c r="BO12" s="27" t="n">
        <v>5885576.666022057</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0</v>
      </c>
      <c r="V13" s="27" t="n">
        <v>158806.0084684558</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17469.31377464768</v>
      </c>
      <c r="AL13" s="27" t="n">
        <v>0</v>
      </c>
      <c r="AM13" s="28" t="n">
        <v>0</v>
      </c>
      <c r="AN13" s="28" t="n">
        <v>288211.2260496127</v>
      </c>
      <c r="AO13" s="27" t="n">
        <v>23006.78303035425</v>
      </c>
      <c r="AP13" s="28" t="n">
        <v>288176.4872844326</v>
      </c>
      <c r="AQ13" s="27" t="n">
        <v>218283.1996170003</v>
      </c>
      <c r="AR13" s="27" t="n">
        <v>0</v>
      </c>
      <c r="AS13" s="27" t="n">
        <v>0</v>
      </c>
      <c r="AT13" s="28" t="n">
        <v>85860.94405750158</v>
      </c>
      <c r="AU13" s="28" t="n">
        <v>-15967.65639006933</v>
      </c>
      <c r="AV13" s="27" t="n">
        <v>0</v>
      </c>
      <c r="AW13" s="27" t="n">
        <v>0</v>
      </c>
      <c r="AX13" s="28" t="n">
        <v>0</v>
      </c>
      <c r="AY13" s="27" t="n">
        <v>13280.68773900465</v>
      </c>
      <c r="AZ13" s="27" t="n">
        <v>0</v>
      </c>
      <c r="BA13" s="27" t="n">
        <v>0</v>
      </c>
      <c r="BB13" s="28" t="n">
        <v>0</v>
      </c>
      <c r="BC13" s="27" t="n">
        <v>0</v>
      </c>
      <c r="BD13" s="27" t="n">
        <v>72580.25631849693</v>
      </c>
      <c r="BE13" s="27" t="n">
        <v>0</v>
      </c>
      <c r="BF13" s="28" t="n">
        <v>72580.25631849693</v>
      </c>
      <c r="BG13" s="27" t="n">
        <v>0</v>
      </c>
      <c r="BH13" s="27" t="n">
        <v>0</v>
      </c>
      <c r="BI13" s="27" t="n">
        <v>0</v>
      </c>
      <c r="BJ13" s="28" t="n">
        <v>0</v>
      </c>
      <c r="BK13" s="27" t="n">
        <v>0</v>
      </c>
      <c r="BL13" s="28" t="n">
        <v>0</v>
      </c>
      <c r="BM13" s="28" t="n">
        <v>85860.94405750158</v>
      </c>
      <c r="BN13" s="27" t="n">
        <v>0</v>
      </c>
      <c r="BO13" s="27" t="n">
        <v>5970810.642560546</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27189.83380801408</v>
      </c>
      <c r="N14" s="28" t="n">
        <v>246037.8394013882</v>
      </c>
      <c r="O14" s="27" t="n">
        <v>0</v>
      </c>
      <c r="P14" s="28" t="n">
        <v>228525.8490169192</v>
      </c>
      <c r="Q14" s="27" t="n">
        <v>186420.2214374427</v>
      </c>
      <c r="R14" s="27" t="n">
        <v>28111.89318194718</v>
      </c>
      <c r="S14" s="27" t="n">
        <v>505.1458054834306</v>
      </c>
      <c r="T14" s="27" t="n">
        <v>0</v>
      </c>
      <c r="U14" s="27" t="n">
        <v>0</v>
      </c>
      <c r="V14" s="27" t="n">
        <v>162776.1586801672</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17906.04661901387</v>
      </c>
      <c r="AL14" s="27" t="n">
        <v>0</v>
      </c>
      <c r="AM14" s="28" t="n">
        <v>0</v>
      </c>
      <c r="AN14" s="28" t="n">
        <v>296860.1707691546</v>
      </c>
      <c r="AO14" s="27" t="n">
        <v>28617.03898743061</v>
      </c>
      <c r="AP14" s="28" t="n">
        <v>301859.6499161624</v>
      </c>
      <c r="AQ14" s="27" t="n">
        <v>246037.8394013882</v>
      </c>
      <c r="AR14" s="27" t="n">
        <v>0</v>
      </c>
      <c r="AS14" s="27" t="n">
        <v>0</v>
      </c>
      <c r="AT14" s="28" t="n">
        <v>67595.83863338253</v>
      </c>
      <c r="AU14" s="28" t="n">
        <v>-11774.02811860827</v>
      </c>
      <c r="AV14" s="27" t="n">
        <v>0</v>
      </c>
      <c r="AW14" s="27" t="n">
        <v>0</v>
      </c>
      <c r="AX14" s="28" t="n">
        <v>0</v>
      </c>
      <c r="AY14" s="27" t="n">
        <v>14077.52900334493</v>
      </c>
      <c r="AZ14" s="27" t="n">
        <v>0</v>
      </c>
      <c r="BA14" s="27" t="n">
        <v>0</v>
      </c>
      <c r="BB14" s="28" t="n">
        <v>0</v>
      </c>
      <c r="BC14" s="27" t="n">
        <v>27189.83380801408</v>
      </c>
      <c r="BD14" s="27" t="n">
        <v>53518.30963003761</v>
      </c>
      <c r="BE14" s="27" t="n">
        <v>0</v>
      </c>
      <c r="BF14" s="28" t="n">
        <v>80708.14343805169</v>
      </c>
      <c r="BG14" s="27" t="n">
        <v>0</v>
      </c>
      <c r="BH14" s="27" t="n">
        <v>0</v>
      </c>
      <c r="BI14" s="27" t="n">
        <v>0</v>
      </c>
      <c r="BJ14" s="28" t="n">
        <v>0</v>
      </c>
      <c r="BK14" s="27" t="n">
        <v>0</v>
      </c>
      <c r="BL14" s="28" t="n">
        <v>0</v>
      </c>
      <c r="BM14" s="28" t="n">
        <v>94785.67244139661</v>
      </c>
      <c r="BN14" s="27" t="n">
        <v>0</v>
      </c>
      <c r="BO14" s="27" t="n">
        <v>6041760.787428214</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26305.96938115783</v>
      </c>
      <c r="N15" s="28" t="n">
        <v>245847.1491081148</v>
      </c>
      <c r="O15" s="27" t="n">
        <v>0</v>
      </c>
      <c r="P15" s="28" t="n">
        <v>228068.142641192</v>
      </c>
      <c r="Q15" s="27" t="n">
        <v>185120.402510126</v>
      </c>
      <c r="R15" s="27" t="n">
        <v>27567.9219072517</v>
      </c>
      <c r="S15" s="27" t="n">
        <v>501.3628549573895</v>
      </c>
      <c r="T15" s="27" t="n">
        <v>0</v>
      </c>
      <c r="U15" s="27" t="n">
        <v>0</v>
      </c>
      <c r="V15" s="27" t="n">
        <v>166845.5626471714</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18353.69778448922</v>
      </c>
      <c r="AL15" s="27" t="n">
        <v>0</v>
      </c>
      <c r="AM15" s="28" t="n">
        <v>0</v>
      </c>
      <c r="AN15" s="28" t="n">
        <v>305807.2613795135</v>
      </c>
      <c r="AO15" s="27" t="n">
        <v>28069.28476220909</v>
      </c>
      <c r="AP15" s="28" t="n">
        <v>309668.5473052893</v>
      </c>
      <c r="AQ15" s="27" t="n">
        <v>245847.1491081148</v>
      </c>
      <c r="AR15" s="27" t="n">
        <v>0</v>
      </c>
      <c r="AS15" s="27" t="n">
        <v>0</v>
      </c>
      <c r="AT15" s="28" t="n">
        <v>77613.48517127492</v>
      </c>
      <c r="AU15" s="28" t="n">
        <v>-13792.08697410044</v>
      </c>
      <c r="AV15" s="27" t="n">
        <v>0</v>
      </c>
      <c r="AW15" s="27" t="n">
        <v>0</v>
      </c>
      <c r="AX15" s="28" t="n">
        <v>0</v>
      </c>
      <c r="AY15" s="27" t="n">
        <v>14922.18074354562</v>
      </c>
      <c r="AZ15" s="27" t="n">
        <v>0</v>
      </c>
      <c r="BA15" s="27" t="n">
        <v>0</v>
      </c>
      <c r="BB15" s="28" t="n">
        <v>0</v>
      </c>
      <c r="BC15" s="27" t="n">
        <v>26305.96938115783</v>
      </c>
      <c r="BD15" s="27" t="n">
        <v>62691.3044277293</v>
      </c>
      <c r="BE15" s="27" t="n">
        <v>0</v>
      </c>
      <c r="BF15" s="28" t="n">
        <v>88997.27380888713</v>
      </c>
      <c r="BG15" s="27" t="n">
        <v>0</v>
      </c>
      <c r="BH15" s="27" t="n">
        <v>0</v>
      </c>
      <c r="BI15" s="27" t="n">
        <v>0</v>
      </c>
      <c r="BJ15" s="28" t="n">
        <v>0</v>
      </c>
      <c r="BK15" s="27" t="n">
        <v>0</v>
      </c>
      <c r="BL15" s="28" t="n">
        <v>0</v>
      </c>
      <c r="BM15" s="28" t="n">
        <v>103919.4545524328</v>
      </c>
      <c r="BN15" s="27" t="n">
        <v>0</v>
      </c>
      <c r="BO15" s="27" t="n">
        <v>6107057.27810753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24738.92805921513</v>
      </c>
      <c r="N16" s="28" t="n">
        <v>245124.1259820775</v>
      </c>
      <c r="O16" s="27" t="n">
        <v>0</v>
      </c>
      <c r="P16" s="28" t="n">
        <v>227070.2687833616</v>
      </c>
      <c r="Q16" s="27" t="n">
        <v>183263.5738496742</v>
      </c>
      <c r="R16" s="27" t="n">
        <v>26896.24826905279</v>
      </c>
      <c r="S16" s="27" t="n">
        <v>497.9235254186502</v>
      </c>
      <c r="T16" s="27" t="n">
        <v>0</v>
      </c>
      <c r="U16" s="27" t="n">
        <v>0</v>
      </c>
      <c r="V16" s="27" t="n">
        <v>171016.7017133506</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18812.54022910144</v>
      </c>
      <c r="AL16" s="27" t="n">
        <v>0</v>
      </c>
      <c r="AM16" s="28" t="n">
        <v>0</v>
      </c>
      <c r="AN16" s="28" t="n">
        <v>315064.4887623289</v>
      </c>
      <c r="AO16" s="27" t="n">
        <v>27394.17179447144</v>
      </c>
      <c r="AP16" s="28" t="n">
        <v>317645.4617494562</v>
      </c>
      <c r="AQ16" s="27" t="n">
        <v>245124.1259820775</v>
      </c>
      <c r="AR16" s="27" t="n">
        <v>0</v>
      </c>
      <c r="AS16" s="27" t="n">
        <v>0</v>
      </c>
      <c r="AT16" s="28" t="n">
        <v>88514.72207433834</v>
      </c>
      <c r="AU16" s="28" t="n">
        <v>-15993.3863069596</v>
      </c>
      <c r="AV16" s="27" t="n">
        <v>0</v>
      </c>
      <c r="AW16" s="27" t="n">
        <v>0</v>
      </c>
      <c r="AX16" s="28" t="n">
        <v>0</v>
      </c>
      <c r="AY16" s="27" t="n">
        <v>15817.51158815836</v>
      </c>
      <c r="AZ16" s="27" t="n">
        <v>0</v>
      </c>
      <c r="BA16" s="27" t="n">
        <v>0</v>
      </c>
      <c r="BB16" s="28" t="n">
        <v>0</v>
      </c>
      <c r="BC16" s="27" t="n">
        <v>24738.92805921513</v>
      </c>
      <c r="BD16" s="27" t="n">
        <v>72697.21048617997</v>
      </c>
      <c r="BE16" s="27" t="n">
        <v>0</v>
      </c>
      <c r="BF16" s="28" t="n">
        <v>97436.13854539511</v>
      </c>
      <c r="BG16" s="27" t="n">
        <v>0</v>
      </c>
      <c r="BH16" s="27" t="n">
        <v>0</v>
      </c>
      <c r="BI16" s="27" t="n">
        <v>0</v>
      </c>
      <c r="BJ16" s="28" t="n">
        <v>0</v>
      </c>
      <c r="BK16" s="27" t="n">
        <v>0</v>
      </c>
      <c r="BL16" s="28" t="n">
        <v>0</v>
      </c>
      <c r="BM16" s="28" t="n">
        <v>113253.6501335535</v>
      </c>
      <c r="BN16" s="27" t="n">
        <v>7.275957614183426e-12</v>
      </c>
      <c r="BO16" s="27" t="n">
        <v>6166003.426140452</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22601.38331142133</v>
      </c>
      <c r="N17" s="28" t="n">
        <v>243975.2145542153</v>
      </c>
      <c r="O17" s="27" t="n">
        <v>0</v>
      </c>
      <c r="P17" s="28" t="n">
        <v>225638.6838222504</v>
      </c>
      <c r="Q17" s="27" t="n">
        <v>180955.8549898893</v>
      </c>
      <c r="R17" s="27" t="n">
        <v>26120.11536034259</v>
      </c>
      <c r="S17" s="27" t="n">
        <v>494.80637990907</v>
      </c>
      <c r="T17" s="27" t="n">
        <v>0</v>
      </c>
      <c r="U17" s="27" t="n">
        <v>0</v>
      </c>
      <c r="V17" s="27" t="n">
        <v>175292.1192561844</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19282.85373482898</v>
      </c>
      <c r="AL17" s="27" t="n">
        <v>0</v>
      </c>
      <c r="AM17" s="28" t="n">
        <v>0</v>
      </c>
      <c r="AN17" s="28" t="n">
        <v>324644.3935130387</v>
      </c>
      <c r="AO17" s="27" t="n">
        <v>26614.92174025166</v>
      </c>
      <c r="AP17" s="28" t="n">
        <v>325825.7864757626</v>
      </c>
      <c r="AQ17" s="27" t="n">
        <v>243975.2145542153</v>
      </c>
      <c r="AR17" s="27" t="n">
        <v>1.614412686127626e-13</v>
      </c>
      <c r="AS17" s="27" t="n">
        <v>0</v>
      </c>
      <c r="AT17" s="28" t="n">
        <v>100207.6002810112</v>
      </c>
      <c r="AU17" s="28" t="n">
        <v>-18357.02835946393</v>
      </c>
      <c r="AV17" s="27" t="n">
        <v>0</v>
      </c>
      <c r="AW17" s="27" t="n">
        <v>0</v>
      </c>
      <c r="AX17" s="28" t="n">
        <v>0</v>
      </c>
      <c r="AY17" s="27" t="n">
        <v>16766.56228344786</v>
      </c>
      <c r="AZ17" s="27" t="n">
        <v>0</v>
      </c>
      <c r="BA17" s="27" t="n">
        <v>0</v>
      </c>
      <c r="BB17" s="28" t="n">
        <v>0</v>
      </c>
      <c r="BC17" s="27" t="n">
        <v>22601.38331142133</v>
      </c>
      <c r="BD17" s="27" t="n">
        <v>83441.0379975633</v>
      </c>
      <c r="BE17" s="27" t="n">
        <v>0</v>
      </c>
      <c r="BF17" s="28" t="n">
        <v>106042.4213089846</v>
      </c>
      <c r="BG17" s="27" t="n">
        <v>0</v>
      </c>
      <c r="BH17" s="27" t="n">
        <v>0</v>
      </c>
      <c r="BI17" s="27" t="n">
        <v>0</v>
      </c>
      <c r="BJ17" s="28" t="n">
        <v>0</v>
      </c>
      <c r="BK17" s="27" t="n">
        <v>0</v>
      </c>
      <c r="BL17" s="28" t="n">
        <v>0</v>
      </c>
      <c r="BM17" s="28" t="n">
        <v>122808.9835924325</v>
      </c>
      <c r="BN17" s="27" t="n">
        <v>0</v>
      </c>
      <c r="BO17" s="27" t="n">
        <v>6217814.279491521</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19652.09915804843</v>
      </c>
      <c r="N18" s="28" t="n">
        <v>242153.3458243741</v>
      </c>
      <c r="O18" s="27" t="n">
        <v>0</v>
      </c>
      <c r="P18" s="28" t="n">
        <v>223526.3213502002</v>
      </c>
      <c r="Q18" s="27" t="n">
        <v>177949.8359411919</v>
      </c>
      <c r="R18" s="27" t="n">
        <v>25184.98771488051</v>
      </c>
      <c r="S18" s="27" t="n">
        <v>491.9911466335784</v>
      </c>
      <c r="T18" s="27" t="n">
        <v>0</v>
      </c>
      <c r="U18" s="27" t="n">
        <v>0</v>
      </c>
      <c r="V18" s="27" t="n">
        <v>175292.1192561844</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19764.9250781997</v>
      </c>
      <c r="AL18" s="27" t="n">
        <v>0</v>
      </c>
      <c r="AM18" s="28" t="n">
        <v>0</v>
      </c>
      <c r="AN18" s="28" t="n">
        <v>330177.790454039</v>
      </c>
      <c r="AO18" s="27" t="n">
        <v>25676.97886151409</v>
      </c>
      <c r="AP18" s="28" t="n">
        <v>329785.4023185871</v>
      </c>
      <c r="AQ18" s="27" t="n">
        <v>242153.3458243741</v>
      </c>
      <c r="AR18" s="27" t="n">
        <v>1.676788881160572e-13</v>
      </c>
      <c r="AS18" s="27" t="n">
        <v>0</v>
      </c>
      <c r="AT18" s="28" t="n">
        <v>112348.7903771962</v>
      </c>
      <c r="AU18" s="28" t="n">
        <v>-24716.73388298317</v>
      </c>
      <c r="AV18" s="27" t="n">
        <v>0</v>
      </c>
      <c r="AW18" s="27" t="n">
        <v>0</v>
      </c>
      <c r="AX18" s="28" t="n">
        <v>0</v>
      </c>
      <c r="AY18" s="27" t="n">
        <v>0</v>
      </c>
      <c r="AZ18" s="27" t="n">
        <v>0</v>
      </c>
      <c r="BA18" s="27" t="n">
        <v>0</v>
      </c>
      <c r="BB18" s="28" t="n">
        <v>0</v>
      </c>
      <c r="BC18" s="27" t="n">
        <v>19652.09915804843</v>
      </c>
      <c r="BD18" s="27" t="n">
        <v>112348.7903771962</v>
      </c>
      <c r="BE18" s="27" t="n">
        <v>0</v>
      </c>
      <c r="BF18" s="28" t="n">
        <v>132000.8895352447</v>
      </c>
      <c r="BG18" s="27" t="n">
        <v>0</v>
      </c>
      <c r="BH18" s="27" t="n">
        <v>0</v>
      </c>
      <c r="BI18" s="27" t="n">
        <v>0</v>
      </c>
      <c r="BJ18" s="28" t="n">
        <v>0</v>
      </c>
      <c r="BK18" s="27" t="n">
        <v>0</v>
      </c>
      <c r="BL18" s="28" t="n">
        <v>0</v>
      </c>
      <c r="BM18" s="28" t="n">
        <v>132000.8895352447</v>
      </c>
      <c r="BN18" s="27" t="n">
        <v>0</v>
      </c>
      <c r="BO18" s="27" t="n">
        <v>6262283.332936303</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14832.56964661148</v>
      </c>
      <c r="N19" s="28" t="n">
        <v>238594.5578094505</v>
      </c>
      <c r="O19" s="27" t="n">
        <v>0</v>
      </c>
      <c r="P19" s="28" t="n">
        <v>219669.2130258307</v>
      </c>
      <c r="Q19" s="27" t="n">
        <v>173181.1979086422</v>
      </c>
      <c r="R19" s="27" t="n">
        <v>23856.60782387593</v>
      </c>
      <c r="S19" s="27" t="n">
        <v>489.4586600462634</v>
      </c>
      <c r="T19" s="27" t="n">
        <v>0</v>
      </c>
      <c r="U19" s="27" t="n">
        <v>0</v>
      </c>
      <c r="V19" s="27" t="n">
        <v>175292.1192561844</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20259.04820515469</v>
      </c>
      <c r="AL19" s="27" t="n">
        <v>0</v>
      </c>
      <c r="AM19" s="28" t="n">
        <v>0</v>
      </c>
      <c r="AN19" s="28" t="n">
        <v>335951.1489426989</v>
      </c>
      <c r="AO19" s="27" t="n">
        <v>24346.0664839222</v>
      </c>
      <c r="AP19" s="28" t="n">
        <v>333576.1142547309</v>
      </c>
      <c r="AQ19" s="27" t="n">
        <v>238594.5578094505</v>
      </c>
      <c r="AR19" s="27" t="n">
        <v>1.741575110344155e-13</v>
      </c>
      <c r="AS19" s="27" t="n">
        <v>0</v>
      </c>
      <c r="AT19" s="28" t="n">
        <v>121771.2262118979</v>
      </c>
      <c r="AU19" s="28" t="n">
        <v>-26789.66976661753</v>
      </c>
      <c r="AV19" s="27" t="n">
        <v>0</v>
      </c>
      <c r="AW19" s="27" t="n">
        <v>0</v>
      </c>
      <c r="AX19" s="28" t="n">
        <v>0</v>
      </c>
      <c r="AY19" s="27" t="n">
        <v>0</v>
      </c>
      <c r="AZ19" s="27" t="n">
        <v>0</v>
      </c>
      <c r="BA19" s="27" t="n">
        <v>0</v>
      </c>
      <c r="BB19" s="28" t="n">
        <v>0</v>
      </c>
      <c r="BC19" s="27" t="n">
        <v>14832.56964661148</v>
      </c>
      <c r="BD19" s="27" t="n">
        <v>121771.2262118979</v>
      </c>
      <c r="BE19" s="27" t="n">
        <v>0</v>
      </c>
      <c r="BF19" s="28" t="n">
        <v>136603.7958585094</v>
      </c>
      <c r="BG19" s="27" t="n">
        <v>0</v>
      </c>
      <c r="BH19" s="27" t="n">
        <v>0</v>
      </c>
      <c r="BI19" s="27" t="n">
        <v>0</v>
      </c>
      <c r="BJ19" s="28" t="n">
        <v>0</v>
      </c>
      <c r="BK19" s="27" t="n">
        <v>0</v>
      </c>
      <c r="BL19" s="28" t="n">
        <v>0</v>
      </c>
      <c r="BM19" s="28" t="n">
        <v>136603.7958585094</v>
      </c>
      <c r="BN19" s="27" t="n">
        <v>0</v>
      </c>
      <c r="BO19" s="27" t="n">
        <v>6303676.253184769</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8906.95658057861</v>
      </c>
      <c r="N20" s="28" t="n">
        <v>234057.9152803978</v>
      </c>
      <c r="O20" s="27" t="n">
        <v>0</v>
      </c>
      <c r="P20" s="28" t="n">
        <v>214826.4085977612</v>
      </c>
      <c r="Q20" s="27" t="n">
        <v>167408.6331782289</v>
      </c>
      <c r="R20" s="27" t="n">
        <v>22301.77846886451</v>
      </c>
      <c r="S20" s="27" t="n">
        <v>487.190804785312</v>
      </c>
      <c r="T20" s="27" t="n">
        <v>0</v>
      </c>
      <c r="U20" s="27" t="n">
        <v>0</v>
      </c>
      <c r="V20" s="27" t="n">
        <v>175292.1192561844</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20765.52441028356</v>
      </c>
      <c r="AL20" s="27" t="n">
        <v>0</v>
      </c>
      <c r="AM20" s="28" t="n">
        <v>0</v>
      </c>
      <c r="AN20" s="28" t="n">
        <v>341976.0905966558</v>
      </c>
      <c r="AO20" s="27" t="n">
        <v>22788.96927364982</v>
      </c>
      <c r="AP20" s="28" t="n">
        <v>337375.9311691182</v>
      </c>
      <c r="AQ20" s="27" t="n">
        <v>234057.9152803978</v>
      </c>
      <c r="AR20" s="27" t="n">
        <v>1.808864490365023e-13</v>
      </c>
      <c r="AS20" s="27" t="n">
        <v>0</v>
      </c>
      <c r="AT20" s="28" t="n">
        <v>132458.9947291287</v>
      </c>
      <c r="AU20" s="28" t="n">
        <v>-29140.97884040829</v>
      </c>
      <c r="AV20" s="27" t="n">
        <v>8.467309917509055e-12</v>
      </c>
      <c r="AW20" s="27" t="n">
        <v>0</v>
      </c>
      <c r="AX20" s="28" t="n">
        <v>8.467309917509055e-12</v>
      </c>
      <c r="AY20" s="27" t="n">
        <v>0</v>
      </c>
      <c r="AZ20" s="27" t="n">
        <v>0</v>
      </c>
      <c r="BA20" s="27" t="n">
        <v>0</v>
      </c>
      <c r="BB20" s="28" t="n">
        <v>0</v>
      </c>
      <c r="BC20" s="27" t="n">
        <v>8906.95658057861</v>
      </c>
      <c r="BD20" s="27" t="n">
        <v>132458.9947291287</v>
      </c>
      <c r="BE20" s="27" t="n">
        <v>0</v>
      </c>
      <c r="BF20" s="28" t="n">
        <v>141365.9513097073</v>
      </c>
      <c r="BG20" s="27" t="n">
        <v>0</v>
      </c>
      <c r="BH20" s="27" t="n">
        <v>0</v>
      </c>
      <c r="BI20" s="27" t="n">
        <v>0</v>
      </c>
      <c r="BJ20" s="28" t="n">
        <v>0</v>
      </c>
      <c r="BK20" s="27" t="n">
        <v>0</v>
      </c>
      <c r="BL20" s="28" t="n">
        <v>0</v>
      </c>
      <c r="BM20" s="28" t="n">
        <v>141365.9513097073</v>
      </c>
      <c r="BN20" s="27" t="n">
        <v>0</v>
      </c>
      <c r="BO20" s="27" t="n">
        <v>6341486.52932418</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1800.797120796151</v>
      </c>
      <c r="N21" s="28" t="n">
        <v>228464.2002647917</v>
      </c>
      <c r="O21" s="27" t="n">
        <v>0</v>
      </c>
      <c r="P21" s="28" t="n">
        <v>208918.666676774</v>
      </c>
      <c r="Q21" s="27" t="n">
        <v>160552.5357488511</v>
      </c>
      <c r="R21" s="27" t="n">
        <v>20502.87461779448</v>
      </c>
      <c r="S21" s="27" t="n">
        <v>485.1704623231544</v>
      </c>
      <c r="T21" s="27" t="n">
        <v>0</v>
      </c>
      <c r="U21" s="27" t="n">
        <v>0</v>
      </c>
      <c r="V21" s="27" t="n">
        <v>175292.1192561844</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21284.66252054065</v>
      </c>
      <c r="AL21" s="27" t="n">
        <v>0</v>
      </c>
      <c r="AM21" s="28" t="n">
        <v>0</v>
      </c>
      <c r="AN21" s="28" t="n">
        <v>348264.8372297629</v>
      </c>
      <c r="AO21" s="27" t="n">
        <v>20988.04508011763</v>
      </c>
      <c r="AP21" s="28" t="n">
        <v>341179.0253911635</v>
      </c>
      <c r="AQ21" s="27" t="n">
        <v>228464.2002647917</v>
      </c>
      <c r="AR21" s="27" t="n">
        <v>0</v>
      </c>
      <c r="AS21" s="27" t="n">
        <v>0</v>
      </c>
      <c r="AT21" s="28" t="n">
        <v>119647.894041437</v>
      </c>
      <c r="AU21" s="28" t="n">
        <v>-6933.068915065174</v>
      </c>
      <c r="AV21" s="27" t="n">
        <v>0</v>
      </c>
      <c r="AW21" s="27" t="n">
        <v>0</v>
      </c>
      <c r="AX21" s="28" t="n">
        <v>0</v>
      </c>
      <c r="AY21" s="27" t="n">
        <v>0</v>
      </c>
      <c r="AZ21" s="27" t="n">
        <v>35623.38949548393</v>
      </c>
      <c r="BA21" s="27" t="n">
        <v>52510.55493202039</v>
      </c>
      <c r="BB21" s="28" t="n">
        <v>88133.94442750432</v>
      </c>
      <c r="BC21" s="27" t="n">
        <v>1800.797120796151</v>
      </c>
      <c r="BD21" s="27" t="n">
        <v>31513.94961393264</v>
      </c>
      <c r="BE21" s="27" t="n">
        <v>0</v>
      </c>
      <c r="BF21" s="28" t="n">
        <v>33314.74673472879</v>
      </c>
      <c r="BG21" s="27" t="n">
        <v>0</v>
      </c>
      <c r="BH21" s="27" t="n">
        <v>0</v>
      </c>
      <c r="BI21" s="27" t="n">
        <v>0</v>
      </c>
      <c r="BJ21" s="28" t="n">
        <v>0</v>
      </c>
      <c r="BK21" s="27" t="n">
        <v>0</v>
      </c>
      <c r="BL21" s="28" t="n">
        <v>0</v>
      </c>
      <c r="BM21" s="28" t="n">
        <v>121448.6911622331</v>
      </c>
      <c r="BN21" s="27" t="n">
        <v>0</v>
      </c>
      <c r="BO21" s="27" t="n">
        <v>6401510.858672512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175292.1192561844</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21816.77908355416</v>
      </c>
      <c r="AL22" s="27" t="n">
        <v>0</v>
      </c>
      <c r="AM22" s="28" t="n">
        <v>0</v>
      </c>
      <c r="AN22" s="28" t="n">
        <v>354830.242893236</v>
      </c>
      <c r="AO22" s="27" t="n">
        <v>20369.00045841167</v>
      </c>
      <c r="AP22" s="28" t="n">
        <v>346423.5400099627</v>
      </c>
      <c r="AQ22" s="27" t="n">
        <v>228294.8920138218</v>
      </c>
      <c r="AR22" s="27" t="n">
        <v>0</v>
      </c>
      <c r="AS22" s="27" t="n">
        <v>0</v>
      </c>
      <c r="AT22" s="28" t="n">
        <v>118128.6479961409</v>
      </c>
      <c r="AU22" s="28" t="n">
        <v>-1.455191522836685e-11</v>
      </c>
      <c r="AV22" s="27" t="n">
        <v>0</v>
      </c>
      <c r="AW22" s="27" t="n">
        <v>0</v>
      </c>
      <c r="AX22" s="28" t="n">
        <v>0</v>
      </c>
      <c r="AY22" s="27" t="n">
        <v>0</v>
      </c>
      <c r="AZ22" s="27" t="n">
        <v>47747.12927551889</v>
      </c>
      <c r="BA22" s="27" t="n">
        <v>70381.51872062206</v>
      </c>
      <c r="BB22" s="28" t="n">
        <v>118128.6479961409</v>
      </c>
      <c r="BC22" s="27" t="n">
        <v>0</v>
      </c>
      <c r="BD22" s="27" t="n">
        <v>0</v>
      </c>
      <c r="BE22" s="27" t="n">
        <v>0</v>
      </c>
      <c r="BF22" s="28" t="n">
        <v>0</v>
      </c>
      <c r="BG22" s="27" t="n">
        <v>0</v>
      </c>
      <c r="BH22" s="27" t="n">
        <v>0</v>
      </c>
      <c r="BI22" s="27" t="n">
        <v>0</v>
      </c>
      <c r="BJ22" s="28" t="n">
        <v>0</v>
      </c>
      <c r="BK22" s="27" t="n">
        <v>0</v>
      </c>
      <c r="BL22" s="28" t="n">
        <v>0</v>
      </c>
      <c r="BM22" s="28" t="n">
        <v>118128.6479961409</v>
      </c>
      <c r="BN22" s="27" t="n">
        <v>1.455191522836685e-11</v>
      </c>
      <c r="BO22" s="27" t="n">
        <v>6467344.729373005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175292.1192561844</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22362.19856064301</v>
      </c>
      <c r="AL23" s="27" t="n">
        <v>0</v>
      </c>
      <c r="AM23" s="28" t="n">
        <v>0</v>
      </c>
      <c r="AN23" s="28" t="n">
        <v>361685.8276548879</v>
      </c>
      <c r="AO23" s="27" t="n">
        <v>20159.7011855864</v>
      </c>
      <c r="AP23" s="28" t="n">
        <v>352350.4329152472</v>
      </c>
      <c r="AQ23" s="27" t="n">
        <v>230041.3060437013</v>
      </c>
      <c r="AR23" s="27" t="n">
        <v>3.228825372255252e-13</v>
      </c>
      <c r="AS23" s="27" t="n">
        <v>0</v>
      </c>
      <c r="AT23" s="28" t="n">
        <v>122309.1268715459</v>
      </c>
      <c r="AU23" s="28" t="n">
        <v>-1.455191522836685e-11</v>
      </c>
      <c r="AV23" s="27" t="n">
        <v>1.511415876757288e-11</v>
      </c>
      <c r="AW23" s="27" t="n">
        <v>0</v>
      </c>
      <c r="AX23" s="28" t="n">
        <v>1.511415876757288e-11</v>
      </c>
      <c r="AY23" s="27" t="n">
        <v>0</v>
      </c>
      <c r="AZ23" s="27" t="n">
        <v>49436.86219537807</v>
      </c>
      <c r="BA23" s="27" t="n">
        <v>72872.26467616783</v>
      </c>
      <c r="BB23" s="28" t="n">
        <v>122309.1268715459</v>
      </c>
      <c r="BC23" s="27" t="n">
        <v>0</v>
      </c>
      <c r="BD23" s="27" t="n">
        <v>0</v>
      </c>
      <c r="BE23" s="27" t="n">
        <v>0</v>
      </c>
      <c r="BF23" s="28" t="n">
        <v>0</v>
      </c>
      <c r="BG23" s="27" t="n">
        <v>0</v>
      </c>
      <c r="BH23" s="27" t="n">
        <v>0</v>
      </c>
      <c r="BI23" s="27" t="n">
        <v>0</v>
      </c>
      <c r="BJ23" s="28" t="n">
        <v>0</v>
      </c>
      <c r="BK23" s="27" t="n">
        <v>0</v>
      </c>
      <c r="BL23" s="28" t="n">
        <v>0</v>
      </c>
      <c r="BM23" s="28" t="n">
        <v>122309.1268715459</v>
      </c>
      <c r="BN23" s="27" t="n">
        <v>1.455191522836685e-11</v>
      </c>
      <c r="BO23" s="27" t="n">
        <v>6531245.69633905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175292.1192561844</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22921.25352465909</v>
      </c>
      <c r="AL24" s="27" t="n">
        <v>0</v>
      </c>
      <c r="AM24" s="28" t="n">
        <v>0</v>
      </c>
      <c r="AN24" s="28" t="n">
        <v>368845.8132114396</v>
      </c>
      <c r="AO24" s="27" t="n">
        <v>17782.59019445763</v>
      </c>
      <c r="AP24" s="28" t="n">
        <v>356395.9300825394</v>
      </c>
      <c r="AQ24" s="27" t="n">
        <v>221900.1515324549</v>
      </c>
      <c r="AR24" s="27" t="n">
        <v>3.228825372255252e-13</v>
      </c>
      <c r="AS24" s="27" t="n">
        <v>0</v>
      </c>
      <c r="AT24" s="28" t="n">
        <v>134495.7785500845</v>
      </c>
      <c r="AU24" s="28" t="n">
        <v>0</v>
      </c>
      <c r="AV24" s="27" t="n">
        <v>1.511415876757288e-11</v>
      </c>
      <c r="AW24" s="27" t="n">
        <v>0</v>
      </c>
      <c r="AX24" s="28" t="n">
        <v>1.511415876757288e-11</v>
      </c>
      <c r="AY24" s="27" t="n">
        <v>0</v>
      </c>
      <c r="AZ24" s="27" t="n">
        <v>54362.65829142676</v>
      </c>
      <c r="BA24" s="27" t="n">
        <v>80133.12025865773</v>
      </c>
      <c r="BB24" s="28" t="n">
        <v>134495.7785500845</v>
      </c>
      <c r="BC24" s="27" t="n">
        <v>0</v>
      </c>
      <c r="BD24" s="27" t="n">
        <v>0</v>
      </c>
      <c r="BE24" s="27" t="n">
        <v>0</v>
      </c>
      <c r="BF24" s="28" t="n">
        <v>0</v>
      </c>
      <c r="BG24" s="27" t="n">
        <v>0</v>
      </c>
      <c r="BH24" s="27" t="n">
        <v>0</v>
      </c>
      <c r="BI24" s="27" t="n">
        <v>0</v>
      </c>
      <c r="BJ24" s="28" t="n">
        <v>0</v>
      </c>
      <c r="BK24" s="27" t="n">
        <v>0</v>
      </c>
      <c r="BL24" s="28" t="n">
        <v>0</v>
      </c>
      <c r="BM24" s="28" t="n">
        <v>134495.7785500845</v>
      </c>
      <c r="BN24" s="27" t="n">
        <v>0</v>
      </c>
      <c r="BO24" s="27" t="n">
        <v>6584474.255321241</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175292.1192561844</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23494.28486277556</v>
      </c>
      <c r="AL25" s="27" t="n">
        <v>0</v>
      </c>
      <c r="AM25" s="28" t="n">
        <v>0</v>
      </c>
      <c r="AN25" s="28" t="n">
        <v>376325.1604341102</v>
      </c>
      <c r="AO25" s="27" t="n">
        <v>13059.52302307638</v>
      </c>
      <c r="AP25" s="28" t="n">
        <v>358396.3983007448</v>
      </c>
      <c r="AQ25" s="27" t="n">
        <v>200480.1465766074</v>
      </c>
      <c r="AR25" s="27" t="n">
        <v>0</v>
      </c>
      <c r="AS25" s="27" t="n">
        <v>0</v>
      </c>
      <c r="AT25" s="28" t="n">
        <v>157916.2517241374</v>
      </c>
      <c r="AU25" s="28" t="n">
        <v>0</v>
      </c>
      <c r="AV25" s="27" t="n">
        <v>0</v>
      </c>
      <c r="AW25" s="27" t="n">
        <v>0</v>
      </c>
      <c r="AX25" s="28" t="n">
        <v>0</v>
      </c>
      <c r="AY25" s="27" t="n">
        <v>0</v>
      </c>
      <c r="AZ25" s="27" t="n">
        <v>63829.12031655599</v>
      </c>
      <c r="BA25" s="27" t="n">
        <v>94087.1314075814</v>
      </c>
      <c r="BB25" s="28" t="n">
        <v>157916.2517241374</v>
      </c>
      <c r="BC25" s="27" t="n">
        <v>0</v>
      </c>
      <c r="BD25" s="27" t="n">
        <v>0</v>
      </c>
      <c r="BE25" s="27" t="n">
        <v>0</v>
      </c>
      <c r="BF25" s="28" t="n">
        <v>0</v>
      </c>
      <c r="BG25" s="27" t="n">
        <v>0</v>
      </c>
      <c r="BH25" s="27" t="n">
        <v>0</v>
      </c>
      <c r="BI25" s="27" t="n">
        <v>0</v>
      </c>
      <c r="BJ25" s="28" t="n">
        <v>0</v>
      </c>
      <c r="BK25" s="27" t="n">
        <v>0</v>
      </c>
      <c r="BL25" s="28" t="n">
        <v>0</v>
      </c>
      <c r="BM25" s="28" t="n">
        <v>157916.2517241374</v>
      </c>
      <c r="BN25" s="27" t="n">
        <v>0</v>
      </c>
      <c r="BO25" s="27" t="n">
        <v>6624946.942565417</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175292.1192561844</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24081.64198434495</v>
      </c>
      <c r="AL26" s="27" t="n">
        <v>0</v>
      </c>
      <c r="AM26" s="28" t="n">
        <v>0</v>
      </c>
      <c r="AN26" s="28" t="n">
        <v>384139.6089531822</v>
      </c>
      <c r="AO26" s="27" t="n">
        <v>13268.12963278216</v>
      </c>
      <c r="AP26" s="28" t="n">
        <v>365644.7463006116</v>
      </c>
      <c r="AQ26" s="27" t="n">
        <v>203906.550820344</v>
      </c>
      <c r="AR26" s="27" t="n">
        <v>0</v>
      </c>
      <c r="AS26" s="27" t="n">
        <v>0</v>
      </c>
      <c r="AT26" s="28" t="n">
        <v>161738.1954802677</v>
      </c>
      <c r="AU26" s="28" t="n">
        <v>0</v>
      </c>
      <c r="AV26" s="27" t="n">
        <v>0</v>
      </c>
      <c r="AW26" s="27" t="n">
        <v>0</v>
      </c>
      <c r="AX26" s="28" t="n">
        <v>0</v>
      </c>
      <c r="AY26" s="27" t="n">
        <v>0</v>
      </c>
      <c r="AZ26" s="27" t="n">
        <v>65373.93476845487</v>
      </c>
      <c r="BA26" s="27" t="n">
        <v>96364.26071181281</v>
      </c>
      <c r="BB26" s="28" t="n">
        <v>161738.1954802677</v>
      </c>
      <c r="BC26" s="27" t="n">
        <v>0</v>
      </c>
      <c r="BD26" s="27" t="n">
        <v>0</v>
      </c>
      <c r="BE26" s="27" t="n">
        <v>0</v>
      </c>
      <c r="BF26" s="28" t="n">
        <v>0</v>
      </c>
      <c r="BG26" s="27" t="n">
        <v>0</v>
      </c>
      <c r="BH26" s="27" t="n">
        <v>0</v>
      </c>
      <c r="BI26" s="27" t="n">
        <v>0</v>
      </c>
      <c r="BJ26" s="28" t="n">
        <v>0</v>
      </c>
      <c r="BK26" s="27" t="n">
        <v>0</v>
      </c>
      <c r="BL26" s="28" t="n">
        <v>0</v>
      </c>
      <c r="BM26" s="28" t="n">
        <v>161738.1954802677</v>
      </c>
      <c r="BN26" s="27" t="n">
        <v>0</v>
      </c>
      <c r="BO26" s="27" t="n">
        <v>6686731.375170732</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175292.1192561844</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24683.68303395357</v>
      </c>
      <c r="AL27" s="27" t="n">
        <v>0</v>
      </c>
      <c r="AM27" s="28" t="n">
        <v>0</v>
      </c>
      <c r="AN27" s="28" t="n">
        <v>392305.7188930337</v>
      </c>
      <c r="AO27" s="27" t="n">
        <v>13479.69043282948</v>
      </c>
      <c r="AP27" s="28" t="n">
        <v>373228.3422333766</v>
      </c>
      <c r="AQ27" s="27" t="n">
        <v>207395.9678018882</v>
      </c>
      <c r="AR27" s="27" t="n">
        <v>0</v>
      </c>
      <c r="AS27" s="27" t="n">
        <v>0</v>
      </c>
      <c r="AT27" s="28" t="n">
        <v>165832.3744314884</v>
      </c>
      <c r="AU27" s="28" t="n">
        <v>2.91038304567337e-11</v>
      </c>
      <c r="AV27" s="27" t="n">
        <v>0</v>
      </c>
      <c r="AW27" s="27" t="n">
        <v>0</v>
      </c>
      <c r="AX27" s="28" t="n">
        <v>0</v>
      </c>
      <c r="AY27" s="27" t="n">
        <v>0</v>
      </c>
      <c r="AZ27" s="27" t="n">
        <v>67028.78560250007</v>
      </c>
      <c r="BA27" s="27" t="n">
        <v>98803.58882898834</v>
      </c>
      <c r="BB27" s="28" t="n">
        <v>165832.3744314884</v>
      </c>
      <c r="BC27" s="27" t="n">
        <v>0</v>
      </c>
      <c r="BD27" s="27" t="n">
        <v>0</v>
      </c>
      <c r="BE27" s="27" t="n">
        <v>0</v>
      </c>
      <c r="BF27" s="28" t="n">
        <v>0</v>
      </c>
      <c r="BG27" s="27" t="n">
        <v>0</v>
      </c>
      <c r="BH27" s="27" t="n">
        <v>0</v>
      </c>
      <c r="BI27" s="27" t="n">
        <v>0</v>
      </c>
      <c r="BJ27" s="28" t="n">
        <v>0</v>
      </c>
      <c r="BK27" s="27" t="n">
        <v>0</v>
      </c>
      <c r="BL27" s="28" t="n">
        <v>0</v>
      </c>
      <c r="BM27" s="28" t="n">
        <v>165832.3744314884</v>
      </c>
      <c r="BN27" s="27" t="n">
        <v>0</v>
      </c>
      <c r="BO27" s="27" t="n">
        <v>6744462.440991611</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175292.1192561844</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25300.77510980241</v>
      </c>
      <c r="AL28" s="27" t="n">
        <v>0</v>
      </c>
      <c r="AM28" s="28" t="n">
        <v>0</v>
      </c>
      <c r="AN28" s="28" t="n">
        <v>400840.9148752492</v>
      </c>
      <c r="AO28" s="27" t="n">
        <v>13693.56939596265</v>
      </c>
      <c r="AP28" s="28" t="n">
        <v>381163.4905014131</v>
      </c>
      <c r="AQ28" s="27" t="n">
        <v>210946.512803967</v>
      </c>
      <c r="AR28" s="27" t="n">
        <v>0</v>
      </c>
      <c r="AS28" s="27" t="n">
        <v>0</v>
      </c>
      <c r="AT28" s="28" t="n">
        <v>170216.9776974461</v>
      </c>
      <c r="AU28" s="28" t="n">
        <v>0</v>
      </c>
      <c r="AV28" s="27" t="n">
        <v>0</v>
      </c>
      <c r="AW28" s="27" t="n">
        <v>0</v>
      </c>
      <c r="AX28" s="28" t="n">
        <v>0</v>
      </c>
      <c r="AY28" s="27" t="n">
        <v>0</v>
      </c>
      <c r="AZ28" s="27" t="n">
        <v>68801.02478844573</v>
      </c>
      <c r="BA28" s="27" t="n">
        <v>101415.9529090003</v>
      </c>
      <c r="BB28" s="28" t="n">
        <v>170216.9776974461</v>
      </c>
      <c r="BC28" s="27" t="n">
        <v>0</v>
      </c>
      <c r="BD28" s="27" t="n">
        <v>0</v>
      </c>
      <c r="BE28" s="27" t="n">
        <v>0</v>
      </c>
      <c r="BF28" s="28" t="n">
        <v>0</v>
      </c>
      <c r="BG28" s="27" t="n">
        <v>0</v>
      </c>
      <c r="BH28" s="27" t="n">
        <v>0</v>
      </c>
      <c r="BI28" s="27" t="n">
        <v>0</v>
      </c>
      <c r="BJ28" s="28" t="n">
        <v>0</v>
      </c>
      <c r="BK28" s="27" t="n">
        <v>0</v>
      </c>
      <c r="BL28" s="28" t="n">
        <v>0</v>
      </c>
      <c r="BM28" s="28" t="n">
        <v>170216.9776974461</v>
      </c>
      <c r="BN28" s="27" t="n">
        <v>0</v>
      </c>
      <c r="BO28" s="27" t="n">
        <v>6797503.200582409</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175292.1192561844</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25933.29448754746</v>
      </c>
      <c r="AL29" s="27" t="n">
        <v>0</v>
      </c>
      <c r="AM29" s="28" t="n">
        <v>0</v>
      </c>
      <c r="AN29" s="28" t="n">
        <v>409763.5324138694</v>
      </c>
      <c r="AO29" s="27" t="n">
        <v>13916.482755611</v>
      </c>
      <c r="AP29" s="28" t="n">
        <v>389474.7465554367</v>
      </c>
      <c r="AQ29" s="27" t="n">
        <v>214589.4401599739</v>
      </c>
      <c r="AR29" s="27" t="n">
        <v>0</v>
      </c>
      <c r="AS29" s="27" t="n">
        <v>0</v>
      </c>
      <c r="AT29" s="28" t="n">
        <v>174885.3063954628</v>
      </c>
      <c r="AU29" s="28" t="n">
        <v>0</v>
      </c>
      <c r="AV29" s="27" t="n">
        <v>0</v>
      </c>
      <c r="AW29" s="27" t="n">
        <v>0</v>
      </c>
      <c r="AX29" s="28" t="n">
        <v>0</v>
      </c>
      <c r="AY29" s="27" t="n">
        <v>0</v>
      </c>
      <c r="AZ29" s="27" t="n">
        <v>70687.94466458027</v>
      </c>
      <c r="BA29" s="27" t="n">
        <v>104197.3617308825</v>
      </c>
      <c r="BB29" s="28" t="n">
        <v>174885.3063954628</v>
      </c>
      <c r="BC29" s="27" t="n">
        <v>0</v>
      </c>
      <c r="BD29" s="27" t="n">
        <v>0</v>
      </c>
      <c r="BE29" s="27" t="n">
        <v>0</v>
      </c>
      <c r="BF29" s="28" t="n">
        <v>0</v>
      </c>
      <c r="BG29" s="27" t="n">
        <v>0</v>
      </c>
      <c r="BH29" s="27" t="n">
        <v>0</v>
      </c>
      <c r="BI29" s="27" t="n">
        <v>0</v>
      </c>
      <c r="BJ29" s="28" t="n">
        <v>0</v>
      </c>
      <c r="BK29" s="27" t="n">
        <v>0</v>
      </c>
      <c r="BL29" s="28" t="n">
        <v>0</v>
      </c>
      <c r="BM29" s="28" t="n">
        <v>174885.3063954628</v>
      </c>
      <c r="BN29" s="27" t="n">
        <v>0</v>
      </c>
      <c r="BO29" s="27" t="n">
        <v>6845186.515207274</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175292.1192561844</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26581.62684973615</v>
      </c>
      <c r="AL30" s="27" t="n">
        <v>0</v>
      </c>
      <c r="AM30" s="28" t="n">
        <v>0</v>
      </c>
      <c r="AN30" s="28" t="n">
        <v>419092.8668336477</v>
      </c>
      <c r="AO30" s="27" t="n">
        <v>14168.56397368701</v>
      </c>
      <c r="AP30" s="28" t="n">
        <v>398201.0304779399</v>
      </c>
      <c r="AQ30" s="27" t="n">
        <v>218417.0175942602</v>
      </c>
      <c r="AR30" s="27" t="n">
        <v>0</v>
      </c>
      <c r="AS30" s="27" t="n">
        <v>0</v>
      </c>
      <c r="AT30" s="28" t="n">
        <v>179784.0128836797</v>
      </c>
      <c r="AU30" s="28" t="n">
        <v>0</v>
      </c>
      <c r="AV30" s="27" t="n">
        <v>0</v>
      </c>
      <c r="AW30" s="27" t="n">
        <v>0</v>
      </c>
      <c r="AX30" s="28" t="n">
        <v>0</v>
      </c>
      <c r="AY30" s="27" t="n">
        <v>0</v>
      </c>
      <c r="AZ30" s="27" t="n">
        <v>72667.9823264297</v>
      </c>
      <c r="BA30" s="27" t="n">
        <v>107116.03055725</v>
      </c>
      <c r="BB30" s="28" t="n">
        <v>179784.0128836797</v>
      </c>
      <c r="BC30" s="27" t="n">
        <v>0</v>
      </c>
      <c r="BD30" s="27" t="n">
        <v>0</v>
      </c>
      <c r="BE30" s="27" t="n">
        <v>0</v>
      </c>
      <c r="BF30" s="28" t="n">
        <v>0</v>
      </c>
      <c r="BG30" s="27" t="n">
        <v>0</v>
      </c>
      <c r="BH30" s="27" t="n">
        <v>0</v>
      </c>
      <c r="BI30" s="27" t="n">
        <v>0</v>
      </c>
      <c r="BJ30" s="28" t="n">
        <v>0</v>
      </c>
      <c r="BK30" s="27" t="n">
        <v>0</v>
      </c>
      <c r="BL30" s="28" t="n">
        <v>0</v>
      </c>
      <c r="BM30" s="28" t="n">
        <v>179784.0128836797</v>
      </c>
      <c r="BN30" s="27" t="n">
        <v>0</v>
      </c>
      <c r="BO30" s="27" t="n">
        <v>6886827.512553295</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175292.1192561844</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27246.16752097955</v>
      </c>
      <c r="AL31" s="27" t="n">
        <v>0</v>
      </c>
      <c r="AM31" s="28" t="n">
        <v>0</v>
      </c>
      <c r="AN31" s="28" t="n">
        <v>428849.2248493618</v>
      </c>
      <c r="AO31" s="27" t="n">
        <v>14452.75569409362</v>
      </c>
      <c r="AP31" s="28" t="n">
        <v>407365.0702058257</v>
      </c>
      <c r="AQ31" s="27" t="n">
        <v>222443.6119520883</v>
      </c>
      <c r="AR31" s="27" t="n">
        <v>0</v>
      </c>
      <c r="AS31" s="27" t="n">
        <v>0</v>
      </c>
      <c r="AT31" s="28" t="n">
        <v>184921.4582537374</v>
      </c>
      <c r="AU31" s="28" t="n">
        <v>0</v>
      </c>
      <c r="AV31" s="27" t="n">
        <v>0</v>
      </c>
      <c r="AW31" s="27" t="n">
        <v>0</v>
      </c>
      <c r="AX31" s="28" t="n">
        <v>0</v>
      </c>
      <c r="AY31" s="27" t="n">
        <v>0</v>
      </c>
      <c r="AZ31" s="27" t="n">
        <v>0</v>
      </c>
      <c r="BA31" s="27" t="n">
        <v>184921.4582537374</v>
      </c>
      <c r="BB31" s="28" t="n">
        <v>184921.4582537374</v>
      </c>
      <c r="BC31" s="27" t="n">
        <v>0</v>
      </c>
      <c r="BD31" s="27" t="n">
        <v>0</v>
      </c>
      <c r="BE31" s="27" t="n">
        <v>0</v>
      </c>
      <c r="BF31" s="28" t="n">
        <v>0</v>
      </c>
      <c r="BG31" s="27" t="n">
        <v>0</v>
      </c>
      <c r="BH31" s="27" t="n">
        <v>0</v>
      </c>
      <c r="BI31" s="27" t="n">
        <v>0</v>
      </c>
      <c r="BJ31" s="28" t="n">
        <v>0</v>
      </c>
      <c r="BK31" s="27" t="n">
        <v>0</v>
      </c>
      <c r="BL31" s="28" t="n">
        <v>0</v>
      </c>
      <c r="BM31" s="28" t="n">
        <v>184921.4582537374</v>
      </c>
      <c r="BN31" s="27" t="n">
        <v>0</v>
      </c>
      <c r="BO31" s="27" t="n">
        <v>6922792.393161375</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175292.1192561844</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27927.32170900404</v>
      </c>
      <c r="AL32" s="27" t="n">
        <v>0</v>
      </c>
      <c r="AM32" s="28" t="n">
        <v>0</v>
      </c>
      <c r="AN32" s="28" t="n">
        <v>366771.5948497382</v>
      </c>
      <c r="AO32" s="27" t="n">
        <v>15227.79197644511</v>
      </c>
      <c r="AP32" s="28" t="n">
        <v>345164.0537301128</v>
      </c>
      <c r="AQ32" s="27" t="n">
        <v>155729.8264844285</v>
      </c>
      <c r="AR32" s="27" t="n">
        <v>0</v>
      </c>
      <c r="AS32" s="27" t="n">
        <v>0</v>
      </c>
      <c r="AT32" s="28" t="n">
        <v>189434.2272456844</v>
      </c>
      <c r="AU32" s="28" t="n">
        <v>0</v>
      </c>
      <c r="AV32" s="27" t="n">
        <v>0</v>
      </c>
      <c r="AW32" s="27" t="n">
        <v>0</v>
      </c>
      <c r="AX32" s="28" t="n">
        <v>0</v>
      </c>
      <c r="AY32" s="27" t="n">
        <v>0</v>
      </c>
      <c r="AZ32" s="27" t="n">
        <v>0</v>
      </c>
      <c r="BA32" s="27" t="n">
        <v>189434.2272456844</v>
      </c>
      <c r="BB32" s="28" t="n">
        <v>189434.2272456844</v>
      </c>
      <c r="BC32" s="27" t="n">
        <v>0</v>
      </c>
      <c r="BD32" s="27" t="n">
        <v>0</v>
      </c>
      <c r="BE32" s="27" t="n">
        <v>0</v>
      </c>
      <c r="BF32" s="28" t="n">
        <v>0</v>
      </c>
      <c r="BG32" s="27" t="n">
        <v>0</v>
      </c>
      <c r="BH32" s="27" t="n">
        <v>0</v>
      </c>
      <c r="BI32" s="27" t="n">
        <v>0</v>
      </c>
      <c r="BJ32" s="28" t="n">
        <v>0</v>
      </c>
      <c r="BK32" s="27" t="n">
        <v>0</v>
      </c>
      <c r="BL32" s="28" t="n">
        <v>0</v>
      </c>
      <c r="BM32" s="28" t="n">
        <v>189434.2272456844</v>
      </c>
      <c r="BN32" s="27" t="n">
        <v>0</v>
      </c>
      <c r="BO32" s="27" t="n">
        <v>6951968.107028781</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175292.1192561844</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28625.50475172913</v>
      </c>
      <c r="AL33" s="27" t="n">
        <v>0</v>
      </c>
      <c r="AM33" s="28" t="n">
        <v>0</v>
      </c>
      <c r="AN33" s="28" t="n">
        <v>373599.3813945072</v>
      </c>
      <c r="AO33" s="27" t="n">
        <v>15252.76260547477</v>
      </c>
      <c r="AP33" s="28" t="n">
        <v>351095.9275765099</v>
      </c>
      <c r="AQ33" s="27" t="n">
        <v>157357.8025611761</v>
      </c>
      <c r="AR33" s="27" t="n">
        <v>0</v>
      </c>
      <c r="AS33" s="27" t="n">
        <v>0</v>
      </c>
      <c r="AT33" s="28" t="n">
        <v>193738.1250153338</v>
      </c>
      <c r="AU33" s="28" t="n">
        <v>0</v>
      </c>
      <c r="AV33" s="27" t="n">
        <v>0</v>
      </c>
      <c r="AW33" s="27" t="n">
        <v>0</v>
      </c>
      <c r="AX33" s="28" t="n">
        <v>0</v>
      </c>
      <c r="AY33" s="27" t="n">
        <v>0</v>
      </c>
      <c r="AZ33" s="27" t="n">
        <v>0</v>
      </c>
      <c r="BA33" s="27" t="n">
        <v>193738.1250153338</v>
      </c>
      <c r="BB33" s="28" t="n">
        <v>193738.1250153338</v>
      </c>
      <c r="BC33" s="27" t="n">
        <v>0</v>
      </c>
      <c r="BD33" s="27" t="n">
        <v>0</v>
      </c>
      <c r="BE33" s="27" t="n">
        <v>0</v>
      </c>
      <c r="BF33" s="28" t="n">
        <v>0</v>
      </c>
      <c r="BG33" s="27" t="n">
        <v>0</v>
      </c>
      <c r="BH33" s="27" t="n">
        <v>0</v>
      </c>
      <c r="BI33" s="27" t="n">
        <v>0</v>
      </c>
      <c r="BJ33" s="28" t="n">
        <v>0</v>
      </c>
      <c r="BK33" s="27" t="n">
        <v>0</v>
      </c>
      <c r="BL33" s="28" t="n">
        <v>0</v>
      </c>
      <c r="BM33" s="28" t="n">
        <v>193738.1250153338</v>
      </c>
      <c r="BN33" s="27" t="n">
        <v>0</v>
      </c>
      <c r="BO33" s="27" t="n">
        <v>6980960.342980574</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2026-07-06</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Patricia Pension (PV of future income)</t>
        </is>
      </c>
      <c r="B4" s="27" t="n">
        <v>66618.91815552025</v>
      </c>
      <c r="C4" s="12" t="inlineStr">
        <is>
          <t>PV through mortality</t>
        </is>
      </c>
    </row>
    <row r="5" ht="30" customHeight="1">
      <c r="A5" s="12" t="inlineStr">
        <is>
          <t xml:space="preserve">  Patricia Single Annuity (PV)</t>
        </is>
      </c>
      <c r="B5" s="27" t="n">
        <v>53198.32320054132</v>
      </c>
      <c r="C5" s="33" t="inlineStr"/>
    </row>
    <row r="6" ht="30" customHeight="1">
      <c r="A6" s="12" t="inlineStr">
        <is>
          <t xml:space="preserve">  Patricia Joint Annuity (PV)</t>
        </is>
      </c>
      <c r="B6" s="27" t="n">
        <v>336263.3497205881</v>
      </c>
      <c r="C6" s="33" t="inlineStr"/>
    </row>
    <row r="7" ht="30" customHeight="1">
      <c r="A7" s="12" t="inlineStr">
        <is>
          <t xml:space="preserve">  Matthew Single Annuity (PV)</t>
        </is>
      </c>
      <c r="B7" s="27" t="n">
        <v>91417.59968588264</v>
      </c>
      <c r="C7" s="33" t="inlineStr"/>
    </row>
    <row r="8" ht="30" customHeight="1">
      <c r="A8" s="12" t="inlineStr">
        <is>
          <t xml:space="preserve">  Matthew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27450.5662033872</v>
      </c>
      <c r="C11" s="12" t="inlineStr">
        <is>
          <t>Tax-deferred</t>
        </is>
      </c>
    </row>
    <row r="12" ht="15" customHeight="1">
      <c r="A12" s="12" t="inlineStr">
        <is>
          <t xml:space="preserve">  Matthew's Traditional IRA</t>
        </is>
      </c>
      <c r="B12" s="27" t="n">
        <v>1385951.816524092</v>
      </c>
      <c r="C12" s="12" t="inlineStr">
        <is>
          <t>Tax-deferred</t>
        </is>
      </c>
    </row>
    <row r="13" ht="30" customHeight="1">
      <c r="A13" s="12" t="inlineStr">
        <is>
          <t xml:space="preserve">  Patricia's Traditional IRA</t>
        </is>
      </c>
      <c r="B13" s="27" t="n">
        <v>350977.1004208188</v>
      </c>
      <c r="C13" s="12" t="inlineStr">
        <is>
          <t>Tax-deferred</t>
        </is>
      </c>
    </row>
    <row r="14" ht="30" customHeight="1">
      <c r="A14" s="11" t="inlineStr">
        <is>
          <t xml:space="preserve">  Total Pre-Tax (Tax-Deferred)</t>
        </is>
      </c>
      <c r="B14" s="28" t="n">
        <v>1764379.483148298</v>
      </c>
      <c r="C14" s="34" t="inlineStr"/>
    </row>
    <row r="15" ht="15" customHeight="1">
      <c r="A15" s="10" t="inlineStr">
        <is>
          <t>Roth (Tax-Free)</t>
        </is>
      </c>
      <c r="B15" s="3" t="n"/>
      <c r="C15" s="4" t="n"/>
    </row>
    <row r="16" ht="15" customHeight="1">
      <c r="A16" s="12" t="inlineStr">
        <is>
          <t xml:space="preserve">  Matthew's Roth IRA</t>
        </is>
      </c>
      <c r="B16" s="27" t="n">
        <v>143561.6306934005</v>
      </c>
      <c r="C16" s="12" t="inlineStr">
        <is>
          <t>Tax-free</t>
        </is>
      </c>
    </row>
    <row r="17" ht="15" customHeight="1">
      <c r="A17" s="12" t="inlineStr">
        <is>
          <t xml:space="preserve">  Patricia's Roth IRA</t>
        </is>
      </c>
      <c r="B17" s="27" t="n">
        <v>342364.6382765257</v>
      </c>
      <c r="C17" s="12" t="inlineStr">
        <is>
          <t>Tax-free</t>
        </is>
      </c>
    </row>
    <row r="18" ht="15" customHeight="1">
      <c r="A18" s="11" t="inlineStr">
        <is>
          <t xml:space="preserve">  Total Roth (Tax-Free)</t>
        </is>
      </c>
      <c r="B18" s="28" t="n">
        <v>485926.2689699262</v>
      </c>
      <c r="C18" s="34" t="inlineStr"/>
    </row>
    <row r="19" ht="15" customHeight="1">
      <c r="A19" s="10" t="inlineStr">
        <is>
          <t>Taxable / Trust</t>
        </is>
      </c>
      <c r="B19" s="3" t="n"/>
      <c r="C19" s="4" t="n"/>
    </row>
    <row r="20" ht="15" customHeight="1">
      <c r="A20" s="12" t="inlineStr">
        <is>
          <t xml:space="preserve">  Matthew's Trust</t>
        </is>
      </c>
      <c r="B20" s="27" t="n">
        <v>158582.5328224145</v>
      </c>
      <c r="C20" s="12" t="inlineStr">
        <is>
          <t>Taxable</t>
        </is>
      </c>
    </row>
    <row r="21" ht="15" customHeight="1">
      <c r="A21" s="12" t="inlineStr">
        <is>
          <t xml:space="preserve">  Patricia's Trust</t>
        </is>
      </c>
      <c r="B21" s="27" t="n">
        <v>254159.4940405025</v>
      </c>
      <c r="C21" s="12" t="inlineStr">
        <is>
          <t>Taxable</t>
        </is>
      </c>
    </row>
    <row r="22" ht="15" customHeight="1">
      <c r="A22" s="11" t="inlineStr">
        <is>
          <t xml:space="preserve">  Total Taxable / Trust</t>
        </is>
      </c>
      <c r="B22" s="28" t="n">
        <v>412742.0268629171</v>
      </c>
      <c r="C22" s="34" t="inlineStr"/>
    </row>
    <row r="23" ht="15" customHeight="1">
      <c r="A23" s="10" t="inlineStr">
        <is>
          <t>Health Savings Account</t>
        </is>
      </c>
      <c r="B23" s="3" t="n"/>
      <c r="C23" s="4" t="n"/>
    </row>
    <row r="24" ht="15" customHeight="1">
      <c r="A24" s="12" t="inlineStr">
        <is>
          <t xml:space="preserve">  Matthew's HSA</t>
        </is>
      </c>
      <c r="B24" s="27" t="n">
        <v>78608.18667338893</v>
      </c>
      <c r="C24" s="12" t="inlineStr">
        <is>
          <t>Triple tax-advantaged</t>
        </is>
      </c>
    </row>
    <row r="25" ht="30" customHeight="1">
      <c r="A25" s="11" t="inlineStr">
        <is>
          <t xml:space="preserve">  Total Health Savings Account</t>
        </is>
      </c>
      <c r="B25" s="28" t="n">
        <v>78608.18667338893</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48382.38222222222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1901743.722222222</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5713296.163908464</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Matthew Age</t>
        </is>
      </c>
      <c r="C2" s="39" t="inlineStr">
        <is>
          <t>Patricia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447494.38011313</v>
      </c>
      <c r="F3" s="27" t="n">
        <v>364264.5943320957</v>
      </c>
      <c r="G3" s="27" t="n">
        <v>72831.38263970296</v>
      </c>
      <c r="H3" s="27" t="n">
        <v>15740.12781559994</v>
      </c>
      <c r="I3" s="27" t="n">
        <v>2438.065122270334</v>
      </c>
      <c r="J3" s="27" t="n">
        <v>9180</v>
      </c>
      <c r="K3" s="27" t="n">
        <v>5335.200000000001</v>
      </c>
      <c r="L3" s="27" t="n">
        <v>107387.3418327235</v>
      </c>
      <c r="M3" s="29" t="n">
        <v>0.2399747272928324</v>
      </c>
      <c r="N3" s="29" t="n">
        <v>0.24</v>
      </c>
    </row>
    <row r="4" ht="15" customHeight="1">
      <c r="A4" s="26" t="n">
        <v>2027</v>
      </c>
      <c r="B4" s="40" t="n">
        <v>65</v>
      </c>
      <c r="C4" s="40" t="n">
        <v>66</v>
      </c>
      <c r="D4" s="41" t="inlineStr">
        <is>
          <t>MFJ</t>
        </is>
      </c>
      <c r="E4" s="27" t="n">
        <v>215050.68</v>
      </c>
      <c r="F4" s="27" t="n">
        <v>172412.4408</v>
      </c>
      <c r="G4" s="27" t="n">
        <v>27347.78817599999</v>
      </c>
      <c r="H4" s="27" t="n">
        <v>1984.324838757367</v>
      </c>
      <c r="I4" s="27" t="n">
        <v>0</v>
      </c>
      <c r="J4" s="27" t="n">
        <v>0</v>
      </c>
      <c r="K4" s="27" t="n">
        <v>0</v>
      </c>
      <c r="L4" s="27" t="n">
        <v>32909.82074910814</v>
      </c>
      <c r="M4" s="29" t="n">
        <v>0.1530328606685091</v>
      </c>
      <c r="N4" s="29" t="n">
        <v>0.22</v>
      </c>
    </row>
    <row r="5" ht="15" customHeight="1">
      <c r="A5" s="26" t="n">
        <v>2028</v>
      </c>
      <c r="B5" s="40" t="n">
        <v>66</v>
      </c>
      <c r="C5" s="40" t="n">
        <v>67</v>
      </c>
      <c r="D5" s="41" t="inlineStr">
        <is>
          <t>MFJ</t>
        </is>
      </c>
      <c r="E5" s="27" t="n">
        <v>219351.6936</v>
      </c>
      <c r="F5" s="27" t="n">
        <v>176280.689616</v>
      </c>
      <c r="G5" s="27" t="n">
        <v>27987.14393952</v>
      </c>
      <c r="H5" s="27" t="n">
        <v>1520.920916902984</v>
      </c>
      <c r="I5" s="27" t="n">
        <v>0</v>
      </c>
      <c r="J5" s="27" t="n">
        <v>0</v>
      </c>
      <c r="K5" s="27" t="n">
        <v>10670.4</v>
      </c>
      <c r="L5" s="27" t="n">
        <v>42637.43937943697</v>
      </c>
      <c r="M5" s="29" t="n">
        <v>0.1943793488879493</v>
      </c>
      <c r="N5" s="29" t="n">
        <v>0.22</v>
      </c>
    </row>
    <row r="6" ht="15" customHeight="1">
      <c r="A6" s="26" t="n">
        <v>2029</v>
      </c>
      <c r="B6" s="40" t="n">
        <v>67</v>
      </c>
      <c r="C6" s="40" t="n">
        <v>68</v>
      </c>
      <c r="D6" s="41" t="inlineStr">
        <is>
          <t>MFJ</t>
        </is>
      </c>
      <c r="E6" s="27" t="n">
        <v>220819.7327319301</v>
      </c>
      <c r="F6" s="27" t="n">
        <v>184662.8036826252</v>
      </c>
      <c r="G6" s="27" t="n">
        <v>29615.31687865754</v>
      </c>
      <c r="H6" s="27" t="n">
        <v>1610.646421316397</v>
      </c>
      <c r="I6" s="27" t="n">
        <v>0</v>
      </c>
      <c r="J6" s="27" t="n">
        <v>0</v>
      </c>
      <c r="K6" s="27" t="n">
        <v>0</v>
      </c>
      <c r="L6" s="27" t="n">
        <v>31225.96329997394</v>
      </c>
      <c r="M6" s="29" t="n">
        <v>0.1414092975915405</v>
      </c>
      <c r="N6" s="29" t="n">
        <v>0.22</v>
      </c>
    </row>
    <row r="7" ht="15" customHeight="1">
      <c r="A7" s="26" t="n">
        <v>2030</v>
      </c>
      <c r="B7" s="40" t="n">
        <v>68</v>
      </c>
      <c r="C7" s="40" t="n">
        <v>69</v>
      </c>
      <c r="D7" s="41" t="inlineStr">
        <is>
          <t>MFJ</t>
        </is>
      </c>
      <c r="E7" s="27" t="n">
        <v>225306.1969591854</v>
      </c>
      <c r="F7" s="27" t="n">
        <v>188650.7142929454</v>
      </c>
      <c r="G7" s="27" t="n">
        <v>30272.44721429759</v>
      </c>
      <c r="H7" s="27" t="n">
        <v>1445.134726029391</v>
      </c>
      <c r="I7" s="27" t="n">
        <v>0</v>
      </c>
      <c r="J7" s="27" t="n">
        <v>0</v>
      </c>
      <c r="K7" s="27" t="n">
        <v>0</v>
      </c>
      <c r="L7" s="27" t="n">
        <v>31717.58194032698</v>
      </c>
      <c r="M7" s="29" t="n">
        <v>0.140775452998626</v>
      </c>
      <c r="N7" s="29" t="n">
        <v>0.22</v>
      </c>
    </row>
    <row r="8" ht="15" customHeight="1">
      <c r="A8" s="26" t="n">
        <v>2031</v>
      </c>
      <c r="B8" s="40" t="n">
        <v>69</v>
      </c>
      <c r="C8" s="40" t="n">
        <v>70</v>
      </c>
      <c r="D8" s="41" t="inlineStr">
        <is>
          <t>MFJ</t>
        </is>
      </c>
      <c r="E8" s="27" t="n">
        <v>229881.6915994137</v>
      </c>
      <c r="F8" s="27" t="n">
        <v>192493.0992798489</v>
      </c>
      <c r="G8" s="27" t="n">
        <v>30893.15771281334</v>
      </c>
      <c r="H8" s="27" t="n">
        <v>1140.061355787559</v>
      </c>
      <c r="I8" s="27" t="n">
        <v>0</v>
      </c>
      <c r="J8" s="27" t="n">
        <v>0</v>
      </c>
      <c r="K8" s="27" t="n">
        <v>0</v>
      </c>
      <c r="L8" s="27" t="n">
        <v>32033.2190686009</v>
      </c>
      <c r="M8" s="29" t="n">
        <v>0.1393465431967554</v>
      </c>
      <c r="N8" s="29" t="n">
        <v>0.22</v>
      </c>
    </row>
    <row r="9" ht="15" customHeight="1">
      <c r="A9" s="26" t="n">
        <v>2032</v>
      </c>
      <c r="B9" s="40" t="n">
        <v>70</v>
      </c>
      <c r="C9" s="40" t="n">
        <v>71</v>
      </c>
      <c r="D9" s="41" t="inlineStr">
        <is>
          <t>MFJ</t>
        </is>
      </c>
      <c r="E9" s="27" t="n">
        <v>234547.7465254567</v>
      </c>
      <c r="F9" s="27" t="n">
        <v>196411.3823595006</v>
      </c>
      <c r="G9" s="27" t="n">
        <v>31526.07350776166</v>
      </c>
      <c r="H9" s="27" t="n">
        <v>699.8239249735219</v>
      </c>
      <c r="I9" s="27" t="n">
        <v>0</v>
      </c>
      <c r="J9" s="27" t="n">
        <v>0</v>
      </c>
      <c r="K9" s="27" t="n">
        <v>0</v>
      </c>
      <c r="L9" s="27" t="n">
        <v>32225.89743273518</v>
      </c>
      <c r="M9" s="29" t="n">
        <v>0.1373958944825656</v>
      </c>
      <c r="N9" s="29" t="n">
        <v>0.22</v>
      </c>
    </row>
    <row r="10" ht="15" customHeight="1">
      <c r="A10" s="26" t="n">
        <v>2033</v>
      </c>
      <c r="B10" s="40" t="n">
        <v>71</v>
      </c>
      <c r="C10" s="40" t="n">
        <v>72</v>
      </c>
      <c r="D10" s="41" t="inlineStr">
        <is>
          <t>MFJ</t>
        </is>
      </c>
      <c r="E10" s="27" t="n">
        <v>239306.2166857054</v>
      </c>
      <c r="F10" s="27" t="n">
        <v>200407.1252364302</v>
      </c>
      <c r="G10" s="27" t="n">
        <v>32171.4483284596</v>
      </c>
      <c r="H10" s="27" t="n">
        <v>588.1244857183825</v>
      </c>
      <c r="I10" s="27" t="n">
        <v>0</v>
      </c>
      <c r="J10" s="27" t="n">
        <v>0</v>
      </c>
      <c r="K10" s="27" t="n">
        <v>0</v>
      </c>
      <c r="L10" s="27" t="n">
        <v>32759.57281417798</v>
      </c>
      <c r="M10" s="29" t="n">
        <v>0.1368939481300772</v>
      </c>
      <c r="N10" s="29" t="n">
        <v>0.22</v>
      </c>
    </row>
    <row r="11" ht="15" customHeight="1">
      <c r="A11" s="26" t="n">
        <v>2034</v>
      </c>
      <c r="B11" s="40" t="n">
        <v>72</v>
      </c>
      <c r="C11" s="40" t="n">
        <v>73</v>
      </c>
      <c r="D11" s="41" t="inlineStr">
        <is>
          <t>MFJ</t>
        </is>
      </c>
      <c r="E11" s="27" t="n">
        <v>244158.9925338892</v>
      </c>
      <c r="F11" s="27" t="n">
        <v>204481.9192556285</v>
      </c>
      <c r="G11" s="27" t="n">
        <v>32829.54062821211</v>
      </c>
      <c r="H11" s="27" t="n">
        <v>476.460953213454</v>
      </c>
      <c r="I11" s="27" t="n">
        <v>0</v>
      </c>
      <c r="J11" s="27" t="n">
        <v>0</v>
      </c>
      <c r="K11" s="27" t="n">
        <v>0</v>
      </c>
      <c r="L11" s="27" t="n">
        <v>33306.00158142557</v>
      </c>
      <c r="M11" s="29" t="n">
        <v>0.1364111198026127</v>
      </c>
      <c r="N11" s="29" t="n">
        <v>0.22</v>
      </c>
    </row>
    <row r="12" ht="15" customHeight="1">
      <c r="A12" s="26" t="n">
        <v>2035</v>
      </c>
      <c r="B12" s="40" t="n">
        <v>73</v>
      </c>
      <c r="C12" s="40" t="n">
        <v>74</v>
      </c>
      <c r="D12" s="41" t="inlineStr">
        <is>
          <t>MFJ</t>
        </is>
      </c>
      <c r="E12" s="27" t="n">
        <v>249108.0007915249</v>
      </c>
      <c r="F12" s="27" t="n">
        <v>208637.386047699</v>
      </c>
      <c r="G12" s="27" t="n">
        <v>33500.61369030711</v>
      </c>
      <c r="H12" s="27" t="n">
        <v>475.0310965926355</v>
      </c>
      <c r="I12" s="27" t="n">
        <v>0</v>
      </c>
      <c r="J12" s="27" t="n">
        <v>0</v>
      </c>
      <c r="K12" s="27" t="n">
        <v>0</v>
      </c>
      <c r="L12" s="27" t="n">
        <v>33975.64478689974</v>
      </c>
      <c r="M12" s="29" t="n">
        <v>0.1363892154364544</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0</v>
      </c>
      <c r="L13" s="27" t="n">
        <v>23006.78303035425</v>
      </c>
      <c r="M13" s="29" t="n">
        <v>0.1144440518927359</v>
      </c>
      <c r="N13" s="29" t="n">
        <v>0.22</v>
      </c>
    </row>
    <row r="14" ht="15" customHeight="1">
      <c r="A14" s="26" t="n">
        <v>2037</v>
      </c>
      <c r="B14" s="40" t="n">
        <v>75</v>
      </c>
      <c r="C14" s="40" t="n">
        <v>76</v>
      </c>
      <c r="D14" s="41" t="inlineStr">
        <is>
          <t>MFJ</t>
        </is>
      </c>
      <c r="E14" s="27" t="n">
        <v>228525.8490169192</v>
      </c>
      <c r="F14" s="27" t="n">
        <v>186420.2214374427</v>
      </c>
      <c r="G14" s="27" t="n">
        <v>28111.89318194718</v>
      </c>
      <c r="H14" s="27" t="n">
        <v>505.1458054834306</v>
      </c>
      <c r="I14" s="27" t="n">
        <v>0</v>
      </c>
      <c r="J14" s="27" t="n">
        <v>0</v>
      </c>
      <c r="K14" s="27" t="n">
        <v>0</v>
      </c>
      <c r="L14" s="27" t="n">
        <v>28617.03898743061</v>
      </c>
      <c r="M14" s="29" t="n">
        <v>0.1252245166598721</v>
      </c>
      <c r="N14" s="29" t="n">
        <v>0.22</v>
      </c>
    </row>
    <row r="15" ht="15" customHeight="1">
      <c r="A15" s="26" t="n">
        <v>2038</v>
      </c>
      <c r="B15" s="40" t="n">
        <v>76</v>
      </c>
      <c r="C15" s="40" t="n">
        <v>77</v>
      </c>
      <c r="D15" s="41" t="inlineStr">
        <is>
          <t>MFJ</t>
        </is>
      </c>
      <c r="E15" s="27" t="n">
        <v>228068.142641192</v>
      </c>
      <c r="F15" s="27" t="n">
        <v>185120.402510126</v>
      </c>
      <c r="G15" s="27" t="n">
        <v>27567.9219072517</v>
      </c>
      <c r="H15" s="27" t="n">
        <v>501.3628549573895</v>
      </c>
      <c r="I15" s="27" t="n">
        <v>0</v>
      </c>
      <c r="J15" s="27" t="n">
        <v>0</v>
      </c>
      <c r="K15" s="27" t="n">
        <v>0</v>
      </c>
      <c r="L15" s="27" t="n">
        <v>28069.28476220909</v>
      </c>
      <c r="M15" s="29" t="n">
        <v>0.1230741147673968</v>
      </c>
      <c r="N15" s="29" t="n">
        <v>0.22</v>
      </c>
    </row>
    <row r="16" ht="15" customHeight="1">
      <c r="A16" s="26" t="n">
        <v>2039</v>
      </c>
      <c r="B16" s="40" t="n">
        <v>77</v>
      </c>
      <c r="C16" s="40" t="n">
        <v>78</v>
      </c>
      <c r="D16" s="41" t="inlineStr">
        <is>
          <t>MFJ</t>
        </is>
      </c>
      <c r="E16" s="27" t="n">
        <v>227070.2687833616</v>
      </c>
      <c r="F16" s="27" t="n">
        <v>183263.5738496742</v>
      </c>
      <c r="G16" s="27" t="n">
        <v>26896.24826905279</v>
      </c>
      <c r="H16" s="27" t="n">
        <v>497.9235254186502</v>
      </c>
      <c r="I16" s="27" t="n">
        <v>0</v>
      </c>
      <c r="J16" s="27" t="n">
        <v>0</v>
      </c>
      <c r="K16" s="27" t="n">
        <v>0</v>
      </c>
      <c r="L16" s="27" t="n">
        <v>27394.17179447144</v>
      </c>
      <c r="M16" s="29" t="n">
        <v>0.1206418257275553</v>
      </c>
      <c r="N16" s="29" t="n">
        <v>0.22</v>
      </c>
    </row>
    <row r="17" ht="15" customHeight="1">
      <c r="A17" s="26" t="n">
        <v>2040</v>
      </c>
      <c r="B17" s="40" t="n">
        <v>78</v>
      </c>
      <c r="C17" s="40" t="n">
        <v>79</v>
      </c>
      <c r="D17" s="41" t="inlineStr">
        <is>
          <t>MFJ</t>
        </is>
      </c>
      <c r="E17" s="27" t="n">
        <v>225638.6838222504</v>
      </c>
      <c r="F17" s="27" t="n">
        <v>180955.8549898893</v>
      </c>
      <c r="G17" s="27" t="n">
        <v>26120.11536034259</v>
      </c>
      <c r="H17" s="27" t="n">
        <v>494.80637990907</v>
      </c>
      <c r="I17" s="27" t="n">
        <v>0</v>
      </c>
      <c r="J17" s="27" t="n">
        <v>0</v>
      </c>
      <c r="K17" s="27" t="n">
        <v>0</v>
      </c>
      <c r="L17" s="27" t="n">
        <v>26614.92174025166</v>
      </c>
      <c r="M17" s="29" t="n">
        <v>0.1179537182605527</v>
      </c>
      <c r="N17" s="29" t="n">
        <v>0.22</v>
      </c>
    </row>
    <row r="18" ht="15" customHeight="1">
      <c r="A18" s="26" t="n">
        <v>2041</v>
      </c>
      <c r="B18" s="40" t="n">
        <v>79</v>
      </c>
      <c r="C18" s="40" t="n">
        <v>80</v>
      </c>
      <c r="D18" s="41" t="inlineStr">
        <is>
          <t>MFJ</t>
        </is>
      </c>
      <c r="E18" s="27" t="n">
        <v>223526.3213502002</v>
      </c>
      <c r="F18" s="27" t="n">
        <v>177949.8359411919</v>
      </c>
      <c r="G18" s="27" t="n">
        <v>25184.98771488051</v>
      </c>
      <c r="H18" s="27" t="n">
        <v>491.9911466335784</v>
      </c>
      <c r="I18" s="27" t="n">
        <v>0</v>
      </c>
      <c r="J18" s="27" t="n">
        <v>0</v>
      </c>
      <c r="K18" s="27" t="n">
        <v>0</v>
      </c>
      <c r="L18" s="27" t="n">
        <v>25676.97886151409</v>
      </c>
      <c r="M18" s="29" t="n">
        <v>0.1148722830779548</v>
      </c>
      <c r="N18" s="29" t="n">
        <v>0.22</v>
      </c>
    </row>
    <row r="19" ht="15" customHeight="1">
      <c r="A19" s="26" t="n">
        <v>2042</v>
      </c>
      <c r="B19" s="40" t="n">
        <v>80</v>
      </c>
      <c r="C19" s="40" t="n">
        <v>81</v>
      </c>
      <c r="D19" s="41" t="inlineStr">
        <is>
          <t>MFJ</t>
        </is>
      </c>
      <c r="E19" s="27" t="n">
        <v>219669.2130258307</v>
      </c>
      <c r="F19" s="27" t="n">
        <v>173181.1979086422</v>
      </c>
      <c r="G19" s="27" t="n">
        <v>23856.60782387593</v>
      </c>
      <c r="H19" s="27" t="n">
        <v>489.4586600462634</v>
      </c>
      <c r="I19" s="27" t="n">
        <v>0</v>
      </c>
      <c r="J19" s="27" t="n">
        <v>0</v>
      </c>
      <c r="K19" s="27" t="n">
        <v>0</v>
      </c>
      <c r="L19" s="27" t="n">
        <v>24346.0664839222</v>
      </c>
      <c r="M19" s="29" t="n">
        <v>0.1108305808928235</v>
      </c>
      <c r="N19" s="29" t="n">
        <v>0.22</v>
      </c>
    </row>
    <row r="20" ht="15" customHeight="1">
      <c r="A20" s="26" t="n">
        <v>2043</v>
      </c>
      <c r="B20" s="40" t="n">
        <v>81</v>
      </c>
      <c r="C20" s="40" t="n">
        <v>82</v>
      </c>
      <c r="D20" s="41" t="inlineStr">
        <is>
          <t>MFJ</t>
        </is>
      </c>
      <c r="E20" s="27" t="n">
        <v>214826.4085977612</v>
      </c>
      <c r="F20" s="27" t="n">
        <v>167408.6331782289</v>
      </c>
      <c r="G20" s="27" t="n">
        <v>22301.77846886451</v>
      </c>
      <c r="H20" s="27" t="n">
        <v>487.190804785312</v>
      </c>
      <c r="I20" s="27" t="n">
        <v>0</v>
      </c>
      <c r="J20" s="27" t="n">
        <v>0</v>
      </c>
      <c r="K20" s="27" t="n">
        <v>0</v>
      </c>
      <c r="L20" s="27" t="n">
        <v>22788.96927364982</v>
      </c>
      <c r="M20" s="29" t="n">
        <v>0.1060808558053943</v>
      </c>
      <c r="N20" s="29" t="n">
        <v>0.22</v>
      </c>
    </row>
    <row r="21" ht="15" customHeight="1">
      <c r="A21" s="26" t="n">
        <v>2044</v>
      </c>
      <c r="B21" s="40" t="n">
        <v>82</v>
      </c>
      <c r="C21" s="40" t="n">
        <v>83</v>
      </c>
      <c r="D21" s="41" t="inlineStr">
        <is>
          <t>MFJ</t>
        </is>
      </c>
      <c r="E21" s="27" t="n">
        <v>208918.666676774</v>
      </c>
      <c r="F21" s="27" t="n">
        <v>160552.5357488511</v>
      </c>
      <c r="G21" s="27" t="n">
        <v>20502.87461779448</v>
      </c>
      <c r="H21" s="27" t="n">
        <v>485.1704623231544</v>
      </c>
      <c r="I21" s="27" t="n">
        <v>0</v>
      </c>
      <c r="J21" s="27" t="n">
        <v>0</v>
      </c>
      <c r="K21" s="27" t="n">
        <v>0</v>
      </c>
      <c r="L21" s="27" t="n">
        <v>20988.04508011763</v>
      </c>
      <c r="M21" s="29" t="n">
        <v>0.1004603629439634</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751916.0079477115</v>
      </c>
    </row>
    <row r="36" ht="30" customHeight="1">
      <c r="A36" s="35" t="inlineStr">
        <is>
          <t>Lifetime State Tax (Il)</t>
        </is>
      </c>
      <c r="B36" s="3" t="n"/>
      <c r="C36" s="3" t="n"/>
      <c r="D36" s="3" t="n"/>
      <c r="E36" s="3" t="n"/>
      <c r="F36" s="4" t="n"/>
      <c r="G36" s="42" t="n">
        <v>35072.38264525079</v>
      </c>
    </row>
    <row r="37" ht="30" customHeight="1">
      <c r="A37" s="35" t="inlineStr">
        <is>
          <t>Lifetime NIIT</t>
        </is>
      </c>
      <c r="B37" s="3" t="n"/>
      <c r="C37" s="3" t="n"/>
      <c r="D37" s="3" t="n"/>
      <c r="E37" s="3" t="n"/>
      <c r="F37" s="4" t="n"/>
      <c r="G37" s="42" t="n">
        <v>2438.065122270334</v>
      </c>
    </row>
    <row r="38" ht="30" customHeight="1">
      <c r="A38" s="35" t="inlineStr">
        <is>
          <t>Lifetime Total Tax</t>
        </is>
      </c>
      <c r="B38" s="3" t="n"/>
      <c r="C38" s="3" t="n"/>
      <c r="D38" s="3" t="n"/>
      <c r="E38" s="3" t="n"/>
      <c r="F38" s="4" t="n"/>
      <c r="G38" s="42" t="n">
        <v>822511.3042277476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9.4" customWidth="1" min="5" max="5"/>
  </cols>
  <sheetData>
    <row r="1" ht="18" customHeight="1">
      <c r="A1" s="43" t="inlineStr">
        <is>
          <t>CORE SPENDING BREAKDOWN — 2026 YTD  (187 days elapsed)</t>
        </is>
      </c>
    </row>
    <row r="2" ht="36" customHeight="1">
      <c r="A2" s="44" t="inlineStr">
        <is>
          <t>Model core spending assumption (annual)</t>
        </is>
      </c>
      <c r="B2" s="45" t="n">
        <v>124059</v>
      </c>
    </row>
    <row r="3" ht="30" customHeight="1">
      <c r="A3" s="44" t="inlineStr">
        <is>
          <t>YTD core spending — actual (187 days)</t>
        </is>
      </c>
      <c r="B3" s="46" t="n">
        <v>73468.70000000001</v>
      </c>
    </row>
    <row r="4" ht="15" customHeight="1">
      <c r="A4" s="44" t="inlineStr">
        <is>
          <t>Annualized at current pace</t>
        </is>
      </c>
      <c r="B4" s="46" t="n">
        <v>143401.47</v>
      </c>
    </row>
    <row r="5" ht="30" customHeight="1">
      <c r="A5" s="44" t="inlineStr">
        <is>
          <t>Annualized vs model (116%  OVER budget)</t>
        </is>
      </c>
      <c r="B5" s="47" t="n">
        <v>19342.46999999997</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6284.21</v>
      </c>
      <c r="D8" s="50" t="n">
        <v>0.04382247133813446</v>
      </c>
      <c r="E8" s="49" t="n">
        <v>6315</v>
      </c>
    </row>
    <row r="9" hidden="1" outlineLevel="1" ht="15" customHeight="1">
      <c r="A9" s="12" t="inlineStr">
        <is>
          <t xml:space="preserve">    Auto Fuel</t>
        </is>
      </c>
      <c r="B9" s="27" t="n">
        <v>575.6799999999999</v>
      </c>
      <c r="C9" s="27" t="n">
        <v>1123.67</v>
      </c>
      <c r="D9" s="29" t="n">
        <v>0.007835717795469361</v>
      </c>
      <c r="E9" s="27" t="n">
        <v>1200</v>
      </c>
    </row>
    <row r="10" hidden="1" outlineLevel="1" ht="15" customHeight="1">
      <c r="A10" s="12" t="inlineStr">
        <is>
          <t xml:space="preserve">    Auto Insurance</t>
        </is>
      </c>
      <c r="B10" s="27" t="n">
        <v>1164</v>
      </c>
      <c r="C10" s="27" t="n">
        <v>2272.01</v>
      </c>
      <c r="D10" s="29" t="n">
        <v>0.01584348164592541</v>
      </c>
      <c r="E10" s="27" t="n">
        <v>2400</v>
      </c>
    </row>
    <row r="11" hidden="1" outlineLevel="1" ht="15" customHeight="1">
      <c r="A11" s="12" t="inlineStr">
        <is>
          <t xml:space="preserve">    Auto Maintenance</t>
        </is>
      </c>
      <c r="B11" s="27" t="n">
        <v>405.86</v>
      </c>
      <c r="C11" s="27" t="n">
        <v>792.2</v>
      </c>
      <c r="D11" s="29" t="n">
        <v>0.005524257268741654</v>
      </c>
      <c r="E11" s="27" t="n">
        <v>800</v>
      </c>
    </row>
    <row r="12" hidden="1" outlineLevel="1" ht="15" customHeight="1">
      <c r="A12" s="12" t="inlineStr">
        <is>
          <t xml:space="preserve">    Car Wash</t>
        </is>
      </c>
      <c r="B12" s="27" t="n">
        <v>170</v>
      </c>
      <c r="C12" s="27" t="n">
        <v>331.82</v>
      </c>
      <c r="D12" s="29" t="n">
        <v>0.002313910549662645</v>
      </c>
      <c r="E12" s="27" t="n">
        <v>300</v>
      </c>
    </row>
    <row r="13" hidden="1" outlineLevel="1" ht="15" customHeight="1">
      <c r="A13" s="12" t="inlineStr">
        <is>
          <t xml:space="preserve">    Parking / Tolls</t>
        </is>
      </c>
      <c r="B13" s="27" t="n">
        <v>269.8</v>
      </c>
      <c r="C13" s="27" t="n">
        <v>526.62</v>
      </c>
      <c r="D13" s="29" t="n">
        <v>0.003672312154699892</v>
      </c>
      <c r="E13" s="27" t="n">
        <v>600</v>
      </c>
    </row>
    <row r="14" hidden="1" outlineLevel="1" ht="15" customHeight="1">
      <c r="A14" s="12" t="inlineStr">
        <is>
          <t xml:space="preserve">    Public Transit</t>
        </is>
      </c>
      <c r="B14" s="27" t="n">
        <v>5.5</v>
      </c>
      <c r="C14" s="27" t="n">
        <v>10.74</v>
      </c>
      <c r="D14" s="29" t="n">
        <v>7.486181190085029e-05</v>
      </c>
      <c r="E14" s="27" t="n">
        <v>15</v>
      </c>
    </row>
    <row r="15" hidden="1" outlineLevel="1" ht="15" customHeight="1">
      <c r="A15" s="12" t="inlineStr">
        <is>
          <t xml:space="preserve">    Taxi &amp; Ride Shares</t>
        </is>
      </c>
      <c r="B15" s="27" t="n">
        <v>628.74</v>
      </c>
      <c r="C15" s="27" t="n">
        <v>1227.24</v>
      </c>
      <c r="D15" s="29" t="n">
        <v>0.008557930111734656</v>
      </c>
      <c r="E15" s="27" t="n">
        <v>1000</v>
      </c>
    </row>
    <row r="16" ht="45" customHeight="1">
      <c r="A16" s="48" t="inlineStr">
        <is>
          <t>Financial</t>
        </is>
      </c>
      <c r="B16" s="49" t="n">
        <v>1958.74</v>
      </c>
      <c r="C16" s="49" t="n">
        <v>3823.21</v>
      </c>
      <c r="D16" s="50" t="n">
        <v>0.026660877353213</v>
      </c>
      <c r="E16" s="49" t="n">
        <v>1910</v>
      </c>
    </row>
    <row r="17" hidden="1" outlineLevel="1" ht="15" customHeight="1">
      <c r="A17" s="12" t="inlineStr">
        <is>
          <t xml:space="preserve">    Cash &amp; ATM</t>
        </is>
      </c>
      <c r="B17" s="27" t="n">
        <v>1116.26</v>
      </c>
      <c r="C17" s="27" t="n">
        <v>2178.83</v>
      </c>
      <c r="D17" s="29" t="n">
        <v>0.01519368111862602</v>
      </c>
      <c r="E17" s="27" t="n">
        <v>1500</v>
      </c>
    </row>
    <row r="18" hidden="1" outlineLevel="1" ht="30" customHeight="1">
      <c r="A18" s="12" t="inlineStr">
        <is>
          <t xml:space="preserve">    Financial &amp; Legal Services</t>
        </is>
      </c>
      <c r="B18" s="27" t="n">
        <v>749.99</v>
      </c>
      <c r="C18" s="27" t="n">
        <v>1463.91</v>
      </c>
      <c r="D18" s="29" t="n">
        <v>0.01020829278318522</v>
      </c>
      <c r="E18" s="27" t="n">
        <v>210</v>
      </c>
    </row>
    <row r="19" hidden="1" outlineLevel="1" ht="15" customHeight="1">
      <c r="A19" s="12" t="inlineStr">
        <is>
          <t xml:space="preserve">    Financial Fees</t>
        </is>
      </c>
      <c r="B19" s="27" t="n">
        <v>92.48999999999999</v>
      </c>
      <c r="C19" s="27" t="n">
        <v>180.53</v>
      </c>
      <c r="D19" s="29" t="n">
        <v>0.001258903451401753</v>
      </c>
      <c r="E19" s="27" t="n">
        <v>200</v>
      </c>
    </row>
    <row r="20" ht="45" customHeight="1">
      <c r="A20" s="48" t="inlineStr">
        <is>
          <t>Food &amp; Dining</t>
        </is>
      </c>
      <c r="B20" s="49" t="n">
        <v>15769.65</v>
      </c>
      <c r="C20" s="49" t="n">
        <v>30780.33</v>
      </c>
      <c r="D20" s="50" t="n">
        <v>0.2146444676440443</v>
      </c>
      <c r="E20" s="49" t="n">
        <v>32200</v>
      </c>
    </row>
    <row r="21" hidden="1" outlineLevel="1" ht="15" customHeight="1">
      <c r="A21" s="12" t="inlineStr">
        <is>
          <t xml:space="preserve">    Coffee Shops</t>
        </is>
      </c>
      <c r="B21" s="27" t="n">
        <v>198.65</v>
      </c>
      <c r="C21" s="27" t="n">
        <v>387.74</v>
      </c>
      <c r="D21" s="29" t="n">
        <v>0.002703872533473438</v>
      </c>
      <c r="E21" s="27" t="n">
        <v>400</v>
      </c>
    </row>
    <row r="22" hidden="1" outlineLevel="1" ht="15" customHeight="1">
      <c r="A22" s="12" t="inlineStr">
        <is>
          <t xml:space="preserve">    Fast Food / Takeout</t>
        </is>
      </c>
      <c r="B22" s="27" t="n">
        <v>884.34</v>
      </c>
      <c r="C22" s="27" t="n">
        <v>1726.14</v>
      </c>
      <c r="D22" s="29" t="n">
        <v>0.01203696267934508</v>
      </c>
      <c r="E22" s="27" t="n">
        <v>1800</v>
      </c>
    </row>
    <row r="23" hidden="1" outlineLevel="1" ht="15" customHeight="1">
      <c r="A23" s="12" t="inlineStr">
        <is>
          <t xml:space="preserve">    Groceries</t>
        </is>
      </c>
      <c r="B23" s="27" t="n">
        <v>7079.89</v>
      </c>
      <c r="C23" s="27" t="n">
        <v>13819.24</v>
      </c>
      <c r="D23" s="29" t="n">
        <v>0.09636607153794745</v>
      </c>
      <c r="E23" s="27" t="n">
        <v>15000</v>
      </c>
    </row>
    <row r="24" hidden="1" outlineLevel="1" ht="15" customHeight="1">
      <c r="A24" s="12" t="inlineStr">
        <is>
          <t xml:space="preserve">    Restaurants &amp; Bars</t>
        </is>
      </c>
      <c r="B24" s="27" t="n">
        <v>7606.77</v>
      </c>
      <c r="C24" s="27" t="n">
        <v>14847.65</v>
      </c>
      <c r="D24" s="29" t="n">
        <v>0.1035375608932784</v>
      </c>
      <c r="E24" s="27" t="n">
        <v>15000</v>
      </c>
    </row>
    <row r="25" ht="45" customHeight="1">
      <c r="A25" s="48" t="inlineStr">
        <is>
          <t>Gifts Charity</t>
        </is>
      </c>
      <c r="B25" s="49" t="n">
        <v>42411.79</v>
      </c>
      <c r="C25" s="49" t="n">
        <v>82782.37</v>
      </c>
      <c r="D25" s="50" t="n">
        <v>0.5772769900651569</v>
      </c>
      <c r="E25" s="49" t="n">
        <v>49800</v>
      </c>
    </row>
    <row r="26" hidden="1" outlineLevel="1" ht="15" customHeight="1">
      <c r="A26" s="12" t="inlineStr">
        <is>
          <t xml:space="preserve">    Charitable Donations</t>
        </is>
      </c>
      <c r="B26" s="27" t="n">
        <v>105</v>
      </c>
      <c r="C26" s="27" t="n">
        <v>204.95</v>
      </c>
      <c r="D26" s="29" t="n">
        <v>0.001429180045379869</v>
      </c>
      <c r="E26" s="27" t="n">
        <v>5000</v>
      </c>
    </row>
    <row r="27" hidden="1" outlineLevel="1" ht="15" customHeight="1">
      <c r="A27" s="12" t="inlineStr">
        <is>
          <t xml:space="preserve">    Church</t>
        </is>
      </c>
      <c r="B27" s="27" t="n">
        <v>625</v>
      </c>
      <c r="C27" s="27" t="n">
        <v>1219.94</v>
      </c>
      <c r="D27" s="29" t="n">
        <v>0.008507024079642078</v>
      </c>
      <c r="E27" s="27" t="n">
        <v>1300</v>
      </c>
    </row>
    <row r="28" hidden="1" outlineLevel="1" ht="15" customHeight="1">
      <c r="A28" s="12" t="inlineStr">
        <is>
          <t xml:space="preserve">    Gifts - Family 12</t>
        </is>
      </c>
      <c r="B28" s="27" t="n">
        <v>40868.65</v>
      </c>
      <c r="C28" s="27" t="n">
        <v>79771.52</v>
      </c>
      <c r="D28" s="29" t="n">
        <v>0.5562729434439427</v>
      </c>
      <c r="E28" s="27" t="n">
        <v>42000</v>
      </c>
    </row>
    <row r="29" hidden="1" outlineLevel="1" ht="15" customHeight="1">
      <c r="A29" s="12" t="inlineStr">
        <is>
          <t xml:space="preserve">    Gifts - Other</t>
        </is>
      </c>
      <c r="B29" s="27" t="n">
        <v>813.14</v>
      </c>
      <c r="C29" s="27" t="n">
        <v>1587.17</v>
      </c>
      <c r="D29" s="29" t="n">
        <v>0.01106784249619225</v>
      </c>
      <c r="E29" s="27" t="n">
        <v>1500</v>
      </c>
    </row>
    <row r="30" ht="45" customHeight="1">
      <c r="A30" s="48" t="inlineStr">
        <is>
          <t>Lifestyle</t>
        </is>
      </c>
      <c r="B30" s="49" t="n">
        <v>5822.34</v>
      </c>
      <c r="C30" s="49" t="n">
        <v>11364.46</v>
      </c>
      <c r="D30" s="50" t="n">
        <v>0.07924925852778121</v>
      </c>
      <c r="E30" s="49" t="n">
        <v>14300</v>
      </c>
    </row>
    <row r="31" hidden="1" outlineLevel="1" ht="15" customHeight="1">
      <c r="A31" s="12" t="inlineStr">
        <is>
          <t xml:space="preserve">    Cubs Tickets</t>
        </is>
      </c>
      <c r="B31" s="27" t="n">
        <v>2417.14</v>
      </c>
      <c r="C31" s="27" t="n">
        <v>4718.02</v>
      </c>
      <c r="D31" s="29" t="n">
        <v>0.03290026909418568</v>
      </c>
      <c r="E31" s="27" t="n">
        <v>8000</v>
      </c>
    </row>
    <row r="32" hidden="1" outlineLevel="1" ht="15" customHeight="1">
      <c r="A32" s="12" t="inlineStr">
        <is>
          <t xml:space="preserve">    Electronics</t>
        </is>
      </c>
      <c r="B32" s="27" t="n">
        <v>614.58</v>
      </c>
      <c r="C32" s="27" t="n">
        <v>1199.6</v>
      </c>
      <c r="D32" s="29" t="n">
        <v>0.008365194974186285</v>
      </c>
      <c r="E32" s="27" t="n">
        <v>1000</v>
      </c>
    </row>
    <row r="33" hidden="1" outlineLevel="1" ht="15" customHeight="1">
      <c r="A33" s="12" t="inlineStr">
        <is>
          <t xml:space="preserve">    Hair/Make-up</t>
        </is>
      </c>
      <c r="B33" s="27" t="n">
        <v>1754.09</v>
      </c>
      <c r="C33" s="27" t="n">
        <v>3423.81</v>
      </c>
      <c r="D33" s="29" t="n">
        <v>0.023875337388575</v>
      </c>
      <c r="E33" s="27" t="n">
        <v>3500</v>
      </c>
    </row>
    <row r="34" hidden="1" outlineLevel="1" ht="15" customHeight="1">
      <c r="A34" s="12" t="inlineStr">
        <is>
          <t xml:space="preserve">    Mani-Pedi</t>
        </is>
      </c>
      <c r="B34" s="27" t="n">
        <v>524.77</v>
      </c>
      <c r="C34" s="27" t="n">
        <v>1024.3</v>
      </c>
      <c r="D34" s="29" t="n">
        <v>0.007142769642038037</v>
      </c>
      <c r="E34" s="27" t="n">
        <v>1000</v>
      </c>
    </row>
    <row r="35" hidden="1" outlineLevel="1" ht="15" customHeight="1">
      <c r="A35" s="12" t="inlineStr">
        <is>
          <t xml:space="preserve">    Movie Theater</t>
        </is>
      </c>
      <c r="B35" s="27" t="n">
        <v>151.76</v>
      </c>
      <c r="C35" s="27" t="n">
        <v>296.22</v>
      </c>
      <c r="D35" s="29" t="n">
        <v>0.002065641558922371</v>
      </c>
      <c r="E35" s="27" t="n">
        <v>300</v>
      </c>
    </row>
    <row r="36" hidden="1" outlineLevel="1" ht="15" customHeight="1">
      <c r="A36" s="12" t="inlineStr">
        <is>
          <t xml:space="preserve">    Personal</t>
        </is>
      </c>
      <c r="B36" s="27" t="n">
        <v>360</v>
      </c>
      <c r="C36" s="27" t="n">
        <v>702.6799999999999</v>
      </c>
      <c r="D36" s="29" t="n">
        <v>0.004900045869873837</v>
      </c>
      <c r="E36" s="27" t="n">
        <v>500</v>
      </c>
    </row>
    <row r="37" ht="45" customHeight="1">
      <c r="A37" s="48" t="inlineStr">
        <is>
          <t>Other</t>
        </is>
      </c>
      <c r="B37" s="49" t="n">
        <v>20.6</v>
      </c>
      <c r="C37" s="49" t="n">
        <v>40.21</v>
      </c>
      <c r="D37" s="50" t="n">
        <v>0.0002803915136650029</v>
      </c>
      <c r="E37" s="49" t="n">
        <v>6164</v>
      </c>
    </row>
    <row r="38" hidden="1" outlineLevel="1" ht="15" customHeight="1">
      <c r="A38" s="12" t="inlineStr">
        <is>
          <t xml:space="preserve">    Check</t>
        </is>
      </c>
      <c r="B38" s="27" t="n">
        <v>0</v>
      </c>
      <c r="C38" s="27" t="n">
        <v>0</v>
      </c>
      <c r="D38" s="29" t="n">
        <v>0</v>
      </c>
      <c r="E38" s="27" t="n">
        <v>2305</v>
      </c>
    </row>
    <row r="39" hidden="1" outlineLevel="1" ht="15" customHeight="1">
      <c r="A39" s="12" t="inlineStr">
        <is>
          <t xml:space="preserve">    Miscellaneous</t>
        </is>
      </c>
      <c r="B39" s="27" t="n">
        <v>0</v>
      </c>
      <c r="C39" s="27" t="n">
        <v>0</v>
      </c>
      <c r="D39" s="29" t="n">
        <v>0</v>
      </c>
      <c r="E39" s="27" t="n">
        <v>2</v>
      </c>
    </row>
    <row r="40" hidden="1" outlineLevel="1" ht="15" customHeight="1">
      <c r="A40" s="12" t="inlineStr">
        <is>
          <t xml:space="preserve">    Uncategorized</t>
        </is>
      </c>
      <c r="B40" s="27" t="n">
        <v>20.6</v>
      </c>
      <c r="C40" s="27" t="n">
        <v>40.21</v>
      </c>
      <c r="D40" s="29" t="n">
        <v>0.0002803915136650029</v>
      </c>
      <c r="E40" s="27" t="n">
        <v>3857</v>
      </c>
    </row>
    <row r="41" ht="45" customHeight="1">
      <c r="A41" s="48" t="inlineStr">
        <is>
          <t>Shopping</t>
        </is>
      </c>
      <c r="B41" s="49" t="n">
        <v>4266</v>
      </c>
      <c r="C41" s="49" t="n">
        <v>8326.68</v>
      </c>
      <c r="D41" s="50" t="n">
        <v>0.05806554355800497</v>
      </c>
      <c r="E41" s="49" t="n">
        <v>10100</v>
      </c>
    </row>
    <row r="42" hidden="1" outlineLevel="1" ht="15" customHeight="1">
      <c r="A42" s="12" t="inlineStr">
        <is>
          <t xml:space="preserve">    Clothing &amp; Jewelry</t>
        </is>
      </c>
      <c r="B42" s="27" t="n">
        <v>4243.01</v>
      </c>
      <c r="C42" s="27" t="n">
        <v>8281.93</v>
      </c>
      <c r="D42" s="29" t="n">
        <v>0.05775262118425941</v>
      </c>
      <c r="E42" s="27" t="n">
        <v>10000</v>
      </c>
    </row>
    <row r="43" hidden="1" outlineLevel="1" ht="15" customHeight="1">
      <c r="A43" s="12" t="inlineStr">
        <is>
          <t xml:space="preserve">    Shopping</t>
        </is>
      </c>
      <c r="B43" s="27" t="n">
        <v>22.99</v>
      </c>
      <c r="C43" s="27" t="n">
        <v>44.87</v>
      </c>
      <c r="D43" s="29" t="n">
        <v>0.0003129223737455542</v>
      </c>
      <c r="E43" s="27" t="n">
        <v>100</v>
      </c>
    </row>
    <row r="44"/>
    <row r="45" ht="30" customHeight="1">
      <c r="A45" s="11" t="inlineStr">
        <is>
          <t>TOTAL CORE SPENDING</t>
        </is>
      </c>
      <c r="B45" s="30" t="n">
        <v>73468.70000000001</v>
      </c>
      <c r="C45" s="30" t="n">
        <v>143401.47</v>
      </c>
      <c r="D45" s="31" t="n">
        <v>1</v>
      </c>
      <c r="E45" s="30" t="n">
        <v>120789</v>
      </c>
    </row>
    <row r="46"/>
    <row r="47" ht="30" customHeight="1">
      <c r="A47" s="51" t="inlineStr">
        <is>
          <t>EXCLUDED — Tracked Separately by the Retirement Projection Model</t>
        </is>
      </c>
    </row>
    <row r="48" ht="45" customHeight="1">
      <c r="A48" s="52" t="inlineStr">
        <is>
          <t>These categories appear in your transaction data but are already modelled in the Cash Flow projection. They are excluded here to prevent double-counting.</t>
        </is>
      </c>
    </row>
    <row r="49" ht="30" customHeight="1">
      <c r="A49" s="53" t="inlineStr">
        <is>
          <t>Wellness (premiums, Medicare, out-of-pocket)</t>
        </is>
      </c>
      <c r="B49" s="54" t="n">
        <v>18388.85</v>
      </c>
      <c r="C49" s="55" t="inlineStr"/>
      <c r="D49" s="55" t="inlineStr"/>
      <c r="E49" s="55" t="inlineStr"/>
    </row>
    <row r="50" hidden="1" outlineLevel="1" ht="30" customHeight="1">
      <c r="A50" s="12" t="inlineStr">
        <is>
          <t xml:space="preserve">    Pre-65 Healthcare Premium</t>
        </is>
      </c>
      <c r="B50" s="27" t="n">
        <v>8790.610000000001</v>
      </c>
      <c r="C50" s="33" t="inlineStr"/>
      <c r="D50" s="33" t="inlineStr"/>
      <c r="E50" s="33" t="inlineStr"/>
    </row>
    <row r="51" hidden="1" outlineLevel="1" ht="15" customHeight="1">
      <c r="A51" s="12" t="inlineStr">
        <is>
          <t xml:space="preserve">    Drugs - Rx and OTC</t>
        </is>
      </c>
      <c r="B51" s="27" t="n">
        <v>3278.39</v>
      </c>
      <c r="C51" s="33" t="inlineStr"/>
      <c r="D51" s="33" t="inlineStr"/>
      <c r="E51" s="33" t="inlineStr"/>
    </row>
    <row r="52" hidden="1" outlineLevel="1" ht="15" customHeight="1">
      <c r="A52" s="12" t="inlineStr">
        <is>
          <t xml:space="preserve">    Health Club</t>
        </is>
      </c>
      <c r="B52" s="27" t="n">
        <v>1616.25</v>
      </c>
      <c r="C52" s="33" t="inlineStr"/>
      <c r="D52" s="33" t="inlineStr"/>
      <c r="E52" s="33" t="inlineStr"/>
    </row>
    <row r="53" hidden="1" outlineLevel="1" ht="15" customHeight="1">
      <c r="A53" s="12" t="inlineStr">
        <is>
          <t xml:space="preserve">    Vitamins &amp; Supplements</t>
        </is>
      </c>
      <c r="B53" s="27" t="n">
        <v>1546.56</v>
      </c>
      <c r="C53" s="33" t="inlineStr"/>
      <c r="D53" s="33" t="inlineStr"/>
      <c r="E53" s="33" t="inlineStr"/>
    </row>
    <row r="54" hidden="1" outlineLevel="1" ht="15" customHeight="1">
      <c r="A54" s="12" t="inlineStr">
        <is>
          <t xml:space="preserve">    Vision</t>
        </is>
      </c>
      <c r="B54" s="27" t="n">
        <v>1335</v>
      </c>
      <c r="C54" s="33" t="inlineStr"/>
      <c r="D54" s="33" t="inlineStr"/>
      <c r="E54" s="33" t="inlineStr"/>
    </row>
    <row r="55" hidden="1" outlineLevel="1" ht="15" customHeight="1">
      <c r="A55" s="12" t="inlineStr">
        <is>
          <t xml:space="preserve">    Dermatologist</t>
        </is>
      </c>
      <c r="B55" s="27" t="n">
        <v>728</v>
      </c>
      <c r="C55" s="33" t="inlineStr"/>
      <c r="D55" s="33" t="inlineStr"/>
      <c r="E55" s="33" t="inlineStr"/>
    </row>
    <row r="56" hidden="1" outlineLevel="1" ht="15" customHeight="1">
      <c r="A56" s="12" t="inlineStr">
        <is>
          <t xml:space="preserve">    Medical</t>
        </is>
      </c>
      <c r="B56" s="27" t="n">
        <v>590.45</v>
      </c>
      <c r="C56" s="33" t="inlineStr"/>
      <c r="D56" s="33" t="inlineStr"/>
      <c r="E56" s="33" t="inlineStr"/>
    </row>
    <row r="57" hidden="1" outlineLevel="1" ht="15" customHeight="1">
      <c r="A57" s="12" t="inlineStr">
        <is>
          <t xml:space="preserve">    Dentist</t>
        </is>
      </c>
      <c r="B57" s="27" t="n">
        <v>400.9</v>
      </c>
      <c r="C57" s="33" t="inlineStr"/>
      <c r="D57" s="33" t="inlineStr"/>
      <c r="E57" s="33" t="inlineStr"/>
    </row>
    <row r="58" hidden="1" outlineLevel="1" ht="30" customHeight="1">
      <c r="A58" s="12" t="inlineStr">
        <is>
          <t xml:space="preserve">    Exercise &amp; Health Equipment</t>
        </is>
      </c>
      <c r="B58" s="27" t="n">
        <v>102.69</v>
      </c>
      <c r="C58" s="33" t="inlineStr"/>
      <c r="D58" s="33" t="inlineStr"/>
      <c r="E58" s="33" t="inlineStr"/>
    </row>
    <row r="59" ht="45" customHeight="1">
      <c r="A59" s="53" t="inlineStr">
        <is>
          <t>Housing (mortgage, property tax, home improvement, rent)</t>
        </is>
      </c>
      <c r="B59" s="54" t="n">
        <v>66947.95</v>
      </c>
      <c r="C59" s="55" t="inlineStr"/>
      <c r="D59" s="55" t="inlineStr"/>
      <c r="E59" s="55" t="inlineStr"/>
    </row>
    <row r="60" hidden="1" outlineLevel="1" ht="15" customHeight="1">
      <c r="A60" s="12" t="inlineStr">
        <is>
          <t xml:space="preserve">    Home Improvement</t>
        </is>
      </c>
      <c r="B60" s="27" t="n">
        <v>25689.11</v>
      </c>
      <c r="C60" s="33" t="inlineStr"/>
      <c r="D60" s="33" t="inlineStr"/>
      <c r="E60" s="33" t="inlineStr"/>
    </row>
    <row r="61" hidden="1" outlineLevel="1" ht="15" customHeight="1">
      <c r="A61" s="12" t="inlineStr">
        <is>
          <t xml:space="preserve">    Mortgage</t>
        </is>
      </c>
      <c r="B61" s="27" t="n">
        <v>18000</v>
      </c>
      <c r="C61" s="33" t="inlineStr"/>
      <c r="D61" s="33" t="inlineStr"/>
      <c r="E61" s="33" t="inlineStr"/>
    </row>
    <row r="62" hidden="1" outlineLevel="1" ht="15" customHeight="1">
      <c r="A62" s="12" t="inlineStr">
        <is>
          <t xml:space="preserve">    Real Estate Taxes</t>
        </is>
      </c>
      <c r="B62" s="27" t="n">
        <v>8645.74</v>
      </c>
      <c r="C62" s="33" t="inlineStr"/>
      <c r="D62" s="33" t="inlineStr"/>
      <c r="E62" s="33" t="inlineStr"/>
    </row>
    <row r="63" hidden="1" outlineLevel="1" ht="15" customHeight="1">
      <c r="A63" s="12" t="inlineStr">
        <is>
          <t xml:space="preserve">    Gas &amp; Electric</t>
        </is>
      </c>
      <c r="B63" s="27" t="n">
        <v>2692.38</v>
      </c>
      <c r="C63" s="33" t="inlineStr"/>
      <c r="D63" s="33" t="inlineStr"/>
      <c r="E63" s="33" t="inlineStr"/>
    </row>
    <row r="64" hidden="1" outlineLevel="1" ht="15" customHeight="1">
      <c r="A64" s="12" t="inlineStr">
        <is>
          <t xml:space="preserve">    Internet &amp; Cable</t>
        </is>
      </c>
      <c r="B64" s="27" t="n">
        <v>2261</v>
      </c>
      <c r="C64" s="33" t="inlineStr"/>
      <c r="D64" s="33" t="inlineStr"/>
      <c r="E64" s="33" t="inlineStr"/>
    </row>
    <row r="65" hidden="1" outlineLevel="1" ht="15" customHeight="1">
      <c r="A65" s="12" t="inlineStr">
        <is>
          <t xml:space="preserve">    Home Maintenance</t>
        </is>
      </c>
      <c r="B65" s="27" t="n">
        <v>2214.24</v>
      </c>
      <c r="C65" s="33" t="inlineStr"/>
      <c r="D65" s="33" t="inlineStr"/>
      <c r="E65" s="33" t="inlineStr"/>
    </row>
    <row r="66" hidden="1" outlineLevel="1" ht="30" customHeight="1">
      <c r="A66" s="12" t="inlineStr">
        <is>
          <t xml:space="preserve">    Furniture/Home Decor/Kitchenware</t>
        </is>
      </c>
      <c r="B66" s="27" t="n">
        <v>2149.85</v>
      </c>
      <c r="C66" s="33" t="inlineStr"/>
      <c r="D66" s="33" t="inlineStr"/>
      <c r="E66" s="33" t="inlineStr"/>
    </row>
    <row r="67" hidden="1" outlineLevel="1" ht="30" customHeight="1">
      <c r="A67" s="12" t="inlineStr">
        <is>
          <t xml:space="preserve">    Lawn Service/Garden/Flowers</t>
        </is>
      </c>
      <c r="B67" s="27" t="n">
        <v>2091.94</v>
      </c>
      <c r="C67" s="33" t="inlineStr"/>
      <c r="D67" s="33" t="inlineStr"/>
      <c r="E67" s="33" t="inlineStr"/>
    </row>
    <row r="68" hidden="1" outlineLevel="1" ht="15" customHeight="1">
      <c r="A68" s="12" t="inlineStr">
        <is>
          <t xml:space="preserve">    House Cleaning</t>
        </is>
      </c>
      <c r="B68" s="27" t="n">
        <v>1600</v>
      </c>
      <c r="C68" s="33" t="inlineStr"/>
      <c r="D68" s="33" t="inlineStr"/>
      <c r="E68" s="33" t="inlineStr"/>
    </row>
    <row r="69" hidden="1" outlineLevel="1" ht="15" customHeight="1">
      <c r="A69" s="12" t="inlineStr">
        <is>
          <t xml:space="preserve">    Phone</t>
        </is>
      </c>
      <c r="B69" s="27" t="n">
        <v>672</v>
      </c>
      <c r="C69" s="33" t="inlineStr"/>
      <c r="D69" s="33" t="inlineStr"/>
      <c r="E69" s="33" t="inlineStr"/>
    </row>
    <row r="70" hidden="1" outlineLevel="1" ht="15" customHeight="1">
      <c r="A70" s="12" t="inlineStr">
        <is>
          <t xml:space="preserve">    Pest Control</t>
        </is>
      </c>
      <c r="B70" s="27" t="n">
        <v>319.44</v>
      </c>
      <c r="C70" s="33" t="inlineStr"/>
      <c r="D70" s="33" t="inlineStr"/>
      <c r="E70" s="33" t="inlineStr"/>
    </row>
    <row r="71" hidden="1" outlineLevel="1" ht="15" customHeight="1">
      <c r="A71" s="12" t="inlineStr">
        <is>
          <t xml:space="preserve">    Garbage</t>
        </is>
      </c>
      <c r="B71" s="27" t="n">
        <v>231.8</v>
      </c>
      <c r="C71" s="33" t="inlineStr"/>
      <c r="D71" s="33" t="inlineStr"/>
      <c r="E71" s="33" t="inlineStr"/>
    </row>
    <row r="72" hidden="1" outlineLevel="1" ht="15" customHeight="1">
      <c r="A72" s="12" t="inlineStr">
        <is>
          <t xml:space="preserve">    Water</t>
        </is>
      </c>
      <c r="B72" s="27" t="n">
        <v>155.77</v>
      </c>
      <c r="C72" s="33" t="inlineStr"/>
      <c r="D72" s="33" t="inlineStr"/>
      <c r="E72" s="33" t="inlineStr"/>
    </row>
    <row r="73" hidden="1" outlineLevel="1" ht="15" customHeight="1">
      <c r="A73" s="12" t="inlineStr">
        <is>
          <t xml:space="preserve">    Dry Cleaners</t>
        </is>
      </c>
      <c r="B73" s="27" t="n">
        <v>131.34</v>
      </c>
      <c r="C73" s="33" t="inlineStr"/>
      <c r="D73" s="33" t="inlineStr"/>
      <c r="E73" s="33" t="inlineStr"/>
    </row>
    <row r="74" hidden="1" outlineLevel="1" ht="15" customHeight="1">
      <c r="A74" s="12" t="inlineStr">
        <is>
          <t xml:space="preserve">    Sewer</t>
        </is>
      </c>
      <c r="B74" s="27" t="n">
        <v>93.34</v>
      </c>
      <c r="C74" s="33" t="inlineStr"/>
      <c r="D74" s="33" t="inlineStr"/>
      <c r="E74" s="33" t="inlineStr"/>
    </row>
    <row r="75" ht="15" customHeight="1">
      <c r="A75" s="53" t="inlineStr">
        <is>
          <t>Travel &amp; Vacations</t>
        </is>
      </c>
      <c r="B75" s="54" t="n">
        <v>16222.26</v>
      </c>
      <c r="C75" s="55" t="inlineStr"/>
      <c r="D75" s="55" t="inlineStr"/>
      <c r="E75" s="55" t="inlineStr"/>
    </row>
    <row r="76" hidden="1" outlineLevel="1" ht="30" customHeight="1">
      <c r="A76" s="12" t="inlineStr">
        <is>
          <t xml:space="preserve">    Entertainment &amp; Recreation</t>
        </is>
      </c>
      <c r="B76" s="27" t="n">
        <v>8761.709999999999</v>
      </c>
      <c r="C76" s="33" t="inlineStr"/>
      <c r="D76" s="33" t="inlineStr"/>
      <c r="E76" s="33" t="inlineStr"/>
    </row>
    <row r="77" hidden="1" outlineLevel="1" ht="15" customHeight="1">
      <c r="A77" s="12" t="inlineStr">
        <is>
          <t xml:space="preserve">    Travel &amp; Vacation</t>
        </is>
      </c>
      <c r="B77" s="27" t="n">
        <v>3722.02</v>
      </c>
      <c r="C77" s="33" t="inlineStr"/>
      <c r="D77" s="33" t="inlineStr"/>
      <c r="E77" s="33" t="inlineStr"/>
    </row>
    <row r="78" hidden="1" outlineLevel="1" ht="15" customHeight="1">
      <c r="A78" s="12" t="inlineStr">
        <is>
          <t xml:space="preserve">    Travel - Housing</t>
        </is>
      </c>
      <c r="B78" s="27" t="n">
        <v>2248</v>
      </c>
      <c r="C78" s="33" t="inlineStr"/>
      <c r="D78" s="33" t="inlineStr"/>
      <c r="E78" s="33" t="inlineStr"/>
    </row>
    <row r="79" hidden="1" outlineLevel="1" ht="30" customHeight="1">
      <c r="A79" s="12" t="inlineStr">
        <is>
          <t xml:space="preserve">    Travel - Plane/Train/Bus</t>
        </is>
      </c>
      <c r="B79" s="27" t="n">
        <v>1414.53</v>
      </c>
      <c r="C79" s="33" t="inlineStr"/>
      <c r="D79" s="33" t="inlineStr"/>
      <c r="E79" s="33" t="inlineStr"/>
    </row>
    <row r="80" hidden="1" outlineLevel="1" ht="15" customHeight="1">
      <c r="A80" s="12" t="inlineStr">
        <is>
          <t xml:space="preserve">    Travel - Insurance</t>
        </is>
      </c>
      <c r="B80" s="27" t="n">
        <v>76</v>
      </c>
      <c r="C80" s="33" t="inlineStr"/>
      <c r="D80" s="33" t="inlineStr"/>
      <c r="E80" s="33" t="inlineStr"/>
    </row>
  </sheetData>
  <mergeCells count="7">
    <mergeCell ref="A48:E48"/>
    <mergeCell ref="A4"/>
    <mergeCell ref="A3"/>
    <mergeCell ref="A2"/>
    <mergeCell ref="A1:E1"/>
    <mergeCell ref="A47:E47"/>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(187 days elapsed)</t>
        </is>
      </c>
    </row>
    <row r="2" ht="36" customHeight="1">
      <c r="A2" s="44" t="inlineStr">
        <is>
          <t>YTD total spending — actual (187 days)</t>
        </is>
      </c>
      <c r="B2" s="45" t="n">
        <v>178133.81</v>
      </c>
    </row>
    <row r="3" ht="15" customHeight="1">
      <c r="A3" s="44" t="inlineStr">
        <is>
          <t>Annualized at current pace</t>
        </is>
      </c>
      <c r="B3" s="46" t="n">
        <v>347694.34</v>
      </c>
    </row>
    <row r="4" ht="30" customHeight="1">
      <c r="A4" s="44" t="inlineStr">
        <is>
          <t>Total annual budget (categories with budgets set)</t>
        </is>
      </c>
      <c r="B4" s="46" t="n">
        <v>300370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6" t="inlineStr">
        <is>
          <t>Income</t>
        </is>
      </c>
      <c r="B7" s="57" t="n">
        <v>352500.42</v>
      </c>
      <c r="C7" s="57" t="n">
        <v>688035.58</v>
      </c>
      <c r="D7" s="58" t="inlineStr"/>
      <c r="E7" s="58" t="inlineStr"/>
      <c r="F7" s="59" t="n">
        <v>1.978851852997474</v>
      </c>
    </row>
    <row r="8" hidden="1" outlineLevel="1" ht="45" customHeight="1">
      <c r="A8" s="6" t="inlineStr">
        <is>
          <t xml:space="preserve">  Income</t>
        </is>
      </c>
      <c r="B8" s="60" t="n">
        <v>352500.42</v>
      </c>
      <c r="C8" s="60" t="n">
        <v>688035.58</v>
      </c>
      <c r="D8" s="61" t="inlineStr"/>
      <c r="E8" s="61" t="inlineStr"/>
      <c r="F8" s="62" t="n">
        <v>1.978851852997474</v>
      </c>
    </row>
    <row r="9" hidden="1" outlineLevel="2" ht="30" customHeight="1">
      <c r="A9" s="12" t="inlineStr">
        <is>
          <t xml:space="preserve">    Dividends &amp; Capital Gains</t>
        </is>
      </c>
      <c r="B9" s="27" t="n">
        <v>14994.06</v>
      </c>
      <c r="C9" s="27" t="n">
        <v>29266.48</v>
      </c>
      <c r="D9" s="63" t="inlineStr"/>
      <c r="E9" s="63" t="inlineStr"/>
      <c r="F9" s="29" t="n">
        <v>0.08417301577954235</v>
      </c>
    </row>
    <row r="10" hidden="1" outlineLevel="2" ht="15" customHeight="1">
      <c r="A10" s="12" t="inlineStr">
        <is>
          <t xml:space="preserve">    Interest</t>
        </is>
      </c>
      <c r="B10" s="27" t="n">
        <v>2.88</v>
      </c>
      <c r="C10" s="27" t="n">
        <v>5.62</v>
      </c>
      <c r="D10" s="63" t="inlineStr"/>
      <c r="E10" s="63" t="inlineStr"/>
      <c r="F10" s="29" t="n">
        <v>1.61676214077496e-05</v>
      </c>
    </row>
    <row r="11" hidden="1" outlineLevel="2" ht="15" customHeight="1">
      <c r="A11" s="12" t="inlineStr">
        <is>
          <t xml:space="preserve">    Other Income</t>
        </is>
      </c>
      <c r="B11" s="27" t="n">
        <v>6.85</v>
      </c>
      <c r="C11" s="27" t="n">
        <v>13.37</v>
      </c>
      <c r="D11" s="63" t="inlineStr"/>
      <c r="E11" s="63" t="inlineStr"/>
      <c r="F11" s="29" t="n">
        <v>3.845423841773776e-05</v>
      </c>
    </row>
    <row r="12" hidden="1" outlineLevel="2" ht="15" customHeight="1">
      <c r="A12" s="12" t="inlineStr">
        <is>
          <t xml:space="preserve">    Paychecks</t>
        </is>
      </c>
      <c r="B12" s="27" t="n">
        <v>236950</v>
      </c>
      <c r="C12" s="27" t="n">
        <v>462495.99</v>
      </c>
      <c r="D12" s="63" t="inlineStr"/>
      <c r="E12" s="63" t="inlineStr"/>
      <c r="F12" s="29" t="n">
        <v>1.330179823807732</v>
      </c>
    </row>
    <row r="13" hidden="1" outlineLevel="2" ht="15" customHeight="1">
      <c r="A13" s="12" t="inlineStr">
        <is>
          <t xml:space="preserve">    RedMane Annual Note P&amp;I</t>
        </is>
      </c>
      <c r="B13" s="27" t="n">
        <v>100546.63</v>
      </c>
      <c r="C13" s="27" t="n">
        <v>196254.12</v>
      </c>
      <c r="D13" s="63" t="inlineStr"/>
      <c r="E13" s="63" t="inlineStr"/>
      <c r="F13" s="29" t="n">
        <v>0.5644443915503744</v>
      </c>
    </row>
    <row r="14" ht="45" customHeight="1">
      <c r="A14" s="56" t="inlineStr">
        <is>
          <t>Core Expenses</t>
        </is>
      </c>
      <c r="B14" s="57" t="n">
        <v>73468.7</v>
      </c>
      <c r="C14" s="57" t="n">
        <v>143401.47</v>
      </c>
      <c r="D14" s="57" t="n">
        <v>120789</v>
      </c>
      <c r="E14" s="64" t="n">
        <v>22612.47</v>
      </c>
      <c r="F14" s="59" t="n">
        <v>0.412435460735949</v>
      </c>
    </row>
    <row r="15" hidden="1" outlineLevel="1" ht="45" customHeight="1">
      <c r="A15" s="6" t="inlineStr">
        <is>
          <t xml:space="preserve">  Auto &amp; Transport</t>
        </is>
      </c>
      <c r="B15" s="60" t="n">
        <v>3219.58</v>
      </c>
      <c r="C15" s="60" t="n">
        <v>6284.21</v>
      </c>
      <c r="D15" s="60" t="n">
        <v>6315</v>
      </c>
      <c r="E15" s="60" t="n">
        <v>-30.78999999999996</v>
      </c>
      <c r="F15" s="62" t="n">
        <v>0.01807394115693141</v>
      </c>
    </row>
    <row r="16" hidden="1" outlineLevel="2" ht="15" customHeight="1">
      <c r="A16" s="12" t="inlineStr">
        <is>
          <t xml:space="preserve">    Auto Fuel</t>
        </is>
      </c>
      <c r="B16" s="27" t="n">
        <v>575.6799999999999</v>
      </c>
      <c r="C16" s="27" t="n">
        <v>1123.65</v>
      </c>
      <c r="D16" s="27" t="n">
        <v>1200</v>
      </c>
      <c r="E16" s="27" t="n">
        <v>-76.34999999999991</v>
      </c>
      <c r="F16" s="29" t="n">
        <v>0.003231727879171281</v>
      </c>
    </row>
    <row r="17" hidden="1" outlineLevel="2" ht="15" customHeight="1">
      <c r="A17" s="12" t="inlineStr">
        <is>
          <t xml:space="preserve">    Auto Insurance</t>
        </is>
      </c>
      <c r="B17" s="27" t="n">
        <v>1164</v>
      </c>
      <c r="C17" s="27" t="n">
        <v>2271.98</v>
      </c>
      <c r="D17" s="27" t="n">
        <v>2400</v>
      </c>
      <c r="E17" s="27" t="n">
        <v>-128.02</v>
      </c>
      <c r="F17" s="29" t="n">
        <v>0.006534413652298798</v>
      </c>
    </row>
    <row r="18" hidden="1" outlineLevel="2" ht="15" customHeight="1">
      <c r="A18" s="12" t="inlineStr">
        <is>
          <t xml:space="preserve">    Auto Maintenance</t>
        </is>
      </c>
      <c r="B18" s="27" t="n">
        <v>405.86</v>
      </c>
      <c r="C18" s="27" t="n">
        <v>792.1900000000001</v>
      </c>
      <c r="D18" s="27" t="n">
        <v>800</v>
      </c>
      <c r="E18" s="27" t="n">
        <v>-7.809999999999945</v>
      </c>
      <c r="F18" s="29" t="n">
        <v>0.002278399591857379</v>
      </c>
    </row>
    <row r="19" hidden="1" outlineLevel="2" ht="15" customHeight="1">
      <c r="A19" s="12" t="inlineStr">
        <is>
          <t xml:space="preserve">    Car Wash</t>
        </is>
      </c>
      <c r="B19" s="27" t="n">
        <v>170</v>
      </c>
      <c r="C19" s="27" t="n">
        <v>331.82</v>
      </c>
      <c r="D19" s="27" t="n">
        <v>300</v>
      </c>
      <c r="E19" s="65" t="n">
        <v>31.81999999999999</v>
      </c>
      <c r="F19" s="29" t="n">
        <v>0.0009543387636518862</v>
      </c>
    </row>
    <row r="20" hidden="1" outlineLevel="2" ht="15" customHeight="1">
      <c r="A20" s="12" t="inlineStr">
        <is>
          <t xml:space="preserve">    Parking / Tolls</t>
        </is>
      </c>
      <c r="B20" s="27" t="n">
        <v>269.8</v>
      </c>
      <c r="C20" s="27" t="n">
        <v>526.61</v>
      </c>
      <c r="D20" s="27" t="n">
        <v>600</v>
      </c>
      <c r="E20" s="27" t="n">
        <v>-73.38999999999999</v>
      </c>
      <c r="F20" s="29" t="n">
        <v>0.001514591755489876</v>
      </c>
    </row>
    <row r="21" hidden="1" outlineLevel="2" ht="15" customHeight="1">
      <c r="A21" s="12" t="inlineStr">
        <is>
          <t xml:space="preserve">    Public Transit</t>
        </is>
      </c>
      <c r="B21" s="27" t="n">
        <v>5.5</v>
      </c>
      <c r="C21" s="27" t="n">
        <v>10.74</v>
      </c>
      <c r="D21" s="27" t="n">
        <v>15</v>
      </c>
      <c r="E21" s="27" t="n">
        <v>-4.26</v>
      </c>
      <c r="F21" s="29" t="n">
        <v>3.087566588285514e-05</v>
      </c>
    </row>
    <row r="22" hidden="1" outlineLevel="2" ht="15" customHeight="1">
      <c r="A22" s="12" t="inlineStr">
        <is>
          <t xml:space="preserve">    Taxi &amp; Ride Shares</t>
        </is>
      </c>
      <c r="B22" s="27" t="n">
        <v>628.74</v>
      </c>
      <c r="C22" s="27" t="n">
        <v>1227.22</v>
      </c>
      <c r="D22" s="27" t="n">
        <v>1000</v>
      </c>
      <c r="E22" s="65" t="n">
        <v>227.22</v>
      </c>
      <c r="F22" s="29" t="n">
        <v>0.003529593848579335</v>
      </c>
    </row>
    <row r="23" hidden="1" outlineLevel="1" ht="45" customHeight="1">
      <c r="A23" s="6" t="inlineStr">
        <is>
          <t xml:space="preserve">  Financial</t>
        </is>
      </c>
      <c r="B23" s="60" t="n">
        <v>1958.74</v>
      </c>
      <c r="C23" s="60" t="n">
        <v>3823.21</v>
      </c>
      <c r="D23" s="60" t="n">
        <v>1910</v>
      </c>
      <c r="E23" s="66" t="n">
        <v>1913.21</v>
      </c>
      <c r="F23" s="62" t="n">
        <v>0.01099589123479703</v>
      </c>
    </row>
    <row r="24" hidden="1" outlineLevel="2" ht="15" customHeight="1">
      <c r="A24" s="12" t="inlineStr">
        <is>
          <t xml:space="preserve">    Cash &amp; ATM</t>
        </is>
      </c>
      <c r="B24" s="27" t="n">
        <v>1116.26</v>
      </c>
      <c r="C24" s="27" t="n">
        <v>2178.8</v>
      </c>
      <c r="D24" s="27" t="n">
        <v>1500</v>
      </c>
      <c r="E24" s="65" t="n">
        <v>678.8000000000002</v>
      </c>
      <c r="F24" s="29" t="n">
        <v>0.006266412872435615</v>
      </c>
    </row>
    <row r="25" hidden="1" outlineLevel="2" ht="30" customHeight="1">
      <c r="A25" s="12" t="inlineStr">
        <is>
          <t xml:space="preserve">    Financial &amp; Legal Services</t>
        </is>
      </c>
      <c r="B25" s="27" t="n">
        <v>749.99</v>
      </c>
      <c r="C25" s="27" t="n">
        <v>1463.88</v>
      </c>
      <c r="D25" s="27" t="n">
        <v>210</v>
      </c>
      <c r="E25" s="65" t="n">
        <v>1253.88</v>
      </c>
      <c r="F25" s="29" t="n">
        <v>0.00421026193736046</v>
      </c>
    </row>
    <row r="26" hidden="1" outlineLevel="2" ht="15" customHeight="1">
      <c r="A26" s="12" t="inlineStr">
        <is>
          <t xml:space="preserve">    Financial Fees</t>
        </is>
      </c>
      <c r="B26" s="27" t="n">
        <v>92.48999999999999</v>
      </c>
      <c r="C26" s="27" t="n">
        <v>180.53</v>
      </c>
      <c r="D26" s="27" t="n">
        <v>200</v>
      </c>
      <c r="E26" s="27" t="n">
        <v>-19.47</v>
      </c>
      <c r="F26" s="29" t="n">
        <v>0.0005192164250009585</v>
      </c>
    </row>
    <row r="27" hidden="1" outlineLevel="1" ht="45" customHeight="1">
      <c r="A27" s="6" t="inlineStr">
        <is>
          <t xml:space="preserve">  Food &amp; Dining</t>
        </is>
      </c>
      <c r="B27" s="60" t="n">
        <v>15769.65</v>
      </c>
      <c r="C27" s="60" t="n">
        <v>30780.33</v>
      </c>
      <c r="D27" s="60" t="n">
        <v>32200</v>
      </c>
      <c r="E27" s="60" t="n">
        <v>-1419.669999999998</v>
      </c>
      <c r="F27" s="62" t="n">
        <v>0.08852698990719392</v>
      </c>
    </row>
    <row r="28" hidden="1" outlineLevel="2" ht="15" customHeight="1">
      <c r="A28" s="12" t="inlineStr">
        <is>
          <t xml:space="preserve">    Coffee Shops</t>
        </is>
      </c>
      <c r="B28" s="27" t="n">
        <v>198.65</v>
      </c>
      <c r="C28" s="27" t="n">
        <v>387.74</v>
      </c>
      <c r="D28" s="27" t="n">
        <v>400</v>
      </c>
      <c r="E28" s="27" t="n">
        <v>-12.25999999999999</v>
      </c>
      <c r="F28" s="29" t="n">
        <v>0.001115172914114395</v>
      </c>
    </row>
    <row r="29" hidden="1" outlineLevel="2" ht="15" customHeight="1">
      <c r="A29" s="12" t="inlineStr">
        <is>
          <t xml:space="preserve">    Fast Food / Takeout</t>
        </is>
      </c>
      <c r="B29" s="27" t="n">
        <v>884.34</v>
      </c>
      <c r="C29" s="27" t="n">
        <v>1726.12</v>
      </c>
      <c r="D29" s="27" t="n">
        <v>1800</v>
      </c>
      <c r="E29" s="27" t="n">
        <v>-73.88000000000011</v>
      </c>
      <c r="F29" s="29" t="n">
        <v>0.004964470248517113</v>
      </c>
    </row>
    <row r="30" hidden="1" outlineLevel="2" ht="15" customHeight="1">
      <c r="A30" s="12" t="inlineStr">
        <is>
          <t xml:space="preserve">    Groceries</t>
        </is>
      </c>
      <c r="B30" s="27" t="n">
        <v>7079.89</v>
      </c>
      <c r="C30" s="27" t="n">
        <v>13819.04</v>
      </c>
      <c r="D30" s="27" t="n">
        <v>15000</v>
      </c>
      <c r="E30" s="27" t="n">
        <v>-1180.959999999999</v>
      </c>
      <c r="F30" s="29" t="n">
        <v>0.03974478511406678</v>
      </c>
    </row>
    <row r="31" hidden="1" outlineLevel="2" ht="15" customHeight="1">
      <c r="A31" s="12" t="inlineStr">
        <is>
          <t xml:space="preserve">    Restaurants &amp; Bars</t>
        </is>
      </c>
      <c r="B31" s="27" t="n">
        <v>7606.77</v>
      </c>
      <c r="C31" s="27" t="n">
        <v>14847.44</v>
      </c>
      <c r="D31" s="27" t="n">
        <v>15000</v>
      </c>
      <c r="E31" s="27" t="n">
        <v>-152.5599999999995</v>
      </c>
      <c r="F31" s="29" t="n">
        <v>0.04270256163049564</v>
      </c>
    </row>
    <row r="32" hidden="1" outlineLevel="1" ht="45" customHeight="1">
      <c r="A32" s="6" t="inlineStr">
        <is>
          <t xml:space="preserve">  Gifts Charity</t>
        </is>
      </c>
      <c r="B32" s="60" t="n">
        <v>42411.79</v>
      </c>
      <c r="C32" s="60" t="n">
        <v>82782.37</v>
      </c>
      <c r="D32" s="60" t="n">
        <v>49800</v>
      </c>
      <c r="E32" s="66" t="n">
        <v>32982.37</v>
      </c>
      <c r="F32" s="62" t="n">
        <v>0.2380895013697849</v>
      </c>
    </row>
    <row r="33" hidden="1" outlineLevel="2" ht="15" customHeight="1">
      <c r="A33" s="12" t="inlineStr">
        <is>
          <t xml:space="preserve">    Charitable Donations</t>
        </is>
      </c>
      <c r="B33" s="27" t="n">
        <v>105</v>
      </c>
      <c r="C33" s="27" t="n">
        <v>204.95</v>
      </c>
      <c r="D33" s="27" t="n">
        <v>5000</v>
      </c>
      <c r="E33" s="27" t="n">
        <v>-4795.05</v>
      </c>
      <c r="F33" s="29" t="n">
        <v>0.0005894445304908709</v>
      </c>
    </row>
    <row r="34" hidden="1" outlineLevel="2" ht="15" customHeight="1">
      <c r="A34" s="12" t="inlineStr">
        <is>
          <t xml:space="preserve">    Church</t>
        </is>
      </c>
      <c r="B34" s="27" t="n">
        <v>625</v>
      </c>
      <c r="C34" s="27" t="n">
        <v>1219.92</v>
      </c>
      <c r="D34" s="27" t="n">
        <v>1300</v>
      </c>
      <c r="E34" s="27" t="n">
        <v>-80.07999999999993</v>
      </c>
      <c r="F34" s="29" t="n">
        <v>0.003508598395778993</v>
      </c>
    </row>
    <row r="35" hidden="1" outlineLevel="2" ht="15" customHeight="1">
      <c r="A35" s="12" t="inlineStr">
        <is>
          <t xml:space="preserve">    Gifts - Family 12</t>
        </is>
      </c>
      <c r="B35" s="27" t="n">
        <v>40868.65</v>
      </c>
      <c r="C35" s="27" t="n">
        <v>79770.36</v>
      </c>
      <c r="D35" s="27" t="n">
        <v>42000</v>
      </c>
      <c r="E35" s="65" t="n">
        <v>37770.36</v>
      </c>
      <c r="F35" s="29" t="n">
        <v>0.2294266877242451</v>
      </c>
    </row>
    <row r="36" hidden="1" outlineLevel="2" ht="15" customHeight="1">
      <c r="A36" s="12" t="inlineStr">
        <is>
          <t xml:space="preserve">    Gifts - Other</t>
        </is>
      </c>
      <c r="B36" s="27" t="n">
        <v>813.14</v>
      </c>
      <c r="C36" s="27" t="n">
        <v>1587.14</v>
      </c>
      <c r="D36" s="27" t="n">
        <v>1500</v>
      </c>
      <c r="E36" s="65" t="n">
        <v>87.1400000000001</v>
      </c>
      <c r="F36" s="29" t="n">
        <v>0.004564770719269969</v>
      </c>
    </row>
    <row r="37" hidden="1" outlineLevel="1" ht="45" customHeight="1">
      <c r="A37" s="6" t="inlineStr">
        <is>
          <t xml:space="preserve">  Lifestyle</t>
        </is>
      </c>
      <c r="B37" s="60" t="n">
        <v>5822.34</v>
      </c>
      <c r="C37" s="60" t="n">
        <v>11364.46</v>
      </c>
      <c r="D37" s="60" t="n">
        <v>14300</v>
      </c>
      <c r="E37" s="60" t="n">
        <v>-2935.540000000001</v>
      </c>
      <c r="F37" s="62" t="n">
        <v>0.03268520445388778</v>
      </c>
    </row>
    <row r="38" hidden="1" outlineLevel="2" ht="15" customHeight="1">
      <c r="A38" s="12" t="inlineStr">
        <is>
          <t xml:space="preserve">    Cubs Tickets</t>
        </is>
      </c>
      <c r="B38" s="27" t="n">
        <v>2417.14</v>
      </c>
      <c r="C38" s="27" t="n">
        <v>4717.95</v>
      </c>
      <c r="D38" s="27" t="n">
        <v>8000</v>
      </c>
      <c r="E38" s="27" t="n">
        <v>-3282.05</v>
      </c>
      <c r="F38" s="29" t="n">
        <v>0.01356923764219718</v>
      </c>
    </row>
    <row r="39" hidden="1" outlineLevel="2" ht="15" customHeight="1">
      <c r="A39" s="12" t="inlineStr">
        <is>
          <t xml:space="preserve">    Electronics</t>
        </is>
      </c>
      <c r="B39" s="27" t="n">
        <v>614.58</v>
      </c>
      <c r="C39" s="27" t="n">
        <v>1199.58</v>
      </c>
      <c r="D39" s="27" t="n">
        <v>1000</v>
      </c>
      <c r="E39" s="65" t="n">
        <v>199.5799999999999</v>
      </c>
      <c r="F39" s="29" t="n">
        <v>0.003450103043324566</v>
      </c>
    </row>
    <row r="40" hidden="1" outlineLevel="2" ht="15" customHeight="1">
      <c r="A40" s="12" t="inlineStr">
        <is>
          <t xml:space="preserve">    Hair/Make-up</t>
        </is>
      </c>
      <c r="B40" s="27" t="n">
        <v>1754.09</v>
      </c>
      <c r="C40" s="27" t="n">
        <v>3423.76</v>
      </c>
      <c r="D40" s="27" t="n">
        <v>3500</v>
      </c>
      <c r="E40" s="27" t="n">
        <v>-76.23999999999978</v>
      </c>
      <c r="F40" s="29" t="n">
        <v>0.009847035776083158</v>
      </c>
    </row>
    <row r="41" hidden="1" outlineLevel="2" ht="15" customHeight="1">
      <c r="A41" s="12" t="inlineStr">
        <is>
          <t xml:space="preserve">    Mani-Pedi</t>
        </is>
      </c>
      <c r="B41" s="27" t="n">
        <v>524.77</v>
      </c>
      <c r="C41" s="27" t="n">
        <v>1024.28</v>
      </c>
      <c r="D41" s="27" t="n">
        <v>1000</v>
      </c>
      <c r="E41" s="65" t="n">
        <v>24.27999999999997</v>
      </c>
      <c r="F41" s="29" t="n">
        <v>0.002945931488244708</v>
      </c>
    </row>
    <row r="42" hidden="1" outlineLevel="2" ht="15" customHeight="1">
      <c r="A42" s="12" t="inlineStr">
        <is>
          <t xml:space="preserve">    Movie Theater</t>
        </is>
      </c>
      <c r="B42" s="27" t="n">
        <v>151.76</v>
      </c>
      <c r="C42" s="27" t="n">
        <v>296.22</v>
      </c>
      <c r="D42" s="27" t="n">
        <v>300</v>
      </c>
      <c r="E42" s="27" t="n">
        <v>-3.779999999999973</v>
      </c>
      <c r="F42" s="29" t="n">
        <v>0.000851943828069472</v>
      </c>
    </row>
    <row r="43" hidden="1" outlineLevel="2" ht="15" customHeight="1">
      <c r="A43" s="12" t="inlineStr">
        <is>
          <t xml:space="preserve">    Personal</t>
        </is>
      </c>
      <c r="B43" s="27" t="n">
        <v>360</v>
      </c>
      <c r="C43" s="27" t="n">
        <v>702.67</v>
      </c>
      <c r="D43" s="27" t="n">
        <v>500</v>
      </c>
      <c r="E43" s="65" t="n">
        <v>202.67</v>
      </c>
      <c r="F43" s="29" t="n">
        <v>0.0020209526759687</v>
      </c>
    </row>
    <row r="44" hidden="1" outlineLevel="1" ht="60" customHeight="1">
      <c r="A44" s="6" t="inlineStr">
        <is>
          <t xml:space="preserve">  Other</t>
        </is>
      </c>
      <c r="B44" s="60" t="n">
        <v>20.6</v>
      </c>
      <c r="C44" s="60" t="n">
        <v>40.21</v>
      </c>
      <c r="D44" s="60" t="n">
        <v>6164</v>
      </c>
      <c r="E44" s="60" t="n">
        <v>-6123.79</v>
      </c>
      <c r="F44" s="62"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40.21</v>
      </c>
      <c r="D47" s="27" t="n">
        <v>3857</v>
      </c>
      <c r="E47" s="27" t="n">
        <v>-3816.79</v>
      </c>
      <c r="F47" s="29" t="n">
        <v>0.0001156434031248756</v>
      </c>
    </row>
    <row r="48" hidden="1" outlineLevel="1" ht="45" customHeight="1">
      <c r="A48" s="6" t="inlineStr">
        <is>
          <t xml:space="preserve">  Shopping</t>
        </is>
      </c>
      <c r="B48" s="60" t="n">
        <v>4266</v>
      </c>
      <c r="C48" s="60" t="n">
        <v>8326.68</v>
      </c>
      <c r="D48" s="60" t="n">
        <v>10100</v>
      </c>
      <c r="E48" s="60" t="n">
        <v>-1773.32</v>
      </c>
      <c r="F48" s="62" t="n">
        <v>0.0239482892102291</v>
      </c>
    </row>
    <row r="49" hidden="1" outlineLevel="2" ht="15" customHeight="1">
      <c r="A49" s="12" t="inlineStr">
        <is>
          <t xml:space="preserve">    Clothing &amp; Jewelry</t>
        </is>
      </c>
      <c r="B49" s="27" t="n">
        <v>4243.01</v>
      </c>
      <c r="C49" s="27" t="n">
        <v>8281.809999999999</v>
      </c>
      <c r="D49" s="27" t="n">
        <v>10000</v>
      </c>
      <c r="E49" s="27" t="n">
        <v>-1718.190000000001</v>
      </c>
      <c r="F49" s="29" t="n">
        <v>0.02381922892683876</v>
      </c>
    </row>
    <row r="50" hidden="1" outlineLevel="2" ht="15" customHeight="1">
      <c r="A50" s="12" t="inlineStr">
        <is>
          <t xml:space="preserve">    Shopping</t>
        </is>
      </c>
      <c r="B50" s="27" t="n">
        <v>22.99</v>
      </c>
      <c r="C50" s="27" t="n">
        <v>44.87</v>
      </c>
      <c r="D50" s="27" t="n">
        <v>100</v>
      </c>
      <c r="E50" s="27" t="n">
        <v>-55.13</v>
      </c>
      <c r="F50" s="29" t="n">
        <v>0.0001290602833903345</v>
      </c>
    </row>
    <row r="51" ht="45" customHeight="1">
      <c r="A51" s="56" t="inlineStr">
        <is>
          <t>Wellness</t>
        </is>
      </c>
      <c r="B51" s="57" t="n">
        <v>18388.85</v>
      </c>
      <c r="C51" s="57" t="n">
        <v>35892.68</v>
      </c>
      <c r="D51" s="57" t="n">
        <v>50364</v>
      </c>
      <c r="E51" s="57" t="n">
        <v>-14471.32</v>
      </c>
      <c r="F51" s="59" t="n">
        <v>0.1032305433763529</v>
      </c>
    </row>
    <row r="52" hidden="1" outlineLevel="1" ht="45" customHeight="1">
      <c r="A52" s="6" t="inlineStr">
        <is>
          <t xml:space="preserve">  Healthcare Premium</t>
        </is>
      </c>
      <c r="B52" s="60" t="n">
        <v>8790.610000000001</v>
      </c>
      <c r="C52" s="60" t="n">
        <v>17158.14</v>
      </c>
      <c r="D52" s="60" t="n">
        <v>23760</v>
      </c>
      <c r="E52" s="60" t="n">
        <v>-6601.860000000001</v>
      </c>
      <c r="F52" s="62"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17158.14</v>
      </c>
      <c r="D56" s="27" t="n">
        <v>12000</v>
      </c>
      <c r="E56" s="65" t="n">
        <v>5158.139999999999</v>
      </c>
      <c r="F56" s="29" t="n">
        <v>0.04934835223027004</v>
      </c>
    </row>
    <row r="57" hidden="1" outlineLevel="1" ht="45" customHeight="1">
      <c r="A57" s="6" t="inlineStr">
        <is>
          <t xml:space="preserve">  Wellness Budget Detail</t>
        </is>
      </c>
      <c r="B57" s="60" t="n">
        <v>9598.24</v>
      </c>
      <c r="C57" s="60" t="n">
        <v>18734.53</v>
      </c>
      <c r="D57" s="60" t="n">
        <v>26604</v>
      </c>
      <c r="E57" s="60" t="n">
        <v>-7869.470000000001</v>
      </c>
      <c r="F57" s="62" t="n">
        <v>0.05388219114608282</v>
      </c>
    </row>
    <row r="58" hidden="1" outlineLevel="2" ht="15" customHeight="1">
      <c r="A58" s="12" t="inlineStr">
        <is>
          <t xml:space="preserve">    Dentist</t>
        </is>
      </c>
      <c r="B58" s="27" t="n">
        <v>400.9</v>
      </c>
      <c r="C58" s="27" t="n">
        <v>782.51</v>
      </c>
      <c r="D58" s="27" t="n">
        <v>2900</v>
      </c>
      <c r="E58" s="27" t="n">
        <v>-2117.49</v>
      </c>
      <c r="F58" s="29" t="n">
        <v>0.002250555354988477</v>
      </c>
    </row>
    <row r="59" hidden="1" outlineLevel="2" ht="15" customHeight="1">
      <c r="A59" s="12" t="inlineStr">
        <is>
          <t xml:space="preserve">    Dermatologist</t>
        </is>
      </c>
      <c r="B59" s="27" t="n">
        <v>728</v>
      </c>
      <c r="C59" s="27" t="n">
        <v>1420.96</v>
      </c>
      <c r="D59" s="27" t="n">
        <v>1527</v>
      </c>
      <c r="E59" s="27" t="n">
        <v>-106.04</v>
      </c>
      <c r="F59" s="29" t="n">
        <v>0.004086815411403371</v>
      </c>
    </row>
    <row r="60" hidden="1" outlineLevel="2" ht="15" customHeight="1">
      <c r="A60" s="12" t="inlineStr">
        <is>
          <t xml:space="preserve">    Drugs - Rx and OTC</t>
        </is>
      </c>
      <c r="B60" s="27" t="n">
        <v>3278.39</v>
      </c>
      <c r="C60" s="27" t="n">
        <v>6399</v>
      </c>
      <c r="D60" s="27" t="n">
        <v>5000</v>
      </c>
      <c r="E60" s="65" t="n">
        <v>1399</v>
      </c>
      <c r="F60" s="29" t="n">
        <v>0.01840408623158063</v>
      </c>
    </row>
    <row r="61" hidden="1" outlineLevel="2" ht="30" customHeight="1">
      <c r="A61" s="12" t="inlineStr">
        <is>
          <t xml:space="preserve">    Exercise &amp; Health Equipment</t>
        </is>
      </c>
      <c r="B61" s="27" t="n">
        <v>102.69</v>
      </c>
      <c r="C61" s="27" t="n">
        <v>200.44</v>
      </c>
      <c r="D61" s="27" t="n">
        <v>485</v>
      </c>
      <c r="E61" s="27" t="n">
        <v>-284.56</v>
      </c>
      <c r="F61" s="29" t="n">
        <v>0.0005764767508200717</v>
      </c>
    </row>
    <row r="62" hidden="1" outlineLevel="2" ht="15" customHeight="1">
      <c r="A62" s="12" t="inlineStr">
        <is>
          <t xml:space="preserve">    Health Club</t>
        </is>
      </c>
      <c r="B62" s="27" t="n">
        <v>1616.25</v>
      </c>
      <c r="C62" s="27" t="n">
        <v>3154.71</v>
      </c>
      <c r="D62" s="27" t="n">
        <v>2668</v>
      </c>
      <c r="E62" s="65" t="n">
        <v>486.71</v>
      </c>
      <c r="F62" s="29" t="n">
        <v>0.009073235451484477</v>
      </c>
    </row>
    <row r="63" hidden="1" outlineLevel="2" ht="15" customHeight="1">
      <c r="A63" s="12" t="inlineStr">
        <is>
          <t xml:space="preserve">    Medical</t>
        </is>
      </c>
      <c r="B63" s="27" t="n">
        <v>590.45</v>
      </c>
      <c r="C63" s="27" t="n">
        <v>1152.48</v>
      </c>
      <c r="D63" s="27" t="n">
        <v>10000</v>
      </c>
      <c r="E63" s="27" t="n">
        <v>-8847.52</v>
      </c>
      <c r="F63" s="29" t="n">
        <v>0.003314643076460331</v>
      </c>
    </row>
    <row r="64" hidden="1" outlineLevel="2" ht="15" customHeight="1">
      <c r="A64" s="12" t="inlineStr">
        <is>
          <t xml:space="preserve">    Vision</t>
        </is>
      </c>
      <c r="B64" s="27" t="n">
        <v>1335</v>
      </c>
      <c r="C64" s="27" t="n">
        <v>2605.75</v>
      </c>
      <c r="D64" s="27" t="n">
        <v>2100</v>
      </c>
      <c r="E64" s="65" t="n">
        <v>505.75</v>
      </c>
      <c r="F64" s="29" t="n">
        <v>0.00749436617338393</v>
      </c>
    </row>
    <row r="65" hidden="1" outlineLevel="2" ht="15" customHeight="1">
      <c r="A65" s="12" t="inlineStr">
        <is>
          <t xml:space="preserve">    Vitamins &amp; Supplements</t>
        </is>
      </c>
      <c r="B65" s="27" t="n">
        <v>1546.56</v>
      </c>
      <c r="C65" s="27" t="n">
        <v>3018.69</v>
      </c>
      <c r="D65" s="27" t="n">
        <v>1924</v>
      </c>
      <c r="E65" s="65" t="n">
        <v>1094.69</v>
      </c>
      <c r="F65" s="29" t="n">
        <v>0.008682012695961536</v>
      </c>
    </row>
    <row r="66" ht="45" customHeight="1">
      <c r="A66" s="56" t="inlineStr">
        <is>
          <t>Housing</t>
        </is>
      </c>
      <c r="B66" s="57" t="n">
        <v>66947.95</v>
      </c>
      <c r="C66" s="57" t="n">
        <v>130673.81</v>
      </c>
      <c r="D66" s="57" t="n">
        <v>105600</v>
      </c>
      <c r="E66" s="64" t="n">
        <v>25073.81</v>
      </c>
      <c r="F66" s="59" t="n">
        <v>0.3758295519531076</v>
      </c>
    </row>
    <row r="67" hidden="1" outlineLevel="1" ht="45" customHeight="1">
      <c r="A67" s="6" t="inlineStr">
        <is>
          <t xml:space="preserve">  Home Improvement</t>
        </is>
      </c>
      <c r="B67" s="60" t="n">
        <v>25689.11</v>
      </c>
      <c r="C67" s="60" t="n">
        <v>50141.85</v>
      </c>
      <c r="D67" s="60" t="n">
        <v>25000</v>
      </c>
      <c r="E67" s="66" t="n">
        <v>25141.85</v>
      </c>
      <c r="F67" s="62" t="n">
        <v>0.1442124322159841</v>
      </c>
    </row>
    <row r="68" hidden="1" outlineLevel="2" ht="15" customHeight="1">
      <c r="A68" s="12" t="inlineStr">
        <is>
          <t xml:space="preserve">    Home Improvement</t>
        </is>
      </c>
      <c r="B68" s="27" t="n">
        <v>25689.11</v>
      </c>
      <c r="C68" s="27" t="n">
        <v>50141.85</v>
      </c>
      <c r="D68" s="27" t="n">
        <v>25000</v>
      </c>
      <c r="E68" s="65" t="n">
        <v>25141.85</v>
      </c>
      <c r="F68" s="29" t="n">
        <v>0.1442124322159841</v>
      </c>
    </row>
    <row r="69" hidden="1" outlineLevel="1" ht="45" customHeight="1">
      <c r="A69" s="6" t="inlineStr">
        <is>
          <t xml:space="preserve">  Maintenance</t>
        </is>
      </c>
      <c r="B69" s="60" t="n">
        <v>2214.24</v>
      </c>
      <c r="C69" s="60" t="n">
        <v>4321.91</v>
      </c>
      <c r="D69" s="60" t="n">
        <v>2100</v>
      </c>
      <c r="E69" s="66" t="n">
        <v>2221.91</v>
      </c>
      <c r="F69" s="62" t="n">
        <v>0.01243020625899148</v>
      </c>
    </row>
    <row r="70" hidden="1" outlineLevel="2" ht="15" customHeight="1">
      <c r="A70" s="12" t="inlineStr">
        <is>
          <t xml:space="preserve">    Home Maintenance</t>
        </is>
      </c>
      <c r="B70" s="27" t="n">
        <v>2214.24</v>
      </c>
      <c r="C70" s="27" t="n">
        <v>4321.91</v>
      </c>
      <c r="D70" s="27" t="n">
        <v>2100</v>
      </c>
      <c r="E70" s="65" t="n">
        <v>2221.91</v>
      </c>
      <c r="F70" s="29" t="n">
        <v>0.01243020625899148</v>
      </c>
    </row>
    <row r="71" hidden="1" outlineLevel="1" ht="45" customHeight="1">
      <c r="A71" s="6" t="inlineStr">
        <is>
          <t xml:space="preserve">  Mortgage</t>
        </is>
      </c>
      <c r="B71" s="60" t="n">
        <v>18000</v>
      </c>
      <c r="C71" s="60" t="n">
        <v>35133.69</v>
      </c>
      <c r="D71" s="60" t="n">
        <v>36000</v>
      </c>
      <c r="E71" s="60" t="n">
        <v>-866.3099999999977</v>
      </c>
      <c r="F71" s="62" t="n">
        <v>0.101047633798435</v>
      </c>
    </row>
    <row r="72" hidden="1" outlineLevel="2" ht="15" customHeight="1">
      <c r="A72" s="12" t="inlineStr">
        <is>
          <t xml:space="preserve">    Mortgage</t>
        </is>
      </c>
      <c r="B72" s="27" t="n">
        <v>18000</v>
      </c>
      <c r="C72" s="27" t="n">
        <v>35133.69</v>
      </c>
      <c r="D72" s="27" t="n">
        <v>36000</v>
      </c>
      <c r="E72" s="27" t="n">
        <v>-866.3099999999977</v>
      </c>
      <c r="F72" s="29" t="n">
        <v>0.101047633798435</v>
      </c>
    </row>
    <row r="73" hidden="1" outlineLevel="1" ht="45" customHeight="1">
      <c r="A73" s="6" t="inlineStr">
        <is>
          <t xml:space="preserve">  Other</t>
        </is>
      </c>
      <c r="B73" s="60" t="n">
        <v>5841.79</v>
      </c>
      <c r="C73" s="60" t="n">
        <v>11402.42</v>
      </c>
      <c r="D73" s="60" t="n">
        <v>11315</v>
      </c>
      <c r="E73" s="66" t="n">
        <v>87.42000000000007</v>
      </c>
      <c r="F73" s="62" t="n">
        <v>0.03279439203596442</v>
      </c>
    </row>
    <row r="74" hidden="1" outlineLevel="2" ht="30" customHeight="1">
      <c r="A74" s="12" t="inlineStr">
        <is>
          <t xml:space="preserve">    Furniture/Home Decor/Kitchenware</t>
        </is>
      </c>
      <c r="B74" s="27" t="n">
        <v>2149.85</v>
      </c>
      <c r="C74" s="27" t="n">
        <v>4196.23</v>
      </c>
      <c r="D74" s="27" t="n">
        <v>2115</v>
      </c>
      <c r="E74" s="65" t="n">
        <v>2081.23</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3122.99</v>
      </c>
      <c r="D76" s="27" t="n">
        <v>4800</v>
      </c>
      <c r="E76" s="27" t="n">
        <v>-1677.01</v>
      </c>
      <c r="F76" s="29" t="n">
        <v>0.008982011893194223</v>
      </c>
    </row>
    <row r="77" hidden="1" outlineLevel="2" ht="30" customHeight="1">
      <c r="A77" s="12" t="inlineStr">
        <is>
          <t xml:space="preserve">    Lawn Service/Garden/Flowers</t>
        </is>
      </c>
      <c r="B77" s="27" t="n">
        <v>2091.94</v>
      </c>
      <c r="C77" s="27" t="n">
        <v>4083.2</v>
      </c>
      <c r="D77" s="27" t="n">
        <v>2400</v>
      </c>
      <c r="E77" s="65" t="n">
        <v>1683.2</v>
      </c>
      <c r="F77" s="29" t="n">
        <v>0.01174364372490545</v>
      </c>
    </row>
    <row r="78" hidden="1" outlineLevel="1" ht="45" customHeight="1">
      <c r="A78" s="6" t="inlineStr">
        <is>
          <t xml:space="preserve">  Real Estate Taxes</t>
        </is>
      </c>
      <c r="B78" s="60" t="n">
        <v>8645.74</v>
      </c>
      <c r="C78" s="60" t="n">
        <v>16875.37</v>
      </c>
      <c r="D78" s="60" t="n">
        <v>18000</v>
      </c>
      <c r="E78" s="60" t="n">
        <v>-1124.630000000001</v>
      </c>
      <c r="F78" s="62" t="n">
        <v>0.04853508719091564</v>
      </c>
    </row>
    <row r="79" hidden="1" outlineLevel="2" ht="15" customHeight="1">
      <c r="A79" s="12" t="inlineStr">
        <is>
          <t xml:space="preserve">    Real Estate Taxes</t>
        </is>
      </c>
      <c r="B79" s="27" t="n">
        <v>8645.74</v>
      </c>
      <c r="C79" s="27" t="n">
        <v>16875.37</v>
      </c>
      <c r="D79" s="27" t="n">
        <v>18000</v>
      </c>
      <c r="E79" s="27" t="n">
        <v>-1124.630000000001</v>
      </c>
      <c r="F79" s="29" t="n">
        <v>0.04853508719091564</v>
      </c>
    </row>
    <row r="80" hidden="1" outlineLevel="1" ht="45" customHeight="1">
      <c r="A80" s="6" t="inlineStr">
        <is>
          <t xml:space="preserve">  Utilities</t>
        </is>
      </c>
      <c r="B80" s="60" t="n">
        <v>6557.07</v>
      </c>
      <c r="C80" s="60" t="n">
        <v>12798.56</v>
      </c>
      <c r="D80" s="60" t="n">
        <v>13185</v>
      </c>
      <c r="E80" s="60" t="n">
        <v>-386.4400000000005</v>
      </c>
      <c r="F80" s="62" t="n">
        <v>0.0368098004528169</v>
      </c>
    </row>
    <row r="81" hidden="1" outlineLevel="2" ht="15" customHeight="1">
      <c r="A81" s="12" t="inlineStr">
        <is>
          <t xml:space="preserve">    Dry Cleaners</t>
        </is>
      </c>
      <c r="B81" s="27" t="n">
        <v>131.34</v>
      </c>
      <c r="C81" s="27" t="n">
        <v>256.36</v>
      </c>
      <c r="D81" s="63" t="inlineStr"/>
      <c r="E81" s="63" t="inlineStr"/>
      <c r="F81" s="29" t="n">
        <v>0.0007373109012825808</v>
      </c>
    </row>
    <row r="82" hidden="1" outlineLevel="2" ht="15" customHeight="1">
      <c r="A82" s="12" t="inlineStr">
        <is>
          <t xml:space="preserve">    Garbage</t>
        </is>
      </c>
      <c r="B82" s="27" t="n">
        <v>231.8</v>
      </c>
      <c r="C82" s="27" t="n">
        <v>452.44</v>
      </c>
      <c r="D82" s="27" t="n">
        <v>475</v>
      </c>
      <c r="E82" s="27" t="n">
        <v>-22.56</v>
      </c>
      <c r="F82" s="29" t="n">
        <v>0.001301268973026513</v>
      </c>
    </row>
    <row r="83" hidden="1" outlineLevel="2" ht="15" customHeight="1">
      <c r="A83" s="12" t="inlineStr">
        <is>
          <t xml:space="preserve">    Gas &amp; Electric</t>
        </is>
      </c>
      <c r="B83" s="27" t="n">
        <v>2692.38</v>
      </c>
      <c r="C83" s="27" t="n">
        <v>5255.18</v>
      </c>
      <c r="D83" s="27" t="n">
        <v>5500</v>
      </c>
      <c r="E83" s="27" t="n">
        <v>-244.8199999999997</v>
      </c>
      <c r="F83" s="29" t="n">
        <v>0.01511436823812391</v>
      </c>
    </row>
    <row r="84" hidden="1" outlineLevel="2" ht="15" customHeight="1">
      <c r="A84" s="12" t="inlineStr">
        <is>
          <t xml:space="preserve">    Internet &amp; Cable</t>
        </is>
      </c>
      <c r="B84" s="27" t="n">
        <v>2261</v>
      </c>
      <c r="C84" s="27" t="n">
        <v>4413.18</v>
      </c>
      <c r="D84" s="27" t="n">
        <v>4510</v>
      </c>
      <c r="E84" s="27" t="n">
        <v>-96.81999999999971</v>
      </c>
      <c r="F84" s="29" t="n">
        <v>0.01269270555657009</v>
      </c>
    </row>
    <row r="85" hidden="1" outlineLevel="2" ht="15" customHeight="1">
      <c r="A85" s="12" t="inlineStr">
        <is>
          <t xml:space="preserve">    Pest Control</t>
        </is>
      </c>
      <c r="B85" s="27" t="n">
        <v>319.44</v>
      </c>
      <c r="C85" s="27" t="n">
        <v>623.51</v>
      </c>
      <c r="D85" s="27" t="n">
        <v>650</v>
      </c>
      <c r="E85" s="27" t="n">
        <v>-26.49000000000001</v>
      </c>
      <c r="F85" s="29" t="n">
        <v>0.001793258674476227</v>
      </c>
    </row>
    <row r="86" hidden="1" outlineLevel="2" ht="15" customHeight="1">
      <c r="A86" s="12" t="inlineStr">
        <is>
          <t xml:space="preserve">    Phone</t>
        </is>
      </c>
      <c r="B86" s="27" t="n">
        <v>672</v>
      </c>
      <c r="C86" s="27" t="n">
        <v>1311.66</v>
      </c>
      <c r="D86" s="27" t="n">
        <v>1350</v>
      </c>
      <c r="E86" s="27" t="n">
        <v>-38.33999999999992</v>
      </c>
      <c r="F86" s="29" t="n">
        <v>0.003772444995141574</v>
      </c>
    </row>
    <row r="87" hidden="1" outlineLevel="2" ht="15" customHeight="1">
      <c r="A87" s="12" t="inlineStr">
        <is>
          <t xml:space="preserve">    Sewer</t>
        </is>
      </c>
      <c r="B87" s="27" t="n">
        <v>93.34</v>
      </c>
      <c r="C87" s="27" t="n">
        <v>182.19</v>
      </c>
      <c r="D87" s="27" t="n">
        <v>200</v>
      </c>
      <c r="E87" s="27" t="n">
        <v>-17.81</v>
      </c>
      <c r="F87" s="29" t="n">
        <v>0.000523988118819218</v>
      </c>
    </row>
    <row r="88" hidden="1" outlineLevel="2" ht="15" customHeight="1">
      <c r="A88" s="12" t="inlineStr">
        <is>
          <t xml:space="preserve">    Water</t>
        </is>
      </c>
      <c r="B88" s="27" t="n">
        <v>155.77</v>
      </c>
      <c r="C88" s="27" t="n">
        <v>304.04</v>
      </c>
      <c r="D88" s="27" t="n">
        <v>500</v>
      </c>
      <c r="E88" s="27" t="n">
        <v>-195.96</v>
      </c>
      <c r="F88" s="29" t="n">
        <v>0.0008744549953767901</v>
      </c>
    </row>
    <row r="89" ht="45" customHeight="1">
      <c r="A89" s="56" t="inlineStr">
        <is>
          <t>Travel</t>
        </is>
      </c>
      <c r="B89" s="57" t="n">
        <v>16222.26</v>
      </c>
      <c r="C89" s="57" t="n">
        <v>31663.77</v>
      </c>
      <c r="D89" s="57" t="n">
        <v>16917</v>
      </c>
      <c r="E89" s="64" t="n">
        <v>14746.77</v>
      </c>
      <c r="F89" s="59" t="n">
        <v>0.09106783265905558</v>
      </c>
    </row>
    <row r="90" hidden="1" outlineLevel="1" ht="45" customHeight="1">
      <c r="A90" s="6" t="inlineStr">
        <is>
          <t xml:space="preserve">  Travel</t>
        </is>
      </c>
      <c r="B90" s="60" t="n">
        <v>16222.26</v>
      </c>
      <c r="C90" s="60" t="n">
        <v>31663.77</v>
      </c>
      <c r="D90" s="60" t="n">
        <v>16917</v>
      </c>
      <c r="E90" s="66" t="n">
        <v>14746.77</v>
      </c>
      <c r="F90" s="62" t="n">
        <v>0.09106783265905558</v>
      </c>
    </row>
    <row r="91" hidden="1" outlineLevel="2" ht="30" customHeight="1">
      <c r="A91" s="12" t="inlineStr">
        <is>
          <t xml:space="preserve">    Entertainment &amp; Recreation</t>
        </is>
      </c>
      <c r="B91" s="27" t="n">
        <v>8761.709999999999</v>
      </c>
      <c r="C91" s="27" t="n">
        <v>17101.73</v>
      </c>
      <c r="D91" s="27" t="n">
        <v>3270</v>
      </c>
      <c r="E91" s="65" t="n">
        <v>13831.73</v>
      </c>
      <c r="F91" s="29" t="n">
        <v>0.04918611464044922</v>
      </c>
    </row>
    <row r="92" hidden="1" outlineLevel="2" ht="15" customHeight="1">
      <c r="A92" s="12" t="inlineStr">
        <is>
          <t xml:space="preserve">    Travel &amp; Vacation</t>
        </is>
      </c>
      <c r="B92" s="27" t="n">
        <v>3722.02</v>
      </c>
      <c r="C92" s="27" t="n">
        <v>7264.91</v>
      </c>
      <c r="D92" s="27" t="n">
        <v>8127</v>
      </c>
      <c r="E92" s="27" t="n">
        <v>-862.0900000000001</v>
      </c>
      <c r="F92" s="29" t="n">
        <v>0.02089451744169173</v>
      </c>
    </row>
    <row r="93" hidden="1" outlineLevel="2" ht="15" customHeight="1">
      <c r="A93" s="12" t="inlineStr">
        <is>
          <t xml:space="preserve">    Travel - Housing</t>
        </is>
      </c>
      <c r="B93" s="27" t="n">
        <v>2248</v>
      </c>
      <c r="C93" s="27" t="n">
        <v>4387.81</v>
      </c>
      <c r="D93" s="27" t="n">
        <v>2617</v>
      </c>
      <c r="E93" s="65" t="n">
        <v>1770.81</v>
      </c>
      <c r="F93" s="29" t="n">
        <v>0.01261972670993788</v>
      </c>
    </row>
    <row r="94" hidden="1" outlineLevel="2" ht="15" customHeight="1">
      <c r="A94" s="12" t="inlineStr">
        <is>
          <t xml:space="preserve">    Travel - Insurance</t>
        </is>
      </c>
      <c r="B94" s="27" t="n">
        <v>76</v>
      </c>
      <c r="C94" s="27" t="n">
        <v>148.34</v>
      </c>
      <c r="D94" s="27" t="n">
        <v>159</v>
      </c>
      <c r="E94" s="27" t="n">
        <v>-10.66</v>
      </c>
      <c r="F94" s="29" t="n">
        <v>0.0004266455649267256</v>
      </c>
    </row>
    <row r="95" hidden="1" outlineLevel="2" ht="30" customHeight="1">
      <c r="A95" s="12" t="inlineStr">
        <is>
          <t xml:space="preserve">    Travel - Plane/Train/Bus</t>
        </is>
      </c>
      <c r="B95" s="27" t="n">
        <v>1414.53</v>
      </c>
      <c r="C95" s="27" t="n">
        <v>2760.98</v>
      </c>
      <c r="D95" s="27" t="n">
        <v>2744</v>
      </c>
      <c r="E95" s="65" t="n">
        <v>16.98000000000002</v>
      </c>
      <c r="F95" s="29" t="n">
        <v>0.007940828302050016</v>
      </c>
    </row>
    <row r="96" ht="15" customHeight="1">
      <c r="A96" s="56" t="inlineStr">
        <is>
          <t>Large Discretionary</t>
        </is>
      </c>
      <c r="B96" s="57" t="n">
        <v>0</v>
      </c>
      <c r="C96" s="57" t="n">
        <v>0</v>
      </c>
      <c r="D96" s="58" t="inlineStr"/>
      <c r="E96" s="58" t="inlineStr"/>
      <c r="F96" s="59" t="n">
        <v>0</v>
      </c>
    </row>
    <row r="97" hidden="1" outlineLevel="1" ht="15" customHeight="1">
      <c r="A97" s="6" t="inlineStr">
        <is>
          <t xml:space="preserve">  Wedding</t>
        </is>
      </c>
      <c r="B97" s="60" t="n">
        <v>0</v>
      </c>
      <c r="C97" s="60" t="n">
        <v>0</v>
      </c>
      <c r="D97" s="61" t="inlineStr"/>
      <c r="E97" s="61" t="inlineStr"/>
      <c r="F97" s="62" t="n">
        <v>0</v>
      </c>
    </row>
    <row r="98" hidden="1" outlineLevel="2" ht="15" customHeight="1">
      <c r="A98" s="12" t="inlineStr">
        <is>
          <t xml:space="preserve">    Weddings</t>
        </is>
      </c>
      <c r="B98" s="27" t="n">
        <v>0</v>
      </c>
      <c r="C98" s="27" t="n">
        <v>0</v>
      </c>
      <c r="D98" s="63" t="inlineStr"/>
      <c r="E98" s="63" t="inlineStr"/>
      <c r="F98" s="29" t="n">
        <v>0</v>
      </c>
    </row>
    <row r="99" ht="45" customHeight="1">
      <c r="A99" s="56" t="inlineStr">
        <is>
          <t>Business</t>
        </is>
      </c>
      <c r="B99" s="57" t="n">
        <v>3106.05</v>
      </c>
      <c r="C99" s="57" t="n">
        <v>6062.61</v>
      </c>
      <c r="D99" s="57" t="n">
        <v>6700</v>
      </c>
      <c r="E99" s="57" t="n">
        <v>-637.3900000000003</v>
      </c>
      <c r="F99" s="59" t="n">
        <v>0.01743661127553495</v>
      </c>
    </row>
    <row r="100" hidden="1" outlineLevel="1" ht="45" customHeight="1">
      <c r="A100" s="6" t="inlineStr">
        <is>
          <t xml:space="preserve">  Business</t>
        </is>
      </c>
      <c r="B100" s="60" t="n">
        <v>3106.05</v>
      </c>
      <c r="C100" s="60" t="n">
        <v>6062.61</v>
      </c>
      <c r="D100" s="60" t="n">
        <v>6700</v>
      </c>
      <c r="E100" s="60" t="n">
        <v>-637.3900000000003</v>
      </c>
      <c r="F100" s="62" t="n">
        <v>0.01743661127553495</v>
      </c>
    </row>
    <row r="101" hidden="1" outlineLevel="2" ht="15" customHeight="1">
      <c r="A101" s="12" t="inlineStr">
        <is>
          <t xml:space="preserve">    Business Auto Expenses</t>
        </is>
      </c>
      <c r="B101" s="27" t="n">
        <v>99.73999999999999</v>
      </c>
      <c r="C101" s="27" t="n">
        <v>194.68</v>
      </c>
      <c r="D101" s="27" t="n">
        <v>200</v>
      </c>
      <c r="E101" s="27" t="n">
        <v>-5.319999999999993</v>
      </c>
      <c r="F101" s="29" t="n">
        <v>0.0005599161663919948</v>
      </c>
    </row>
    <row r="102" hidden="1" outlineLevel="2" ht="15" customHeight="1">
      <c r="A102" s="12" t="inlineStr">
        <is>
          <t xml:space="preserve">    Business Events</t>
        </is>
      </c>
      <c r="B102" s="27" t="n">
        <v>-48.27</v>
      </c>
      <c r="C102" s="27" t="n">
        <v>-94.22</v>
      </c>
      <c r="D102" s="27" t="n">
        <v>200</v>
      </c>
      <c r="E102" s="27" t="n">
        <v>-294.22</v>
      </c>
      <c r="F102" s="29" t="n">
        <v>-0.0002709760713028032</v>
      </c>
    </row>
    <row r="103" hidden="1" outlineLevel="2" ht="30" customHeight="1">
      <c r="A103" s="12" t="inlineStr">
        <is>
          <t xml:space="preserve">    Business Hardware and Software</t>
        </is>
      </c>
      <c r="B103" s="27" t="n">
        <v>379.95</v>
      </c>
      <c r="C103" s="27" t="n">
        <v>741.61</v>
      </c>
      <c r="D103" s="27" t="n">
        <v>500</v>
      </c>
      <c r="E103" s="65" t="n">
        <v>241.61</v>
      </c>
      <c r="F103" s="29" t="n">
        <v>0.002132947136761966</v>
      </c>
    </row>
    <row r="104" hidden="1" outlineLevel="2" ht="15" customHeight="1">
      <c r="A104" s="12" t="inlineStr">
        <is>
          <t xml:space="preserve">    Business Memberships</t>
        </is>
      </c>
      <c r="B104" s="27" t="n">
        <v>495</v>
      </c>
      <c r="C104" s="27" t="n">
        <v>966.1799999999999</v>
      </c>
      <c r="D104" s="27" t="n">
        <v>2000</v>
      </c>
      <c r="E104" s="27" t="n">
        <v>-1033.82</v>
      </c>
      <c r="F104" s="29" t="n">
        <v>0.002778809929456963</v>
      </c>
    </row>
    <row r="105" hidden="1" outlineLevel="2" ht="15" customHeight="1">
      <c r="A105" s="12" t="inlineStr">
        <is>
          <t xml:space="preserve">    Business Services</t>
        </is>
      </c>
      <c r="B105" s="27" t="n">
        <v>0</v>
      </c>
      <c r="C105" s="27" t="n">
        <v>0</v>
      </c>
      <c r="D105" s="27" t="n">
        <v>500</v>
      </c>
      <c r="E105" s="27" t="n">
        <v>-500</v>
      </c>
      <c r="F105" s="29" t="n">
        <v>0</v>
      </c>
    </row>
    <row r="106" hidden="1" outlineLevel="2" ht="15" customHeight="1">
      <c r="A106" s="12" t="inlineStr">
        <is>
          <t xml:space="preserve">    Business Taxi - Uber</t>
        </is>
      </c>
      <c r="B106" s="27" t="n">
        <v>24.44</v>
      </c>
      <c r="C106" s="27" t="n">
        <v>47.7</v>
      </c>
      <c r="D106" s="27" t="n">
        <v>100</v>
      </c>
      <c r="E106" s="27" t="n">
        <v>-52.3</v>
      </c>
      <c r="F106" s="29" t="n">
        <v>0.0001372002316685418</v>
      </c>
    </row>
    <row r="107" hidden="1" outlineLevel="2" ht="15" customHeight="1">
      <c r="A107" s="12" t="inlineStr">
        <is>
          <t xml:space="preserve">    Business Travel &amp; Meals</t>
        </is>
      </c>
      <c r="B107" s="27" t="n">
        <v>800.37</v>
      </c>
      <c r="C107" s="27" t="n">
        <v>1562.22</v>
      </c>
      <c r="D107" s="27" t="n">
        <v>1700</v>
      </c>
      <c r="E107" s="27" t="n">
        <v>-137.78</v>
      </c>
      <c r="F107" s="29" t="n">
        <v>0.004493083036847412</v>
      </c>
    </row>
    <row r="108" hidden="1" outlineLevel="2" ht="30" customHeight="1">
      <c r="A108" s="12" t="inlineStr">
        <is>
          <t xml:space="preserve">    Office Supplies &amp; Expenses</t>
        </is>
      </c>
      <c r="B108" s="27" t="n">
        <v>1354.82</v>
      </c>
      <c r="C108" s="27" t="n">
        <v>2644.43</v>
      </c>
      <c r="D108" s="27" t="n">
        <v>1500</v>
      </c>
      <c r="E108" s="65" t="n">
        <v>1144.43</v>
      </c>
      <c r="F108" s="29" t="n">
        <v>0.007605630845710873</v>
      </c>
    </row>
    <row r="109"/>
    <row r="110" ht="30" customHeight="1">
      <c r="A110" s="11" t="inlineStr">
        <is>
          <t>TOTAL SPENDING</t>
        </is>
      </c>
      <c r="B110" s="30" t="n">
        <v>178133.81</v>
      </c>
      <c r="C110" s="30" t="n">
        <v>347694.34</v>
      </c>
      <c r="D110" s="30" t="n">
        <v>300370</v>
      </c>
      <c r="E110" s="67" t="n">
        <v>47324.34000000003</v>
      </c>
      <c r="F110"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8"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fill_to_bracket</t>
        </is>
      </c>
      <c r="D4" s="11" t="inlineStr">
        <is>
          <t>Objective Mode</t>
        </is>
      </c>
      <c r="E4" s="12" t="inlineStr">
        <is>
          <t>BALANCED_RETIREMENT</t>
        </is>
      </c>
      <c r="G4" s="11" t="inlineStr">
        <is>
          <t>Target Bracket</t>
        </is>
      </c>
      <c r="H4" s="69"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0" t="inlineStr">
        <is>
          <t>Rank</t>
        </is>
      </c>
      <c r="B9" s="70" t="inlineStr">
        <is>
          <t>Candidate</t>
        </is>
      </c>
      <c r="C9" s="70" t="inlineStr">
        <is>
          <t>Policy</t>
        </is>
      </c>
      <c r="D9" s="70" t="inlineStr">
        <is>
          <t>Total Score</t>
        </is>
      </c>
      <c r="E9" s="70" t="inlineStr">
        <is>
          <t>Terminal Wealth Score</t>
        </is>
      </c>
      <c r="F9" s="70" t="inlineStr">
        <is>
          <t>Tax Efficiency Score</t>
        </is>
      </c>
      <c r="G9" s="70" t="inlineStr">
        <is>
          <t>Roth Legacy Score</t>
        </is>
      </c>
      <c r="H9" s="70" t="inlineStr">
        <is>
          <t>Estate-Tax Score</t>
        </is>
      </c>
      <c r="I9" s="70" t="inlineStr">
        <is>
          <t>Survivor-Risk Score</t>
        </is>
      </c>
      <c r="J9" s="70" t="inlineStr">
        <is>
          <t>Liquidity Score</t>
        </is>
      </c>
      <c r="K9" s="70" t="inlineStr">
        <is>
          <t>Conversions</t>
        </is>
      </c>
      <c r="L9" s="70" t="inlineStr">
        <is>
          <t>Lifetime Tax</t>
        </is>
      </c>
      <c r="M9" s="70" t="inlineStr">
        <is>
          <t>After-Tax Terminal NW</t>
        </is>
      </c>
      <c r="N9" s="70"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0" t="inlineStr">
        <is>
          <t>Year</t>
        </is>
      </c>
      <c r="B13" s="70" t="inlineStr">
        <is>
          <t>Type</t>
        </is>
      </c>
      <c r="C13" s="70" t="inlineStr">
        <is>
          <t>Source Account</t>
        </is>
      </c>
      <c r="D13" s="70" t="inlineStr">
        <is>
          <t>Pre-Conv AGI</t>
        </is>
      </c>
      <c r="E13" s="70" t="inlineStr">
        <is>
          <t>Target Bracket Top</t>
        </is>
      </c>
      <c r="F13" s="70" t="inlineStr">
        <is>
          <t>Brkt Headroom</t>
        </is>
      </c>
      <c r="G13" s="70" t="inlineStr">
        <is>
          <t>Matthew IRA Avail</t>
        </is>
      </c>
      <c r="H13" s="70" t="inlineStr">
        <is>
          <t>Patricia IRA Avail</t>
        </is>
      </c>
      <c r="I13" s="70" t="inlineStr">
        <is>
          <t>Non-Roth Surplus</t>
        </is>
      </c>
      <c r="J13" s="71" t="inlineStr">
        <is>
          <t>Conversion</t>
        </is>
      </c>
      <c r="K13" s="70" t="inlineStr">
        <is>
          <t>Primary Binding Limit</t>
        </is>
      </c>
      <c r="L13" s="70" t="inlineStr">
        <is>
          <t>Secondary Binding Limit</t>
        </is>
      </c>
      <c r="M13" s="71" t="inlineStr">
        <is>
          <t>Post-Conv AGI</t>
        </is>
      </c>
      <c r="N13" s="70" t="inlineStr">
        <is>
          <t>IRMAA Thr</t>
        </is>
      </c>
      <c r="O13" s="71" t="inlineStr">
        <is>
          <t>Status</t>
        </is>
      </c>
    </row>
    <row r="14" ht="90" customHeight="1">
      <c r="A14" s="72" t="n">
        <v>2026</v>
      </c>
      <c r="B14" s="41" t="inlineStr">
        <is>
          <t>Forced</t>
        </is>
      </c>
      <c r="C14" s="12" t="inlineStr">
        <is>
          <t>Patricia IRA $125,000→Patricia Roth (forced)</t>
        </is>
      </c>
      <c r="D14" s="27" t="n">
        <v>0</v>
      </c>
      <c r="E14" s="27" t="n">
        <v>0</v>
      </c>
      <c r="F14" s="27" t="n">
        <v>0</v>
      </c>
      <c r="G14" s="27" t="n">
        <v>0</v>
      </c>
      <c r="H14" s="27" t="n">
        <v>0</v>
      </c>
      <c r="I14" s="27" t="n">
        <v>0</v>
      </c>
      <c r="J14" s="28" t="n">
        <v>125000</v>
      </c>
      <c r="K14" s="12" t="inlineStr">
        <is>
          <t>Forced action</t>
        </is>
      </c>
      <c r="L14" s="12" t="inlineStr">
        <is>
          <t>User-entered forced action</t>
        </is>
      </c>
      <c r="M14" s="27" t="n">
        <v>447494.38011313</v>
      </c>
      <c r="N14" s="27" t="n">
        <v>268000</v>
      </c>
      <c r="O14" s="73" t="inlineStr">
        <is>
          <t>★ FORCED</t>
        </is>
      </c>
    </row>
    <row r="15" ht="75" customHeight="1">
      <c r="A15" s="72" t="n">
        <v>2027</v>
      </c>
      <c r="B15" s="41" t="inlineStr">
        <is>
          <t>Voluntary</t>
        </is>
      </c>
      <c r="C15" s="12" t="inlineStr">
        <is>
          <t>Patricia IRA $170,451→Patricia Roth</t>
        </is>
      </c>
      <c r="D15" s="27" t="n">
        <v>44599.37047994681</v>
      </c>
      <c r="E15" s="27" t="n">
        <v>215050.68</v>
      </c>
      <c r="F15" s="27" t="n">
        <v>170451.3095200532</v>
      </c>
      <c r="G15" s="27" t="n">
        <v>1413402.382727479</v>
      </c>
      <c r="H15" s="27" t="n">
        <v>350977.1004208188</v>
      </c>
      <c r="I15" s="27" t="n">
        <v>149414.2915041065</v>
      </c>
      <c r="J15" s="28" t="n">
        <v>170451.3095200532</v>
      </c>
      <c r="K15" s="12" t="inlineStr">
        <is>
          <t>22% bracket</t>
        </is>
      </c>
      <c r="L15" s="12" t="inlineStr">
        <is>
          <t>IRA balance</t>
        </is>
      </c>
      <c r="M15" s="27" t="n">
        <v>215050.68</v>
      </c>
      <c r="N15" s="27" t="n">
        <v>273360</v>
      </c>
      <c r="O15" s="74" t="inlineStr">
        <is>
          <t>✓ OK</t>
        </is>
      </c>
    </row>
    <row r="16" ht="75" customHeight="1">
      <c r="A16" s="72" t="n">
        <v>2028</v>
      </c>
      <c r="B16" s="41" t="inlineStr">
        <is>
          <t>Voluntary</t>
        </is>
      </c>
      <c r="C16" s="12" t="inlineStr">
        <is>
          <t>Patricia IRA $156,503→Patricia Roth</t>
        </is>
      </c>
      <c r="D16" s="27" t="n">
        <v>62849.12232681856</v>
      </c>
      <c r="E16" s="27" t="n">
        <v>219351.6936</v>
      </c>
      <c r="F16" s="27" t="n">
        <v>156502.5712731815</v>
      </c>
      <c r="G16" s="27" t="n">
        <v>1443398.892250358</v>
      </c>
      <c r="H16" s="27" t="n">
        <v>184357.0732532336</v>
      </c>
      <c r="I16" s="27" t="n">
        <v>-32121.56958302121</v>
      </c>
      <c r="J16" s="28" t="n">
        <v>156502.5712731815</v>
      </c>
      <c r="K16" s="12" t="inlineStr">
        <is>
          <t>22% bracket</t>
        </is>
      </c>
      <c r="L16" s="12" t="inlineStr">
        <is>
          <t>IRA balance</t>
        </is>
      </c>
      <c r="M16" s="27" t="n">
        <v>219351.6936</v>
      </c>
      <c r="N16" s="27" t="n">
        <v>278827.2</v>
      </c>
      <c r="O16" s="74" t="inlineStr">
        <is>
          <t>✓ OK</t>
        </is>
      </c>
    </row>
    <row r="17" ht="90" customHeight="1">
      <c r="A17" s="72" t="n">
        <v>2029</v>
      </c>
      <c r="B17" s="41" t="inlineStr">
        <is>
          <t>Voluntary</t>
        </is>
      </c>
      <c r="C17" s="12" t="inlineStr">
        <is>
          <t>Patricia IRA $27,682→Patricia Roth + Matthew 401k $27,859→Matthew Roth + Matthew IRA $29,455→Matthew Roth</t>
        </is>
      </c>
      <c r="D17" s="27" t="n">
        <v>138743.0690029636</v>
      </c>
      <c r="E17" s="27" t="n">
        <v>223738.727472</v>
      </c>
      <c r="F17" s="27" t="n">
        <v>84995.6584690364</v>
      </c>
      <c r="G17" s="27" t="n">
        <v>1434440.600491506</v>
      </c>
      <c r="H17" s="27" t="n">
        <v>27681.62616805414</v>
      </c>
      <c r="I17" s="27" t="n">
        <v>-94058.04386874211</v>
      </c>
      <c r="J17" s="28" t="n">
        <v>84995.6584690364</v>
      </c>
      <c r="K17" s="12" t="inlineStr">
        <is>
          <t>22% bracket</t>
        </is>
      </c>
      <c r="L17" s="12" t="inlineStr">
        <is>
          <t>IRA balance</t>
        </is>
      </c>
      <c r="M17" s="27" t="n">
        <v>220819.7327319301</v>
      </c>
      <c r="N17" s="27" t="n">
        <v>284403.7440000001</v>
      </c>
      <c r="O17" s="74" t="inlineStr">
        <is>
          <t>✓ OK</t>
        </is>
      </c>
    </row>
    <row r="18" ht="60" customHeight="1">
      <c r="A18" s="72" t="n">
        <v>2030</v>
      </c>
      <c r="B18" s="41" t="inlineStr">
        <is>
          <t>Voluntary</t>
        </is>
      </c>
      <c r="C18" s="12" t="inlineStr">
        <is>
          <t>Matthew IRA $93,417→Matthew Roth</t>
        </is>
      </c>
      <c r="D18" s="27" t="n">
        <v>134796.1345539146</v>
      </c>
      <c r="E18" s="27" t="n">
        <v>228213.50202144</v>
      </c>
      <c r="F18" s="27" t="n">
        <v>93417.36746752539</v>
      </c>
      <c r="G18" s="27" t="n">
        <v>1307748.908855325</v>
      </c>
      <c r="H18" s="27" t="n">
        <v>0</v>
      </c>
      <c r="I18" s="27" t="n">
        <v>-38314.37996782204</v>
      </c>
      <c r="J18" s="28" t="n">
        <v>93417.36746752539</v>
      </c>
      <c r="K18" s="12" t="inlineStr">
        <is>
          <t>22% bracket</t>
        </is>
      </c>
      <c r="L18" s="12" t="inlineStr">
        <is>
          <t>IRA balance</t>
        </is>
      </c>
      <c r="M18" s="27" t="n">
        <v>225306.1969591854</v>
      </c>
      <c r="N18" s="27" t="n">
        <v>290091.81888</v>
      </c>
      <c r="O18" s="74" t="inlineStr">
        <is>
          <t>✓ OK</t>
        </is>
      </c>
    </row>
    <row r="19" ht="60" customHeight="1">
      <c r="A19" s="72" t="n">
        <v>2031</v>
      </c>
      <c r="B19" s="41" t="inlineStr">
        <is>
          <t>Voluntary</t>
        </is>
      </c>
      <c r="C19" s="12" t="inlineStr">
        <is>
          <t>Matthew IRA $62,151→Matthew Roth</t>
        </is>
      </c>
      <c r="D19" s="27" t="n">
        <v>170626.4476207162</v>
      </c>
      <c r="E19" s="27" t="n">
        <v>232777.7720618688</v>
      </c>
      <c r="F19" s="27" t="n">
        <v>62151.3244411526</v>
      </c>
      <c r="G19" s="27" t="n">
        <v>1209272.470757415</v>
      </c>
      <c r="H19" s="27" t="n">
        <v>0</v>
      </c>
      <c r="I19" s="27" t="n">
        <v>-46264.75504003171</v>
      </c>
      <c r="J19" s="28" t="n">
        <v>62151.3244411526</v>
      </c>
      <c r="K19" s="12" t="inlineStr">
        <is>
          <t>22% bracket</t>
        </is>
      </c>
      <c r="L19" s="12" t="inlineStr">
        <is>
          <t>IRA balance</t>
        </is>
      </c>
      <c r="M19" s="27" t="n">
        <v>229881.6915994137</v>
      </c>
      <c r="N19" s="27" t="n">
        <v>295893.6552576</v>
      </c>
      <c r="O19" s="74" t="inlineStr">
        <is>
          <t>✓ OK</t>
        </is>
      </c>
    </row>
    <row r="20" ht="60" customHeight="1">
      <c r="A20" s="72" t="n">
        <v>2032</v>
      </c>
      <c r="B20" s="41" t="inlineStr">
        <is>
          <t>Voluntary</t>
        </is>
      </c>
      <c r="C20" s="12" t="inlineStr">
        <is>
          <t>Matthew IRA $44,530→Matthew Roth</t>
        </is>
      </c>
      <c r="D20" s="27" t="n">
        <v>192903.0383062721</v>
      </c>
      <c r="E20" s="27" t="n">
        <v>237433.3275031062</v>
      </c>
      <c r="F20" s="27" t="n">
        <v>44530.28919683411</v>
      </c>
      <c r="G20" s="27" t="n">
        <v>1148846.60145837</v>
      </c>
      <c r="H20" s="27" t="n">
        <v>0</v>
      </c>
      <c r="I20" s="27" t="n">
        <v>-129270.0012080555</v>
      </c>
      <c r="J20" s="28" t="n">
        <v>44530.28919683411</v>
      </c>
      <c r="K20" s="12" t="inlineStr">
        <is>
          <t>22% bracket</t>
        </is>
      </c>
      <c r="L20" s="12" t="inlineStr">
        <is>
          <t>IRA balance</t>
        </is>
      </c>
      <c r="M20" s="27" t="n">
        <v>234547.7465254567</v>
      </c>
      <c r="N20" s="27" t="n">
        <v>301811.528362752</v>
      </c>
      <c r="O20" s="74" t="inlineStr">
        <is>
          <t>✓ OK</t>
        </is>
      </c>
    </row>
    <row r="21" ht="60" customHeight="1">
      <c r="A21" s="72" t="n">
        <v>2033</v>
      </c>
      <c r="B21" s="41" t="inlineStr">
        <is>
          <t>Voluntary</t>
        </is>
      </c>
      <c r="C21" s="12" t="inlineStr">
        <is>
          <t>Matthew IRA $50,558→Matthew Roth</t>
        </is>
      </c>
      <c r="D21" s="27" t="n">
        <v>191624.3125698421</v>
      </c>
      <c r="E21" s="27" t="n">
        <v>242181.9940531683</v>
      </c>
      <c r="F21" s="27" t="n">
        <v>50557.68148332619</v>
      </c>
      <c r="G21" s="27" t="n">
        <v>996745.7708438257</v>
      </c>
      <c r="H21" s="27" t="n">
        <v>0</v>
      </c>
      <c r="I21" s="27" t="n">
        <v>-36490.44396191392</v>
      </c>
      <c r="J21" s="28" t="n">
        <v>50557.68148332619</v>
      </c>
      <c r="K21" s="12" t="inlineStr">
        <is>
          <t>22% bracket</t>
        </is>
      </c>
      <c r="L21" s="12" t="inlineStr">
        <is>
          <t>IRA balance</t>
        </is>
      </c>
      <c r="M21" s="27" t="n">
        <v>239306.2166857054</v>
      </c>
      <c r="N21" s="27" t="n">
        <v>307847.7589300071</v>
      </c>
      <c r="O21" s="74" t="inlineStr">
        <is>
          <t>✓ OK</t>
        </is>
      </c>
    </row>
    <row r="22" ht="60" customHeight="1">
      <c r="A22" s="72" t="n">
        <v>2034</v>
      </c>
      <c r="B22" s="41" t="inlineStr">
        <is>
          <t>Voluntary</t>
        </is>
      </c>
      <c r="C22" s="12" t="inlineStr">
        <is>
          <t>Matthew IRA $56,615→Matthew Roth</t>
        </is>
      </c>
      <c r="D22" s="27" t="n">
        <v>190410.5330882793</v>
      </c>
      <c r="E22" s="27" t="n">
        <v>247025.6339342317</v>
      </c>
      <c r="F22" s="27" t="n">
        <v>56615.1008459524</v>
      </c>
      <c r="G22" s="27" t="n">
        <v>954267.6749390614</v>
      </c>
      <c r="H22" s="27" t="n">
        <v>0</v>
      </c>
      <c r="I22" s="27" t="n">
        <v>-103262.5004130946</v>
      </c>
      <c r="J22" s="28" t="n">
        <v>56615.1008459524</v>
      </c>
      <c r="K22" s="12" t="inlineStr">
        <is>
          <t>22% bracket</t>
        </is>
      </c>
      <c r="L22" s="12" t="inlineStr">
        <is>
          <t>IRA balance</t>
        </is>
      </c>
      <c r="M22" s="27" t="n">
        <v>244158.9925338892</v>
      </c>
      <c r="N22" s="27" t="n">
        <v>314004.7141086072</v>
      </c>
      <c r="O22" s="74" t="inlineStr">
        <is>
          <t>✓ OK</t>
        </is>
      </c>
    </row>
    <row r="23" ht="60" customHeight="1">
      <c r="A23" s="72" t="n">
        <v>2035</v>
      </c>
      <c r="B23" s="41" t="inlineStr">
        <is>
          <t>Voluntary</t>
        </is>
      </c>
      <c r="C23" s="12" t="inlineStr">
        <is>
          <t>Matthew IRA $57,327→Matthew Roth</t>
        </is>
      </c>
      <c r="D23" s="27" t="n">
        <v>194639.0493012519</v>
      </c>
      <c r="E23" s="27" t="n">
        <v>251966.1466129163</v>
      </c>
      <c r="F23" s="27" t="n">
        <v>57327.09731166446</v>
      </c>
      <c r="G23" s="27" t="n">
        <v>811173.9843291799</v>
      </c>
      <c r="H23" s="27" t="n">
        <v>0</v>
      </c>
      <c r="I23" s="27" t="n">
        <v>-70810.60472721647</v>
      </c>
      <c r="J23" s="28" t="n">
        <v>57327.09731166446</v>
      </c>
      <c r="K23" s="12" t="inlineStr">
        <is>
          <t>22% bracket</t>
        </is>
      </c>
      <c r="L23" s="12" t="inlineStr">
        <is>
          <t>IRA balance</t>
        </is>
      </c>
      <c r="M23" s="27" t="n">
        <v>249108.0007915249</v>
      </c>
      <c r="N23" s="27" t="n">
        <v>320284.8083907794</v>
      </c>
      <c r="O23" s="74" t="inlineStr">
        <is>
          <t>✓ OK</t>
        </is>
      </c>
    </row>
    <row r="24" ht="45" customHeight="1">
      <c r="A24" s="72"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5" t="inlineStr">
        <is>
          <t>AGI &gt; target bracket</t>
        </is>
      </c>
    </row>
    <row r="25" ht="45" customHeight="1">
      <c r="A25" s="72"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228525.8490169192</v>
      </c>
      <c r="N25" s="27" t="n">
        <v>333224.3146497668</v>
      </c>
      <c r="O25" s="19" t="inlineStr">
        <is>
          <t>Post-RMD — no conv</t>
        </is>
      </c>
    </row>
    <row r="26" ht="45" customHeight="1">
      <c r="A26" s="72"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228068.142641192</v>
      </c>
      <c r="N26" s="27" t="n">
        <v>339888.8009427622</v>
      </c>
      <c r="O26" s="19" t="inlineStr">
        <is>
          <t>Post-RMD — no conv</t>
        </is>
      </c>
    </row>
    <row r="27" ht="45" customHeight="1">
      <c r="A27" s="72"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227070.2687833616</v>
      </c>
      <c r="N27" s="27" t="n">
        <v>346686.5769616175</v>
      </c>
      <c r="O27" s="19" t="inlineStr">
        <is>
          <t>Post-RMD — no conv</t>
        </is>
      </c>
    </row>
    <row r="28" ht="45" customHeight="1">
      <c r="A28" s="72"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225638.6838222504</v>
      </c>
      <c r="N28" s="27" t="n">
        <v>353620.3085008498</v>
      </c>
      <c r="O28" s="19" t="inlineStr">
        <is>
          <t>Post-RMD — no conv</t>
        </is>
      </c>
    </row>
    <row r="29" ht="45" customHeight="1">
      <c r="A29" s="72"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223526.3213502002</v>
      </c>
      <c r="N29" s="27" t="n">
        <v>360692.7146708668</v>
      </c>
      <c r="O29" s="19" t="inlineStr">
        <is>
          <t>Post-RMD — no conv</t>
        </is>
      </c>
    </row>
    <row r="30"/>
    <row r="31" ht="45" customHeight="1">
      <c r="A31" s="11" t="inlineStr">
        <is>
          <t>Total Conversions in Displayed Window: $901,548</t>
        </is>
      </c>
      <c r="B31" s="3" t="n"/>
      <c r="C31" s="3" t="n"/>
      <c r="D31" s="3" t="n"/>
      <c r="E31" s="3" t="n"/>
      <c r="F31" s="3" t="n"/>
      <c r="G31" s="3" t="n"/>
      <c r="H31" s="4" t="n"/>
      <c r="I31" s="11" t="inlineStr">
        <is>
          <t>Forced</t>
        </is>
      </c>
      <c r="J31" s="76" t="n">
        <v>125000</v>
      </c>
      <c r="K31" s="11" t="inlineStr">
        <is>
          <t>Voluntary</t>
        </is>
      </c>
      <c r="L31" s="76" t="n">
        <v>776548.4000087262</v>
      </c>
      <c r="M31" s="11" t="inlineStr">
        <is>
          <t>Grand Total</t>
        </is>
      </c>
      <c r="N31" s="76" t="n">
        <v>901548.4000087262</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75" customHeight="1">
      <c r="A5" s="77" t="inlineStr">
        <is>
          <t>CACHE — as of 07/06/2026 02:50 PM (configured mode: LIVE)</t>
        </is>
      </c>
      <c r="B5" s="12" t="inlineStr">
        <is>
          <t>Cached quotes were used as of 07/06/2026 02:50 PM; cache TTL is 24.0 hours. Live pricing was not available for these symbols, so the cached quote was used as a fallback.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1368717.35017</v>
      </c>
      <c r="C9" s="79" t="n">
        <v>0.2543921838944148</v>
      </c>
      <c r="D9" s="80" t="n">
        <v>1221944.72777</v>
      </c>
      <c r="E9" s="81" t="n">
        <v>0.2271127693800822</v>
      </c>
      <c r="F9" s="12" t="inlineStr">
        <is>
          <t>Liquid</t>
        </is>
      </c>
      <c r="G9" s="79" t="n">
        <v>0.35</v>
      </c>
      <c r="H9" s="12" t="inlineStr">
        <is>
          <t>Under 9.6%</t>
        </is>
      </c>
      <c r="I9" s="74" t="inlineStr">
        <is>
          <t>Under 12.3%</t>
        </is>
      </c>
    </row>
    <row r="10" ht="45" customHeight="1">
      <c r="A10" s="2" t="inlineStr">
        <is>
          <t>Real Estate Coverage (Home Equity)</t>
        </is>
      </c>
      <c r="B10" s="78" t="n">
        <v>1313000</v>
      </c>
      <c r="C10" s="79" t="n">
        <v>0.2440364604217813</v>
      </c>
      <c r="D10" s="78" t="n">
        <v>1313000</v>
      </c>
      <c r="E10" s="79" t="n">
        <v>0.2440364604217813</v>
      </c>
      <c r="F10" s="73" t="inlineStr">
        <is>
          <t>Non-liquid</t>
        </is>
      </c>
      <c r="G10" s="63"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0.2368486598742156</v>
      </c>
      <c r="D11" s="78" t="n">
        <v>1274327.16356137</v>
      </c>
      <c r="E11" s="79" t="n">
        <v>0.2368486598742156</v>
      </c>
      <c r="F11" s="73" t="inlineStr">
        <is>
          <t>Non-liquid</t>
        </is>
      </c>
      <c r="G11" s="79" t="n">
        <v>0.2</v>
      </c>
      <c r="H11" s="12" t="inlineStr">
        <is>
          <t>✓ Covered</t>
        </is>
      </c>
      <c r="I11" s="12" t="inlineStr">
        <is>
          <t>✓ Covered</t>
        </is>
      </c>
    </row>
    <row r="12" ht="45" customHeight="1">
      <c r="A12" s="12" t="inlineStr">
        <is>
          <t>International</t>
        </is>
      </c>
      <c r="B12" s="78" t="n">
        <v>924570.240811</v>
      </c>
      <c r="C12" s="79" t="n">
        <v>0.1718422307531077</v>
      </c>
      <c r="D12" s="80" t="n">
        <v>698254.240811</v>
      </c>
      <c r="E12" s="81" t="n">
        <v>0.1297787459268961</v>
      </c>
      <c r="F12" s="12" t="inlineStr">
        <is>
          <t>Liquid</t>
        </is>
      </c>
      <c r="G12" s="79" t="n">
        <v>0.2</v>
      </c>
      <c r="H12" s="12" t="inlineStr">
        <is>
          <t>✓</t>
        </is>
      </c>
      <c r="I12" s="74" t="inlineStr">
        <is>
          <t>Under 7.0%</t>
        </is>
      </c>
    </row>
    <row r="13" ht="45" customHeight="1">
      <c r="A13" s="12" t="inlineStr">
        <is>
          <t>US Small Cap</t>
        </is>
      </c>
      <c r="B13" s="78" t="n">
        <v>310403.602688</v>
      </c>
      <c r="C13" s="79" t="n">
        <v>0.0576921527053682</v>
      </c>
      <c r="D13" s="80" t="n">
        <v>174563.602688</v>
      </c>
      <c r="E13" s="81" t="n">
        <v>0.03244469437810638</v>
      </c>
      <c r="F13" s="12" t="inlineStr">
        <is>
          <t>Liquid</t>
        </is>
      </c>
      <c r="G13" s="79" t="n">
        <v>0.05</v>
      </c>
      <c r="H13" s="12" t="inlineStr">
        <is>
          <t>✓</t>
        </is>
      </c>
      <c r="I13" s="74" t="inlineStr">
        <is>
          <t>✓</t>
        </is>
      </c>
    </row>
    <row r="14" ht="45" customHeight="1">
      <c r="A14" s="12" t="inlineStr">
        <is>
          <t>Commodities</t>
        </is>
      </c>
      <c r="B14" s="78" t="n">
        <v>169340.6</v>
      </c>
      <c r="C14" s="79" t="n">
        <v>0.03147393802719018</v>
      </c>
      <c r="D14" s="80" t="n">
        <v>174563.6</v>
      </c>
      <c r="E14" s="81" t="n">
        <v>0.03244469387851003</v>
      </c>
      <c r="F14" s="12" t="inlineStr">
        <is>
          <t>Liquid</t>
        </is>
      </c>
      <c r="G14" s="79" t="n">
        <v>0.05</v>
      </c>
      <c r="H14" s="12" t="inlineStr">
        <is>
          <t>✓</t>
        </is>
      </c>
      <c r="I14" s="74" t="inlineStr">
        <is>
          <t>✓</t>
        </is>
      </c>
    </row>
    <row r="15" ht="45" customHeight="1">
      <c r="A15" s="12" t="inlineStr">
        <is>
          <t>Cash</t>
        </is>
      </c>
      <c r="B15" s="78" t="n">
        <v>19984.61</v>
      </c>
      <c r="C15" s="79" t="n">
        <v>0.003714374323922114</v>
      </c>
      <c r="D15" s="80" t="n">
        <v>174562.61</v>
      </c>
      <c r="E15" s="81" t="n">
        <v>0.03244450987539059</v>
      </c>
      <c r="F15" s="12" t="inlineStr">
        <is>
          <t>Liquid</t>
        </is>
      </c>
      <c r="G15" s="79" t="n">
        <v>0.05</v>
      </c>
      <c r="H15" s="12" t="inlineStr">
        <is>
          <t>Under 4.6%</t>
        </is>
      </c>
      <c r="I15" s="74"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174564</v>
      </c>
      <c r="E17" s="81" t="n">
        <v>0.03244476822320475</v>
      </c>
      <c r="F17" s="12" t="inlineStr">
        <is>
          <t>Liquid</t>
        </is>
      </c>
      <c r="G17" s="79" t="n">
        <v>0.05</v>
      </c>
      <c r="H17" s="12" t="inlineStr">
        <is>
          <t>Under 5.0%</t>
        </is>
      </c>
      <c r="I17" s="74" t="inlineStr">
        <is>
          <t>✓</t>
        </is>
      </c>
    </row>
    <row r="18" ht="45" customHeight="1">
      <c r="A18" s="12" t="inlineStr">
        <is>
          <t>Municipal Bonds</t>
        </is>
      </c>
      <c r="B18" s="78" t="n">
        <v>0</v>
      </c>
      <c r="C18" s="79" t="n">
        <v>0</v>
      </c>
      <c r="D18" s="78" t="n">
        <v>0</v>
      </c>
      <c r="E18" s="79" t="n">
        <v>0</v>
      </c>
      <c r="F18" s="12" t="inlineStr">
        <is>
          <t>Liquid</t>
        </is>
      </c>
      <c r="G18" s="63"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3"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3" t="inlineStr"/>
      <c r="H21" s="12" t="inlineStr">
        <is>
          <t>✓ Covered by fixed-income coverage</t>
        </is>
      </c>
      <c r="I21" s="12" t="inlineStr">
        <is>
          <t>✓ Covered by fixed-income coverage</t>
        </is>
      </c>
    </row>
    <row r="22" ht="45" customHeight="1">
      <c r="A22" s="12" t="inlineStr">
        <is>
          <t>US Mid Cap</t>
        </is>
      </c>
      <c r="B22" s="78" t="n">
        <v>0</v>
      </c>
      <c r="C22" s="79" t="n">
        <v>0</v>
      </c>
      <c r="D22" s="80" t="n">
        <v>174564</v>
      </c>
      <c r="E22" s="81" t="n">
        <v>0.03244476822320475</v>
      </c>
      <c r="F22" s="12" t="inlineStr">
        <is>
          <t>Liquid</t>
        </is>
      </c>
      <c r="G22" s="79" t="n">
        <v>0.05</v>
      </c>
      <c r="H22" s="12" t="inlineStr">
        <is>
          <t>Under 5.0%</t>
        </is>
      </c>
      <c r="I22" s="74" t="inlineStr">
        <is>
          <t>✓</t>
        </is>
      </c>
    </row>
    <row r="23" ht="30" customHeight="1">
      <c r="A23" s="2" t="inlineStr">
        <is>
          <t>TOTAL PORTFOLIO</t>
        </is>
      </c>
      <c r="B23" s="82" t="n">
        <v>5380343.56723037</v>
      </c>
      <c r="C23" s="83" t="n">
        <v>1</v>
      </c>
      <c r="D23" s="82" t="n">
        <v>5380343.56723037</v>
      </c>
      <c r="E23" s="83" t="n">
        <v>1</v>
      </c>
    </row>
    <row r="24"/>
    <row r="25" ht="30" customHeight="1">
      <c r="A25" s="2" t="inlineStr">
        <is>
          <t>Non-Liquid Coverage:</t>
        </is>
      </c>
    </row>
    <row r="26" ht="45" customHeight="1">
      <c r="A26" s="12" t="inlineStr">
        <is>
          <t>Fixed Income Coverage: selected guaranteed/bond-like assets cover 23.7%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24.4%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07/06/2026 02:50 PM (configured mode: LIVE)</t>
        </is>
      </c>
      <c r="C32" s="12" t="inlineStr">
        <is>
          <t>Cached quotes were used as of 07/06/2026 02:50 PM; cache TTL is 24.0 hours. Live pricing was not available for these symbols, so the cached quote was used as a fallback.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4" t="inlineStr">
        <is>
          <t>Asset Class</t>
        </is>
      </c>
      <c r="B35" s="84" t="inlineStr">
        <is>
          <t>User Target %</t>
        </is>
      </c>
      <c r="C35" s="84" t="inlineStr">
        <is>
          <t>Optimizer Target %</t>
        </is>
      </c>
      <c r="D35" s="84" t="inlineStr">
        <is>
          <t>Selected Target %</t>
        </is>
      </c>
      <c r="E35" s="5" t="inlineStr">
        <is>
          <t>Comment</t>
        </is>
      </c>
      <c r="F35" s="4" t="n"/>
    </row>
    <row r="36" ht="60" customHeight="1">
      <c r="A36" s="85"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0.5889393108511677</v>
      </c>
      <c r="D37" s="86" t="n">
        <v>0.4374999999999999</v>
      </c>
      <c r="E37" s="12" t="inlineStr">
        <is>
          <t>Included in selected liquid target recommendation.</t>
        </is>
      </c>
      <c r="F37" s="4" t="n"/>
    </row>
    <row r="38" ht="45" customHeight="1">
      <c r="A38" s="12" t="inlineStr">
        <is>
          <t>US Mid Cap</t>
        </is>
      </c>
      <c r="B38" s="79" t="n">
        <v>0.0625</v>
      </c>
      <c r="C38" s="79" t="n">
        <v>0</v>
      </c>
      <c r="D38" s="86" t="n">
        <v>0.0625</v>
      </c>
      <c r="E38" s="12" t="inlineStr">
        <is>
          <t>Included in selected liquid target recommendation.</t>
        </is>
      </c>
      <c r="F38" s="4" t="n"/>
    </row>
    <row r="39" ht="45" customHeight="1">
      <c r="A39" s="12" t="inlineStr">
        <is>
          <t>US Small Cap</t>
        </is>
      </c>
      <c r="B39" s="79" t="n">
        <v>0.0625</v>
      </c>
      <c r="C39" s="79" t="n">
        <v>0</v>
      </c>
      <c r="D39" s="86" t="n">
        <v>0.0625</v>
      </c>
      <c r="E39" s="12" t="inlineStr">
        <is>
          <t>Included in selected liquid target recommendation.</t>
        </is>
      </c>
      <c r="F39" s="4" t="n"/>
    </row>
    <row r="40" ht="45" customHeight="1">
      <c r="A40" s="12" t="inlineStr">
        <is>
          <t>International</t>
        </is>
      </c>
      <c r="B40" s="79" t="n">
        <v>0.25</v>
      </c>
      <c r="C40" s="79" t="n">
        <v>0.2083939099934901</v>
      </c>
      <c r="D40" s="86" t="n">
        <v>0.25</v>
      </c>
      <c r="E40" s="12" t="inlineStr">
        <is>
          <t>Included in selected liquid target recommendation.</t>
        </is>
      </c>
      <c r="F40" s="4" t="n"/>
    </row>
    <row r="41" ht="45" customHeight="1">
      <c r="A41" s="12" t="inlineStr">
        <is>
          <t>Emerging Markets</t>
        </is>
      </c>
      <c r="B41" s="79" t="n">
        <v>0.0625</v>
      </c>
      <c r="C41" s="79" t="n">
        <v>0</v>
      </c>
      <c r="D41" s="86" t="n">
        <v>0.0625</v>
      </c>
      <c r="E41" s="12" t="inlineStr">
        <is>
          <t>Included in selected liquid target recommendation.</t>
        </is>
      </c>
      <c r="F41" s="4" t="n"/>
    </row>
    <row r="42" ht="45" customHeight="1">
      <c r="A42" s="12" t="inlineStr">
        <is>
          <t>Commodities</t>
        </is>
      </c>
      <c r="B42" s="79" t="n">
        <v>0.0625</v>
      </c>
      <c r="C42" s="79" t="n">
        <v>0.1087272573879079</v>
      </c>
      <c r="D42" s="86" t="n">
        <v>0.0625</v>
      </c>
      <c r="E42" s="12" t="inlineStr">
        <is>
          <t>Included in selected liquid target recommendation.</t>
        </is>
      </c>
      <c r="F42" s="4" t="n"/>
    </row>
    <row r="43" ht="90" customHeight="1">
      <c r="A43" s="12" t="inlineStr">
        <is>
          <t>Bonds</t>
        </is>
      </c>
      <c r="B43" s="87" t="n">
        <v>0.15</v>
      </c>
      <c r="C43" s="87" t="n">
        <v>0.02247976064705928</v>
      </c>
      <c r="D43" s="88" t="n">
        <v>0.15</v>
      </c>
      <c r="E43" s="12" t="inlineStr">
        <is>
          <t>Covered by Pension, Annuities, Note Receivable; initial target is shown but not counted in the 100% liquid recommendation.</t>
        </is>
      </c>
      <c r="F43" s="4" t="n"/>
    </row>
    <row r="44" ht="90" customHeight="1">
      <c r="A44" s="12" t="inlineStr">
        <is>
          <t>Short-Term Bonds</t>
        </is>
      </c>
      <c r="B44" s="87" t="n">
        <v>0.05</v>
      </c>
      <c r="C44" s="87" t="n">
        <v>0.009991004732026347</v>
      </c>
      <c r="D44" s="88" t="n">
        <v>0.05</v>
      </c>
      <c r="E44" s="12" t="inlineStr">
        <is>
          <t>Covered by Pension, Annuities, Note Receivable; initial target is shown but not counted in the 100% liquid recommendation.</t>
        </is>
      </c>
      <c r="F44" s="4" t="n"/>
    </row>
    <row r="45" ht="45" customHeight="1">
      <c r="A45" s="12" t="inlineStr">
        <is>
          <t>TIPS</t>
        </is>
      </c>
      <c r="B45" s="79" t="n">
        <v>0</v>
      </c>
      <c r="C45" s="87" t="n">
        <v>0.009991004732026347</v>
      </c>
      <c r="D45" s="86" t="n">
        <v>0</v>
      </c>
      <c r="E45" s="12" t="inlineStr">
        <is>
          <t>No selected liquid target.</t>
        </is>
      </c>
      <c r="F45" s="4" t="n"/>
    </row>
    <row r="46" ht="45" customHeight="1">
      <c r="A46" s="12" t="inlineStr">
        <is>
          <t>Municipal Bonds</t>
        </is>
      </c>
      <c r="B46" s="79" t="n">
        <v>0</v>
      </c>
      <c r="C46" s="87" t="n">
        <v>0.007493253549019759</v>
      </c>
      <c r="D46" s="86" t="n">
        <v>0</v>
      </c>
      <c r="E46" s="12" t="inlineStr">
        <is>
          <t>No selected liquid target.</t>
        </is>
      </c>
      <c r="F46" s="4" t="n"/>
    </row>
    <row r="47" ht="45" customHeight="1">
      <c r="A47" s="12" t="inlineStr">
        <is>
          <t>Managed Futures</t>
        </is>
      </c>
      <c r="B47" s="79" t="n">
        <v>0</v>
      </c>
      <c r="C47" s="79" t="n">
        <v>0</v>
      </c>
      <c r="D47" s="86" t="n">
        <v>0</v>
      </c>
      <c r="E47" s="12" t="inlineStr">
        <is>
          <t>Excluded from recommendation by UI selection.</t>
        </is>
      </c>
      <c r="F47" s="4" t="n"/>
    </row>
    <row r="48" ht="45" customHeight="1">
      <c r="A48" s="12" t="inlineStr">
        <is>
          <t>Private Credit</t>
        </is>
      </c>
      <c r="B48" s="79" t="n">
        <v>0</v>
      </c>
      <c r="C48" s="79" t="n">
        <v>0</v>
      </c>
      <c r="D48" s="86" t="n">
        <v>0</v>
      </c>
      <c r="E48" s="12" t="inlineStr">
        <is>
          <t>Excluded from recommendation by UI selection.</t>
        </is>
      </c>
      <c r="F48" s="4" t="n"/>
    </row>
    <row r="49" ht="30" customHeight="1">
      <c r="A49" s="12" t="inlineStr">
        <is>
          <t>REITs</t>
        </is>
      </c>
      <c r="B49" s="79" t="n">
        <v>0</v>
      </c>
      <c r="C49" s="79" t="n">
        <v>0</v>
      </c>
      <c r="D49" s="86" t="n">
        <v>0</v>
      </c>
      <c r="E49" s="12" t="inlineStr">
        <is>
          <t>No selected liquid target.</t>
        </is>
      </c>
      <c r="F49" s="4" t="n"/>
    </row>
    <row r="50" ht="45" customHeight="1">
      <c r="A50" s="12" t="inlineStr">
        <is>
          <t>Cash</t>
        </is>
      </c>
      <c r="B50" s="79" t="n">
        <v>0.0625</v>
      </c>
      <c r="C50" s="79" t="n">
        <v>0.09393952176743431</v>
      </c>
      <c r="D50" s="86"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3.9 / 10</t>
        </is>
      </c>
      <c r="C53" s="12" t="inlineStr">
        <is>
          <t>Auto-derived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46.9%</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4.4%</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1368717.35017</v>
      </c>
      <c r="D66" s="79" t="n">
        <v>0.4900498788234851</v>
      </c>
      <c r="E66" s="89" t="n">
        <v>0.05254987882348511</v>
      </c>
      <c r="F66" s="12" t="inlineStr">
        <is>
          <t>Rebalance</t>
        </is>
      </c>
    </row>
    <row r="67" ht="30" customHeight="1">
      <c r="A67" s="12" t="inlineStr">
        <is>
          <t>International</t>
        </is>
      </c>
      <c r="B67" s="79" t="n">
        <v>0.25</v>
      </c>
      <c r="C67" s="78" t="n">
        <v>924570.240811</v>
      </c>
      <c r="D67" s="79" t="n">
        <v>0.3310292913412371</v>
      </c>
      <c r="E67" s="89" t="n">
        <v>0.0810292913412371</v>
      </c>
      <c r="F67" s="12" t="inlineStr">
        <is>
          <t>Rebalance</t>
        </is>
      </c>
    </row>
    <row r="68" ht="45" customHeight="1">
      <c r="A68" s="12" t="inlineStr">
        <is>
          <t>US Small Cap</t>
        </is>
      </c>
      <c r="B68" s="79" t="n">
        <v>0.0625</v>
      </c>
      <c r="C68" s="78" t="n">
        <v>310403.602688</v>
      </c>
      <c r="D68" s="79" t="n">
        <v>0.1111356174923439</v>
      </c>
      <c r="E68" s="89" t="n">
        <v>0.04863561749234385</v>
      </c>
      <c r="F68" s="12" t="inlineStr">
        <is>
          <t>Rebalance</t>
        </is>
      </c>
    </row>
    <row r="69" ht="45" customHeight="1">
      <c r="A69" s="12" t="inlineStr">
        <is>
          <t>Commodities</t>
        </is>
      </c>
      <c r="B69" s="79" t="n">
        <v>0.0625</v>
      </c>
      <c r="C69" s="78" t="n">
        <v>169340.6</v>
      </c>
      <c r="D69" s="79" t="n">
        <v>0.06063000553006007</v>
      </c>
      <c r="E69" s="79" t="n">
        <v>-0.001869994469939934</v>
      </c>
      <c r="F69" s="12" t="inlineStr">
        <is>
          <t>Hold</t>
        </is>
      </c>
    </row>
    <row r="70" ht="45" customHeight="1">
      <c r="A70" s="12" t="inlineStr">
        <is>
          <t>Cash</t>
        </is>
      </c>
      <c r="B70" s="79" t="n">
        <v>0.0625</v>
      </c>
      <c r="C70" s="78" t="n">
        <v>19984.61</v>
      </c>
      <c r="D70" s="79" t="n">
        <v>0.007155206812873544</v>
      </c>
      <c r="E70" s="89" t="n">
        <v>-0.05534479318712646</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89"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89"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4" t="inlineStr">
        <is>
          <t>Sleeve</t>
        </is>
      </c>
      <c r="B81" s="84" t="inlineStr">
        <is>
          <t>Target %</t>
        </is>
      </c>
      <c r="C81" s="84" t="inlineStr">
        <is>
          <t>Current $</t>
        </is>
      </c>
      <c r="D81" s="5" t="inlineStr">
        <is>
          <t>Possible ETFs / specific vehicles</t>
        </is>
      </c>
      <c r="E81" s="4" t="n"/>
      <c r="F81" s="84"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0" t="n">
        <v>0.0008560706511907975</v>
      </c>
      <c r="C92" s="12" t="inlineStr">
        <is>
          <t>Annual fee drag: $2,391</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1" t="inlineStr">
        <is>
          <t>Matthew 401k</t>
        </is>
      </c>
      <c r="B97" s="3" t="n"/>
      <c r="C97" s="3" t="n"/>
      <c r="D97" s="4" t="n"/>
      <c r="E97" s="92" t="n">
        <v>14966.08</v>
      </c>
      <c r="F97" s="91" t="inlineStr">
        <is>
          <t>Account Total</t>
        </is>
      </c>
      <c r="G97" s="91" t="inlineStr">
        <is>
          <t>Sources:</t>
        </is>
      </c>
      <c r="H97" s="74" t="inlineStr">
        <is>
          <t>cash, fresh_cache_24h_from_yahoo</t>
        </is>
      </c>
    </row>
    <row r="98" ht="45" customHeight="1">
      <c r="A98" s="33" t="inlineStr"/>
      <c r="B98" s="12" t="inlineStr">
        <is>
          <t>AVUV</t>
        </is>
      </c>
      <c r="C98" s="93" t="n">
        <v>88</v>
      </c>
      <c r="D98" s="78" t="n">
        <v>123.87</v>
      </c>
      <c r="E98" s="78" t="n">
        <v>10900.56</v>
      </c>
      <c r="F98" s="79" t="n">
        <v>0.003902791256678857</v>
      </c>
      <c r="G98" s="12" t="inlineStr">
        <is>
          <t>US Small Cap</t>
        </is>
      </c>
      <c r="H98" s="12" t="inlineStr">
        <is>
          <t>fresh_cache_24h_from_yahoo</t>
        </is>
      </c>
    </row>
    <row r="99" ht="45" customHeight="1">
      <c r="A99" s="33" t="inlineStr"/>
      <c r="B99" s="12" t="inlineStr">
        <is>
          <t>CASH</t>
        </is>
      </c>
      <c r="C99" s="93" t="n">
        <v>4065.52</v>
      </c>
      <c r="D99" s="78" t="n">
        <v>1</v>
      </c>
      <c r="E99" s="78" t="n">
        <v>4065.52</v>
      </c>
      <c r="F99" s="79" t="n">
        <v>0.001455601905760165</v>
      </c>
      <c r="G99" s="12" t="inlineStr">
        <is>
          <t>Cash</t>
        </is>
      </c>
      <c r="H99" s="12" t="inlineStr">
        <is>
          <t>cash</t>
        </is>
      </c>
    </row>
    <row r="100"/>
    <row r="101" ht="45" customHeight="1">
      <c r="A101" s="91" t="inlineStr">
        <is>
          <t>Matthew HSA</t>
        </is>
      </c>
      <c r="B101" s="3" t="n"/>
      <c r="C101" s="3" t="n"/>
      <c r="D101" s="4" t="n"/>
      <c r="E101" s="92" t="n">
        <v>72679.36820000001</v>
      </c>
      <c r="F101" s="91" t="inlineStr">
        <is>
          <t>Account Total</t>
        </is>
      </c>
      <c r="G101" s="91" t="inlineStr">
        <is>
          <t>Sources:</t>
        </is>
      </c>
      <c r="H101" s="74" t="inlineStr">
        <is>
          <t>cash, fresh_cache_24h_from_yahoo</t>
        </is>
      </c>
    </row>
    <row r="102" ht="45" customHeight="1">
      <c r="A102" s="33" t="inlineStr"/>
      <c r="B102" s="12" t="inlineStr">
        <is>
          <t>CASH</t>
        </is>
      </c>
      <c r="C102" s="93" t="n">
        <v>279.59</v>
      </c>
      <c r="D102" s="78" t="n">
        <v>1</v>
      </c>
      <c r="E102" s="78" t="n">
        <v>279.59</v>
      </c>
      <c r="F102" s="79" t="n">
        <v>0.0001001032430861205</v>
      </c>
      <c r="G102" s="12" t="inlineStr">
        <is>
          <t>Cash</t>
        </is>
      </c>
      <c r="H102" s="12" t="inlineStr">
        <is>
          <t>cash</t>
        </is>
      </c>
    </row>
    <row r="103" ht="45" customHeight="1">
      <c r="A103" s="33" t="inlineStr"/>
      <c r="B103" s="12" t="inlineStr">
        <is>
          <t>ITOT</t>
        </is>
      </c>
      <c r="C103" s="93" t="n">
        <v>438.388</v>
      </c>
      <c r="D103" s="78" t="n">
        <v>165.15</v>
      </c>
      <c r="E103" s="78" t="n">
        <v>72399.77820000002</v>
      </c>
      <c r="F103" s="79" t="n">
        <v>0.02592171607187599</v>
      </c>
      <c r="G103" s="12" t="inlineStr">
        <is>
          <t>US Large Cap</t>
        </is>
      </c>
      <c r="H103" s="12" t="inlineStr">
        <is>
          <t>fresh_cache_24h_from_yahoo</t>
        </is>
      </c>
    </row>
    <row r="104"/>
    <row r="105" ht="45" customHeight="1">
      <c r="A105" s="91" t="inlineStr">
        <is>
          <t>Matthew IRA</t>
        </is>
      </c>
      <c r="B105" s="3" t="n"/>
      <c r="C105" s="3" t="n"/>
      <c r="D105" s="4" t="n"/>
      <c r="E105" s="92" t="n">
        <v>1346551.37654</v>
      </c>
      <c r="F105" s="91" t="inlineStr">
        <is>
          <t>Account Total</t>
        </is>
      </c>
      <c r="G105" s="91" t="inlineStr">
        <is>
          <t>Sources:</t>
        </is>
      </c>
      <c r="H105" s="74" t="inlineStr">
        <is>
          <t>cash, fresh_cache_24h_from_yahoo</t>
        </is>
      </c>
    </row>
    <row r="106" ht="45" customHeight="1">
      <c r="A106" s="33" t="inlineStr"/>
      <c r="B106" s="12" t="inlineStr">
        <is>
          <t>AVUV</t>
        </is>
      </c>
      <c r="C106" s="93" t="n">
        <v>855.082</v>
      </c>
      <c r="D106" s="78" t="n">
        <v>123.87</v>
      </c>
      <c r="E106" s="78" t="n">
        <v>105919.00734</v>
      </c>
      <c r="F106" s="79" t="n">
        <v>0.03792280174253942</v>
      </c>
      <c r="G106" s="12" t="inlineStr">
        <is>
          <t>US Small Cap</t>
        </is>
      </c>
      <c r="H106" s="12" t="inlineStr">
        <is>
          <t>fresh_cache_24h_from_yahoo</t>
        </is>
      </c>
    </row>
    <row r="107" ht="45" customHeight="1">
      <c r="A107" s="33" t="inlineStr"/>
      <c r="B107" s="12" t="inlineStr">
        <is>
          <t>CASH</t>
        </is>
      </c>
      <c r="C107" s="93" t="n">
        <v>67.36</v>
      </c>
      <c r="D107" s="78" t="n">
        <v>1</v>
      </c>
      <c r="E107" s="78" t="n">
        <v>67.36</v>
      </c>
      <c r="F107" s="79" t="n">
        <v>2.411729480410986e-05</v>
      </c>
      <c r="G107" s="12" t="inlineStr">
        <is>
          <t>Cash</t>
        </is>
      </c>
      <c r="H107" s="12" t="inlineStr">
        <is>
          <t>cash</t>
        </is>
      </c>
    </row>
    <row r="108" ht="45" customHeight="1">
      <c r="A108" s="33" t="inlineStr"/>
      <c r="B108" s="12" t="inlineStr">
        <is>
          <t>ITOT</t>
        </is>
      </c>
      <c r="C108" s="93" t="n">
        <v>3930.015</v>
      </c>
      <c r="D108" s="78" t="n">
        <v>165.15</v>
      </c>
      <c r="E108" s="78" t="n">
        <v>649041.97725</v>
      </c>
      <c r="F108" s="79" t="n">
        <v>0.232380295510401</v>
      </c>
      <c r="G108" s="12" t="inlineStr">
        <is>
          <t>US Large Cap</t>
        </is>
      </c>
      <c r="H108" s="12" t="inlineStr">
        <is>
          <t>fresh_cache_24h_from_yahoo</t>
        </is>
      </c>
    </row>
    <row r="109" ht="45" customHeight="1">
      <c r="A109" s="33" t="inlineStr"/>
      <c r="B109" s="12" t="inlineStr">
        <is>
          <t>IXUS</t>
        </is>
      </c>
      <c r="C109" s="93" t="n">
        <v>4946.01</v>
      </c>
      <c r="D109" s="78" t="n">
        <v>96.19499999999999</v>
      </c>
      <c r="E109" s="78" t="n">
        <v>475781.43195</v>
      </c>
      <c r="F109" s="79" t="n">
        <v>0.1703468090359216</v>
      </c>
      <c r="G109" s="12" t="inlineStr">
        <is>
          <t>International</t>
        </is>
      </c>
      <c r="H109" s="12" t="inlineStr">
        <is>
          <t>fresh_cache_24h_from_yahoo</t>
        </is>
      </c>
    </row>
    <row r="110" ht="45" customHeight="1">
      <c r="A110" s="33" t="inlineStr"/>
      <c r="B110" s="12" t="inlineStr">
        <is>
          <t>PDBC</t>
        </is>
      </c>
      <c r="C110" s="93" t="n">
        <v>7180</v>
      </c>
      <c r="D110" s="78" t="n">
        <v>16.12</v>
      </c>
      <c r="E110" s="78" t="n">
        <v>115741.6</v>
      </c>
      <c r="F110" s="79" t="n">
        <v>0.04143964204719955</v>
      </c>
      <c r="G110" s="12" t="inlineStr">
        <is>
          <t>Commodities</t>
        </is>
      </c>
      <c r="H110" s="12" t="inlineStr">
        <is>
          <t>fresh_cache_24h_from_yahoo</t>
        </is>
      </c>
    </row>
    <row r="111"/>
    <row r="112" ht="45" customHeight="1">
      <c r="A112" s="91" t="inlineStr">
        <is>
          <t>Matthew Roth</t>
        </is>
      </c>
      <c r="B112" s="3" t="n"/>
      <c r="C112" s="3" t="n"/>
      <c r="D112" s="4" t="n"/>
      <c r="E112" s="92" t="n">
        <v>139480.39609</v>
      </c>
      <c r="F112" s="91" t="inlineStr">
        <is>
          <t>Account Total</t>
        </is>
      </c>
      <c r="G112" s="91" t="inlineStr">
        <is>
          <t>Sources:</t>
        </is>
      </c>
      <c r="H112" s="74" t="inlineStr">
        <is>
          <t>cash, fresh_cache_24h_from_yahoo</t>
        </is>
      </c>
    </row>
    <row r="113" ht="45" customHeight="1">
      <c r="A113" s="33" t="inlineStr"/>
      <c r="B113" s="12" t="inlineStr">
        <is>
          <t>AVUV</t>
        </is>
      </c>
      <c r="C113" s="93" t="n">
        <v>505.713</v>
      </c>
      <c r="D113" s="78" t="n">
        <v>123.87</v>
      </c>
      <c r="E113" s="78" t="n">
        <v>62642.66931</v>
      </c>
      <c r="F113" s="79" t="n">
        <v>0.02242832130441857</v>
      </c>
      <c r="G113" s="12" t="inlineStr">
        <is>
          <t>US Small Cap</t>
        </is>
      </c>
      <c r="H113" s="12" t="inlineStr">
        <is>
          <t>fresh_cache_24h_from_yahoo</t>
        </is>
      </c>
    </row>
    <row r="114" ht="45" customHeight="1">
      <c r="A114" s="33" t="inlineStr"/>
      <c r="B114" s="12" t="inlineStr">
        <is>
          <t>CASH</t>
        </is>
      </c>
      <c r="C114" s="93" t="n">
        <v>10.09</v>
      </c>
      <c r="D114" s="78" t="n">
        <v>1</v>
      </c>
      <c r="E114" s="78" t="n">
        <v>10.09</v>
      </c>
      <c r="F114" s="79" t="n">
        <v>3.612581718727263e-06</v>
      </c>
      <c r="G114" s="12" t="inlineStr">
        <is>
          <t>Cash</t>
        </is>
      </c>
      <c r="H114" s="12" t="inlineStr">
        <is>
          <t>cash</t>
        </is>
      </c>
    </row>
    <row r="115" ht="30" customHeight="1">
      <c r="A115" s="33" t="inlineStr"/>
      <c r="B115" s="12" t="inlineStr">
        <is>
          <t>ITOT</t>
        </is>
      </c>
      <c r="C115" s="93" t="n">
        <v>173.216</v>
      </c>
      <c r="D115" s="78" t="n">
        <v>165.15</v>
      </c>
      <c r="E115" s="78" t="n">
        <v>28606.6224</v>
      </c>
      <c r="F115" s="79" t="n">
        <v>0.0102421963445762</v>
      </c>
      <c r="G115" s="12" t="inlineStr">
        <is>
          <t>US Large Cap</t>
        </is>
      </c>
      <c r="H115" s="12" t="inlineStr">
        <is>
          <t>fresh_cache_24h_from_yahoo</t>
        </is>
      </c>
    </row>
    <row r="116" ht="45" customHeight="1">
      <c r="A116" s="33" t="inlineStr"/>
      <c r="B116" s="12" t="inlineStr">
        <is>
          <t>IXUS</t>
        </is>
      </c>
      <c r="C116" s="93" t="n">
        <v>501.284</v>
      </c>
      <c r="D116" s="78" t="n">
        <v>96.19499999999999</v>
      </c>
      <c r="E116" s="78" t="n">
        <v>48221.01437999999</v>
      </c>
      <c r="F116" s="79" t="n">
        <v>0.01726485183425892</v>
      </c>
      <c r="G116" s="12" t="inlineStr">
        <is>
          <t>International</t>
        </is>
      </c>
      <c r="H116" s="12" t="inlineStr">
        <is>
          <t>fresh_cache_24h_from_yahoo</t>
        </is>
      </c>
    </row>
    <row r="117"/>
    <row r="118" ht="45" customHeight="1">
      <c r="A118" s="91" t="inlineStr">
        <is>
          <t>Matthew Trust</t>
        </is>
      </c>
      <c r="B118" s="3" t="n"/>
      <c r="C118" s="3" t="n"/>
      <c r="D118" s="4" t="n"/>
      <c r="E118" s="92" t="n">
        <v>210120.342705</v>
      </c>
      <c r="F118" s="91" t="inlineStr">
        <is>
          <t>Account Total</t>
        </is>
      </c>
      <c r="G118" s="91" t="inlineStr">
        <is>
          <t>Sources:</t>
        </is>
      </c>
      <c r="H118" s="74" t="inlineStr">
        <is>
          <t>cash, fresh_cache_24h_from_yahoo</t>
        </is>
      </c>
    </row>
    <row r="119" ht="45" customHeight="1">
      <c r="A119" s="33" t="inlineStr"/>
      <c r="B119" s="12" t="inlineStr">
        <is>
          <t>CASH</t>
        </is>
      </c>
      <c r="C119" s="93" t="n">
        <v>10282.62</v>
      </c>
      <c r="D119" s="78" t="n">
        <v>1</v>
      </c>
      <c r="E119" s="78" t="n">
        <v>10282.62</v>
      </c>
      <c r="F119" s="79" t="n">
        <v>0.00368154658400588</v>
      </c>
      <c r="G119" s="12" t="inlineStr">
        <is>
          <t>Cash</t>
        </is>
      </c>
      <c r="H119" s="12" t="inlineStr">
        <is>
          <t>cash</t>
        </is>
      </c>
    </row>
    <row r="120" ht="45" customHeight="1">
      <c r="A120" s="33" t="inlineStr"/>
      <c r="B120" s="12" t="inlineStr">
        <is>
          <t>ITOT</t>
        </is>
      </c>
      <c r="C120" s="93" t="n">
        <v>647.896</v>
      </c>
      <c r="D120" s="78" t="n">
        <v>165.15</v>
      </c>
      <c r="E120" s="78" t="n">
        <v>107000.0244</v>
      </c>
      <c r="F120" s="79" t="n">
        <v>0.03830984460364827</v>
      </c>
      <c r="G120" s="12" t="inlineStr">
        <is>
          <t>US Large Cap</t>
        </is>
      </c>
      <c r="H120" s="12" t="inlineStr">
        <is>
          <t>fresh_cache_24h_from_yahoo</t>
        </is>
      </c>
    </row>
    <row r="121" ht="45" customHeight="1">
      <c r="A121" s="33" t="inlineStr"/>
      <c r="B121" s="12" t="inlineStr">
        <is>
          <t>IXUS</t>
        </is>
      </c>
      <c r="C121" s="93" t="n">
        <v>965.099</v>
      </c>
      <c r="D121" s="78" t="n">
        <v>96.19499999999999</v>
      </c>
      <c r="E121" s="78" t="n">
        <v>92837.698305</v>
      </c>
      <c r="F121" s="79" t="n">
        <v>0.03323922415315759</v>
      </c>
      <c r="G121" s="12" t="inlineStr">
        <is>
          <t>International</t>
        </is>
      </c>
      <c r="H121" s="12" t="inlineStr">
        <is>
          <t>fresh_cache_24h_from_yahoo</t>
        </is>
      </c>
    </row>
    <row r="122"/>
    <row r="123" ht="45" customHeight="1">
      <c r="A123" s="91" t="inlineStr">
        <is>
          <t>Patricia IRA</t>
        </is>
      </c>
      <c r="B123" s="3" t="n"/>
      <c r="C123" s="3" t="n"/>
      <c r="D123" s="4" t="n"/>
      <c r="E123" s="92" t="n">
        <v>465999.3710249999</v>
      </c>
      <c r="F123" s="91" t="inlineStr">
        <is>
          <t>Account Total</t>
        </is>
      </c>
      <c r="G123" s="91" t="inlineStr">
        <is>
          <t>Sources:</t>
        </is>
      </c>
      <c r="H123" s="74" t="inlineStr">
        <is>
          <t>cash, fresh_cache_24h_from_yahoo</t>
        </is>
      </c>
    </row>
    <row r="124" ht="45" customHeight="1">
      <c r="A124" s="33" t="inlineStr"/>
      <c r="B124" s="12" t="inlineStr">
        <is>
          <t>CASH</t>
        </is>
      </c>
      <c r="C124" s="93" t="n">
        <v>182.31</v>
      </c>
      <c r="D124" s="78" t="n">
        <v>1</v>
      </c>
      <c r="E124" s="78" t="n">
        <v>182.31</v>
      </c>
      <c r="F124" s="79" t="n">
        <v>6.527351567305921e-05</v>
      </c>
      <c r="G124" s="12" t="inlineStr">
        <is>
          <t>Cash</t>
        </is>
      </c>
      <c r="H124" s="12" t="inlineStr">
        <is>
          <t>cash</t>
        </is>
      </c>
    </row>
    <row r="125" ht="45" customHeight="1">
      <c r="A125" s="33" t="inlineStr"/>
      <c r="B125" s="12" t="inlineStr">
        <is>
          <t>PDBC</t>
        </is>
      </c>
      <c r="C125" s="93" t="n">
        <v>3325</v>
      </c>
      <c r="D125" s="78" t="n">
        <v>16.12</v>
      </c>
      <c r="E125" s="78" t="n">
        <v>53599</v>
      </c>
      <c r="F125" s="79" t="n">
        <v>0.01919036348286051</v>
      </c>
      <c r="G125" s="12" t="inlineStr">
        <is>
          <t>Commodities</t>
        </is>
      </c>
      <c r="H125" s="12" t="inlineStr">
        <is>
          <t>fresh_cache_24h_from_yahoo</t>
        </is>
      </c>
    </row>
    <row r="126" ht="45" customHeight="1">
      <c r="A126" s="33" t="inlineStr"/>
      <c r="B126" s="12" t="inlineStr">
        <is>
          <t>VBR</t>
        </is>
      </c>
      <c r="C126" s="93" t="n">
        <v>157.6347</v>
      </c>
      <c r="D126" s="78" t="n">
        <v>243.59</v>
      </c>
      <c r="E126" s="78" t="n">
        <v>38398.23657299999</v>
      </c>
      <c r="F126" s="79" t="n">
        <v>0.01374794524033542</v>
      </c>
      <c r="G126" s="12" t="inlineStr">
        <is>
          <t>US Small Cap</t>
        </is>
      </c>
      <c r="H126" s="12" t="inlineStr">
        <is>
          <t>fresh_cache_24h_from_yahoo</t>
        </is>
      </c>
    </row>
    <row r="127" ht="30" customHeight="1">
      <c r="A127" s="33" t="inlineStr"/>
      <c r="B127" s="12" t="inlineStr">
        <is>
          <t>VTI</t>
        </is>
      </c>
      <c r="C127" s="93" t="n">
        <v>580.1444999999999</v>
      </c>
      <c r="D127" s="78" t="n">
        <v>371.86</v>
      </c>
      <c r="E127" s="78" t="n">
        <v>215732.53377</v>
      </c>
      <c r="F127" s="79" t="n">
        <v>0.07723998093480811</v>
      </c>
      <c r="G127" s="12" t="inlineStr">
        <is>
          <t>US Large Cap</t>
        </is>
      </c>
      <c r="H127" s="12" t="inlineStr">
        <is>
          <t>fresh_cache_24h_from_yahoo</t>
        </is>
      </c>
    </row>
    <row r="128" ht="45" customHeight="1">
      <c r="A128" s="33" t="inlineStr"/>
      <c r="B128" s="12" t="inlineStr">
        <is>
          <t>VXUS</t>
        </is>
      </c>
      <c r="C128" s="93" t="n">
        <v>1834.3849</v>
      </c>
      <c r="D128" s="78" t="n">
        <v>86.18000000000001</v>
      </c>
      <c r="E128" s="78" t="n">
        <v>158087.290682</v>
      </c>
      <c r="F128" s="79" t="n">
        <v>0.05660091737174589</v>
      </c>
      <c r="G128" s="12" t="inlineStr">
        <is>
          <t>International</t>
        </is>
      </c>
      <c r="H128" s="12" t="inlineStr">
        <is>
          <t>fresh_cache_24h_from_yahoo</t>
        </is>
      </c>
    </row>
    <row r="129"/>
    <row r="130" ht="45" customHeight="1">
      <c r="A130" s="91" t="inlineStr">
        <is>
          <t>Patricia Roth</t>
        </is>
      </c>
      <c r="B130" s="3" t="n"/>
      <c r="C130" s="3" t="n"/>
      <c r="D130" s="4" t="n"/>
      <c r="E130" s="92" t="n">
        <v>207631.742363</v>
      </c>
      <c r="F130" s="91" t="inlineStr">
        <is>
          <t>Account Total</t>
        </is>
      </c>
      <c r="G130" s="91" t="inlineStr">
        <is>
          <t>Sources:</t>
        </is>
      </c>
      <c r="H130" s="74" t="inlineStr">
        <is>
          <t>cash, fresh_cache_24h_from_yahoo</t>
        </is>
      </c>
    </row>
    <row r="131" ht="45" customHeight="1">
      <c r="A131" s="33" t="inlineStr"/>
      <c r="B131" s="12" t="inlineStr">
        <is>
          <t>CASH</t>
        </is>
      </c>
      <c r="C131" s="93" t="n">
        <v>226.45</v>
      </c>
      <c r="D131" s="78" t="n">
        <v>1</v>
      </c>
      <c r="E131" s="78" t="n">
        <v>226.45</v>
      </c>
      <c r="F131" s="79" t="n">
        <v>8.107721805805636e-05</v>
      </c>
      <c r="G131" s="12" t="inlineStr">
        <is>
          <t>Cash</t>
        </is>
      </c>
      <c r="H131" s="12" t="inlineStr">
        <is>
          <t>cash</t>
        </is>
      </c>
    </row>
    <row r="132" ht="45" customHeight="1">
      <c r="A132" s="33" t="inlineStr"/>
      <c r="B132" s="12" t="inlineStr">
        <is>
          <t>VBR</t>
        </is>
      </c>
      <c r="C132" s="93" t="n">
        <v>379.9135</v>
      </c>
      <c r="D132" s="78" t="n">
        <v>243.59</v>
      </c>
      <c r="E132" s="78" t="n">
        <v>92543.12946500001</v>
      </c>
      <c r="F132" s="79" t="n">
        <v>0.03313375794837159</v>
      </c>
      <c r="G132" s="12" t="inlineStr">
        <is>
          <t>US Small Cap</t>
        </is>
      </c>
      <c r="H132" s="12" t="inlineStr">
        <is>
          <t>fresh_cache_24h_from_yahoo</t>
        </is>
      </c>
    </row>
    <row r="133" ht="45" customHeight="1">
      <c r="A133" s="33" t="inlineStr"/>
      <c r="B133" s="12" t="inlineStr">
        <is>
          <t>VTI</t>
        </is>
      </c>
      <c r="C133" s="93" t="n">
        <v>118.4525</v>
      </c>
      <c r="D133" s="78" t="n">
        <v>371.86</v>
      </c>
      <c r="E133" s="78" t="n">
        <v>44047.74665000001</v>
      </c>
      <c r="F133" s="79" t="n">
        <v>0.01577067237848564</v>
      </c>
      <c r="G133" s="12" t="inlineStr">
        <is>
          <t>US Large Cap</t>
        </is>
      </c>
      <c r="H133" s="12" t="inlineStr">
        <is>
          <t>fresh_cache_24h_from_yahoo</t>
        </is>
      </c>
    </row>
    <row r="134" ht="45" customHeight="1">
      <c r="A134" s="33" t="inlineStr"/>
      <c r="B134" s="12" t="inlineStr">
        <is>
          <t>VXUS</t>
        </is>
      </c>
      <c r="C134" s="93" t="n">
        <v>821.7035999999999</v>
      </c>
      <c r="D134" s="78" t="n">
        <v>86.18000000000001</v>
      </c>
      <c r="E134" s="78" t="n">
        <v>70814.41624799999</v>
      </c>
      <c r="F134" s="79" t="n">
        <v>0.02535409965905527</v>
      </c>
      <c r="G134" s="12" t="inlineStr">
        <is>
          <t>International</t>
        </is>
      </c>
      <c r="H134" s="12" t="inlineStr">
        <is>
          <t>fresh_cache_24h_from_yahoo</t>
        </is>
      </c>
    </row>
    <row r="135"/>
    <row r="136" ht="45" customHeight="1">
      <c r="A136" s="91" t="inlineStr">
        <is>
          <t>Patricia Trust</t>
        </is>
      </c>
      <c r="B136" s="3" t="n"/>
      <c r="C136" s="3" t="n"/>
      <c r="D136" s="4" t="n"/>
      <c r="E136" s="92" t="n">
        <v>335587.726746</v>
      </c>
      <c r="F136" s="91" t="inlineStr">
        <is>
          <t>Account Total</t>
        </is>
      </c>
      <c r="G136" s="91" t="inlineStr">
        <is>
          <t>Sources:</t>
        </is>
      </c>
      <c r="H136" s="74" t="inlineStr">
        <is>
          <t>cash, fresh_cache_24h_from_yahoo</t>
        </is>
      </c>
    </row>
    <row r="137" ht="45" customHeight="1">
      <c r="A137" s="33" t="inlineStr"/>
      <c r="B137" s="12" t="inlineStr">
        <is>
          <t>CASH</t>
        </is>
      </c>
      <c r="C137" s="93" t="n">
        <v>4870.67</v>
      </c>
      <c r="D137" s="78" t="n">
        <v>1</v>
      </c>
      <c r="E137" s="78" t="n">
        <v>4870.67</v>
      </c>
      <c r="F137" s="79" t="n">
        <v>0.001743874469767425</v>
      </c>
      <c r="G137" s="12" t="inlineStr">
        <is>
          <t>Cash</t>
        </is>
      </c>
      <c r="H137" s="12" t="inlineStr">
        <is>
          <t>cash</t>
        </is>
      </c>
    </row>
    <row r="138" ht="45" customHeight="1">
      <c r="A138" s="33" t="inlineStr"/>
      <c r="B138" s="12" t="inlineStr">
        <is>
          <t>VTI</t>
        </is>
      </c>
      <c r="C138" s="93" t="n">
        <v>677.3749999999999</v>
      </c>
      <c r="D138" s="78" t="n">
        <v>371.86</v>
      </c>
      <c r="E138" s="78" t="n">
        <v>251888.6675</v>
      </c>
      <c r="F138" s="79" t="n">
        <v>0.09018517297968981</v>
      </c>
      <c r="G138" s="12" t="inlineStr">
        <is>
          <t>US Large Cap</t>
        </is>
      </c>
      <c r="H138" s="12" t="inlineStr">
        <is>
          <t>fresh_cache_24h_from_yahoo</t>
        </is>
      </c>
    </row>
    <row r="139" ht="45" customHeight="1">
      <c r="A139" s="33" t="inlineStr"/>
      <c r="B139" s="12" t="inlineStr">
        <is>
          <t>VXUS</t>
        </is>
      </c>
      <c r="C139" s="93" t="n">
        <v>914.6947</v>
      </c>
      <c r="D139" s="78" t="n">
        <v>86.18000000000001</v>
      </c>
      <c r="E139" s="78" t="n">
        <v>78828.38924600001</v>
      </c>
      <c r="F139" s="79" t="n">
        <v>0.02822338928709776</v>
      </c>
      <c r="G139" s="12" t="inlineStr">
        <is>
          <t>International</t>
        </is>
      </c>
      <c r="H139" s="12" t="inlineStr">
        <is>
          <t>fresh_cache_24h_from_yahoo</t>
        </is>
      </c>
    </row>
    <row r="140" ht="30" customHeight="1">
      <c r="A140" s="2" t="inlineStr">
        <is>
          <t>TOTAL</t>
        </is>
      </c>
      <c r="E140" s="82" t="n">
        <v>2793016.403669001</v>
      </c>
      <c r="F140" s="83"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Matthew HSA — HSA — Sells $32,706 | Security Buys $32,706 | Ending Cash After Trades $280</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Matthew HSA</t>
        </is>
      </c>
      <c r="B148" s="12" t="inlineStr">
        <is>
          <t>HSA</t>
        </is>
      </c>
      <c r="C148" s="2" t="inlineStr">
        <is>
          <t>ITOT</t>
        </is>
      </c>
      <c r="D148" s="94" t="inlineStr">
        <is>
          <t>SELL</t>
        </is>
      </c>
      <c r="E148" s="78" t="n">
        <v>32706</v>
      </c>
      <c r="F148" s="95" t="n">
        <v>198.04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Matthew HSA</t>
        </is>
      </c>
      <c r="B149" s="12" t="inlineStr">
        <is>
          <t>HSA</t>
        </is>
      </c>
      <c r="C149" s="2" t="inlineStr">
        <is>
          <t>VWO</t>
        </is>
      </c>
      <c r="D149" s="91" t="inlineStr">
        <is>
          <t>BUY</t>
        </is>
      </c>
      <c r="E149" s="78" t="n">
        <v>32706</v>
      </c>
      <c r="F149" s="95" t="n">
        <v>544.14</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Matthew HSA Subtotal</t>
        </is>
      </c>
      <c r="D150" s="11" t="inlineStr">
        <is>
          <t>SELL</t>
        </is>
      </c>
      <c r="E150" s="30" t="n">
        <v>32706</v>
      </c>
      <c r="F150" s="11" t="inlineStr">
        <is>
          <t>SECURITY BUY</t>
        </is>
      </c>
      <c r="G150" s="30" t="n">
        <v>32706</v>
      </c>
      <c r="H150" s="11" t="inlineStr">
        <is>
          <t>Ending Cash After Trades</t>
        </is>
      </c>
      <c r="I150" s="30" t="n">
        <v>279.5899999999965</v>
      </c>
      <c r="J150" s="96" t="inlineStr">
        <is>
          <t>Beginning cash $280; cash change $-0. CASH target/hold rows are not counted as security buys.</t>
        </is>
      </c>
    </row>
    <row r="151"/>
    <row r="152" ht="15" customHeight="1">
      <c r="A152" s="10" t="inlineStr">
        <is>
          <t>Matthew IRA — Tax-deferred — Sells $154,579 | Security Buys $0 | Ending Cash After Trades $154,646</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Matthew IRA</t>
        </is>
      </c>
      <c r="B154" s="12" t="inlineStr">
        <is>
          <t>Tax-deferred</t>
        </is>
      </c>
      <c r="C154" s="2" t="inlineStr">
        <is>
          <t>ITOT</t>
        </is>
      </c>
      <c r="D154" s="94" t="inlineStr">
        <is>
          <t>SELL</t>
        </is>
      </c>
      <c r="E154" s="78" t="n">
        <v>48660</v>
      </c>
      <c r="F154" s="95" t="n">
        <v>294.64</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Matthew IRA</t>
        </is>
      </c>
      <c r="B155" s="12" t="inlineStr">
        <is>
          <t>Tax-deferred</t>
        </is>
      </c>
      <c r="C155" s="2" t="inlineStr">
        <is>
          <t>AVUV</t>
        </is>
      </c>
      <c r="D155" s="94" t="inlineStr">
        <is>
          <t>SELL</t>
        </is>
      </c>
      <c r="E155" s="78" t="n">
        <v>105919</v>
      </c>
      <c r="F155" s="95" t="n">
        <v>855.08</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Matthew IRA</t>
        </is>
      </c>
      <c r="B156" s="12" t="inlineStr">
        <is>
          <t>Tax-deferred</t>
        </is>
      </c>
      <c r="C156" s="2" t="inlineStr">
        <is>
          <t>CASH</t>
        </is>
      </c>
      <c r="D156" s="91" t="inlineStr">
        <is>
          <t>BUY</t>
        </is>
      </c>
      <c r="E156" s="78" t="n">
        <v>154579</v>
      </c>
      <c r="F156" s="95" t="n">
        <v>154578.92</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Matthew IRA Subtotal</t>
        </is>
      </c>
      <c r="D157" s="11" t="inlineStr">
        <is>
          <t>SELL</t>
        </is>
      </c>
      <c r="E157" s="30" t="n">
        <v>154579</v>
      </c>
      <c r="F157" s="11" t="inlineStr">
        <is>
          <t>SECURITY BUY</t>
        </is>
      </c>
      <c r="G157" s="30" t="n">
        <v>0</v>
      </c>
      <c r="H157" s="11" t="inlineStr">
        <is>
          <t>Ending Cash After Trades</t>
        </is>
      </c>
      <c r="I157" s="30" t="n">
        <v>154646.36</v>
      </c>
      <c r="J157" s="96" t="inlineStr">
        <is>
          <t>Beginning cash $67; cash change $154,579. CASH target/hold rows are not counted as security buys.</t>
        </is>
      </c>
    </row>
    <row r="158"/>
    <row r="159" ht="15" customHeight="1">
      <c r="A159" s="10" t="inlineStr">
        <is>
          <t>Matthew Roth — Tax-free (Roth) — Sells $48,424 | Security Buys $48,424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Matthew Roth</t>
        </is>
      </c>
      <c r="B161" s="12" t="inlineStr">
        <is>
          <t>Tax-free (Roth)</t>
        </is>
      </c>
      <c r="C161" s="2" t="inlineStr">
        <is>
          <t>IXUS</t>
        </is>
      </c>
      <c r="D161" s="94" t="inlineStr">
        <is>
          <t>SELL</t>
        </is>
      </c>
      <c r="E161" s="78" t="n">
        <v>19817</v>
      </c>
      <c r="F161" s="95" t="n">
        <v>206.01</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Matthew Roth</t>
        </is>
      </c>
      <c r="B162" s="12" t="inlineStr">
        <is>
          <t>Tax-free (Roth)</t>
        </is>
      </c>
      <c r="C162" s="2" t="inlineStr">
        <is>
          <t>ITOT</t>
        </is>
      </c>
      <c r="D162" s="94" t="inlineStr">
        <is>
          <t>SELL</t>
        </is>
      </c>
      <c r="E162" s="78" t="n">
        <v>28607</v>
      </c>
      <c r="F162" s="95" t="n">
        <v>173.22</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Matthew Roth</t>
        </is>
      </c>
      <c r="B163" s="12" t="inlineStr">
        <is>
          <t>Tax-free (Roth)</t>
        </is>
      </c>
      <c r="C163" s="2" t="inlineStr">
        <is>
          <t>VWO</t>
        </is>
      </c>
      <c r="D163" s="91" t="inlineStr">
        <is>
          <t>BUY</t>
        </is>
      </c>
      <c r="E163" s="78" t="n">
        <v>48424</v>
      </c>
      <c r="F163" s="95" t="n">
        <v>805.65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Matthew Roth Subtotal</t>
        </is>
      </c>
      <c r="D164" s="11" t="inlineStr">
        <is>
          <t>SELL</t>
        </is>
      </c>
      <c r="E164" s="30" t="n">
        <v>48424</v>
      </c>
      <c r="F164" s="11" t="inlineStr">
        <is>
          <t>SECURITY BUY</t>
        </is>
      </c>
      <c r="G164" s="30" t="n">
        <v>48424</v>
      </c>
      <c r="H164" s="11" t="inlineStr">
        <is>
          <t>Ending Cash After Trades</t>
        </is>
      </c>
      <c r="I164" s="30" t="n">
        <v>10.08999999999651</v>
      </c>
      <c r="J164" s="96" t="inlineStr">
        <is>
          <t>Beginning cash $10; cash change $-0. CASH target/hold rows are not counted as security buys.</t>
        </is>
      </c>
    </row>
    <row r="165"/>
    <row r="166" ht="15" customHeight="1">
      <c r="A166" s="10" t="inlineStr">
        <is>
          <t>Patricia IRA — Tax-deferred — Sells $179,786 | Security Buys $179,787 | Ending Cash After Trades $181</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Patricia IRA</t>
        </is>
      </c>
      <c r="B168" s="12" t="inlineStr">
        <is>
          <t>Tax-deferred</t>
        </is>
      </c>
      <c r="C168" s="2" t="inlineStr">
        <is>
          <t>VXUS</t>
        </is>
      </c>
      <c r="D168" s="94" t="inlineStr">
        <is>
          <t>SELL</t>
        </is>
      </c>
      <c r="E168" s="78" t="n">
        <v>149865</v>
      </c>
      <c r="F168" s="95" t="n">
        <v>1738.98</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Patricia IRA</t>
        </is>
      </c>
      <c r="B169" s="12" t="inlineStr">
        <is>
          <t>Tax-deferred</t>
        </is>
      </c>
      <c r="C169" s="2" t="inlineStr">
        <is>
          <t>VBR</t>
        </is>
      </c>
      <c r="D169" s="94" t="inlineStr">
        <is>
          <t>SELL</t>
        </is>
      </c>
      <c r="E169" s="78" t="n">
        <v>29921</v>
      </c>
      <c r="F169" s="95" t="n">
        <v>122.83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Patricia IRA</t>
        </is>
      </c>
      <c r="B170" s="12" t="inlineStr">
        <is>
          <t>Tax-deferred</t>
        </is>
      </c>
      <c r="C170" s="2" t="inlineStr">
        <is>
          <t>PDBC</t>
        </is>
      </c>
      <c r="D170" s="91" t="inlineStr">
        <is>
          <t>BUY</t>
        </is>
      </c>
      <c r="E170" s="78" t="n">
        <v>5223</v>
      </c>
      <c r="F170" s="95" t="n">
        <v>324</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Patricia IRA</t>
        </is>
      </c>
      <c r="B171" s="12" t="inlineStr">
        <is>
          <t>Tax-deferred</t>
        </is>
      </c>
      <c r="C171" s="2" t="inlineStr">
        <is>
          <t>VO</t>
        </is>
      </c>
      <c r="D171" s="91" t="inlineStr">
        <is>
          <t>BUY</t>
        </is>
      </c>
      <c r="E171" s="78" t="n">
        <v>174564</v>
      </c>
      <c r="F171" s="95" t="n">
        <v>2158.17</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Patricia IRA Subtotal</t>
        </is>
      </c>
      <c r="D172" s="11" t="inlineStr">
        <is>
          <t>SELL</t>
        </is>
      </c>
      <c r="E172" s="30" t="n">
        <v>179786</v>
      </c>
      <c r="F172" s="11" t="inlineStr">
        <is>
          <t>SECURITY BUY</t>
        </is>
      </c>
      <c r="G172" s="30" t="n">
        <v>179787</v>
      </c>
      <c r="H172" s="11" t="inlineStr">
        <is>
          <t>Ending Cash After Trades</t>
        </is>
      </c>
      <c r="I172" s="30" t="n">
        <v>181.3099999999977</v>
      </c>
      <c r="J172" s="96" t="inlineStr">
        <is>
          <t>Beginning cash $182; cash change $-1. CASH target/hold rows are not counted as security buys.</t>
        </is>
      </c>
    </row>
    <row r="173"/>
    <row r="174" ht="15" customHeight="1">
      <c r="A174" s="10" t="inlineStr">
        <is>
          <t>Patricia Roth — Tax-free (Roth) — Sells $93,434 | Security Buys $93,434 | Ending Cash After Trades $226</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Patricia Roth</t>
        </is>
      </c>
      <c r="B176" s="12" t="inlineStr">
        <is>
          <t>Tax-free (Roth)</t>
        </is>
      </c>
      <c r="C176" s="2" t="inlineStr">
        <is>
          <t>VXUS</t>
        </is>
      </c>
      <c r="D176" s="94" t="inlineStr">
        <is>
          <t>SELL</t>
        </is>
      </c>
      <c r="E176" s="78" t="n">
        <v>56634</v>
      </c>
      <c r="F176" s="95" t="n">
        <v>657.16</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Patricia Roth</t>
        </is>
      </c>
      <c r="B177" s="12" t="inlineStr">
        <is>
          <t>Tax-free (Roth)</t>
        </is>
      </c>
      <c r="C177" s="2" t="inlineStr">
        <is>
          <t>VTI</t>
        </is>
      </c>
      <c r="D177" s="94" t="inlineStr">
        <is>
          <t>SELL</t>
        </is>
      </c>
      <c r="E177" s="78" t="n">
        <v>36800</v>
      </c>
      <c r="F177" s="95" t="n">
        <v>98.95999999999999</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Patricia Roth</t>
        </is>
      </c>
      <c r="B178" s="12" t="inlineStr">
        <is>
          <t>Tax-free (Roth)</t>
        </is>
      </c>
      <c r="C178" s="2" t="inlineStr">
        <is>
          <t>VWO</t>
        </is>
      </c>
      <c r="D178" s="91" t="inlineStr">
        <is>
          <t>BUY</t>
        </is>
      </c>
      <c r="E178" s="78" t="n">
        <v>93434</v>
      </c>
      <c r="F178" s="95" t="n">
        <v>1554.52</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Patricia Roth Subtotal</t>
        </is>
      </c>
      <c r="D179" s="11" t="inlineStr">
        <is>
          <t>SELL</t>
        </is>
      </c>
      <c r="E179" s="30" t="n">
        <v>93434</v>
      </c>
      <c r="F179" s="11" t="inlineStr">
        <is>
          <t>SECURITY BUY</t>
        </is>
      </c>
      <c r="G179" s="30" t="n">
        <v>93434</v>
      </c>
      <c r="H179" s="11" t="inlineStr">
        <is>
          <t>Ending Cash After Trades</t>
        </is>
      </c>
      <c r="I179" s="30" t="n">
        <v>226.4499999999971</v>
      </c>
      <c r="J179" s="96" t="inlineStr">
        <is>
          <t>Beginning cash $226; cash change $-0. CASH target/hold rows are not counted as security buys.</t>
        </is>
      </c>
    </row>
    <row r="180"/>
    <row r="181" ht="15" customHeight="1">
      <c r="A181" s="2" t="inlineStr">
        <is>
          <t>Grand Total</t>
        </is>
      </c>
      <c r="D181" s="2" t="inlineStr">
        <is>
          <t>SELL</t>
        </is>
      </c>
      <c r="E181" s="82" t="n">
        <v>508929</v>
      </c>
    </row>
    <row r="182" ht="30" customHeight="1">
      <c r="D182" s="2" t="inlineStr">
        <is>
          <t>SECURITY BUY</t>
        </is>
      </c>
      <c r="E182" s="82" t="n">
        <v>354351</v>
      </c>
    </row>
    <row r="183" ht="90" customHeight="1">
      <c r="D183" s="2" t="inlineStr">
        <is>
          <t>Cash Change</t>
        </is>
      </c>
      <c r="E183" s="82" t="n">
        <v>154578</v>
      </c>
      <c r="G183" s="12" t="inlineStr">
        <is>
          <t>Change in cash = sells minus non-cash security buys; CASH target/hold rows are not counted as buys.</t>
        </is>
      </c>
    </row>
    <row r="184" ht="90" customHeight="1">
      <c r="D184" s="2" t="inlineStr">
        <is>
          <t>Ending Cash After Trades</t>
        </is>
      </c>
      <c r="E184" s="92" t="n">
        <v>174562.61</v>
      </c>
      <c r="G184" s="12" t="inlineStr">
        <is>
          <t>This should reconcile to the Cash row in Total Portfolio Mix after trades. No cross-account transfers are assumed. Includes $19,219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5"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Matthew Trust</t>
        </is>
      </c>
      <c r="B200" s="2" t="inlineStr">
        <is>
          <t>ITOT</t>
        </is>
      </c>
      <c r="C200" s="78" t="n">
        <v>107000</v>
      </c>
      <c r="D200" s="12" t="inlineStr">
        <is>
          <t>US Large Cap</t>
        </is>
      </c>
      <c r="E200" s="78" t="n">
        <v>2332</v>
      </c>
      <c r="F200" s="79" t="n">
        <v>0.02179775700510777</v>
      </c>
      <c r="G200" s="12" t="inlineStr">
        <is>
          <t>Deferred: estimated tax drag 2.2% exceeds 1.5%; use contributions, dividends, tax-advantaged accounts, or staged sales first. Taxable gain sale allowed only when low-drag or drift threshold is large.</t>
        </is>
      </c>
      <c r="H200" s="3" t="n"/>
      <c r="I200" s="3" t="n"/>
      <c r="J200" s="4" t="n"/>
    </row>
    <row r="201" ht="60" customHeight="1">
      <c r="A201" s="12" t="inlineStr">
        <is>
          <t>Matthew Trust</t>
        </is>
      </c>
      <c r="B201" s="2" t="inlineStr">
        <is>
          <t>IXUS</t>
        </is>
      </c>
      <c r="C201" s="78" t="n">
        <v>92838</v>
      </c>
      <c r="D201" s="12" t="inlineStr">
        <is>
          <t>International</t>
        </is>
      </c>
      <c r="E201" s="78" t="n">
        <v>1803</v>
      </c>
      <c r="F201" s="79" t="n">
        <v>0.01942249694430744</v>
      </c>
      <c r="G201" s="12" t="inlineStr">
        <is>
          <t>Deferred: estimated tax drag 1.9% exceeds 1.5%; use contributions, dividends, tax-advantaged accounts, or staged sales first. Taxable gain sale allowed only when low-drag or drift threshold is large.</t>
        </is>
      </c>
      <c r="H201" s="3" t="n"/>
      <c r="I201" s="3" t="n"/>
      <c r="J201" s="4" t="n"/>
    </row>
    <row r="202" ht="60" customHeight="1">
      <c r="A202" s="12" t="inlineStr">
        <is>
          <t>Patricia Trust</t>
        </is>
      </c>
      <c r="B202" s="2" t="inlineStr">
        <is>
          <t>VTI</t>
        </is>
      </c>
      <c r="C202" s="78" t="n">
        <v>146773</v>
      </c>
      <c r="D202" s="12" t="inlineStr">
        <is>
          <t>US Large Cap</t>
        </is>
      </c>
      <c r="E202" s="78" t="n">
        <v>5136</v>
      </c>
      <c r="F202" s="79" t="n">
        <v>0.02039101350023222</v>
      </c>
      <c r="G202" s="12" t="inlineStr">
        <is>
          <t>Deferred: estimated tax drag 2.0% exceeds 1.5%; use contributions, dividends, tax-advantaged accounts, or staged sales first. Taxable gain sale allowed only when low-drag or drift threshold is large.</t>
        </is>
      </c>
      <c r="H202" s="3" t="n"/>
      <c r="I202" s="3" t="n"/>
      <c r="J202" s="4" t="n"/>
    </row>
    <row r="203" ht="60" customHeight="1">
      <c r="A203" s="12" t="inlineStr">
        <is>
          <t>Patricia Trust</t>
        </is>
      </c>
      <c r="B203" s="2" t="inlineStr">
        <is>
          <t>VXUS</t>
        </is>
      </c>
      <c r="C203" s="78" t="n">
        <v>78828</v>
      </c>
      <c r="D203" s="12" t="inlineStr">
        <is>
          <t>International</t>
        </is>
      </c>
      <c r="E203" s="78" t="n">
        <v>1767</v>
      </c>
      <c r="F203" s="79" t="n">
        <v>0.02241777248500195</v>
      </c>
      <c r="G203" s="12" t="inlineStr">
        <is>
          <t>Deferred: estimated tax drag 2.2%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Matthew 401k  —  Total: $14,966</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7" t="inlineStr"/>
      <c r="E212" s="5" t="inlineStr">
        <is>
          <t>After $</t>
        </is>
      </c>
      <c r="F212" s="5" t="inlineStr">
        <is>
          <t>After %</t>
        </is>
      </c>
      <c r="G212" s="97" t="inlineStr"/>
      <c r="H212" s="5" t="inlineStr">
        <is>
          <t>Target %</t>
        </is>
      </c>
      <c r="I212" s="5" t="inlineStr">
        <is>
          <t>Delta pp</t>
        </is>
      </c>
      <c r="J212" s="5" t="inlineStr">
        <is>
          <t>Status</t>
        </is>
      </c>
    </row>
    <row r="213" ht="30" customHeight="1">
      <c r="A213" s="12" t="inlineStr">
        <is>
          <t>US Small Cap</t>
        </is>
      </c>
      <c r="B213" s="78" t="n">
        <v>10900.56</v>
      </c>
      <c r="C213" s="79" t="n">
        <v>0.7283510444952853</v>
      </c>
      <c r="D213" s="98" t="inlineStr"/>
      <c r="E213" s="78" t="n">
        <v>10900.56</v>
      </c>
      <c r="F213" s="79" t="n">
        <v>0.7283510444952853</v>
      </c>
      <c r="G213" s="33" t="inlineStr"/>
      <c r="H213" s="79" t="n">
        <v>0.06666666666666667</v>
      </c>
      <c r="I213" s="99" t="n">
        <v>0.6616843778286187</v>
      </c>
      <c r="J213" s="12" t="inlineStr">
        <is>
          <t>Over +66.2%</t>
        </is>
      </c>
    </row>
    <row r="214" ht="45" customHeight="1">
      <c r="A214" s="12" t="inlineStr">
        <is>
          <t>Cash</t>
        </is>
      </c>
      <c r="B214" s="78" t="n">
        <v>4065.52</v>
      </c>
      <c r="C214" s="79" t="n">
        <v>0.2716489555047146</v>
      </c>
      <c r="D214" s="98" t="inlineStr"/>
      <c r="E214" s="78" t="n">
        <v>4065.52</v>
      </c>
      <c r="F214" s="79" t="n">
        <v>0.2716489555047146</v>
      </c>
      <c r="G214" s="33" t="inlineStr"/>
      <c r="H214" s="63" t="inlineStr"/>
      <c r="I214" s="63" t="inlineStr"/>
      <c r="J214" s="33" t="inlineStr"/>
    </row>
    <row r="215"/>
    <row r="216" ht="15" customHeight="1">
      <c r="A216" s="10" t="inlineStr">
        <is>
          <t>Matthew HSA  —  Total: $72,679</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7" t="inlineStr"/>
      <c r="E217" s="5" t="inlineStr">
        <is>
          <t>After $</t>
        </is>
      </c>
      <c r="F217" s="5" t="inlineStr">
        <is>
          <t>After %</t>
        </is>
      </c>
      <c r="G217" s="97" t="inlineStr"/>
      <c r="H217" s="5" t="inlineStr">
        <is>
          <t>Target %</t>
        </is>
      </c>
      <c r="I217" s="5" t="inlineStr">
        <is>
          <t>Delta pp</t>
        </is>
      </c>
      <c r="J217" s="5" t="inlineStr">
        <is>
          <t>Status</t>
        </is>
      </c>
    </row>
    <row r="218" ht="30" customHeight="1">
      <c r="A218" s="12" t="inlineStr">
        <is>
          <t>US Large Cap</t>
        </is>
      </c>
      <c r="B218" s="78" t="n">
        <v>72399.77820000002</v>
      </c>
      <c r="C218" s="79" t="n">
        <v>0.9961531035983883</v>
      </c>
      <c r="D218" s="41" t="inlineStr">
        <is>
          <t>→</t>
        </is>
      </c>
      <c r="E218" s="80" t="n">
        <v>39693.77820000002</v>
      </c>
      <c r="F218" s="81" t="n">
        <v>0.5461491917592097</v>
      </c>
      <c r="G218" s="33" t="inlineStr"/>
      <c r="H218" s="79" t="n">
        <v>0.4666666666666666</v>
      </c>
      <c r="I218" s="99" t="n">
        <v>0.07948252509254311</v>
      </c>
      <c r="J218" s="12" t="inlineStr">
        <is>
          <t>Over +7.9%</t>
        </is>
      </c>
    </row>
    <row r="219" ht="45" customHeight="1">
      <c r="A219" s="12" t="inlineStr">
        <is>
          <t>Cash</t>
        </is>
      </c>
      <c r="B219" s="78" t="n">
        <v>279.59</v>
      </c>
      <c r="C219" s="79" t="n">
        <v>0.003846896401611812</v>
      </c>
      <c r="D219" s="98" t="inlineStr"/>
      <c r="E219" s="78" t="n">
        <v>279.5899999999965</v>
      </c>
      <c r="F219" s="79" t="n">
        <v>0.003846896401611764</v>
      </c>
      <c r="G219" s="33" t="inlineStr"/>
      <c r="H219" s="63" t="inlineStr"/>
      <c r="I219" s="63" t="inlineStr"/>
      <c r="J219" s="33" t="inlineStr"/>
    </row>
    <row r="220" ht="45" customHeight="1">
      <c r="A220" s="12" t="inlineStr">
        <is>
          <t>Emerging Markets</t>
        </is>
      </c>
      <c r="B220" s="78" t="n">
        <v>0</v>
      </c>
      <c r="C220" s="79" t="n">
        <v>0</v>
      </c>
      <c r="D220" s="41" t="inlineStr">
        <is>
          <t>→</t>
        </is>
      </c>
      <c r="E220" s="80" t="n">
        <v>32706</v>
      </c>
      <c r="F220" s="81" t="n">
        <v>0.4500039118391785</v>
      </c>
      <c r="G220" s="33" t="inlineStr"/>
      <c r="H220" s="79" t="n">
        <v>0.06666666666666667</v>
      </c>
      <c r="I220" s="99" t="n">
        <v>0.3833372451725119</v>
      </c>
      <c r="J220" s="12" t="inlineStr">
        <is>
          <t>Over +38.3%</t>
        </is>
      </c>
    </row>
    <row r="221"/>
    <row r="222" ht="15" customHeight="1">
      <c r="A222" s="10" t="inlineStr">
        <is>
          <t>Matthew IRA  —  Total: $1,346,551</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7" t="inlineStr"/>
      <c r="E223" s="5" t="inlineStr">
        <is>
          <t>After $</t>
        </is>
      </c>
      <c r="F223" s="5" t="inlineStr">
        <is>
          <t>After %</t>
        </is>
      </c>
      <c r="G223" s="97" t="inlineStr"/>
      <c r="H223" s="5" t="inlineStr">
        <is>
          <t>Target %</t>
        </is>
      </c>
      <c r="I223" s="5" t="inlineStr">
        <is>
          <t>Delta pp</t>
        </is>
      </c>
      <c r="J223" s="5" t="inlineStr">
        <is>
          <t>Status</t>
        </is>
      </c>
    </row>
    <row r="224" ht="45" customHeight="1">
      <c r="A224" s="12" t="inlineStr">
        <is>
          <t>US Large Cap</t>
        </is>
      </c>
      <c r="B224" s="78" t="n">
        <v>649041.97725</v>
      </c>
      <c r="C224" s="79" t="n">
        <v>0.4820031292959134</v>
      </c>
      <c r="D224" s="41" t="inlineStr">
        <is>
          <t>→</t>
        </is>
      </c>
      <c r="E224" s="80" t="n">
        <v>600381.97725</v>
      </c>
      <c r="F224" s="81" t="n">
        <v>0.445866372208313</v>
      </c>
      <c r="G224" s="33" t="inlineStr"/>
      <c r="H224" s="79" t="n">
        <v>0.4666666666666666</v>
      </c>
      <c r="I224" s="99" t="n">
        <v>-0.02080029445835363</v>
      </c>
      <c r="J224" s="12" t="inlineStr">
        <is>
          <t>Under -2.1%</t>
        </is>
      </c>
    </row>
    <row r="225" ht="30" customHeight="1">
      <c r="A225" s="12" t="inlineStr">
        <is>
          <t>International</t>
        </is>
      </c>
      <c r="B225" s="78" t="n">
        <v>475781.43195</v>
      </c>
      <c r="C225" s="79" t="n">
        <v>0.3533332929134372</v>
      </c>
      <c r="D225" s="98" t="inlineStr"/>
      <c r="E225" s="78" t="n">
        <v>475781.43195</v>
      </c>
      <c r="F225" s="79" t="n">
        <v>0.3533332929134372</v>
      </c>
      <c r="G225" s="33" t="inlineStr"/>
      <c r="H225" s="79" t="n">
        <v>0.2666666666666667</v>
      </c>
      <c r="I225" s="99" t="n">
        <v>0.08666662624677052</v>
      </c>
      <c r="J225" s="12" t="inlineStr">
        <is>
          <t>Over +8.7%</t>
        </is>
      </c>
    </row>
    <row r="226" ht="45" customHeight="1">
      <c r="A226" s="12" t="inlineStr">
        <is>
          <t>US Small Cap</t>
        </is>
      </c>
      <c r="B226" s="78" t="n">
        <v>105919.00734</v>
      </c>
      <c r="C226" s="79" t="n">
        <v>0.07865946237577782</v>
      </c>
      <c r="D226" s="41" t="inlineStr">
        <is>
          <t>→</t>
        </is>
      </c>
      <c r="E226" s="80" t="n">
        <v>0.007339999996474944</v>
      </c>
      <c r="F226" s="81" t="n">
        <v>5.450961711787983e-09</v>
      </c>
      <c r="G226" s="33" t="inlineStr"/>
      <c r="H226" s="79" t="n">
        <v>0.06666666666666667</v>
      </c>
      <c r="I226" s="99" t="n">
        <v>-0.06666666121570496</v>
      </c>
      <c r="J226" s="12" t="inlineStr">
        <is>
          <t>Under -6.7%</t>
        </is>
      </c>
    </row>
    <row r="227" ht="45" customHeight="1">
      <c r="A227" s="12" t="inlineStr">
        <is>
          <t>Commodities</t>
        </is>
      </c>
      <c r="B227" s="78" t="n">
        <v>115741.6</v>
      </c>
      <c r="C227" s="79" t="n">
        <v>0.08595409133025517</v>
      </c>
      <c r="D227" s="98" t="inlineStr"/>
      <c r="E227" s="78" t="n">
        <v>115741.6</v>
      </c>
      <c r="F227" s="79" t="n">
        <v>0.08595409133025517</v>
      </c>
      <c r="G227" s="33" t="inlineStr"/>
      <c r="H227" s="79" t="n">
        <v>0.06666666666666667</v>
      </c>
      <c r="I227" s="100" t="n">
        <v>0.0192874246635885</v>
      </c>
      <c r="J227" s="12" t="inlineStr">
        <is>
          <t>✓ On target</t>
        </is>
      </c>
    </row>
    <row r="228" ht="45" customHeight="1">
      <c r="A228" s="12" t="inlineStr">
        <is>
          <t>Cash</t>
        </is>
      </c>
      <c r="B228" s="78" t="n">
        <v>67.36</v>
      </c>
      <c r="C228" s="79" t="n">
        <v>5.002408461612755e-05</v>
      </c>
      <c r="D228" s="41" t="inlineStr">
        <is>
          <t>→</t>
        </is>
      </c>
      <c r="E228" s="80" t="n">
        <v>154646.36</v>
      </c>
      <c r="F228" s="81" t="n">
        <v>0.1148462380970327</v>
      </c>
      <c r="G228" s="33" t="inlineStr"/>
      <c r="H228" s="63" t="inlineStr"/>
      <c r="I228" s="63" t="inlineStr"/>
      <c r="J228" s="33" t="inlineStr"/>
    </row>
    <row r="229"/>
    <row r="230" ht="15" customHeight="1">
      <c r="A230" s="10" t="inlineStr">
        <is>
          <t>Matthew Roth  —  Total: $139,480</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7" t="inlineStr"/>
      <c r="E231" s="5" t="inlineStr">
        <is>
          <t>After $</t>
        </is>
      </c>
      <c r="F231" s="5" t="inlineStr">
        <is>
          <t>After %</t>
        </is>
      </c>
      <c r="G231" s="97" t="inlineStr"/>
      <c r="H231" s="5" t="inlineStr">
        <is>
          <t>Target %</t>
        </is>
      </c>
      <c r="I231" s="5" t="inlineStr">
        <is>
          <t>Delta pp</t>
        </is>
      </c>
      <c r="J231" s="5" t="inlineStr">
        <is>
          <t>Status</t>
        </is>
      </c>
    </row>
    <row r="232" ht="30" customHeight="1">
      <c r="A232" s="12" t="inlineStr">
        <is>
          <t>US Large Cap</t>
        </is>
      </c>
      <c r="B232" s="78" t="n">
        <v>28606.6224</v>
      </c>
      <c r="C232" s="79" t="n">
        <v>0.2050942154017223</v>
      </c>
      <c r="D232" s="41" t="inlineStr">
        <is>
          <t>→</t>
        </is>
      </c>
      <c r="E232" s="80" t="n">
        <v>0</v>
      </c>
      <c r="F232" s="81" t="n">
        <v>0</v>
      </c>
      <c r="G232" s="33" t="inlineStr"/>
      <c r="H232" s="79" t="n">
        <v>0.4666666666666666</v>
      </c>
      <c r="I232" s="99" t="n">
        <v>-0.4666666666666666</v>
      </c>
      <c r="J232" s="12" t="inlineStr">
        <is>
          <t>Under -46.7%</t>
        </is>
      </c>
    </row>
    <row r="233" ht="45" customHeight="1">
      <c r="A233" s="12" t="inlineStr">
        <is>
          <t>International</t>
        </is>
      </c>
      <c r="B233" s="78" t="n">
        <v>48221.01437999999</v>
      </c>
      <c r="C233" s="79" t="n">
        <v>0.3457189377988666</v>
      </c>
      <c r="D233" s="41" t="inlineStr">
        <is>
          <t>→</t>
        </is>
      </c>
      <c r="E233" s="80" t="n">
        <v>28404.01437999999</v>
      </c>
      <c r="F233" s="81" t="n">
        <v>0.2036416240291736</v>
      </c>
      <c r="G233" s="33" t="inlineStr"/>
      <c r="H233" s="79" t="n">
        <v>0.2666666666666667</v>
      </c>
      <c r="I233" s="99" t="n">
        <v>-0.06302504263749306</v>
      </c>
      <c r="J233" s="12" t="inlineStr">
        <is>
          <t>Under -6.3%</t>
        </is>
      </c>
    </row>
    <row r="234" ht="30" customHeight="1">
      <c r="A234" s="12" t="inlineStr">
        <is>
          <t>US Small Cap</t>
        </is>
      </c>
      <c r="B234" s="78" t="n">
        <v>62642.66931</v>
      </c>
      <c r="C234" s="79" t="n">
        <v>0.4491145068843918</v>
      </c>
      <c r="D234" s="98" t="inlineStr"/>
      <c r="E234" s="78" t="n">
        <v>62642.66931</v>
      </c>
      <c r="F234" s="79" t="n">
        <v>0.4491145068843918</v>
      </c>
      <c r="G234" s="33" t="inlineStr"/>
      <c r="H234" s="79" t="n">
        <v>0.06666666666666667</v>
      </c>
      <c r="I234" s="99" t="n">
        <v>0.3824478402177252</v>
      </c>
      <c r="J234" s="12" t="inlineStr">
        <is>
          <t>Over +38.2%</t>
        </is>
      </c>
    </row>
    <row r="235" ht="45" customHeight="1">
      <c r="A235" s="12" t="inlineStr">
        <is>
          <t>Cash</t>
        </is>
      </c>
      <c r="B235" s="78" t="n">
        <v>10.09</v>
      </c>
      <c r="C235" s="79" t="n">
        <v>7.233991501923616e-05</v>
      </c>
      <c r="D235" s="98" t="inlineStr"/>
      <c r="E235" s="78" t="n">
        <v>10.08999999999651</v>
      </c>
      <c r="F235" s="79" t="n">
        <v>7.233991501921113e-05</v>
      </c>
      <c r="G235" s="33" t="inlineStr"/>
      <c r="H235" s="63" t="inlineStr"/>
      <c r="I235" s="63" t="inlineStr"/>
      <c r="J235" s="33" t="inlineStr"/>
    </row>
    <row r="236" ht="45" customHeight="1">
      <c r="A236" s="12" t="inlineStr">
        <is>
          <t>Emerging Markets</t>
        </is>
      </c>
      <c r="B236" s="78" t="n">
        <v>0</v>
      </c>
      <c r="C236" s="79" t="n">
        <v>0</v>
      </c>
      <c r="D236" s="41" t="inlineStr">
        <is>
          <t>→</t>
        </is>
      </c>
      <c r="E236" s="80" t="n">
        <v>48424</v>
      </c>
      <c r="F236" s="81" t="n">
        <v>0.3471742363618922</v>
      </c>
      <c r="G236" s="33" t="inlineStr"/>
      <c r="H236" s="79" t="n">
        <v>0.06666666666666667</v>
      </c>
      <c r="I236" s="99" t="n">
        <v>0.2805075696952255</v>
      </c>
      <c r="J236" s="12" t="inlineStr">
        <is>
          <t>Over +28.1%</t>
        </is>
      </c>
    </row>
    <row r="237"/>
    <row r="238" ht="15" customHeight="1">
      <c r="A238" s="10" t="inlineStr">
        <is>
          <t>Matthew Trust  —  Total: $210,120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7" t="inlineStr"/>
      <c r="E239" s="5" t="inlineStr">
        <is>
          <t>After $</t>
        </is>
      </c>
      <c r="F239" s="5" t="inlineStr">
        <is>
          <t>After %</t>
        </is>
      </c>
      <c r="G239" s="97" t="inlineStr"/>
      <c r="H239" s="5" t="inlineStr">
        <is>
          <t>Target %</t>
        </is>
      </c>
      <c r="I239" s="5" t="inlineStr">
        <is>
          <t>Delta pp</t>
        </is>
      </c>
      <c r="J239" s="5" t="inlineStr">
        <is>
          <t>Status</t>
        </is>
      </c>
    </row>
    <row r="240" ht="30" customHeight="1">
      <c r="A240" s="12" t="inlineStr">
        <is>
          <t>US Large Cap</t>
        </is>
      </c>
      <c r="B240" s="78" t="n">
        <v>107000.0244</v>
      </c>
      <c r="C240" s="79" t="n">
        <v>0.5092321049096301</v>
      </c>
      <c r="D240" s="98" t="inlineStr"/>
      <c r="E240" s="78" t="n">
        <v>107000.0244</v>
      </c>
      <c r="F240" s="79" t="n">
        <v>0.5092321049096301</v>
      </c>
      <c r="G240" s="33" t="inlineStr"/>
      <c r="H240" s="79" t="n">
        <v>0.4666666666666666</v>
      </c>
      <c r="I240" s="99" t="n">
        <v>0.04256543824296349</v>
      </c>
      <c r="J240" s="12" t="inlineStr">
        <is>
          <t>Over +4.3%</t>
        </is>
      </c>
    </row>
    <row r="241" ht="30" customHeight="1">
      <c r="A241" s="12" t="inlineStr">
        <is>
          <t>International</t>
        </is>
      </c>
      <c r="B241" s="78" t="n">
        <v>92837.698305</v>
      </c>
      <c r="C241" s="79" t="n">
        <v>0.4418310817022613</v>
      </c>
      <c r="D241" s="98" t="inlineStr"/>
      <c r="E241" s="78" t="n">
        <v>92837.698305</v>
      </c>
      <c r="F241" s="79" t="n">
        <v>0.4418310817022613</v>
      </c>
      <c r="G241" s="33" t="inlineStr"/>
      <c r="H241" s="79" t="n">
        <v>0.2666666666666667</v>
      </c>
      <c r="I241" s="99" t="n">
        <v>0.1751644150355947</v>
      </c>
      <c r="J241" s="12" t="inlineStr">
        <is>
          <t>Over +17.5%</t>
        </is>
      </c>
    </row>
    <row r="242" ht="45" customHeight="1">
      <c r="A242" s="12" t="inlineStr">
        <is>
          <t>Cash</t>
        </is>
      </c>
      <c r="B242" s="78" t="n">
        <v>10282.62</v>
      </c>
      <c r="C242" s="79" t="n">
        <v>0.04893681338810855</v>
      </c>
      <c r="D242" s="98" t="inlineStr"/>
      <c r="E242" s="78" t="n">
        <v>10282.62</v>
      </c>
      <c r="F242" s="79" t="n">
        <v>0.04893681338810855</v>
      </c>
      <c r="G242" s="33" t="inlineStr"/>
      <c r="H242" s="63" t="inlineStr"/>
      <c r="I242" s="63" t="inlineStr"/>
      <c r="J242" s="33" t="inlineStr"/>
    </row>
    <row r="243"/>
    <row r="244" ht="15" customHeight="1">
      <c r="A244" s="10" t="inlineStr">
        <is>
          <t>Patricia IRA  —  Total: $465,999</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7" t="inlineStr"/>
      <c r="E245" s="5" t="inlineStr">
        <is>
          <t>After $</t>
        </is>
      </c>
      <c r="F245" s="5" t="inlineStr">
        <is>
          <t>After %</t>
        </is>
      </c>
      <c r="G245" s="97" t="inlineStr"/>
      <c r="H245" s="5" t="inlineStr">
        <is>
          <t>Target %</t>
        </is>
      </c>
      <c r="I245" s="5" t="inlineStr">
        <is>
          <t>Delta pp</t>
        </is>
      </c>
      <c r="J245" s="5" t="inlineStr">
        <is>
          <t>Status</t>
        </is>
      </c>
    </row>
    <row r="246" ht="45" customHeight="1">
      <c r="A246" s="12" t="inlineStr">
        <is>
          <t>US Large Cap</t>
        </is>
      </c>
      <c r="B246" s="78" t="n">
        <v>215732.53377</v>
      </c>
      <c r="C246" s="79" t="n">
        <v>0.4629459762906554</v>
      </c>
      <c r="D246" s="98" t="inlineStr"/>
      <c r="E246" s="78" t="n">
        <v>215732.53377</v>
      </c>
      <c r="F246" s="79" t="n">
        <v>0.4629459762906554</v>
      </c>
      <c r="G246" s="33" t="inlineStr"/>
      <c r="H246" s="79" t="n">
        <v>0.4666666666666666</v>
      </c>
      <c r="I246" s="100" t="n">
        <v>-0.003720690376011249</v>
      </c>
      <c r="J246" s="12" t="inlineStr">
        <is>
          <t>✓ On target</t>
        </is>
      </c>
    </row>
    <row r="247" ht="45" customHeight="1">
      <c r="A247" s="12" t="inlineStr">
        <is>
          <t>International</t>
        </is>
      </c>
      <c r="B247" s="78" t="n">
        <v>158087.290682</v>
      </c>
      <c r="C247" s="79" t="n">
        <v>0.3392435709393241</v>
      </c>
      <c r="D247" s="41" t="inlineStr">
        <is>
          <t>→</t>
        </is>
      </c>
      <c r="E247" s="80" t="n">
        <v>8222.290681999992</v>
      </c>
      <c r="F247" s="81" t="n">
        <v>0.01764442442039022</v>
      </c>
      <c r="G247" s="33" t="inlineStr"/>
      <c r="H247" s="79" t="n">
        <v>0.2666666666666667</v>
      </c>
      <c r="I247" s="99" t="n">
        <v>-0.2490222422462764</v>
      </c>
      <c r="J247" s="12" t="inlineStr">
        <is>
          <t>Under -24.9%</t>
        </is>
      </c>
    </row>
    <row r="248" ht="45" customHeight="1">
      <c r="A248" s="12" t="inlineStr">
        <is>
          <t>US Small Cap</t>
        </is>
      </c>
      <c r="B248" s="78" t="n">
        <v>38398.23657299999</v>
      </c>
      <c r="C248" s="79" t="n">
        <v>0.08239976051585701</v>
      </c>
      <c r="D248" s="41" t="inlineStr">
        <is>
          <t>→</t>
        </is>
      </c>
      <c r="E248" s="80" t="n">
        <v>8477.236572999995</v>
      </c>
      <c r="F248" s="81" t="n">
        <v>0.0181915193455169</v>
      </c>
      <c r="G248" s="33" t="inlineStr"/>
      <c r="H248" s="79" t="n">
        <v>0.06666666666666667</v>
      </c>
      <c r="I248" s="99" t="n">
        <v>-0.04847514732114976</v>
      </c>
      <c r="J248" s="12" t="inlineStr">
        <is>
          <t>Under -4.8%</t>
        </is>
      </c>
    </row>
    <row r="249" ht="45" customHeight="1">
      <c r="A249" s="12" t="inlineStr">
        <is>
          <t>Commodities</t>
        </is>
      </c>
      <c r="B249" s="78" t="n">
        <v>53599</v>
      </c>
      <c r="C249" s="79" t="n">
        <v>0.1150194685501507</v>
      </c>
      <c r="D249" s="41" t="inlineStr">
        <is>
          <t>→</t>
        </is>
      </c>
      <c r="E249" s="80" t="n">
        <v>58822</v>
      </c>
      <c r="F249" s="81" t="n">
        <v>0.126227638184611</v>
      </c>
      <c r="G249" s="33" t="inlineStr"/>
      <c r="H249" s="79" t="n">
        <v>0.06666666666666667</v>
      </c>
      <c r="I249" s="99" t="n">
        <v>0.05956097151794436</v>
      </c>
      <c r="J249" s="12" t="inlineStr">
        <is>
          <t>Over +6.0%</t>
        </is>
      </c>
    </row>
    <row r="250" ht="45" customHeight="1">
      <c r="A250" s="12" t="inlineStr">
        <is>
          <t>Cash</t>
        </is>
      </c>
      <c r="B250" s="78" t="n">
        <v>182.31</v>
      </c>
      <c r="C250" s="79" t="n">
        <v>0.0003912237040127237</v>
      </c>
      <c r="D250" s="98" t="inlineStr"/>
      <c r="E250" s="78" t="n">
        <v>181.3099999999977</v>
      </c>
      <c r="F250" s="79" t="n">
        <v>0.0003890777783695136</v>
      </c>
      <c r="G250" s="33" t="inlineStr"/>
      <c r="H250" s="63" t="inlineStr"/>
      <c r="I250" s="63" t="inlineStr"/>
      <c r="J250" s="33" t="inlineStr"/>
    </row>
    <row r="251" ht="45" customHeight="1">
      <c r="A251" s="12" t="inlineStr">
        <is>
          <t>US Mid Cap</t>
        </is>
      </c>
      <c r="B251" s="78" t="n">
        <v>0</v>
      </c>
      <c r="C251" s="79" t="n">
        <v>0</v>
      </c>
      <c r="D251" s="41" t="inlineStr">
        <is>
          <t>→</t>
        </is>
      </c>
      <c r="E251" s="80" t="n">
        <v>174564</v>
      </c>
      <c r="F251" s="81" t="n">
        <v>0.374601363980457</v>
      </c>
      <c r="G251" s="33" t="inlineStr"/>
      <c r="H251" s="79" t="n">
        <v>0.06666666666666667</v>
      </c>
      <c r="I251" s="99" t="n">
        <v>0.3079346973137903</v>
      </c>
      <c r="J251" s="12" t="inlineStr">
        <is>
          <t>Over +30.8%</t>
        </is>
      </c>
    </row>
    <row r="252"/>
    <row r="253" ht="15" customHeight="1">
      <c r="A253" s="10" t="inlineStr">
        <is>
          <t>Patricia Roth  —  Total: $207,632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7" t="inlineStr"/>
      <c r="E254" s="5" t="inlineStr">
        <is>
          <t>After $</t>
        </is>
      </c>
      <c r="F254" s="5" t="inlineStr">
        <is>
          <t>After %</t>
        </is>
      </c>
      <c r="G254" s="97" t="inlineStr"/>
      <c r="H254" s="5" t="inlineStr">
        <is>
          <t>Target %</t>
        </is>
      </c>
      <c r="I254" s="5" t="inlineStr">
        <is>
          <t>Delta pp</t>
        </is>
      </c>
      <c r="J254" s="5" t="inlineStr">
        <is>
          <t>Status</t>
        </is>
      </c>
    </row>
    <row r="255" ht="45" customHeight="1">
      <c r="A255" s="12" t="inlineStr">
        <is>
          <t>US Large Cap</t>
        </is>
      </c>
      <c r="B255" s="78" t="n">
        <v>44047.74665000001</v>
      </c>
      <c r="C255" s="79" t="n">
        <v>0.2121436065059449</v>
      </c>
      <c r="D255" s="41" t="inlineStr">
        <is>
          <t>→</t>
        </is>
      </c>
      <c r="E255" s="80" t="n">
        <v>7247.746650000008</v>
      </c>
      <c r="F255" s="81" t="n">
        <v>0.03490673712754797</v>
      </c>
      <c r="G255" s="33" t="inlineStr"/>
      <c r="H255" s="79" t="n">
        <v>0.4666666666666666</v>
      </c>
      <c r="I255" s="99" t="n">
        <v>-0.4317599295391186</v>
      </c>
      <c r="J255" s="12" t="inlineStr">
        <is>
          <t>Under -43.2%</t>
        </is>
      </c>
    </row>
    <row r="256" ht="45" customHeight="1">
      <c r="A256" s="12" t="inlineStr">
        <is>
          <t>International</t>
        </is>
      </c>
      <c r="B256" s="78" t="n">
        <v>70814.41624799999</v>
      </c>
      <c r="C256" s="79" t="n">
        <v>0.3410577565938642</v>
      </c>
      <c r="D256" s="41" t="inlineStr">
        <is>
          <t>→</t>
        </is>
      </c>
      <c r="E256" s="80" t="n">
        <v>14180.41624799999</v>
      </c>
      <c r="F256" s="81" t="n">
        <v>0.06829599408364327</v>
      </c>
      <c r="G256" s="33" t="inlineStr"/>
      <c r="H256" s="79" t="n">
        <v>0.2666666666666667</v>
      </c>
      <c r="I256" s="99" t="n">
        <v>-0.1983706725830234</v>
      </c>
      <c r="J256" s="12" t="inlineStr">
        <is>
          <t>Under -19.8%</t>
        </is>
      </c>
    </row>
    <row r="257" ht="45" customHeight="1">
      <c r="A257" s="12" t="inlineStr">
        <is>
          <t>US Small Cap</t>
        </is>
      </c>
      <c r="B257" s="78" t="n">
        <v>92543.12946500001</v>
      </c>
      <c r="C257" s="79" t="n">
        <v>0.4457080040450077</v>
      </c>
      <c r="D257" s="98" t="inlineStr"/>
      <c r="E257" s="78" t="n">
        <v>92543.12946500001</v>
      </c>
      <c r="F257" s="79" t="n">
        <v>0.4457080040450077</v>
      </c>
      <c r="G257" s="33" t="inlineStr"/>
      <c r="H257" s="79" t="n">
        <v>0.06666666666666667</v>
      </c>
      <c r="I257" s="99" t="n">
        <v>0.379041337378341</v>
      </c>
      <c r="J257" s="12" t="inlineStr">
        <is>
          <t>Over +37.9%</t>
        </is>
      </c>
    </row>
    <row r="258" ht="45" customHeight="1">
      <c r="A258" s="12" t="inlineStr">
        <is>
          <t>Cash</t>
        </is>
      </c>
      <c r="B258" s="78" t="n">
        <v>226.45</v>
      </c>
      <c r="C258" s="79" t="n">
        <v>0.001090632855183097</v>
      </c>
      <c r="D258" s="98" t="inlineStr"/>
      <c r="E258" s="78" t="n">
        <v>226.4499999999971</v>
      </c>
      <c r="F258" s="79" t="n">
        <v>0.001090632855183083</v>
      </c>
      <c r="G258" s="33" t="inlineStr"/>
      <c r="H258" s="63" t="inlineStr"/>
      <c r="I258" s="63" t="inlineStr"/>
      <c r="J258" s="33" t="inlineStr"/>
    </row>
    <row r="259" ht="30" customHeight="1">
      <c r="A259" s="12" t="inlineStr">
        <is>
          <t>Emerging Markets</t>
        </is>
      </c>
      <c r="B259" s="78" t="n">
        <v>0</v>
      </c>
      <c r="C259" s="79" t="n">
        <v>0</v>
      </c>
      <c r="D259" s="41" t="inlineStr">
        <is>
          <t>→</t>
        </is>
      </c>
      <c r="E259" s="80" t="n">
        <v>93434</v>
      </c>
      <c r="F259" s="81" t="n">
        <v>0.4499986318886179</v>
      </c>
      <c r="G259" s="33" t="inlineStr"/>
      <c r="H259" s="79" t="n">
        <v>0.06666666666666667</v>
      </c>
      <c r="I259" s="99" t="n">
        <v>0.3833319652219512</v>
      </c>
      <c r="J259" s="12" t="inlineStr">
        <is>
          <t>Over +38.3%</t>
        </is>
      </c>
    </row>
    <row r="260"/>
    <row r="261" ht="15" customHeight="1">
      <c r="A261" s="10" t="inlineStr">
        <is>
          <t>Patricia Trust  —  Total: $335,588</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7" t="inlineStr"/>
      <c r="E262" s="5" t="inlineStr">
        <is>
          <t>After $</t>
        </is>
      </c>
      <c r="F262" s="5" t="inlineStr">
        <is>
          <t>After %</t>
        </is>
      </c>
      <c r="G262" s="97" t="inlineStr"/>
      <c r="H262" s="5" t="inlineStr">
        <is>
          <t>Target %</t>
        </is>
      </c>
      <c r="I262" s="5" t="inlineStr">
        <is>
          <t>Delta pp</t>
        </is>
      </c>
      <c r="J262" s="5" t="inlineStr">
        <is>
          <t>Status</t>
        </is>
      </c>
    </row>
    <row r="263" ht="30" customHeight="1">
      <c r="A263" s="12" t="inlineStr">
        <is>
          <t>US Large Cap</t>
        </is>
      </c>
      <c r="B263" s="78" t="n">
        <v>251888.6675</v>
      </c>
      <c r="C263" s="79" t="n">
        <v>0.7505896295505758</v>
      </c>
      <c r="D263" s="98" t="inlineStr"/>
      <c r="E263" s="78" t="n">
        <v>251888.6675</v>
      </c>
      <c r="F263" s="79" t="n">
        <v>0.7505896295505758</v>
      </c>
      <c r="G263" s="33" t="inlineStr"/>
      <c r="H263" s="79" t="n">
        <v>0.4666666666666666</v>
      </c>
      <c r="I263" s="99" t="n">
        <v>0.2839229628839092</v>
      </c>
      <c r="J263" s="12" t="inlineStr">
        <is>
          <t>Over +28.4%</t>
        </is>
      </c>
    </row>
    <row r="264" ht="45" customHeight="1">
      <c r="A264" s="12" t="inlineStr">
        <is>
          <t>International</t>
        </is>
      </c>
      <c r="B264" s="78" t="n">
        <v>78828.38924600001</v>
      </c>
      <c r="C264" s="79" t="n">
        <v>0.234896520234376</v>
      </c>
      <c r="D264" s="98" t="inlineStr"/>
      <c r="E264" s="78" t="n">
        <v>78828.38924600001</v>
      </c>
      <c r="F264" s="79" t="n">
        <v>0.234896520234376</v>
      </c>
      <c r="G264" s="33" t="inlineStr"/>
      <c r="H264" s="79" t="n">
        <v>0.2666666666666667</v>
      </c>
      <c r="I264" s="99" t="n">
        <v>-0.0317701464322907</v>
      </c>
      <c r="J264" s="12" t="inlineStr">
        <is>
          <t>Under -3.2%</t>
        </is>
      </c>
    </row>
    <row r="265" ht="45" customHeight="1">
      <c r="A265" s="12" t="inlineStr">
        <is>
          <t>Cash</t>
        </is>
      </c>
      <c r="B265" s="78" t="n">
        <v>4870.67</v>
      </c>
      <c r="C265" s="79" t="n">
        <v>0.0145138502150483</v>
      </c>
      <c r="D265" s="98" t="inlineStr"/>
      <c r="E265" s="78" t="n">
        <v>4870.67</v>
      </c>
      <c r="F265" s="79" t="n">
        <v>0.0145138502150483</v>
      </c>
      <c r="G265" s="33" t="inlineStr"/>
      <c r="H265" s="63" t="inlineStr"/>
      <c r="I265" s="63"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7" t="inlineStr"/>
      <c r="E269" s="5" t="inlineStr">
        <is>
          <t>After $</t>
        </is>
      </c>
      <c r="F269" s="5" t="inlineStr">
        <is>
          <t>After %</t>
        </is>
      </c>
      <c r="G269" s="97" t="inlineStr"/>
      <c r="H269" s="5" t="inlineStr">
        <is>
          <t>Target %</t>
        </is>
      </c>
      <c r="I269" s="5" t="inlineStr">
        <is>
          <t>Delta pp</t>
        </is>
      </c>
      <c r="J269" s="5" t="inlineStr">
        <is>
          <t>Status</t>
        </is>
      </c>
    </row>
    <row r="270" ht="45" customHeight="1">
      <c r="A270" s="2" t="inlineStr">
        <is>
          <t>US Large Cap</t>
        </is>
      </c>
      <c r="B270" s="78" t="n">
        <v>1368717.35017</v>
      </c>
      <c r="C270" s="79" t="n">
        <v>0.4900498788234851</v>
      </c>
      <c r="D270" s="41" t="inlineStr">
        <is>
          <t>→</t>
        </is>
      </c>
      <c r="E270" s="80" t="n">
        <v>1221944.72777</v>
      </c>
      <c r="F270" s="81" t="n">
        <v>0.4375000183188369</v>
      </c>
      <c r="G270" s="33" t="inlineStr"/>
      <c r="H270" s="79" t="n">
        <v>0.4666666666666666</v>
      </c>
      <c r="I270" s="99" t="n">
        <v>-0.02916664834782967</v>
      </c>
      <c r="J270" s="12" t="inlineStr">
        <is>
          <t>Under -2.9%</t>
        </is>
      </c>
    </row>
    <row r="271" ht="30" customHeight="1">
      <c r="A271" s="2" t="inlineStr">
        <is>
          <t>International</t>
        </is>
      </c>
      <c r="B271" s="78" t="n">
        <v>924570.240811</v>
      </c>
      <c r="C271" s="79" t="n">
        <v>0.3310292913412371</v>
      </c>
      <c r="D271" s="41" t="inlineStr">
        <is>
          <t>→</t>
        </is>
      </c>
      <c r="E271" s="80" t="n">
        <v>698254.240811</v>
      </c>
      <c r="F271" s="81" t="n">
        <v>0.2500000500869775</v>
      </c>
      <c r="G271" s="33" t="inlineStr"/>
      <c r="H271" s="79" t="n">
        <v>0.2666666666666667</v>
      </c>
      <c r="I271" s="100" t="n">
        <v>-0.01666661657968915</v>
      </c>
      <c r="J271" s="12" t="inlineStr">
        <is>
          <t>✓ On target</t>
        </is>
      </c>
    </row>
    <row r="272" ht="45" customHeight="1">
      <c r="A272" s="2" t="inlineStr">
        <is>
          <t>US Small Cap</t>
        </is>
      </c>
      <c r="B272" s="78" t="n">
        <v>310403.602688</v>
      </c>
      <c r="C272" s="79" t="n">
        <v>0.1111356174923439</v>
      </c>
      <c r="D272" s="41" t="inlineStr">
        <is>
          <t>→</t>
        </is>
      </c>
      <c r="E272" s="80" t="n">
        <v>174563.602688</v>
      </c>
      <c r="F272" s="81" t="n">
        <v>0.06250002773298693</v>
      </c>
      <c r="G272" s="33" t="inlineStr"/>
      <c r="H272" s="79" t="n">
        <v>0.06666666666666667</v>
      </c>
      <c r="I272" s="100" t="n">
        <v>-0.004166638933679731</v>
      </c>
      <c r="J272" s="12" t="inlineStr">
        <is>
          <t>✓ On target</t>
        </is>
      </c>
    </row>
    <row r="273" ht="45" customHeight="1">
      <c r="A273" s="2" t="inlineStr">
        <is>
          <t>Commodities</t>
        </is>
      </c>
      <c r="B273" s="78" t="n">
        <v>169340.6</v>
      </c>
      <c r="C273" s="79" t="n">
        <v>0.06063000553006007</v>
      </c>
      <c r="D273" s="41" t="inlineStr">
        <is>
          <t>→</t>
        </is>
      </c>
      <c r="E273" s="80" t="n">
        <v>174563.6</v>
      </c>
      <c r="F273" s="81" t="n">
        <v>0.06250002677058658</v>
      </c>
      <c r="G273" s="33" t="inlineStr"/>
      <c r="H273" s="79" t="n">
        <v>0.06666666666666667</v>
      </c>
      <c r="I273" s="100" t="n">
        <v>-0.004166639896080085</v>
      </c>
      <c r="J273" s="12" t="inlineStr">
        <is>
          <t>✓ On target</t>
        </is>
      </c>
    </row>
    <row r="274" ht="45" customHeight="1">
      <c r="A274" s="2" t="inlineStr">
        <is>
          <t>Cash</t>
        </is>
      </c>
      <c r="B274" s="78" t="n">
        <v>19984.61</v>
      </c>
      <c r="C274" s="79" t="n">
        <v>0.007155206812873544</v>
      </c>
      <c r="D274" s="41" t="inlineStr">
        <is>
          <t>→</t>
        </is>
      </c>
      <c r="E274" s="80" t="n">
        <v>174562.61</v>
      </c>
      <c r="F274" s="81" t="n">
        <v>0.06249967231509582</v>
      </c>
      <c r="G274" s="33" t="inlineStr"/>
      <c r="H274" s="63" t="inlineStr"/>
      <c r="I274" s="63" t="inlineStr"/>
      <c r="J274" s="33" t="inlineStr"/>
    </row>
    <row r="275" ht="45" customHeight="1">
      <c r="A275" s="2" t="inlineStr">
        <is>
          <t>Emerging Markets</t>
        </is>
      </c>
      <c r="B275" s="78" t="n">
        <v>0</v>
      </c>
      <c r="C275" s="79" t="n">
        <v>0</v>
      </c>
      <c r="D275" s="41" t="inlineStr">
        <is>
          <t>→</t>
        </is>
      </c>
      <c r="E275" s="80" t="n">
        <v>174564</v>
      </c>
      <c r="F275" s="81" t="n">
        <v>0.06250016998492626</v>
      </c>
      <c r="G275" s="33" t="inlineStr"/>
      <c r="H275" s="79" t="n">
        <v>0.06666666666666667</v>
      </c>
      <c r="I275" s="100" t="n">
        <v>-0.004166496681740406</v>
      </c>
      <c r="J275" s="12" t="inlineStr">
        <is>
          <t>✓ On target</t>
        </is>
      </c>
    </row>
    <row r="276" ht="45" customHeight="1">
      <c r="A276" s="2" t="inlineStr">
        <is>
          <t>US Mid Cap</t>
        </is>
      </c>
      <c r="B276" s="78" t="n">
        <v>0</v>
      </c>
      <c r="C276" s="79" t="n">
        <v>0</v>
      </c>
      <c r="D276" s="41" t="inlineStr">
        <is>
          <t>→</t>
        </is>
      </c>
      <c r="E276" s="80" t="n">
        <v>174564</v>
      </c>
      <c r="F276" s="81" t="n">
        <v>0.06250016998492626</v>
      </c>
      <c r="G276" s="33" t="inlineStr"/>
      <c r="H276" s="79" t="n">
        <v>0.06666666666666667</v>
      </c>
      <c r="I276" s="100" t="n">
        <v>-0.004166496681740406</v>
      </c>
      <c r="J276" s="12" t="inlineStr">
        <is>
          <t>✓ On target</t>
        </is>
      </c>
    </row>
    <row r="277"/>
    <row r="278" ht="15" customHeight="1">
      <c r="A278" s="101"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2" t="n">
        <v>1827516.827565</v>
      </c>
      <c r="C303" s="103" t="inlineStr">
        <is>
          <t>67%</t>
        </is>
      </c>
    </row>
    <row r="304" ht="30" customHeight="1">
      <c r="A304" s="12" t="inlineStr">
        <is>
          <t>Tax-Free (Roth)</t>
        </is>
      </c>
      <c r="B304" s="102" t="n">
        <v>347112.138453</v>
      </c>
      <c r="C304" s="103" t="inlineStr">
        <is>
          <t>13%</t>
        </is>
      </c>
    </row>
    <row r="305" ht="30" customHeight="1">
      <c r="A305" s="12" t="inlineStr">
        <is>
          <t>Taxable (Trust)</t>
        </is>
      </c>
      <c r="B305" s="102" t="n">
        <v>545708.069451</v>
      </c>
      <c r="C305" s="103" t="inlineStr">
        <is>
          <t>20%</t>
        </is>
      </c>
    </row>
    <row r="306" ht="30" customHeight="1">
      <c r="A306" s="2" t="inlineStr">
        <is>
          <t>Total Investable</t>
        </is>
      </c>
      <c r="B306" s="104" t="n">
        <v>2720337.035469</v>
      </c>
      <c r="C306" s="103"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785.8196200094401</v>
      </c>
      <c r="C310" s="78" t="n">
        <v>1669.86669252006</v>
      </c>
      <c r="D310" s="78" t="n">
        <v>2455.686312529499</v>
      </c>
    </row>
    <row r="311" ht="60" customHeight="1">
      <c r="A311" s="2" t="inlineStr">
        <is>
          <t>Optimized (bonds→IRA, equities→Roth/taxable)</t>
        </is>
      </c>
      <c r="B311" s="82" t="n">
        <v>0</v>
      </c>
      <c r="C311" s="82" t="n">
        <v>1964.549050023601</v>
      </c>
      <c r="D311" s="82" t="n">
        <v>1964.549050023601</v>
      </c>
    </row>
    <row r="312"/>
    <row r="313" ht="15" customHeight="1">
      <c r="A313" s="20" t="inlineStr">
        <is>
          <t>Estimated Savings</t>
        </is>
      </c>
      <c r="B313" s="3" t="n"/>
      <c r="C313" s="4" t="n"/>
    </row>
    <row r="314" ht="30" customHeight="1">
      <c r="A314" s="2" t="inlineStr">
        <is>
          <t>Annual tax drag reduction</t>
        </is>
      </c>
      <c r="B314" s="104" t="n">
        <v>491.1372625058987</v>
      </c>
    </row>
    <row r="315" ht="45" customHeight="1">
      <c r="A315" s="2" t="inlineStr">
        <is>
          <t>Compounded over 30 years (at 6.0%)</t>
        </is>
      </c>
      <c r="B315" s="105" t="n">
        <v>41158.12642581067</v>
      </c>
    </row>
    <row r="316"/>
    <row r="317" ht="15" customHeight="1">
      <c r="A317" s="13" t="inlineStr">
        <is>
          <t>Placement Recommendations</t>
        </is>
      </c>
      <c r="B317" s="3" t="n"/>
      <c r="C317" s="3" t="n"/>
      <c r="D317" s="3" t="n"/>
      <c r="E317" s="4" t="n"/>
    </row>
    <row r="318" ht="30" customHeight="1">
      <c r="A318" s="12" t="inlineStr">
        <is>
          <t>• Hold all bond/income assets ($408,051) inside the IRA — ordinary-income yield is sheltered from annual tax.</t>
        </is>
      </c>
      <c r="B318" s="3" t="n"/>
      <c r="C318" s="3" t="n"/>
      <c r="D318" s="3" t="n"/>
      <c r="E318" s="3" t="n"/>
      <c r="F318" s="3" t="n"/>
      <c r="G318" s="4" t="n"/>
    </row>
    <row r="319" ht="30" customHeight="1">
      <c r="A319" s="12" t="inlineStr">
        <is>
          <t>• Hold the highest-growth equities ($347,112)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6"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40"/>
  <sheetViews>
    <sheetView showGridLines="0" workbookViewId="0">
      <selection activeCell="A1" sqref="A1"/>
    </sheetView>
  </sheetViews>
  <sheetFormatPr baseColWidth="8" defaultRowHeight="15"/>
  <cols>
    <col width="18.4" customWidth="1" min="1" max="1"/>
    <col width="10.1" customWidth="1" min="2" max="2"/>
    <col width="18.4" customWidth="1" min="3" max="3"/>
    <col width="9.4" customWidth="1" min="4" max="4"/>
    <col width="9.4" customWidth="1" min="5" max="5"/>
    <col width="12.2" customWidth="1" min="6" max="6"/>
    <col width="9.4" customWidth="1" min="7" max="7"/>
    <col width="9.4" customWidth="1" min="8" max="8"/>
    <col width="10.1" customWidth="1" min="9" max="9"/>
    <col width="11.1" customWidth="1" min="10" max="10"/>
  </cols>
  <sheetData>
    <row r="1" ht="18" customHeight="1">
      <c r="A1" s="9" t="inlineStr">
        <is>
          <t>STATE RESIDENCY ANALYSIS</t>
        </is>
      </c>
    </row>
    <row r="2"/>
    <row r="3" ht="15" customHeight="1">
      <c r="A3" s="13" t="inlineStr">
        <is>
          <t>Lifetime Income Components (State Tax Basis)</t>
        </is>
      </c>
      <c r="B3" s="3" t="n"/>
      <c r="C3" s="4" t="n"/>
    </row>
    <row r="4" ht="45" customHeight="1">
      <c r="A4" s="12" t="inlineStr">
        <is>
          <t>Earned Income (W-2/S-Corp)</t>
        </is>
      </c>
      <c r="B4" s="102" t="n">
        <v>266239.88</v>
      </c>
      <c r="C4" s="106" t="inlineStr">
        <is>
          <t>Taxable in all states with income tax</t>
        </is>
      </c>
    </row>
    <row r="5" ht="45" customHeight="1">
      <c r="A5" s="12" t="inlineStr">
        <is>
          <t>Qualified Retirement Distributions</t>
        </is>
      </c>
      <c r="B5" s="102" t="n">
        <v>2829274.215552279</v>
      </c>
      <c r="C5" s="106" t="inlineStr">
        <is>
          <t>IRA/401k/pension/qualified annuity — exempt in IL</t>
        </is>
      </c>
    </row>
    <row r="6" ht="45" customHeight="1">
      <c r="A6" s="12" t="inlineStr">
        <is>
          <t>Non-Qualified Annuity Income</t>
        </is>
      </c>
      <c r="B6" s="102" t="n">
        <v>257592.8344499338</v>
      </c>
      <c r="C6" s="106" t="inlineStr">
        <is>
          <t>Personal market annuities — taxable in IL</t>
        </is>
      </c>
    </row>
    <row r="7" ht="30" customHeight="1">
      <c r="A7" s="12" t="inlineStr">
        <is>
          <t>Social Security (fed taxable)</t>
        </is>
      </c>
      <c r="B7" s="102" t="n">
        <v>2195917.533958432</v>
      </c>
      <c r="C7" s="106" t="inlineStr">
        <is>
          <t>Exempt in most states</t>
        </is>
      </c>
    </row>
    <row r="8" ht="30" customHeight="1">
      <c r="A8" s="12" t="inlineStr">
        <is>
          <t>Investment Income</t>
        </is>
      </c>
      <c r="B8" s="102" t="n">
        <v>161613.78</v>
      </c>
      <c r="C8" s="106" t="inlineStr">
        <is>
          <t>Note interest, capital gains</t>
        </is>
      </c>
    </row>
    <row r="9" ht="45" customHeight="1">
      <c r="A9" s="12" t="inlineStr">
        <is>
          <t>Roth Conversions</t>
        </is>
      </c>
      <c r="B9" s="102" t="n">
        <v>901548.4000087262</v>
      </c>
      <c r="C9" s="106" t="inlineStr">
        <is>
          <t>Exempt in IL (retirement distribution)</t>
        </is>
      </c>
    </row>
    <row r="10" ht="30" customHeight="1">
      <c r="A10" s="2" t="inlineStr">
        <is>
          <t>Total AGI</t>
        </is>
      </c>
      <c r="B10" s="104" t="n">
        <v>6624717.010672431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4" t="n">
        <v>33929.60147527172</v>
      </c>
      <c r="D14" s="104" t="n">
        <v>1331692.90291592</v>
      </c>
      <c r="E14" s="104" t="n">
        <v>182610.7688208826</v>
      </c>
      <c r="F14" s="104" t="n">
        <v>238476.8274384459</v>
      </c>
      <c r="G14" s="104" t="n">
        <v>1786710.10065052</v>
      </c>
      <c r="H14" s="2" t="inlineStr">
        <is>
          <t>Baseline</t>
        </is>
      </c>
      <c r="I14" s="2" t="inlineStr">
        <is>
          <t>Exempt</t>
        </is>
      </c>
    </row>
    <row r="15" ht="30" customHeight="1">
      <c r="A15" s="12" t="inlineStr">
        <is>
          <t>New York</t>
        </is>
      </c>
      <c r="B15" s="12" t="inlineStr">
        <is>
          <t>6.9%</t>
        </is>
      </c>
      <c r="C15" s="102" t="n">
        <v>201299.4600492078</v>
      </c>
      <c r="D15" s="107" t="n">
        <v>1030988.053870389</v>
      </c>
      <c r="E15" s="107" t="n">
        <v>166958.4172076641</v>
      </c>
      <c r="F15" s="102" t="n">
        <v>3276.827438445911</v>
      </c>
      <c r="G15" s="108" t="n">
        <v>1402522.758565707</v>
      </c>
      <c r="H15" s="108" t="n">
        <v>-384187.3420848125</v>
      </c>
      <c r="I15" s="109" t="n">
        <v>3730822.615561005</v>
      </c>
    </row>
    <row r="16" ht="15" customHeight="1">
      <c r="A16" s="12" t="inlineStr">
        <is>
          <t>Texas</t>
        </is>
      </c>
      <c r="B16" s="12" t="inlineStr">
        <is>
          <t>None</t>
        </is>
      </c>
      <c r="C16" s="102" t="n">
        <v>0</v>
      </c>
      <c r="D16" s="107" t="n">
        <v>1104630.057718274</v>
      </c>
      <c r="E16" s="107" t="n">
        <v>171132.3776378557</v>
      </c>
      <c r="F16" s="102" t="n">
        <v>0</v>
      </c>
      <c r="G16" s="108" t="n">
        <v>1275762.43535613</v>
      </c>
      <c r="H16" s="108" t="n">
        <v>-510947.6652943897</v>
      </c>
      <c r="I16" s="74" t="inlineStr">
        <is>
          <t>Exempt</t>
        </is>
      </c>
    </row>
    <row r="17" ht="30" customHeight="1">
      <c r="A17" s="12" t="inlineStr">
        <is>
          <t>North Carolina</t>
        </is>
      </c>
      <c r="B17" s="12" t="inlineStr">
        <is>
          <t>4.5%</t>
        </is>
      </c>
      <c r="C17" s="102" t="n">
        <v>198732.1099504923</v>
      </c>
      <c r="D17" s="107" t="n">
        <v>521630.8605891851</v>
      </c>
      <c r="E17" s="107" t="n">
        <v>146088.6150567061</v>
      </c>
      <c r="F17" s="102" t="n">
        <v>0</v>
      </c>
      <c r="G17" s="108" t="n">
        <v>866451.5855963835</v>
      </c>
      <c r="H17" s="108" t="n">
        <v>-920258.5150541363</v>
      </c>
      <c r="I17" s="109" t="n">
        <v>3730822.615561005</v>
      </c>
    </row>
    <row r="18" ht="30" customHeight="1">
      <c r="A18" s="12" t="inlineStr">
        <is>
          <t>California</t>
        </is>
      </c>
      <c r="B18" s="12" t="inlineStr">
        <is>
          <t>9.3%</t>
        </is>
      </c>
      <c r="C18" s="102" t="n">
        <v>211087.3433444992</v>
      </c>
      <c r="D18" s="107" t="n">
        <v>447988.8567413002</v>
      </c>
      <c r="E18" s="107" t="n">
        <v>182610.7688208826</v>
      </c>
      <c r="F18" s="102" t="n">
        <v>0</v>
      </c>
      <c r="G18" s="108" t="n">
        <v>841686.9689066821</v>
      </c>
      <c r="H18" s="108" t="n">
        <v>-945023.1317438377</v>
      </c>
      <c r="I18" s="109" t="n">
        <v>3730822.615561005</v>
      </c>
    </row>
    <row r="19" ht="30" customHeight="1">
      <c r="A19" s="12" t="inlineStr">
        <is>
          <t>Indiana</t>
        </is>
      </c>
      <c r="B19" s="12" t="inlineStr">
        <is>
          <t>3.0%</t>
        </is>
      </c>
      <c r="C19" s="102" t="n">
        <v>134696.2078553337</v>
      </c>
      <c r="D19" s="107" t="n">
        <v>533904.5278971659</v>
      </c>
      <c r="E19" s="107" t="n">
        <v>146088.6150567061</v>
      </c>
      <c r="F19" s="102" t="n">
        <v>0</v>
      </c>
      <c r="G19" s="108" t="n">
        <v>814689.3508092057</v>
      </c>
      <c r="H19" s="108" t="n">
        <v>-972020.7498413142</v>
      </c>
      <c r="I19" s="109" t="n">
        <v>3730822.615561005</v>
      </c>
    </row>
    <row r="20" ht="30" customHeight="1">
      <c r="A20" s="12" t="inlineStr">
        <is>
          <t>Arizona</t>
        </is>
      </c>
      <c r="B20" s="12" t="inlineStr">
        <is>
          <t>2.5%</t>
        </is>
      </c>
      <c r="C20" s="102" t="n">
        <v>110406.7277502735</v>
      </c>
      <c r="D20" s="107" t="n">
        <v>386620.520201396</v>
      </c>
      <c r="E20" s="107" t="n">
        <v>175306.3380680474</v>
      </c>
      <c r="F20" s="102" t="n">
        <v>0</v>
      </c>
      <c r="G20" s="108" t="n">
        <v>672333.5860197169</v>
      </c>
      <c r="H20" s="108" t="n">
        <v>-1114376.514630803</v>
      </c>
      <c r="I20" s="109" t="n">
        <v>3730822.615561005</v>
      </c>
    </row>
    <row r="21" ht="30" customHeight="1">
      <c r="A21" s="12" t="inlineStr">
        <is>
          <t>Colorado</t>
        </is>
      </c>
      <c r="B21" s="12" t="inlineStr">
        <is>
          <t>4.4%</t>
        </is>
      </c>
      <c r="C21" s="102" t="n">
        <v>161579.8408404813</v>
      </c>
      <c r="D21" s="107" t="n">
        <v>337525.8509694727</v>
      </c>
      <c r="E21" s="107" t="n">
        <v>160697.4765623767</v>
      </c>
      <c r="F21" s="102" t="n">
        <v>0</v>
      </c>
      <c r="G21" s="108" t="n">
        <v>659803.1683723307</v>
      </c>
      <c r="H21" s="108" t="n">
        <v>-1126906.932278189</v>
      </c>
      <c r="I21" s="109" t="n">
        <v>2986822.615561005</v>
      </c>
    </row>
    <row r="22" ht="15" customHeight="1">
      <c r="A22" s="12" t="inlineStr">
        <is>
          <t>Florida</t>
        </is>
      </c>
      <c r="B22" s="12" t="inlineStr">
        <is>
          <t>None</t>
        </is>
      </c>
      <c r="C22" s="102" t="n">
        <v>0</v>
      </c>
      <c r="D22" s="107" t="n">
        <v>509357.1932812044</v>
      </c>
      <c r="E22" s="107" t="n">
        <v>147549.5012072732</v>
      </c>
      <c r="F22" s="102" t="n">
        <v>0</v>
      </c>
      <c r="G22" s="108" t="n">
        <v>656906.6944884775</v>
      </c>
      <c r="H22" s="108" t="n">
        <v>-1129803.406162042</v>
      </c>
      <c r="I22" s="74" t="inlineStr">
        <is>
          <t>Exempt</t>
        </is>
      </c>
    </row>
    <row r="23" ht="15" customHeight="1">
      <c r="A23" s="12" t="inlineStr">
        <is>
          <t>Tennessee</t>
        </is>
      </c>
      <c r="B23" s="12" t="inlineStr">
        <is>
          <t>None</t>
        </is>
      </c>
      <c r="C23" s="102" t="n">
        <v>0</v>
      </c>
      <c r="D23" s="107" t="n">
        <v>435715.1894333194</v>
      </c>
      <c r="E23" s="107" t="n">
        <v>199306.6105416491</v>
      </c>
      <c r="F23" s="102" t="n">
        <v>0</v>
      </c>
      <c r="G23" s="108" t="n">
        <v>635021.7999749684</v>
      </c>
      <c r="H23" s="108" t="n">
        <v>-1151688.300675551</v>
      </c>
      <c r="I23" s="74" t="inlineStr">
        <is>
          <t>Exempt</t>
        </is>
      </c>
    </row>
    <row r="24" ht="15" customHeight="1">
      <c r="A24" s="12" t="inlineStr">
        <is>
          <t>Nevada</t>
        </is>
      </c>
      <c r="B24" s="12" t="inlineStr">
        <is>
          <t>None</t>
        </is>
      </c>
      <c r="C24" s="102" t="n">
        <v>0</v>
      </c>
      <c r="D24" s="107" t="n">
        <v>337525.8509694727</v>
      </c>
      <c r="E24" s="107" t="n">
        <v>171758.4717023845</v>
      </c>
      <c r="F24" s="102" t="n">
        <v>0</v>
      </c>
      <c r="G24" s="108" t="n">
        <v>509284.3226718572</v>
      </c>
      <c r="H24" s="108" t="n">
        <v>-1277425.777978663</v>
      </c>
      <c r="I24" s="74" t="inlineStr">
        <is>
          <t>Exempt</t>
        </is>
      </c>
    </row>
    <row r="25"/>
    <row r="26"/>
    <row r="27" ht="30" customHeight="1">
      <c r="A27" s="2" t="inlineStr">
        <is>
          <t>Illinois exempts $2,829,274 of retirement income (43% of AGI) from state tax. Moving to a state that taxes retirement income (e.g. North Carolina) would add ~$127,317 in lifetime state income tax.</t>
        </is>
      </c>
      <c r="B27" s="3" t="n"/>
      <c r="C27" s="3" t="n"/>
      <c r="D27" s="3" t="n"/>
      <c r="E27" s="3" t="n"/>
      <c r="F27" s="3" t="n"/>
      <c r="G27" s="3" t="n"/>
      <c r="H27" s="3" t="n"/>
      <c r="I27" s="3" t="n"/>
      <c r="J27" s="4" t="n"/>
    </row>
    <row r="28" ht="30" customHeight="1">
      <c r="A28" s="106"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row r="29"/>
    <row r="30"/>
    <row r="31" ht="15" customHeight="1">
      <c r="A31" s="13" t="inlineStr">
        <is>
          <t>Geographic Cost-of-Living Delta (Estimated)</t>
        </is>
      </c>
      <c r="B31" s="3" t="n"/>
      <c r="C31" s="3" t="n"/>
      <c r="D31" s="3" t="n"/>
      <c r="E31" s="3" t="n"/>
      <c r="F31" s="4" t="n"/>
    </row>
    <row r="32" ht="45" customHeight="1">
      <c r="A32" s="106" t="inlineStr">
        <is>
          <t>Baseline = current budgeted amounts in Illinois. Delta = estimated annual change if relocating to Colorado, from relative cost-of-living factors. ESTIMATE ONLY — replace with real quotes when available.</t>
        </is>
      </c>
      <c r="B32" s="3" t="n"/>
      <c r="C32" s="3" t="n"/>
      <c r="D32" s="3" t="n"/>
      <c r="E32" s="3" t="n"/>
      <c r="F32" s="4" t="n"/>
    </row>
    <row r="33" ht="30" customHeight="1">
      <c r="A33" s="5" t="inlineStr">
        <is>
          <t>Category</t>
        </is>
      </c>
      <c r="B33" s="5" t="inlineStr">
        <is>
          <t>Baseline (Illinois)</t>
        </is>
      </c>
      <c r="C33" s="5" t="inlineStr">
        <is>
          <t>Estimated (Colorado)</t>
        </is>
      </c>
      <c r="D33" s="5" t="inlineStr">
        <is>
          <t>Annual Delta</t>
        </is>
      </c>
      <c r="E33" s="5" t="inlineStr">
        <is>
          <t>Lifetime Delta</t>
        </is>
      </c>
      <c r="F33" s="5" t="inlineStr">
        <is>
          <t>Basis</t>
        </is>
      </c>
    </row>
    <row r="34" ht="30" customHeight="1">
      <c r="A34" s="12" t="inlineStr">
        <is>
          <t>Auto Insurance</t>
        </is>
      </c>
      <c r="B34" s="102" t="n">
        <v>2400</v>
      </c>
      <c r="C34" s="102" t="n">
        <v>2352</v>
      </c>
      <c r="D34" s="108" t="n">
        <v>-48</v>
      </c>
      <c r="E34" s="108" t="n">
        <v>-1440</v>
      </c>
      <c r="F34" s="106" t="inlineStr">
        <is>
          <t>x0.98 vs x1.00</t>
        </is>
      </c>
    </row>
    <row r="35" ht="30" customHeight="1">
      <c r="A35" s="12" t="inlineStr">
        <is>
          <t>Homeowners Insurance</t>
        </is>
      </c>
      <c r="B35" s="102" t="n">
        <v>2000</v>
      </c>
      <c r="C35" s="102" t="n">
        <v>2600</v>
      </c>
      <c r="D35" s="110" t="n">
        <v>600</v>
      </c>
      <c r="E35" s="111" t="n">
        <v>18000</v>
      </c>
      <c r="F35" s="106" t="inlineStr">
        <is>
          <t>x1.30 vs x1.00</t>
        </is>
      </c>
    </row>
    <row r="36" ht="30" customHeight="1">
      <c r="A36" s="12" t="inlineStr">
        <is>
          <t>Utilities</t>
        </is>
      </c>
      <c r="B36" s="102" t="n">
        <v>2100</v>
      </c>
      <c r="C36" s="102" t="n">
        <v>1995</v>
      </c>
      <c r="D36" s="108" t="n">
        <v>-105</v>
      </c>
      <c r="E36" s="108" t="n">
        <v>-3150</v>
      </c>
      <c r="F36" s="106" t="inlineStr">
        <is>
          <t>x0.95 vs x1.00</t>
        </is>
      </c>
    </row>
    <row r="37" ht="30" customHeight="1">
      <c r="A37" s="12" t="inlineStr">
        <is>
          <t>Home Maintenance</t>
        </is>
      </c>
      <c r="B37" s="102" t="n">
        <v>2100</v>
      </c>
      <c r="C37" s="102" t="n">
        <v>2310</v>
      </c>
      <c r="D37" s="110" t="n">
        <v>210</v>
      </c>
      <c r="E37" s="111" t="n">
        <v>6300</v>
      </c>
      <c r="F37" s="106" t="inlineStr">
        <is>
          <t>x1.10 vs x1.00</t>
        </is>
      </c>
    </row>
    <row r="38" ht="30" customHeight="1">
      <c r="A38" s="2" t="inlineStr">
        <is>
          <t>Total (4 categories)</t>
        </is>
      </c>
      <c r="D38" s="112" t="n">
        <v>657</v>
      </c>
      <c r="E38" s="104" t="n">
        <v>19710</v>
      </c>
    </row>
    <row r="39"/>
    <row r="40" ht="75" customHeight="1">
      <c r="A40" s="106" t="inlineStr">
        <is>
          <t>Cost-of-living factors are illustrative approximations from public regional cost and insurance-premium indices. Homeowners insurance, utilities, and maintenance baselines come from the Housing current-home budget; the auto insurance baseline comes from the State Residency inputs. Override factors via reference_data/state_tax.csv (col_auto, col_home_ins, col_utilities, col_maintenance).</t>
        </is>
      </c>
      <c r="B40" s="3" t="n"/>
      <c r="C40" s="3" t="n"/>
      <c r="D40" s="3" t="n"/>
      <c r="E40" s="3" t="n"/>
      <c r="F40" s="4" t="n"/>
    </row>
  </sheetData>
  <mergeCells count="8">
    <mergeCell ref="A1:J1"/>
    <mergeCell ref="A27:J27"/>
    <mergeCell ref="A32:F32"/>
    <mergeCell ref="A31:F31"/>
    <mergeCell ref="A12:J12"/>
    <mergeCell ref="A3:C3"/>
    <mergeCell ref="A40:F40"/>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Matthew Claim Age</t>
        </is>
      </c>
      <c r="B4" s="12" t="n">
        <v>62</v>
      </c>
      <c r="C4" s="12" t="inlineStr">
        <is>
          <t>Highest score from the 62–70 × 62–70 projection sweep.</t>
        </is>
      </c>
      <c r="D4" s="3" t="n"/>
      <c r="E4" s="3" t="n"/>
      <c r="F4" s="3" t="n"/>
      <c r="G4" s="3" t="n"/>
      <c r="H4" s="3" t="n"/>
      <c r="I4" s="3" t="n"/>
      <c r="J4" s="4" t="n"/>
    </row>
    <row r="5" ht="45" customHeight="1">
      <c r="A5" s="11" t="inlineStr">
        <is>
          <t>Recommended Patricia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Matthew 70 / Patricia 70</t>
        </is>
      </c>
      <c r="C6" s="12" t="inlineStr">
        <is>
          <t>Current row shown below for comparison.</t>
        </is>
      </c>
      <c r="D6" s="3" t="n"/>
      <c r="E6" s="3" t="n"/>
      <c r="F6" s="3" t="n"/>
      <c r="G6" s="3" t="n"/>
      <c r="H6" s="3" t="n"/>
      <c r="I6" s="3" t="n"/>
      <c r="J6" s="4" t="n"/>
    </row>
    <row r="7" ht="45" customHeight="1">
      <c r="A7" s="11" t="inlineStr">
        <is>
          <t>Best vs Current Terminal NW</t>
        </is>
      </c>
      <c r="B7" s="102" t="n">
        <v>3768547.001619043</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2" t="n">
        <v>906935.7637928551</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4" t="n">
        <v>1</v>
      </c>
      <c r="B12" s="74" t="n">
        <v>62</v>
      </c>
      <c r="C12" s="74" t="n">
        <v>62</v>
      </c>
      <c r="D12" s="113" t="n">
        <v>12863103.3415452</v>
      </c>
      <c r="E12" s="113" t="n">
        <v>10796962.93116606</v>
      </c>
      <c r="F12" s="113" t="n">
        <v>3816002.588185486</v>
      </c>
      <c r="G12" s="113" t="n">
        <v>3861406.753164189</v>
      </c>
      <c r="H12" s="113" t="n">
        <v>1143284.257048528</v>
      </c>
      <c r="I12" s="113" t="n">
        <v>1723079.142785052</v>
      </c>
      <c r="J12" s="113" t="n">
        <v>72187.2</v>
      </c>
    </row>
    <row r="13" ht="15" customHeight="1">
      <c r="A13" s="12" t="n">
        <v>2</v>
      </c>
      <c r="B13" s="12" t="n">
        <v>62</v>
      </c>
      <c r="C13" s="12" t="n">
        <v>63</v>
      </c>
      <c r="D13" s="107" t="n">
        <v>12769980.28929847</v>
      </c>
      <c r="E13" s="107" t="n">
        <v>10722170.38841377</v>
      </c>
      <c r="F13" s="107" t="n">
        <v>3741210.045433194</v>
      </c>
      <c r="G13" s="107" t="n">
        <v>3828424.589535601</v>
      </c>
      <c r="H13" s="107" t="n">
        <v>1110302.09341994</v>
      </c>
      <c r="I13" s="107" t="n">
        <v>1708427.488650899</v>
      </c>
      <c r="J13" s="107" t="n">
        <v>72187.2</v>
      </c>
    </row>
    <row r="14" ht="15" customHeight="1">
      <c r="A14" s="12" t="n">
        <v>3</v>
      </c>
      <c r="B14" s="12" t="n">
        <v>63</v>
      </c>
      <c r="C14" s="12" t="n">
        <v>62</v>
      </c>
      <c r="D14" s="107" t="n">
        <v>12745188.96842032</v>
      </c>
      <c r="E14" s="107" t="n">
        <v>10703425.77790802</v>
      </c>
      <c r="F14" s="107" t="n">
        <v>3722465.434927446</v>
      </c>
      <c r="G14" s="107" t="n">
        <v>3818675.058887597</v>
      </c>
      <c r="H14" s="107" t="n">
        <v>1100552.562771935</v>
      </c>
      <c r="I14" s="107" t="n">
        <v>1704724.668375293</v>
      </c>
      <c r="J14" s="107" t="n">
        <v>72187.2</v>
      </c>
    </row>
    <row r="15" ht="15" customHeight="1">
      <c r="A15" s="12" t="n">
        <v>4</v>
      </c>
      <c r="B15" s="12" t="n">
        <v>62</v>
      </c>
      <c r="C15" s="12" t="n">
        <v>64</v>
      </c>
      <c r="D15" s="107" t="n">
        <v>12676248.56523965</v>
      </c>
      <c r="E15" s="107" t="n">
        <v>10645265.98988297</v>
      </c>
      <c r="F15" s="107" t="n">
        <v>3664305.646902396</v>
      </c>
      <c r="G15" s="107" t="n">
        <v>3796089.134997769</v>
      </c>
      <c r="H15" s="107" t="n">
        <v>1077966.638882108</v>
      </c>
      <c r="I15" s="107" t="n">
        <v>1692919.359641084</v>
      </c>
      <c r="J15" s="107" t="n">
        <v>72187.2</v>
      </c>
    </row>
    <row r="16" ht="15" customHeight="1">
      <c r="A16" s="12" t="n">
        <v>5</v>
      </c>
      <c r="B16" s="12" t="n">
        <v>63</v>
      </c>
      <c r="C16" s="12" t="n">
        <v>63</v>
      </c>
      <c r="D16" s="107" t="n">
        <v>12649341.78508041</v>
      </c>
      <c r="E16" s="107" t="n">
        <v>10624607.72623458</v>
      </c>
      <c r="F16" s="107" t="n">
        <v>3643647.383254004</v>
      </c>
      <c r="G16" s="107" t="n">
        <v>3785692.895259009</v>
      </c>
      <c r="H16" s="107" t="n">
        <v>1067570.399143348</v>
      </c>
      <c r="I16" s="107" t="n">
        <v>1688771.636413178</v>
      </c>
      <c r="J16" s="107" t="n">
        <v>72187.2</v>
      </c>
    </row>
    <row r="17" ht="15" customHeight="1">
      <c r="A17" s="12" t="n">
        <v>6</v>
      </c>
      <c r="B17" s="12" t="n">
        <v>64</v>
      </c>
      <c r="C17" s="12" t="n">
        <v>62</v>
      </c>
      <c r="D17" s="107" t="n">
        <v>12626533.70486803</v>
      </c>
      <c r="E17" s="107" t="n">
        <v>10607258.84487217</v>
      </c>
      <c r="F17" s="107" t="n">
        <v>3626298.501891595</v>
      </c>
      <c r="G17" s="107" t="n">
        <v>3776781.240969369</v>
      </c>
      <c r="H17" s="107" t="n">
        <v>1058658.744853708</v>
      </c>
      <c r="I17" s="107" t="n">
        <v>1685319.180973505</v>
      </c>
      <c r="J17" s="107" t="n">
        <v>72187.2</v>
      </c>
    </row>
    <row r="18" ht="15" customHeight="1">
      <c r="A18" s="12" t="n">
        <v>7</v>
      </c>
      <c r="B18" s="12" t="n">
        <v>62</v>
      </c>
      <c r="C18" s="12" t="n">
        <v>65</v>
      </c>
      <c r="D18" s="107" t="n">
        <v>12583817.70544163</v>
      </c>
      <c r="E18" s="107" t="n">
        <v>10569194.99298395</v>
      </c>
      <c r="F18" s="107" t="n">
        <v>3588234.650003375</v>
      </c>
      <c r="G18" s="107" t="n">
        <v>3764387.708980287</v>
      </c>
      <c r="H18" s="107" t="n">
        <v>1046265.212864626</v>
      </c>
      <c r="I18" s="107" t="n">
        <v>1677577.796522605</v>
      </c>
      <c r="J18" s="107" t="n">
        <v>72187.2</v>
      </c>
    </row>
    <row r="19" ht="15" customHeight="1">
      <c r="A19" s="12" t="n">
        <v>8</v>
      </c>
      <c r="B19" s="12" t="n">
        <v>63</v>
      </c>
      <c r="C19" s="12" t="n">
        <v>64</v>
      </c>
      <c r="D19" s="107" t="n">
        <v>12552617.99765814</v>
      </c>
      <c r="E19" s="107" t="n">
        <v>10545550.47407429</v>
      </c>
      <c r="F19" s="107" t="n">
        <v>3564590.131093712</v>
      </c>
      <c r="G19" s="107" t="n">
        <v>3753357.440721177</v>
      </c>
      <c r="H19" s="107" t="n">
        <v>1035234.944605516</v>
      </c>
      <c r="I19" s="107" t="n">
        <v>1674102.717137325</v>
      </c>
      <c r="J19" s="107" t="n">
        <v>72187.2</v>
      </c>
    </row>
    <row r="20" ht="15" customHeight="1">
      <c r="A20" s="12" t="n">
        <v>9</v>
      </c>
      <c r="B20" s="12" t="n">
        <v>64</v>
      </c>
      <c r="C20" s="12" t="n">
        <v>63</v>
      </c>
      <c r="D20" s="107" t="n">
        <v>12527893.13729243</v>
      </c>
      <c r="E20" s="107" t="n">
        <v>10526646.25096005</v>
      </c>
      <c r="F20" s="107" t="n">
        <v>3545685.907979474</v>
      </c>
      <c r="G20" s="107" t="n">
        <v>3743799.077340781</v>
      </c>
      <c r="H20" s="107" t="n">
        <v>1025676.58122512</v>
      </c>
      <c r="I20" s="107" t="n">
        <v>1670364.991008399</v>
      </c>
      <c r="J20" s="107" t="n">
        <v>72187.2</v>
      </c>
    </row>
    <row r="21" ht="15" customHeight="1">
      <c r="A21" s="12" t="n">
        <v>10</v>
      </c>
      <c r="B21" s="12" t="n">
        <v>63</v>
      </c>
      <c r="C21" s="12" t="n">
        <v>65</v>
      </c>
      <c r="D21" s="107" t="n">
        <v>12461614.08811354</v>
      </c>
      <c r="E21" s="107" t="n">
        <v>10470044.43337034</v>
      </c>
      <c r="F21" s="107" t="n">
        <v>3489084.09038977</v>
      </c>
      <c r="G21" s="107" t="n">
        <v>3721656.014703695</v>
      </c>
      <c r="H21" s="107" t="n">
        <v>1003533.518588034</v>
      </c>
      <c r="I21" s="107" t="n">
        <v>1657899.159960502</v>
      </c>
      <c r="J21" s="107" t="n">
        <v>72187.2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4" t="n">
        <v>62</v>
      </c>
      <c r="B26" s="74" t="n">
        <v>62</v>
      </c>
      <c r="C26" s="113" t="n">
        <v>12863103.3415452</v>
      </c>
      <c r="D26" s="113" t="n">
        <v>10796962.93116606</v>
      </c>
      <c r="E26" s="113" t="n">
        <v>3816002.588185486</v>
      </c>
      <c r="F26" s="113" t="n">
        <v>3861406.753164189</v>
      </c>
      <c r="G26" s="113" t="n">
        <v>1143284.257048528</v>
      </c>
      <c r="H26" s="113" t="n">
        <v>1723079.142785052</v>
      </c>
      <c r="I26" s="113" t="n">
        <v>72187.2</v>
      </c>
      <c r="J26" s="74" t="n">
        <v>2</v>
      </c>
    </row>
    <row r="27" ht="30" customHeight="1">
      <c r="A27" s="12" t="n">
        <v>62</v>
      </c>
      <c r="B27" s="12" t="n">
        <v>63</v>
      </c>
      <c r="C27" s="102" t="n">
        <v>12769980.28929847</v>
      </c>
      <c r="D27" s="107" t="n">
        <v>10722170.38841377</v>
      </c>
      <c r="E27" s="107" t="n">
        <v>3741210.045433194</v>
      </c>
      <c r="F27" s="107" t="n">
        <v>3828424.589535601</v>
      </c>
      <c r="G27" s="107" t="n">
        <v>1110302.09341994</v>
      </c>
      <c r="H27" s="107" t="n">
        <v>1708427.488650899</v>
      </c>
      <c r="I27" s="107" t="n">
        <v>72187.2</v>
      </c>
      <c r="J27" s="33" t="n">
        <v>2</v>
      </c>
    </row>
    <row r="28" ht="30" customHeight="1">
      <c r="A28" s="12" t="n">
        <v>62</v>
      </c>
      <c r="B28" s="12" t="n">
        <v>64</v>
      </c>
      <c r="C28" s="102" t="n">
        <v>12676248.56523965</v>
      </c>
      <c r="D28" s="107" t="n">
        <v>10645265.98988297</v>
      </c>
      <c r="E28" s="107" t="n">
        <v>3664305.646902396</v>
      </c>
      <c r="F28" s="107" t="n">
        <v>3796089.134997769</v>
      </c>
      <c r="G28" s="107" t="n">
        <v>1077966.638882108</v>
      </c>
      <c r="H28" s="107" t="n">
        <v>1692919.359641084</v>
      </c>
      <c r="I28" s="107" t="n">
        <v>72187.2</v>
      </c>
      <c r="J28" s="33" t="n">
        <v>2</v>
      </c>
    </row>
    <row r="29" ht="30" customHeight="1">
      <c r="A29" s="12" t="n">
        <v>62</v>
      </c>
      <c r="B29" s="12" t="n">
        <v>65</v>
      </c>
      <c r="C29" s="102" t="n">
        <v>12583817.70544163</v>
      </c>
      <c r="D29" s="107" t="n">
        <v>10569194.99298395</v>
      </c>
      <c r="E29" s="107" t="n">
        <v>3588234.650003375</v>
      </c>
      <c r="F29" s="107" t="n">
        <v>3764387.708980287</v>
      </c>
      <c r="G29" s="107" t="n">
        <v>1046265.212864626</v>
      </c>
      <c r="H29" s="107" t="n">
        <v>1677577.796522605</v>
      </c>
      <c r="I29" s="107" t="n">
        <v>72187.2</v>
      </c>
      <c r="J29" s="33" t="n">
        <v>2</v>
      </c>
    </row>
    <row r="30" ht="30" customHeight="1">
      <c r="A30" s="12" t="n">
        <v>62</v>
      </c>
      <c r="B30" s="12" t="n">
        <v>66</v>
      </c>
      <c r="C30" s="102" t="n">
        <v>12305750.83636654</v>
      </c>
      <c r="D30" s="107" t="n">
        <v>10323078.10894893</v>
      </c>
      <c r="E30" s="107" t="n">
        <v>3342117.765968361</v>
      </c>
      <c r="F30" s="107" t="n">
        <v>3684201.997198442</v>
      </c>
      <c r="G30" s="107" t="n">
        <v>966079.5010827812</v>
      </c>
      <c r="H30" s="107" t="n">
        <v>1629342.069780842</v>
      </c>
      <c r="I30" s="107" t="n">
        <v>72187.2</v>
      </c>
      <c r="J30" s="33" t="n">
        <v>3</v>
      </c>
    </row>
    <row r="31" ht="30" customHeight="1">
      <c r="A31" s="12" t="n">
        <v>62</v>
      </c>
      <c r="B31" s="12" t="n">
        <v>67</v>
      </c>
      <c r="C31" s="102" t="n">
        <v>11987884.29008585</v>
      </c>
      <c r="D31" s="107" t="n">
        <v>10007095.35154338</v>
      </c>
      <c r="E31" s="107" t="n">
        <v>3026135.008562808</v>
      </c>
      <c r="F31" s="107" t="n">
        <v>3605588.554275065</v>
      </c>
      <c r="G31" s="107" t="n">
        <v>887466.058159404</v>
      </c>
      <c r="H31" s="107" t="n">
        <v>1554779.615732595</v>
      </c>
      <c r="I31" s="107" t="n">
        <v>70020</v>
      </c>
      <c r="J31" s="33" t="n">
        <v>4</v>
      </c>
    </row>
    <row r="32" ht="30" customHeight="1">
      <c r="A32" s="12" t="n">
        <v>62</v>
      </c>
      <c r="B32" s="12" t="n">
        <v>68</v>
      </c>
      <c r="C32" s="102" t="n">
        <v>11718570.44646808</v>
      </c>
      <c r="D32" s="107" t="n">
        <v>9718652.915534526</v>
      </c>
      <c r="E32" s="107" t="n">
        <v>2737692.572553952</v>
      </c>
      <c r="F32" s="107" t="n">
        <v>3528516.551409009</v>
      </c>
      <c r="G32" s="107" t="n">
        <v>810394.0552933477</v>
      </c>
      <c r="H32" s="107" t="n">
        <v>1471582.220475452</v>
      </c>
      <c r="I32" s="107" t="n">
        <v>57016.8</v>
      </c>
      <c r="J32" s="33" t="n">
        <v>5</v>
      </c>
    </row>
    <row r="33" ht="30" customHeight="1">
      <c r="A33" s="12" t="n">
        <v>62</v>
      </c>
      <c r="B33" s="12" t="n">
        <v>69</v>
      </c>
      <c r="C33" s="102" t="n">
        <v>11404000.82867794</v>
      </c>
      <c r="D33" s="107" t="n">
        <v>9382958.145930028</v>
      </c>
      <c r="E33" s="107" t="n">
        <v>2401997.802949454</v>
      </c>
      <c r="F33" s="107" t="n">
        <v>3452955.764285424</v>
      </c>
      <c r="G33" s="107" t="n">
        <v>734833.268169763</v>
      </c>
      <c r="H33" s="107" t="n">
        <v>1379691.481537511</v>
      </c>
      <c r="I33" s="107" t="n">
        <v>52221.6</v>
      </c>
      <c r="J33" s="33" t="n">
        <v>6</v>
      </c>
    </row>
    <row r="34" ht="30" customHeight="1">
      <c r="A34" s="12" t="n">
        <v>62</v>
      </c>
      <c r="B34" s="12" t="n">
        <v>70</v>
      </c>
      <c r="C34" s="102" t="n">
        <v>11122509.26134361</v>
      </c>
      <c r="D34" s="107" t="n">
        <v>9067011.231634639</v>
      </c>
      <c r="E34" s="107" t="n">
        <v>2086050.888654065</v>
      </c>
      <c r="F34" s="107" t="n">
        <v>3378876.561223086</v>
      </c>
      <c r="G34" s="107" t="n">
        <v>660754.0651074252</v>
      </c>
      <c r="H34" s="107" t="n">
        <v>1278954.531514118</v>
      </c>
      <c r="I34" s="107" t="n">
        <v>44424</v>
      </c>
      <c r="J34" s="33" t="n">
        <v>7</v>
      </c>
    </row>
    <row r="35" ht="30" customHeight="1">
      <c r="A35" s="12" t="n">
        <v>63</v>
      </c>
      <c r="B35" s="12" t="n">
        <v>62</v>
      </c>
      <c r="C35" s="102" t="n">
        <v>12745188.96842032</v>
      </c>
      <c r="D35" s="107" t="n">
        <v>10703425.77790802</v>
      </c>
      <c r="E35" s="107" t="n">
        <v>3722465.434927446</v>
      </c>
      <c r="F35" s="107" t="n">
        <v>3818675.058887597</v>
      </c>
      <c r="G35" s="107" t="n">
        <v>1100552.562771935</v>
      </c>
      <c r="H35" s="107" t="n">
        <v>1704724.668375293</v>
      </c>
      <c r="I35" s="107" t="n">
        <v>72187.2</v>
      </c>
      <c r="J35" s="33" t="n">
        <v>2</v>
      </c>
    </row>
    <row r="36" ht="30" customHeight="1">
      <c r="A36" s="12" t="n">
        <v>63</v>
      </c>
      <c r="B36" s="12" t="n">
        <v>63</v>
      </c>
      <c r="C36" s="102" t="n">
        <v>12649341.78508041</v>
      </c>
      <c r="D36" s="107" t="n">
        <v>10624607.72623458</v>
      </c>
      <c r="E36" s="107" t="n">
        <v>3643647.383254004</v>
      </c>
      <c r="F36" s="107" t="n">
        <v>3785692.895259009</v>
      </c>
      <c r="G36" s="107" t="n">
        <v>1067570.399143348</v>
      </c>
      <c r="H36" s="107" t="n">
        <v>1688771.636413178</v>
      </c>
      <c r="I36" s="107" t="n">
        <v>72187.2</v>
      </c>
      <c r="J36" s="33" t="n">
        <v>2</v>
      </c>
    </row>
    <row r="37" ht="30" customHeight="1">
      <c r="A37" s="12" t="n">
        <v>63</v>
      </c>
      <c r="B37" s="12" t="n">
        <v>64</v>
      </c>
      <c r="C37" s="102" t="n">
        <v>12552617.99765814</v>
      </c>
      <c r="D37" s="107" t="n">
        <v>10545550.47407429</v>
      </c>
      <c r="E37" s="107" t="n">
        <v>3564590.131093712</v>
      </c>
      <c r="F37" s="107" t="n">
        <v>3753357.440721177</v>
      </c>
      <c r="G37" s="107" t="n">
        <v>1035234.944605516</v>
      </c>
      <c r="H37" s="107" t="n">
        <v>1674102.717137325</v>
      </c>
      <c r="I37" s="107" t="n">
        <v>72187.2</v>
      </c>
      <c r="J37" s="33" t="n">
        <v>2</v>
      </c>
    </row>
    <row r="38" ht="30" customHeight="1">
      <c r="A38" s="12" t="n">
        <v>63</v>
      </c>
      <c r="B38" s="12" t="n">
        <v>65</v>
      </c>
      <c r="C38" s="102" t="n">
        <v>12461614.08811354</v>
      </c>
      <c r="D38" s="107" t="n">
        <v>10470044.43337034</v>
      </c>
      <c r="E38" s="107" t="n">
        <v>3489084.09038977</v>
      </c>
      <c r="F38" s="107" t="n">
        <v>3721656.014703695</v>
      </c>
      <c r="G38" s="107" t="n">
        <v>1003533.518588034</v>
      </c>
      <c r="H38" s="107" t="n">
        <v>1657899.159960502</v>
      </c>
      <c r="I38" s="107" t="n">
        <v>72187.2</v>
      </c>
      <c r="J38" s="33" t="n">
        <v>2</v>
      </c>
    </row>
    <row r="39" ht="30" customHeight="1">
      <c r="A39" s="12" t="n">
        <v>63</v>
      </c>
      <c r="B39" s="12" t="n">
        <v>66</v>
      </c>
      <c r="C39" s="102" t="n">
        <v>12194185.91190944</v>
      </c>
      <c r="D39" s="107" t="n">
        <v>10229447.74004479</v>
      </c>
      <c r="E39" s="107" t="n">
        <v>3248487.397064217</v>
      </c>
      <c r="F39" s="107" t="n">
        <v>3641470.30292185</v>
      </c>
      <c r="G39" s="107" t="n">
        <v>923347.806806189</v>
      </c>
      <c r="H39" s="107" t="n">
        <v>1606712.131057198</v>
      </c>
      <c r="I39" s="107" t="n">
        <v>70020</v>
      </c>
      <c r="J39" s="33" t="n">
        <v>3</v>
      </c>
    </row>
    <row r="40" ht="30" customHeight="1">
      <c r="A40" s="12" t="n">
        <v>63</v>
      </c>
      <c r="B40" s="12" t="n">
        <v>67</v>
      </c>
      <c r="C40" s="102" t="n">
        <v>11860836.46079657</v>
      </c>
      <c r="D40" s="107" t="n">
        <v>9897831.124502765</v>
      </c>
      <c r="E40" s="107" t="n">
        <v>2916870.781522191</v>
      </c>
      <c r="F40" s="107" t="n">
        <v>3562856.859998473</v>
      </c>
      <c r="G40" s="107" t="n">
        <v>844734.3638828117</v>
      </c>
      <c r="H40" s="107" t="n">
        <v>1529831.523704667</v>
      </c>
      <c r="I40" s="107" t="n">
        <v>70020</v>
      </c>
      <c r="J40" s="33" t="n">
        <v>4</v>
      </c>
    </row>
    <row r="41" ht="30" customHeight="1">
      <c r="A41" s="12" t="n">
        <v>63</v>
      </c>
      <c r="B41" s="12" t="n">
        <v>68</v>
      </c>
      <c r="C41" s="102" t="n">
        <v>11594897.66485974</v>
      </c>
      <c r="D41" s="107" t="n">
        <v>9609968.310684497</v>
      </c>
      <c r="E41" s="107" t="n">
        <v>2629007.967703923</v>
      </c>
      <c r="F41" s="107" t="n">
        <v>3485784.857132417</v>
      </c>
      <c r="G41" s="107" t="n">
        <v>767662.3610167555</v>
      </c>
      <c r="H41" s="107" t="n">
        <v>1446466.702957168</v>
      </c>
      <c r="I41" s="107" t="n">
        <v>54388.8</v>
      </c>
      <c r="J41" s="33" t="n">
        <v>5</v>
      </c>
    </row>
    <row r="42" ht="30" customHeight="1">
      <c r="A42" s="12" t="n">
        <v>63</v>
      </c>
      <c r="B42" s="12" t="n">
        <v>69</v>
      </c>
      <c r="C42" s="102" t="n">
        <v>11283680.92760826</v>
      </c>
      <c r="D42" s="107" t="n">
        <v>9273574.506692812</v>
      </c>
      <c r="E42" s="107" t="n">
        <v>2292614.163712238</v>
      </c>
      <c r="F42" s="107" t="n">
        <v>3410224.070008832</v>
      </c>
      <c r="G42" s="107" t="n">
        <v>692101.5738931708</v>
      </c>
      <c r="H42" s="107" t="n">
        <v>1350063.24909338</v>
      </c>
      <c r="I42" s="107" t="n">
        <v>50054.4</v>
      </c>
      <c r="J42" s="33" t="n">
        <v>6</v>
      </c>
    </row>
    <row r="43" ht="30" customHeight="1">
      <c r="A43" s="12" t="n">
        <v>63</v>
      </c>
      <c r="B43" s="12" t="n">
        <v>70</v>
      </c>
      <c r="C43" s="102" t="n">
        <v>11000456.43868662</v>
      </c>
      <c r="D43" s="107" t="n">
        <v>8955076.370095091</v>
      </c>
      <c r="E43" s="107" t="n">
        <v>1974116.027114517</v>
      </c>
      <c r="F43" s="107" t="n">
        <v>3336144.866946495</v>
      </c>
      <c r="G43" s="107" t="n">
        <v>618022.3708308334</v>
      </c>
      <c r="H43" s="107" t="n">
        <v>1249803.99835496</v>
      </c>
      <c r="I43" s="107" t="n">
        <v>40960.8</v>
      </c>
      <c r="J43" s="33" t="n">
        <v>7</v>
      </c>
    </row>
    <row r="44" ht="30" customHeight="1">
      <c r="A44" s="12" t="n">
        <v>64</v>
      </c>
      <c r="B44" s="12" t="n">
        <v>62</v>
      </c>
      <c r="C44" s="102" t="n">
        <v>12626533.70486803</v>
      </c>
      <c r="D44" s="107" t="n">
        <v>10607258.84487217</v>
      </c>
      <c r="E44" s="107" t="n">
        <v>3626298.501891595</v>
      </c>
      <c r="F44" s="107" t="n">
        <v>3776781.240969369</v>
      </c>
      <c r="G44" s="107" t="n">
        <v>1058658.744853708</v>
      </c>
      <c r="H44" s="107" t="n">
        <v>1685319.180973505</v>
      </c>
      <c r="I44" s="107" t="n">
        <v>72187.2</v>
      </c>
      <c r="J44" s="33" t="n">
        <v>2</v>
      </c>
    </row>
    <row r="45" ht="30" customHeight="1">
      <c r="A45" s="12" t="n">
        <v>64</v>
      </c>
      <c r="B45" s="12" t="n">
        <v>63</v>
      </c>
      <c r="C45" s="102" t="n">
        <v>12527893.13729243</v>
      </c>
      <c r="D45" s="107" t="n">
        <v>10526646.25096005</v>
      </c>
      <c r="E45" s="107" t="n">
        <v>3545685.907979474</v>
      </c>
      <c r="F45" s="107" t="n">
        <v>3743799.077340781</v>
      </c>
      <c r="G45" s="107" t="n">
        <v>1025676.58122512</v>
      </c>
      <c r="H45" s="107" t="n">
        <v>1670364.991008399</v>
      </c>
      <c r="I45" s="107" t="n">
        <v>72187.2</v>
      </c>
      <c r="J45" s="33" t="n">
        <v>2</v>
      </c>
    </row>
    <row r="46" ht="30" customHeight="1">
      <c r="A46" s="12" t="n">
        <v>64</v>
      </c>
      <c r="B46" s="12" t="n">
        <v>64</v>
      </c>
      <c r="C46" s="102" t="n">
        <v>12434967.14825861</v>
      </c>
      <c r="D46" s="107" t="n">
        <v>10449509.84195592</v>
      </c>
      <c r="E46" s="107" t="n">
        <v>3468549.498975341</v>
      </c>
      <c r="F46" s="107" t="n">
        <v>3711463.62280295</v>
      </c>
      <c r="G46" s="107" t="n">
        <v>993341.1266872883</v>
      </c>
      <c r="H46" s="107" t="n">
        <v>1653819.116500256</v>
      </c>
      <c r="I46" s="107" t="n">
        <v>72187.2</v>
      </c>
      <c r="J46" s="33" t="n">
        <v>2</v>
      </c>
    </row>
    <row r="47" ht="30" customHeight="1">
      <c r="A47" s="12" t="n">
        <v>64</v>
      </c>
      <c r="B47" s="12" t="n">
        <v>65</v>
      </c>
      <c r="C47" s="102" t="n">
        <v>12341160.75018949</v>
      </c>
      <c r="D47" s="107" t="n">
        <v>10371545.5310293</v>
      </c>
      <c r="E47" s="107" t="n">
        <v>3390585.188048729</v>
      </c>
      <c r="F47" s="107" t="n">
        <v>3679762.196785468</v>
      </c>
      <c r="G47" s="107" t="n">
        <v>961639.7006698065</v>
      </c>
      <c r="H47" s="107" t="n">
        <v>1637959.777625284</v>
      </c>
      <c r="I47" s="107" t="n">
        <v>72187.2</v>
      </c>
      <c r="J47" s="33" t="n">
        <v>2</v>
      </c>
    </row>
    <row r="48" ht="30" customHeight="1">
      <c r="A48" s="12" t="n">
        <v>64</v>
      </c>
      <c r="B48" s="12" t="n">
        <v>66</v>
      </c>
      <c r="C48" s="102" t="n">
        <v>12070162.96970177</v>
      </c>
      <c r="D48" s="107" t="n">
        <v>10125060.94559705</v>
      </c>
      <c r="E48" s="107" t="n">
        <v>3144100.602616477</v>
      </c>
      <c r="F48" s="107" t="n">
        <v>3599576.485003623</v>
      </c>
      <c r="G48" s="107" t="n">
        <v>881453.9888879615</v>
      </c>
      <c r="H48" s="107" t="n">
        <v>1584454.4608989</v>
      </c>
      <c r="I48" s="107" t="n">
        <v>70020</v>
      </c>
      <c r="J48" s="33" t="n">
        <v>3</v>
      </c>
    </row>
    <row r="49" ht="30" customHeight="1">
      <c r="A49" s="12" t="n">
        <v>64</v>
      </c>
      <c r="B49" s="12" t="n">
        <v>67</v>
      </c>
      <c r="C49" s="102" t="n">
        <v>11770930.76086582</v>
      </c>
      <c r="D49" s="107" t="n">
        <v>9807061.9171628</v>
      </c>
      <c r="E49" s="107" t="n">
        <v>2826101.574182226</v>
      </c>
      <c r="F49" s="107" t="n">
        <v>3520963.042080245</v>
      </c>
      <c r="G49" s="107" t="n">
        <v>802840.5459645842</v>
      </c>
      <c r="H49" s="107" t="n">
        <v>1497910.198377221</v>
      </c>
      <c r="I49" s="107" t="n">
        <v>59184</v>
      </c>
      <c r="J49" s="33" t="n">
        <v>4</v>
      </c>
    </row>
    <row r="50" ht="30" customHeight="1">
      <c r="A50" s="12" t="n">
        <v>64</v>
      </c>
      <c r="B50" s="12" t="n">
        <v>68</v>
      </c>
      <c r="C50" s="102" t="n">
        <v>11468020.3053835</v>
      </c>
      <c r="D50" s="107" t="n">
        <v>9501846.457963079</v>
      </c>
      <c r="E50" s="107" t="n">
        <v>2520886.114982505</v>
      </c>
      <c r="F50" s="107" t="n">
        <v>3443891.039214189</v>
      </c>
      <c r="G50" s="107" t="n">
        <v>725768.5430985279</v>
      </c>
      <c r="H50" s="107" t="n">
        <v>1423328.391793774</v>
      </c>
      <c r="I50" s="107" t="n">
        <v>54388.8</v>
      </c>
      <c r="J50" s="33" t="n">
        <v>5</v>
      </c>
    </row>
    <row r="51" ht="30" customHeight="1">
      <c r="A51" s="12" t="n">
        <v>64</v>
      </c>
      <c r="B51" s="12" t="n">
        <v>69</v>
      </c>
      <c r="C51" s="102" t="n">
        <v>11158681.36818297</v>
      </c>
      <c r="D51" s="107" t="n">
        <v>9164066.815294761</v>
      </c>
      <c r="E51" s="107" t="n">
        <v>2183106.472314187</v>
      </c>
      <c r="F51" s="107" t="n">
        <v>3368330.252090605</v>
      </c>
      <c r="G51" s="107" t="n">
        <v>650207.7559749437</v>
      </c>
      <c r="H51" s="107" t="n">
        <v>1323661.299202397</v>
      </c>
      <c r="I51" s="107" t="n">
        <v>50054.4</v>
      </c>
      <c r="J51" s="33" t="n">
        <v>6</v>
      </c>
    </row>
    <row r="52" ht="30" customHeight="1">
      <c r="A52" s="12" t="n">
        <v>64</v>
      </c>
      <c r="B52" s="12" t="n">
        <v>70</v>
      </c>
      <c r="C52" s="102" t="n">
        <v>10905564.56115603</v>
      </c>
      <c r="D52" s="107" t="n">
        <v>8866883.195334092</v>
      </c>
      <c r="E52" s="107" t="n">
        <v>1885922.852353518</v>
      </c>
      <c r="F52" s="107" t="n">
        <v>3294251.049028267</v>
      </c>
      <c r="G52" s="107" t="n">
        <v>576128.5529126055</v>
      </c>
      <c r="H52" s="107" t="n">
        <v>1218943.283206327</v>
      </c>
      <c r="I52" s="107" t="n">
        <v>36626.4</v>
      </c>
      <c r="J52" s="33" t="n">
        <v>7</v>
      </c>
    </row>
    <row r="53" ht="30" customHeight="1">
      <c r="A53" s="12" t="n">
        <v>65</v>
      </c>
      <c r="B53" s="12" t="n">
        <v>62</v>
      </c>
      <c r="C53" s="102" t="n">
        <v>12278110.36549185</v>
      </c>
      <c r="D53" s="107" t="n">
        <v>10300763.52821112</v>
      </c>
      <c r="E53" s="107" t="n">
        <v>3319803.185230547</v>
      </c>
      <c r="F53" s="107" t="n">
        <v>3675944.16457895</v>
      </c>
      <c r="G53" s="107" t="n">
        <v>957821.6684632888</v>
      </c>
      <c r="H53" s="107" t="n">
        <v>1626410.127298224</v>
      </c>
      <c r="I53" s="107" t="n">
        <v>72187.2</v>
      </c>
      <c r="J53" s="33" t="n">
        <v>3</v>
      </c>
    </row>
    <row r="54" ht="30" customHeight="1">
      <c r="A54" s="12" t="n">
        <v>65</v>
      </c>
      <c r="B54" s="12" t="n">
        <v>63</v>
      </c>
      <c r="C54" s="102" t="n">
        <v>12179647.8795996</v>
      </c>
      <c r="D54" s="107" t="n">
        <v>10218505.78228793</v>
      </c>
      <c r="E54" s="107" t="n">
        <v>3237545.439307353</v>
      </c>
      <c r="F54" s="107" t="n">
        <v>3642962.000950362</v>
      </c>
      <c r="G54" s="107" t="n">
        <v>924839.5048347008</v>
      </c>
      <c r="H54" s="107" t="n">
        <v>1609632.703638695</v>
      </c>
      <c r="I54" s="107" t="n">
        <v>72187.2</v>
      </c>
      <c r="J54" s="33" t="n">
        <v>3</v>
      </c>
    </row>
    <row r="55" ht="30" customHeight="1">
      <c r="A55" s="12" t="n">
        <v>65</v>
      </c>
      <c r="B55" s="12" t="n">
        <v>64</v>
      </c>
      <c r="C55" s="102" t="n">
        <v>12091789.96098801</v>
      </c>
      <c r="D55" s="107" t="n">
        <v>10142284.22586146</v>
      </c>
      <c r="E55" s="107" t="n">
        <v>3161323.882880886</v>
      </c>
      <c r="F55" s="107" t="n">
        <v>3610626.54641253</v>
      </c>
      <c r="G55" s="107" t="n">
        <v>892504.0502968691</v>
      </c>
      <c r="H55" s="107" t="n">
        <v>1591100.811285986</v>
      </c>
      <c r="I55" s="107" t="n">
        <v>70020</v>
      </c>
      <c r="J55" s="33" t="n">
        <v>3</v>
      </c>
    </row>
    <row r="56" ht="30" customHeight="1">
      <c r="A56" s="12" t="n">
        <v>65</v>
      </c>
      <c r="B56" s="12" t="n">
        <v>65</v>
      </c>
      <c r="C56" s="102" t="n">
        <v>11996930.96912673</v>
      </c>
      <c r="D56" s="107" t="n">
        <v>10060288.1611212</v>
      </c>
      <c r="E56" s="107" t="n">
        <v>3079327.818140627</v>
      </c>
      <c r="F56" s="107" t="n">
        <v>3578925.120395049</v>
      </c>
      <c r="G56" s="107" t="n">
        <v>860802.6242793873</v>
      </c>
      <c r="H56" s="107" t="n">
        <v>1572262.312389516</v>
      </c>
      <c r="I56" s="107" t="n">
        <v>70020</v>
      </c>
      <c r="J56" s="33" t="n">
        <v>3</v>
      </c>
    </row>
    <row r="57" ht="30" customHeight="1">
      <c r="A57" s="12" t="n">
        <v>65</v>
      </c>
      <c r="B57" s="12" t="n">
        <v>66</v>
      </c>
      <c r="C57" s="102" t="n">
        <v>11665983.35632613</v>
      </c>
      <c r="D57" s="107" t="n">
        <v>9759094.239521429</v>
      </c>
      <c r="E57" s="107" t="n">
        <v>2778133.896540855</v>
      </c>
      <c r="F57" s="107" t="n">
        <v>3498739.408613204</v>
      </c>
      <c r="G57" s="107" t="n">
        <v>780616.9124975423</v>
      </c>
      <c r="H57" s="107" t="n">
        <v>1521830.291808501</v>
      </c>
      <c r="I57" s="107" t="n">
        <v>70020</v>
      </c>
      <c r="J57" s="33" t="n">
        <v>2</v>
      </c>
    </row>
    <row r="58" ht="30" customHeight="1">
      <c r="A58" s="12" t="n">
        <v>65</v>
      </c>
      <c r="B58" s="12" t="n">
        <v>67</v>
      </c>
      <c r="C58" s="102" t="n">
        <v>11373237.33909294</v>
      </c>
      <c r="D58" s="107" t="n">
        <v>9441700.204056416</v>
      </c>
      <c r="E58" s="107" t="n">
        <v>2460739.861075842</v>
      </c>
      <c r="F58" s="107" t="n">
        <v>3420125.965689826</v>
      </c>
      <c r="G58" s="107" t="n">
        <v>702003.4695741651</v>
      </c>
      <c r="H58" s="107" t="n">
        <v>1432032.830653298</v>
      </c>
      <c r="I58" s="107" t="n">
        <v>56556</v>
      </c>
      <c r="J58" s="33" t="n">
        <v>3</v>
      </c>
    </row>
    <row r="59" ht="30" customHeight="1">
      <c r="A59" s="12" t="n">
        <v>65</v>
      </c>
      <c r="B59" s="12" t="n">
        <v>68</v>
      </c>
      <c r="C59" s="102" t="n">
        <v>11073390.66474182</v>
      </c>
      <c r="D59" s="107" t="n">
        <v>9137605.069737922</v>
      </c>
      <c r="E59" s="107" t="n">
        <v>2156644.726757349</v>
      </c>
      <c r="F59" s="107" t="n">
        <v>3343053.96282377</v>
      </c>
      <c r="G59" s="107" t="n">
        <v>624931.4667081088</v>
      </c>
      <c r="H59" s="107" t="n">
        <v>1355046.767819878</v>
      </c>
      <c r="I59" s="107" t="n">
        <v>52221.6</v>
      </c>
      <c r="J59" s="33" t="n">
        <v>4</v>
      </c>
    </row>
    <row r="60" ht="30" customHeight="1">
      <c r="A60" s="12" t="n">
        <v>65</v>
      </c>
      <c r="B60" s="12" t="n">
        <v>69</v>
      </c>
      <c r="C60" s="102" t="n">
        <v>10784439.31756017</v>
      </c>
      <c r="D60" s="107" t="n">
        <v>8803826.842685178</v>
      </c>
      <c r="E60" s="107" t="n">
        <v>1822866.499704604</v>
      </c>
      <c r="F60" s="107" t="n">
        <v>3267493.175700185</v>
      </c>
      <c r="G60" s="107" t="n">
        <v>549370.6795845241</v>
      </c>
      <c r="H60" s="107" t="n">
        <v>1245919.900825197</v>
      </c>
      <c r="I60" s="107" t="n">
        <v>40960.8</v>
      </c>
      <c r="J60" s="33" t="n">
        <v>5</v>
      </c>
    </row>
    <row r="61" ht="30" customHeight="1">
      <c r="A61" s="12" t="n">
        <v>65</v>
      </c>
      <c r="B61" s="12" t="n">
        <v>70</v>
      </c>
      <c r="C61" s="102" t="n">
        <v>10574639.03766738</v>
      </c>
      <c r="D61" s="107" t="n">
        <v>8553339.708705962</v>
      </c>
      <c r="E61" s="107" t="n">
        <v>1572379.365725388</v>
      </c>
      <c r="F61" s="107" t="n">
        <v>3193413.972637848</v>
      </c>
      <c r="G61" s="107" t="n">
        <v>475291.4765221863</v>
      </c>
      <c r="H61" s="107" t="n">
        <v>1141989.84367643</v>
      </c>
      <c r="I61" s="107" t="n">
        <v>30124.8</v>
      </c>
      <c r="J61" s="33" t="n">
        <v>6</v>
      </c>
    </row>
    <row r="62" ht="30" customHeight="1">
      <c r="A62" s="12" t="n">
        <v>66</v>
      </c>
      <c r="B62" s="12" t="n">
        <v>62</v>
      </c>
      <c r="C62" s="102" t="n">
        <v>11882661.98286846</v>
      </c>
      <c r="D62" s="107" t="n">
        <v>9909426.059948549</v>
      </c>
      <c r="E62" s="107" t="n">
        <v>2928465.716967975</v>
      </c>
      <c r="F62" s="107" t="n">
        <v>3577084.285764813</v>
      </c>
      <c r="G62" s="107" t="n">
        <v>858961.7896491522</v>
      </c>
      <c r="H62" s="107" t="n">
        <v>1533828.362844905</v>
      </c>
      <c r="I62" s="107" t="n">
        <v>70020</v>
      </c>
      <c r="J62" s="33" t="n">
        <v>4</v>
      </c>
    </row>
    <row r="63" ht="30" customHeight="1">
      <c r="A63" s="12" t="n">
        <v>66</v>
      </c>
      <c r="B63" s="12" t="n">
        <v>63</v>
      </c>
      <c r="C63" s="102" t="n">
        <v>11785337.81959856</v>
      </c>
      <c r="D63" s="107" t="n">
        <v>9821834.374703463</v>
      </c>
      <c r="E63" s="107" t="n">
        <v>2840874.031722889</v>
      </c>
      <c r="F63" s="107" t="n">
        <v>3544102.122136225</v>
      </c>
      <c r="G63" s="107" t="n">
        <v>825979.6260205642</v>
      </c>
      <c r="H63" s="107" t="n">
        <v>1512745.877241127</v>
      </c>
      <c r="I63" s="107" t="n">
        <v>67852.8</v>
      </c>
      <c r="J63" s="33" t="n">
        <v>4</v>
      </c>
    </row>
    <row r="64" ht="30" customHeight="1">
      <c r="A64" s="12" t="n">
        <v>66</v>
      </c>
      <c r="B64" s="12" t="n">
        <v>64</v>
      </c>
      <c r="C64" s="102" t="n">
        <v>11717293.67063013</v>
      </c>
      <c r="D64" s="107" t="n">
        <v>9750703.809743397</v>
      </c>
      <c r="E64" s="107" t="n">
        <v>2769743.466762823</v>
      </c>
      <c r="F64" s="107" t="n">
        <v>3511766.667598394</v>
      </c>
      <c r="G64" s="107" t="n">
        <v>793644.1714827325</v>
      </c>
      <c r="H64" s="107" t="n">
        <v>1485992.80671166</v>
      </c>
      <c r="I64" s="107" t="n">
        <v>59184</v>
      </c>
      <c r="J64" s="33" t="n">
        <v>4</v>
      </c>
    </row>
    <row r="65" ht="30" customHeight="1">
      <c r="A65" s="12" t="n">
        <v>66</v>
      </c>
      <c r="B65" s="12" t="n">
        <v>65</v>
      </c>
      <c r="C65" s="102" t="n">
        <v>11618307.09965098</v>
      </c>
      <c r="D65" s="107" t="n">
        <v>9664933.30133003</v>
      </c>
      <c r="E65" s="107" t="n">
        <v>2683972.958349456</v>
      </c>
      <c r="F65" s="107" t="n">
        <v>3480065.241580912</v>
      </c>
      <c r="G65" s="107" t="n">
        <v>761942.7454652512</v>
      </c>
      <c r="H65" s="107" t="n">
        <v>1467507.443259968</v>
      </c>
      <c r="I65" s="107" t="n">
        <v>59184</v>
      </c>
      <c r="J65" s="33" t="n">
        <v>4</v>
      </c>
    </row>
    <row r="66" ht="30" customHeight="1">
      <c r="A66" s="12" t="n">
        <v>66</v>
      </c>
      <c r="B66" s="12" t="n">
        <v>66</v>
      </c>
      <c r="C66" s="102" t="n">
        <v>11293906.18267386</v>
      </c>
      <c r="D66" s="107" t="n">
        <v>9364308.70914422</v>
      </c>
      <c r="E66" s="107" t="n">
        <v>2383348.366163646</v>
      </c>
      <c r="F66" s="107" t="n">
        <v>3399879.529799067</v>
      </c>
      <c r="G66" s="107" t="n">
        <v>681757.0336834057</v>
      </c>
      <c r="H66" s="107" t="n">
        <v>1413726.056269421</v>
      </c>
      <c r="I66" s="107" t="n">
        <v>56556</v>
      </c>
      <c r="J66" s="33" t="n">
        <v>3</v>
      </c>
    </row>
    <row r="67" ht="30" customHeight="1">
      <c r="A67" s="12" t="n">
        <v>66</v>
      </c>
      <c r="B67" s="12" t="n">
        <v>67</v>
      </c>
      <c r="C67" s="102" t="n">
        <v>11003030.56790726</v>
      </c>
      <c r="D67" s="107" t="n">
        <v>9054240.994849075</v>
      </c>
      <c r="E67" s="107" t="n">
        <v>2073280.651868501</v>
      </c>
      <c r="F67" s="107" t="n">
        <v>3321266.08687569</v>
      </c>
      <c r="G67" s="107" t="n">
        <v>603143.5907600285</v>
      </c>
      <c r="H67" s="107" t="n">
        <v>1324589.313817508</v>
      </c>
      <c r="I67" s="107" t="n">
        <v>47887.2</v>
      </c>
      <c r="J67" s="33" t="n">
        <v>2</v>
      </c>
    </row>
    <row r="68" ht="30" customHeight="1">
      <c r="A68" s="12" t="n">
        <v>66</v>
      </c>
      <c r="B68" s="12" t="n">
        <v>68</v>
      </c>
      <c r="C68" s="102" t="n">
        <v>10730751.65736654</v>
      </c>
      <c r="D68" s="107" t="n">
        <v>8762310.93425394</v>
      </c>
      <c r="E68" s="107" t="n">
        <v>1781350.591273366</v>
      </c>
      <c r="F68" s="107" t="n">
        <v>3244194.084009633</v>
      </c>
      <c r="G68" s="107" t="n">
        <v>526071.5878939722</v>
      </c>
      <c r="H68" s="107" t="n">
        <v>1239126.96089703</v>
      </c>
      <c r="I68" s="107" t="n">
        <v>36626.4</v>
      </c>
      <c r="J68" s="33" t="n">
        <v>3</v>
      </c>
    </row>
    <row r="69" ht="30" customHeight="1">
      <c r="A69" s="12" t="n">
        <v>66</v>
      </c>
      <c r="B69" s="12" t="n">
        <v>69</v>
      </c>
      <c r="C69" s="102" t="n">
        <v>10503094.26360071</v>
      </c>
      <c r="D69" s="107" t="n">
        <v>8486606.106624838</v>
      </c>
      <c r="E69" s="107" t="n">
        <v>1505645.763644264</v>
      </c>
      <c r="F69" s="107" t="n">
        <v>3168633.296886049</v>
      </c>
      <c r="G69" s="107" t="n">
        <v>450510.8007703875</v>
      </c>
      <c r="H69" s="107" t="n">
        <v>1128521.939910182</v>
      </c>
      <c r="I69" s="107" t="n">
        <v>23623.2</v>
      </c>
      <c r="J69" s="33" t="n">
        <v>4</v>
      </c>
    </row>
    <row r="70" ht="30" customHeight="1">
      <c r="A70" s="12" t="n">
        <v>66</v>
      </c>
      <c r="B70" s="12" t="n">
        <v>70</v>
      </c>
      <c r="C70" s="102" t="n">
        <v>10320408.64733287</v>
      </c>
      <c r="D70" s="107" t="n">
        <v>8284674.22230525</v>
      </c>
      <c r="E70" s="107" t="n">
        <v>1303713.879324676</v>
      </c>
      <c r="F70" s="107" t="n">
        <v>3094554.093823711</v>
      </c>
      <c r="G70" s="107" t="n">
        <v>376431.5977080502</v>
      </c>
      <c r="H70" s="107" t="n">
        <v>1041730.468796097</v>
      </c>
      <c r="I70" s="107" t="n">
        <v>17089.2</v>
      </c>
      <c r="J70" s="33" t="n">
        <v>5</v>
      </c>
    </row>
    <row r="71" ht="30" customHeight="1">
      <c r="A71" s="12" t="n">
        <v>67</v>
      </c>
      <c r="B71" s="12" t="n">
        <v>62</v>
      </c>
      <c r="C71" s="102" t="n">
        <v>11541688.16152855</v>
      </c>
      <c r="D71" s="107" t="n">
        <v>9549094.1567725</v>
      </c>
      <c r="E71" s="107" t="n">
        <v>2568133.813791926</v>
      </c>
      <c r="F71" s="107" t="n">
        <v>3480162.835947033</v>
      </c>
      <c r="G71" s="107" t="n">
        <v>762040.3398313713</v>
      </c>
      <c r="H71" s="107" t="n">
        <v>1433180.031190983</v>
      </c>
      <c r="I71" s="107" t="n">
        <v>54388.8</v>
      </c>
      <c r="J71" s="33" t="n">
        <v>5</v>
      </c>
    </row>
    <row r="72" ht="30" customHeight="1">
      <c r="A72" s="12" t="n">
        <v>67</v>
      </c>
      <c r="B72" s="12" t="n">
        <v>63</v>
      </c>
      <c r="C72" s="102" t="n">
        <v>11437109.06841313</v>
      </c>
      <c r="D72" s="107" t="n">
        <v>9458746.784108331</v>
      </c>
      <c r="E72" s="107" t="n">
        <v>2477786.441127758</v>
      </c>
      <c r="F72" s="107" t="n">
        <v>3447180.672318445</v>
      </c>
      <c r="G72" s="107" t="n">
        <v>729058.1762027834</v>
      </c>
      <c r="H72" s="107" t="n">
        <v>1414429.588013642</v>
      </c>
      <c r="I72" s="107" t="n">
        <v>54388.8</v>
      </c>
      <c r="J72" s="33" t="n">
        <v>5</v>
      </c>
    </row>
    <row r="73" ht="30" customHeight="1">
      <c r="A73" s="12" t="n">
        <v>67</v>
      </c>
      <c r="B73" s="12" t="n">
        <v>64</v>
      </c>
      <c r="C73" s="102" t="n">
        <v>11336667.10352491</v>
      </c>
      <c r="D73" s="107" t="n">
        <v>9371327.02591791</v>
      </c>
      <c r="E73" s="107" t="n">
        <v>2390366.682937336</v>
      </c>
      <c r="F73" s="107" t="n">
        <v>3414845.217780613</v>
      </c>
      <c r="G73" s="107" t="n">
        <v>696722.7216649521</v>
      </c>
      <c r="H73" s="107" t="n">
        <v>1395116.340173609</v>
      </c>
      <c r="I73" s="107" t="n">
        <v>54388.8</v>
      </c>
      <c r="J73" s="33" t="n">
        <v>5</v>
      </c>
    </row>
    <row r="74" ht="30" customHeight="1">
      <c r="A74" s="12" t="n">
        <v>67</v>
      </c>
      <c r="B74" s="12" t="n">
        <v>65</v>
      </c>
      <c r="C74" s="102" t="n">
        <v>11236615.5268821</v>
      </c>
      <c r="D74" s="107" t="n">
        <v>9283279.813614812</v>
      </c>
      <c r="E74" s="107" t="n">
        <v>2302319.470634238</v>
      </c>
      <c r="F74" s="107" t="n">
        <v>3383143.791763131</v>
      </c>
      <c r="G74" s="107" t="n">
        <v>665021.2956474698</v>
      </c>
      <c r="H74" s="107" t="n">
        <v>1375419.278495843</v>
      </c>
      <c r="I74" s="107" t="n">
        <v>54388.8</v>
      </c>
      <c r="J74" s="33" t="n">
        <v>5</v>
      </c>
    </row>
    <row r="75" ht="30" customHeight="1">
      <c r="A75" s="12" t="n">
        <v>67</v>
      </c>
      <c r="B75" s="12" t="n">
        <v>66</v>
      </c>
      <c r="C75" s="102" t="n">
        <v>10924848.13249056</v>
      </c>
      <c r="D75" s="107" t="n">
        <v>8987493.522581499</v>
      </c>
      <c r="E75" s="107" t="n">
        <v>2006533.179600925</v>
      </c>
      <c r="F75" s="107" t="n">
        <v>3302958.079981287</v>
      </c>
      <c r="G75" s="107" t="n">
        <v>584835.5838656253</v>
      </c>
      <c r="H75" s="107" t="n">
        <v>1315549.070072221</v>
      </c>
      <c r="I75" s="107" t="n">
        <v>50054.4</v>
      </c>
      <c r="J75" s="33" t="n">
        <v>4</v>
      </c>
    </row>
    <row r="76" ht="30" customHeight="1">
      <c r="A76" s="12" t="n">
        <v>67</v>
      </c>
      <c r="B76" s="12" t="n">
        <v>67</v>
      </c>
      <c r="C76" s="102" t="n">
        <v>10661725.54653662</v>
      </c>
      <c r="D76" s="107" t="n">
        <v>8691433.357997198</v>
      </c>
      <c r="E76" s="107" t="n">
        <v>1710473.015016624</v>
      </c>
      <c r="F76" s="107" t="n">
        <v>3224344.637057909</v>
      </c>
      <c r="G76" s="107" t="n">
        <v>506222.1409422476</v>
      </c>
      <c r="H76" s="107" t="n">
        <v>1219593.248518489</v>
      </c>
      <c r="I76" s="107" t="n">
        <v>34459.2</v>
      </c>
      <c r="J76" s="33" t="n">
        <v>3</v>
      </c>
    </row>
    <row r="77" ht="30" customHeight="1">
      <c r="A77" s="12" t="n">
        <v>67</v>
      </c>
      <c r="B77" s="12" t="n">
        <v>68</v>
      </c>
      <c r="C77" s="102" t="n">
        <v>10460178.4020335</v>
      </c>
      <c r="D77" s="107" t="n">
        <v>8429841.470009128</v>
      </c>
      <c r="E77" s="107" t="n">
        <v>1448881.127028554</v>
      </c>
      <c r="F77" s="107" t="n">
        <v>3147272.634191853</v>
      </c>
      <c r="G77" s="107" t="n">
        <v>429150.1380761913</v>
      </c>
      <c r="H77" s="107" t="n">
        <v>1097121.302167478</v>
      </c>
      <c r="I77" s="107" t="n">
        <v>19814.4</v>
      </c>
      <c r="J77" s="33" t="n">
        <v>2</v>
      </c>
    </row>
    <row r="78" ht="30" customHeight="1">
      <c r="A78" s="12" t="n">
        <v>67</v>
      </c>
      <c r="B78" s="12" t="n">
        <v>69</v>
      </c>
      <c r="C78" s="102" t="n">
        <v>10244112.83708386</v>
      </c>
      <c r="D78" s="107" t="n">
        <v>8202983.059383657</v>
      </c>
      <c r="E78" s="107" t="n">
        <v>1222022.716403083</v>
      </c>
      <c r="F78" s="107" t="n">
        <v>3071711.847068268</v>
      </c>
      <c r="G78" s="107" t="n">
        <v>353589.3509526071</v>
      </c>
      <c r="H78" s="107" t="n">
        <v>1013492.869368071</v>
      </c>
      <c r="I78" s="107" t="n">
        <v>17089.2</v>
      </c>
      <c r="J78" s="33" t="n">
        <v>3</v>
      </c>
    </row>
    <row r="79" ht="30" customHeight="1">
      <c r="A79" s="12" t="n">
        <v>67</v>
      </c>
      <c r="B79" s="12" t="n">
        <v>70</v>
      </c>
      <c r="C79" s="102" t="n">
        <v>9996922.335895758</v>
      </c>
      <c r="D79" s="107" t="n">
        <v>7964755.76065618</v>
      </c>
      <c r="E79" s="107" t="n">
        <v>983795.417675606</v>
      </c>
      <c r="F79" s="107" t="n">
        <v>2997632.644005931</v>
      </c>
      <c r="G79" s="107" t="n">
        <v>279510.1478902693</v>
      </c>
      <c r="H79" s="107" t="n">
        <v>949460.4687663513</v>
      </c>
      <c r="I79" s="107" t="n">
        <v>16005.6</v>
      </c>
      <c r="J79" s="33" t="n">
        <v>4</v>
      </c>
    </row>
    <row r="80" ht="30" customHeight="1">
      <c r="A80" s="12" t="n">
        <v>68</v>
      </c>
      <c r="B80" s="12" t="n">
        <v>62</v>
      </c>
      <c r="C80" s="102" t="n">
        <v>11156406.22074626</v>
      </c>
      <c r="D80" s="107" t="n">
        <v>9139379.055421606</v>
      </c>
      <c r="E80" s="107" t="n">
        <v>2158418.712441032</v>
      </c>
      <c r="F80" s="107" t="n">
        <v>3385141.806713914</v>
      </c>
      <c r="G80" s="107" t="n">
        <v>667019.3105982528</v>
      </c>
      <c r="H80" s="107" t="n">
        <v>1318060.241389258</v>
      </c>
      <c r="I80" s="107" t="n">
        <v>50054.4</v>
      </c>
      <c r="J80" s="33" t="n">
        <v>6</v>
      </c>
    </row>
    <row r="81" ht="30" customHeight="1">
      <c r="A81" s="12" t="n">
        <v>68</v>
      </c>
      <c r="B81" s="12" t="n">
        <v>63</v>
      </c>
      <c r="C81" s="102" t="n">
        <v>11057514.57070075</v>
      </c>
      <c r="D81" s="107" t="n">
        <v>9049205.151872622</v>
      </c>
      <c r="E81" s="107" t="n">
        <v>2068244.808892048</v>
      </c>
      <c r="F81" s="107" t="n">
        <v>3352159.643085326</v>
      </c>
      <c r="G81" s="107" t="n">
        <v>634037.1469696648</v>
      </c>
      <c r="H81" s="107" t="n">
        <v>1295091.824257198</v>
      </c>
      <c r="I81" s="107" t="n">
        <v>48758.4</v>
      </c>
      <c r="J81" s="33" t="n">
        <v>6</v>
      </c>
    </row>
    <row r="82" ht="30" customHeight="1">
      <c r="A82" s="12" t="n">
        <v>68</v>
      </c>
      <c r="B82" s="12" t="n">
        <v>64</v>
      </c>
      <c r="C82" s="102" t="n">
        <v>10975028.76848555</v>
      </c>
      <c r="D82" s="107" t="n">
        <v>8971352.342585839</v>
      </c>
      <c r="E82" s="107" t="n">
        <v>1990391.999605265</v>
      </c>
      <c r="F82" s="107" t="n">
        <v>3319824.188547494</v>
      </c>
      <c r="G82" s="107" t="n">
        <v>601701.6924318331</v>
      </c>
      <c r="H82" s="107" t="n">
        <v>1271723.762647783</v>
      </c>
      <c r="I82" s="107" t="n">
        <v>44424</v>
      </c>
      <c r="J82" s="33" t="n">
        <v>6</v>
      </c>
    </row>
    <row r="83" ht="30" customHeight="1">
      <c r="A83" s="12" t="n">
        <v>68</v>
      </c>
      <c r="B83" s="12" t="n">
        <v>65</v>
      </c>
      <c r="C83" s="102" t="n">
        <v>10878504.3366335</v>
      </c>
      <c r="D83" s="107" t="n">
        <v>8880846.97698506</v>
      </c>
      <c r="E83" s="107" t="n">
        <v>1899886.634004486</v>
      </c>
      <c r="F83" s="107" t="n">
        <v>3288122.762530013</v>
      </c>
      <c r="G83" s="107" t="n">
        <v>570000.2664143518</v>
      </c>
      <c r="H83" s="107" t="n">
        <v>1249504.60288157</v>
      </c>
      <c r="I83" s="107" t="n">
        <v>40960.8</v>
      </c>
      <c r="J83" s="33" t="n">
        <v>6</v>
      </c>
    </row>
    <row r="84" ht="30" customHeight="1">
      <c r="A84" s="12" t="n">
        <v>68</v>
      </c>
      <c r="B84" s="12" t="n">
        <v>66</v>
      </c>
      <c r="C84" s="102" t="n">
        <v>10596824.13427164</v>
      </c>
      <c r="D84" s="107" t="n">
        <v>8608369.437214691</v>
      </c>
      <c r="E84" s="107" t="n">
        <v>1627409.094234117</v>
      </c>
      <c r="F84" s="107" t="n">
        <v>3207937.050748168</v>
      </c>
      <c r="G84" s="107" t="n">
        <v>489814.5546325068</v>
      </c>
      <c r="H84" s="107" t="n">
        <v>1185023.153691221</v>
      </c>
      <c r="I84" s="107" t="n">
        <v>34459.2</v>
      </c>
      <c r="J84" s="33" t="n">
        <v>5</v>
      </c>
    </row>
    <row r="85" ht="30" customHeight="1">
      <c r="A85" s="12" t="n">
        <v>68</v>
      </c>
      <c r="B85" s="12" t="n">
        <v>67</v>
      </c>
      <c r="C85" s="102" t="n">
        <v>10402232.72266103</v>
      </c>
      <c r="D85" s="107" t="n">
        <v>8384236.960685951</v>
      </c>
      <c r="E85" s="107" t="n">
        <v>1403276.617705377</v>
      </c>
      <c r="F85" s="107" t="n">
        <v>3129323.60782479</v>
      </c>
      <c r="G85" s="107" t="n">
        <v>411201.1117091291</v>
      </c>
      <c r="H85" s="107" t="n">
        <v>1091513.445849715</v>
      </c>
      <c r="I85" s="107" t="n">
        <v>19814.4</v>
      </c>
      <c r="J85" s="33" t="n">
        <v>4</v>
      </c>
    </row>
    <row r="86" ht="30" customHeight="1">
      <c r="A86" s="12" t="n">
        <v>68</v>
      </c>
      <c r="B86" s="12" t="n">
        <v>68</v>
      </c>
      <c r="C86" s="102" t="n">
        <v>10175610.9039068</v>
      </c>
      <c r="D86" s="107" t="n">
        <v>8134243.708688712</v>
      </c>
      <c r="E86" s="107" t="n">
        <v>1153283.365708138</v>
      </c>
      <c r="F86" s="107" t="n">
        <v>3052251.604958734</v>
      </c>
      <c r="G86" s="107" t="n">
        <v>334129.1088430728</v>
      </c>
      <c r="H86" s="107" t="n">
        <v>994878.8097406413</v>
      </c>
      <c r="I86" s="107" t="n">
        <v>16005.6</v>
      </c>
      <c r="J86" s="33" t="n">
        <v>3</v>
      </c>
    </row>
    <row r="87" ht="30" customHeight="1">
      <c r="A87" s="12" t="n">
        <v>68</v>
      </c>
      <c r="B87" s="12" t="n">
        <v>69</v>
      </c>
      <c r="C87" s="102" t="n">
        <v>9900128.909256253</v>
      </c>
      <c r="D87" s="107" t="n">
        <v>7871892.322013548</v>
      </c>
      <c r="E87" s="107" t="n">
        <v>890931.9790329738</v>
      </c>
      <c r="F87" s="107" t="n">
        <v>2976690.81783515</v>
      </c>
      <c r="G87" s="107" t="n">
        <v>258568.3217194886</v>
      </c>
      <c r="H87" s="107" t="n">
        <v>932448.6305924443</v>
      </c>
      <c r="I87" s="107" t="n">
        <v>16005.6</v>
      </c>
      <c r="J87" s="33" t="n">
        <v>2</v>
      </c>
    </row>
    <row r="88" ht="30" customHeight="1">
      <c r="A88" s="12" t="n">
        <v>68</v>
      </c>
      <c r="B88" s="12" t="n">
        <v>70</v>
      </c>
      <c r="C88" s="102" t="n">
        <v>9634319.616950672</v>
      </c>
      <c r="D88" s="107" t="n">
        <v>7634983.882800923</v>
      </c>
      <c r="E88" s="107" t="n">
        <v>654023.5398203488</v>
      </c>
      <c r="F88" s="107" t="n">
        <v>2902611.614772812</v>
      </c>
      <c r="G88" s="107" t="n">
        <v>184489.1186571508</v>
      </c>
      <c r="H88" s="107" t="n">
        <v>887270.2806230627</v>
      </c>
      <c r="I88" s="107" t="n">
        <v>16005.6</v>
      </c>
      <c r="J88" s="33" t="n">
        <v>3</v>
      </c>
    </row>
    <row r="89" ht="30" customHeight="1">
      <c r="A89" s="12" t="n">
        <v>69</v>
      </c>
      <c r="B89" s="12" t="n">
        <v>62</v>
      </c>
      <c r="C89" s="102" t="n">
        <v>10859567.04014987</v>
      </c>
      <c r="D89" s="107" t="n">
        <v>8800177.901946206</v>
      </c>
      <c r="E89" s="107" t="n">
        <v>1819217.558965632</v>
      </c>
      <c r="F89" s="107" t="n">
        <v>3292103.233900905</v>
      </c>
      <c r="G89" s="107" t="n">
        <v>573980.7377852439</v>
      </c>
      <c r="H89" s="107" t="n">
        <v>1196087.69569724</v>
      </c>
      <c r="I89" s="107" t="n">
        <v>36626.4</v>
      </c>
      <c r="J89" s="33" t="n">
        <v>7</v>
      </c>
    </row>
    <row r="90" ht="30" customHeight="1">
      <c r="A90" s="12" t="n">
        <v>69</v>
      </c>
      <c r="B90" s="12" t="n">
        <v>63</v>
      </c>
      <c r="C90" s="102" t="n">
        <v>10791005.95495279</v>
      </c>
      <c r="D90" s="107" t="n">
        <v>8735924.611266902</v>
      </c>
      <c r="E90" s="107" t="n">
        <v>1754964.268286328</v>
      </c>
      <c r="F90" s="107" t="n">
        <v>3259001.771288151</v>
      </c>
      <c r="G90" s="107" t="n">
        <v>540879.2751724902</v>
      </c>
      <c r="H90" s="107" t="n">
        <v>1171628.427602267</v>
      </c>
      <c r="I90" s="107" t="n">
        <v>32292</v>
      </c>
      <c r="J90" s="33" t="n">
        <v>7</v>
      </c>
    </row>
    <row r="91" ht="30" customHeight="1">
      <c r="A91" s="12" t="n">
        <v>69</v>
      </c>
      <c r="B91" s="12" t="n">
        <v>64</v>
      </c>
      <c r="C91" s="102" t="n">
        <v>10718642.34262041</v>
      </c>
      <c r="D91" s="107" t="n">
        <v>8671260.500220601</v>
      </c>
      <c r="E91" s="107" t="n">
        <v>1690300.157240027</v>
      </c>
      <c r="F91" s="107" t="n">
        <v>3226666.31675032</v>
      </c>
      <c r="G91" s="107" t="n">
        <v>508543.8206346589</v>
      </c>
      <c r="H91" s="107" t="n">
        <v>1149159.674350513</v>
      </c>
      <c r="I91" s="107" t="n">
        <v>30124.8</v>
      </c>
      <c r="J91" s="33" t="n">
        <v>7</v>
      </c>
    </row>
    <row r="92" ht="30" customHeight="1">
      <c r="A92" s="12" t="n">
        <v>69</v>
      </c>
      <c r="B92" s="12" t="n">
        <v>65</v>
      </c>
      <c r="C92" s="102" t="n">
        <v>10651088.95852501</v>
      </c>
      <c r="D92" s="107" t="n">
        <v>8608795.4652167</v>
      </c>
      <c r="E92" s="107" t="n">
        <v>1627835.122236126</v>
      </c>
      <c r="F92" s="107" t="n">
        <v>3194964.890732838</v>
      </c>
      <c r="G92" s="107" t="n">
        <v>476842.3946171771</v>
      </c>
      <c r="H92" s="107" t="n">
        <v>1126355.397424533</v>
      </c>
      <c r="I92" s="107" t="n">
        <v>26316</v>
      </c>
      <c r="J92" s="33" t="n">
        <v>7</v>
      </c>
    </row>
    <row r="93" ht="30" customHeight="1">
      <c r="A93" s="12" t="n">
        <v>69</v>
      </c>
      <c r="B93" s="12" t="n">
        <v>66</v>
      </c>
      <c r="C93" s="102" t="n">
        <v>10381347.19597843</v>
      </c>
      <c r="D93" s="107" t="n">
        <v>8360983.26766011</v>
      </c>
      <c r="E93" s="107" t="n">
        <v>1380022.924679536</v>
      </c>
      <c r="F93" s="107" t="n">
        <v>3114779.178950993</v>
      </c>
      <c r="G93" s="107" t="n">
        <v>396656.6828353321</v>
      </c>
      <c r="H93" s="107" t="n">
        <v>1071908.050632674</v>
      </c>
      <c r="I93" s="107" t="n">
        <v>22507.2</v>
      </c>
      <c r="J93" s="33" t="n">
        <v>6</v>
      </c>
    </row>
    <row r="94" ht="30" customHeight="1">
      <c r="A94" s="12" t="n">
        <v>69</v>
      </c>
      <c r="B94" s="12" t="n">
        <v>67</v>
      </c>
      <c r="C94" s="102" t="n">
        <v>10138174.00937068</v>
      </c>
      <c r="D94" s="107" t="n">
        <v>8109352.189938575</v>
      </c>
      <c r="E94" s="107" t="n">
        <v>1128391.846958001</v>
      </c>
      <c r="F94" s="107" t="n">
        <v>3036165.736027616</v>
      </c>
      <c r="G94" s="107" t="n">
        <v>318043.2399119544</v>
      </c>
      <c r="H94" s="107" t="n">
        <v>991338.3165955099</v>
      </c>
      <c r="I94" s="107" t="n">
        <v>16005.6</v>
      </c>
      <c r="J94" s="33" t="n">
        <v>5</v>
      </c>
    </row>
    <row r="95" ht="30" customHeight="1">
      <c r="A95" s="12" t="n">
        <v>69</v>
      </c>
      <c r="B95" s="12" t="n">
        <v>68</v>
      </c>
      <c r="C95" s="102" t="n">
        <v>9873486.273677183</v>
      </c>
      <c r="D95" s="107" t="n">
        <v>7855159.387106431</v>
      </c>
      <c r="E95" s="107" t="n">
        <v>874199.0441258568</v>
      </c>
      <c r="F95" s="107" t="n">
        <v>2959093.73316156</v>
      </c>
      <c r="G95" s="107" t="n">
        <v>240971.2370458986</v>
      </c>
      <c r="H95" s="107" t="n">
        <v>924761.2465908083</v>
      </c>
      <c r="I95" s="107" t="n">
        <v>16005.6</v>
      </c>
      <c r="J95" s="33" t="n">
        <v>4</v>
      </c>
    </row>
    <row r="96" ht="30" customHeight="1">
      <c r="A96" s="12" t="n">
        <v>69</v>
      </c>
      <c r="B96" s="12" t="n">
        <v>69</v>
      </c>
      <c r="C96" s="102" t="n">
        <v>9556897.896516519</v>
      </c>
      <c r="D96" s="107" t="n">
        <v>7567702.635293812</v>
      </c>
      <c r="E96" s="107" t="n">
        <v>586742.2923132386</v>
      </c>
      <c r="F96" s="107" t="n">
        <v>2883532.946037975</v>
      </c>
      <c r="G96" s="107" t="n">
        <v>165410.4499223139</v>
      </c>
      <c r="H96" s="107" t="n">
        <v>878332.0848152685</v>
      </c>
      <c r="I96" s="107" t="n">
        <v>16005.6</v>
      </c>
      <c r="J96" s="33" t="n">
        <v>3</v>
      </c>
    </row>
    <row r="97" ht="30" customHeight="1">
      <c r="A97" s="12" t="n">
        <v>69</v>
      </c>
      <c r="B97" s="12" t="n">
        <v>70</v>
      </c>
      <c r="C97" s="102" t="n">
        <v>9258655.107024549</v>
      </c>
      <c r="D97" s="107" t="n">
        <v>7309747.576342683</v>
      </c>
      <c r="E97" s="107" t="n">
        <v>328787.2333621094</v>
      </c>
      <c r="F97" s="107" t="n">
        <v>2809453.742975637</v>
      </c>
      <c r="G97" s="107" t="n">
        <v>91331.24685997609</v>
      </c>
      <c r="H97" s="107" t="n">
        <v>844540.6122937721</v>
      </c>
      <c r="I97" s="107" t="n">
        <v>16005.6</v>
      </c>
      <c r="J97" s="33" t="n">
        <v>2</v>
      </c>
    </row>
    <row r="98" ht="30" customHeight="1">
      <c r="A98" s="12" t="n">
        <v>70</v>
      </c>
      <c r="B98" s="12" t="n">
        <v>62</v>
      </c>
      <c r="C98" s="102" t="n">
        <v>10662568.26729932</v>
      </c>
      <c r="D98" s="107" t="n">
        <v>8573842.177733898</v>
      </c>
      <c r="E98" s="107" t="n">
        <v>1592881.834753324</v>
      </c>
      <c r="F98" s="107" t="n">
        <v>3202359.136392723</v>
      </c>
      <c r="G98" s="107" t="n">
        <v>484236.6402770616</v>
      </c>
      <c r="H98" s="107" t="n">
        <v>1091125.846827304</v>
      </c>
      <c r="I98" s="107" t="n">
        <v>22507.2</v>
      </c>
      <c r="J98" s="33" t="n">
        <v>8</v>
      </c>
    </row>
    <row r="99" ht="30" customHeight="1">
      <c r="A99" s="12" t="n">
        <v>70</v>
      </c>
      <c r="B99" s="12" t="n">
        <v>63</v>
      </c>
      <c r="C99" s="102" t="n">
        <v>10590651.66712314</v>
      </c>
      <c r="D99" s="107" t="n">
        <v>8515410.018502191</v>
      </c>
      <c r="E99" s="107" t="n">
        <v>1534449.675521617</v>
      </c>
      <c r="F99" s="107" t="n">
        <v>3167787.484216573</v>
      </c>
      <c r="G99" s="107" t="n">
        <v>449664.988100912</v>
      </c>
      <c r="H99" s="107" t="n">
        <v>1071122.235595623</v>
      </c>
      <c r="I99" s="107" t="n">
        <v>21423.6</v>
      </c>
      <c r="J99" s="33" t="n">
        <v>8</v>
      </c>
    </row>
    <row r="100" ht="30" customHeight="1">
      <c r="A100" s="12" t="n">
        <v>70</v>
      </c>
      <c r="B100" s="12" t="n">
        <v>64</v>
      </c>
      <c r="C100" s="102" t="n">
        <v>10494734.91306405</v>
      </c>
      <c r="D100" s="107" t="n">
        <v>8434804.764235917</v>
      </c>
      <c r="E100" s="107" t="n">
        <v>1453844.421255344</v>
      </c>
      <c r="F100" s="107" t="n">
        <v>3135335.069890344</v>
      </c>
      <c r="G100" s="107" t="n">
        <v>417212.5737746828</v>
      </c>
      <c r="H100" s="107" t="n">
        <v>1053981.321062214</v>
      </c>
      <c r="I100" s="107" t="n">
        <v>21423.6</v>
      </c>
      <c r="J100" s="33" t="n">
        <v>8</v>
      </c>
    </row>
    <row r="101" ht="30" customHeight="1">
      <c r="A101" s="12" t="n">
        <v>70</v>
      </c>
      <c r="B101" s="12" t="n">
        <v>65</v>
      </c>
      <c r="C101" s="102" t="n">
        <v>10399032.34186802</v>
      </c>
      <c r="D101" s="107" t="n">
        <v>8354930.986016246</v>
      </c>
      <c r="E101" s="107" t="n">
        <v>1373970.643035673</v>
      </c>
      <c r="F101" s="107" t="n">
        <v>3103633.643872862</v>
      </c>
      <c r="G101" s="107" t="n">
        <v>385511.147757201</v>
      </c>
      <c r="H101" s="107" t="n">
        <v>1038108.68802109</v>
      </c>
      <c r="I101" s="107" t="n">
        <v>21423.6</v>
      </c>
      <c r="J101" s="33" t="n">
        <v>8</v>
      </c>
    </row>
    <row r="102" ht="30" customHeight="1">
      <c r="A102" s="12" t="n">
        <v>70</v>
      </c>
      <c r="B102" s="12" t="n">
        <v>66</v>
      </c>
      <c r="C102" s="102" t="n">
        <v>10099311.32611987</v>
      </c>
      <c r="D102" s="107" t="n">
        <v>8088704.427048633</v>
      </c>
      <c r="E102" s="107" t="n">
        <v>1107744.084068059</v>
      </c>
      <c r="F102" s="107" t="n">
        <v>3023447.932091017</v>
      </c>
      <c r="G102" s="107" t="n">
        <v>305325.435975356</v>
      </c>
      <c r="H102" s="107" t="n">
        <v>992501.0330197796</v>
      </c>
      <c r="I102" s="107" t="n">
        <v>20340</v>
      </c>
      <c r="J102" s="33" t="n">
        <v>7</v>
      </c>
    </row>
    <row r="103" ht="30" customHeight="1">
      <c r="A103" s="12" t="n">
        <v>70</v>
      </c>
      <c r="B103" s="12" t="n">
        <v>67</v>
      </c>
      <c r="C103" s="102" t="n">
        <v>9855450.365897663</v>
      </c>
      <c r="D103" s="107" t="n">
        <v>7852266.345761606</v>
      </c>
      <c r="E103" s="107" t="n">
        <v>871306.0027810317</v>
      </c>
      <c r="F103" s="107" t="n">
        <v>2944834.48916764</v>
      </c>
      <c r="G103" s="107" t="n">
        <v>226711.9930519788</v>
      </c>
      <c r="H103" s="107" t="n">
        <v>925644.8690315838</v>
      </c>
      <c r="I103" s="107" t="n">
        <v>16005.6</v>
      </c>
      <c r="J103" s="33" t="n">
        <v>6</v>
      </c>
    </row>
    <row r="104" ht="30" customHeight="1">
      <c r="A104" s="12" t="n">
        <v>70</v>
      </c>
      <c r="B104" s="12" t="n">
        <v>68</v>
      </c>
      <c r="C104" s="102" t="n">
        <v>9521151.268363358</v>
      </c>
      <c r="D104" s="107" t="n">
        <v>7544591.608186912</v>
      </c>
      <c r="E104" s="107" t="n">
        <v>563631.2652063379</v>
      </c>
      <c r="F104" s="107" t="n">
        <v>2867762.486301584</v>
      </c>
      <c r="G104" s="107" t="n">
        <v>149639.9901859225</v>
      </c>
      <c r="H104" s="107" t="n">
        <v>875197.2261251372</v>
      </c>
      <c r="I104" s="107" t="n">
        <v>16005.6</v>
      </c>
      <c r="J104" s="33" t="n">
        <v>5</v>
      </c>
    </row>
    <row r="105" ht="30" customHeight="1">
      <c r="A105" s="12" t="n">
        <v>70</v>
      </c>
      <c r="B105" s="12" t="n">
        <v>69</v>
      </c>
      <c r="C105" s="102" t="n">
        <v>9207013.949784597</v>
      </c>
      <c r="D105" s="107" t="n">
        <v>7271329.558305562</v>
      </c>
      <c r="E105" s="107" t="n">
        <v>290369.2153249877</v>
      </c>
      <c r="F105" s="107" t="n">
        <v>2792201.699177999</v>
      </c>
      <c r="G105" s="107" t="n">
        <v>74079.20306233782</v>
      </c>
      <c r="H105" s="107" t="n">
        <v>840511.7076989643</v>
      </c>
      <c r="I105" s="107" t="n">
        <v>16005.6</v>
      </c>
      <c r="J105" s="33" t="n">
        <v>4</v>
      </c>
    </row>
    <row r="106" ht="30" customHeight="1">
      <c r="A106" s="114" t="n">
        <v>70</v>
      </c>
      <c r="B106" s="114" t="n">
        <v>70</v>
      </c>
      <c r="C106" s="115" t="n">
        <v>8914389.446670482</v>
      </c>
      <c r="D106" s="115" t="n">
        <v>7028415.929547017</v>
      </c>
      <c r="E106" s="115" t="n">
        <v>47455.58656644356</v>
      </c>
      <c r="F106" s="115" t="n">
        <v>2718122.496115661</v>
      </c>
      <c r="G106" s="115" t="n">
        <v>0</v>
      </c>
      <c r="H106" s="115" t="n">
        <v>816143.378992197</v>
      </c>
      <c r="I106" s="115" t="n">
        <v>16005.6</v>
      </c>
      <c r="J106" s="114" t="n">
        <v>3</v>
      </c>
    </row>
    <row r="107"/>
    <row r="108" ht="60" customHeight="1">
      <c r="A108" s="114"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6" t="inlineStr">
        <is>
          <t>Salary only ($60,000/yr)</t>
        </is>
      </c>
      <c r="E3" s="3" t="n"/>
      <c r="F3" s="4" t="n"/>
      <c r="G3" s="96"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6" t="inlineStr">
        <is>
          <t>20% of W-2 wages + allocable basis</t>
        </is>
      </c>
      <c r="E5" s="3" t="n"/>
      <c r="F5" s="4" t="n"/>
      <c r="G5" s="96"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6" t="inlineStr">
        <is>
          <t>$1,500–$3,000/yr (payroll, returns)</t>
        </is>
      </c>
      <c r="E7" s="3" t="n"/>
      <c r="F7" s="4" t="n"/>
      <c r="G7" s="96"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6" t="inlineStr">
        <is>
          <t>Added to W-2 box 1; deducted via Sch 1</t>
        </is>
      </c>
      <c r="E9" s="3" t="n"/>
      <c r="F9" s="4" t="n"/>
      <c r="G9" s="96"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6" t="inlineStr">
        <is>
          <t>Moderate (reasonable salary scrutiny)</t>
        </is>
      </c>
      <c r="E11" s="3" t="n"/>
      <c r="F11" s="4" t="n"/>
      <c r="G11" s="96" t="inlineStr">
        <is>
          <t>Higher SE income triggers</t>
        </is>
      </c>
      <c r="H11" s="4" t="n"/>
    </row>
    <row r="12" ht="30" customHeight="1">
      <c r="A12" s="91" t="inlineStr">
        <is>
          <t>Recommended at this income</t>
        </is>
      </c>
      <c r="B12" s="3" t="n"/>
      <c r="C12" s="4" t="n"/>
      <c r="D12" s="74" t="inlineStr">
        <is>
          <t>★ YES — net savings ~$29,783/yr</t>
        </is>
      </c>
      <c r="E12" s="3" t="n"/>
      <c r="F12" s="4" t="n"/>
      <c r="G12" s="75" t="inlineStr">
        <is>
          <t>Not recommended above $100K net income</t>
        </is>
      </c>
      <c r="H12" s="4" t="n"/>
    </row>
    <row r="13"/>
    <row r="14" ht="60" customHeight="1">
      <c r="A14" s="114"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4" t="inlineStr">
        <is>
          <t>★ PRIMARY — High-income years</t>
        </is>
      </c>
    </row>
    <row r="7" ht="75" customHeight="1">
      <c r="A7" s="12" t="inlineStr">
        <is>
          <t>QCD (from IRA)</t>
        </is>
      </c>
      <c r="B7" s="12" t="inlineStr">
        <is>
          <t>After RMD start age (2037 for Matthew); up to $108K/person/yr</t>
        </is>
      </c>
      <c r="C7" s="12" t="inlineStr">
        <is>
          <t>Excluded from AGI entirely — bypasses SALT calculus; counts toward RMD</t>
        </is>
      </c>
      <c r="D7" s="12" t="inlineStr">
        <is>
          <t>Reduced by avoided tax</t>
        </is>
      </c>
      <c r="E7" s="12" t="inlineStr">
        <is>
          <t>Full gift direct to charity</t>
        </is>
      </c>
      <c r="F7" s="74"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6" t="inlineStr">
        <is>
          <t>TRUE</t>
        </is>
      </c>
      <c r="D20" s="74" t="inlineStr">
        <is>
          <t>False</t>
        </is>
      </c>
      <c r="E20" s="12" t="inlineStr">
        <is>
          <t>Enable DAF in Plan Data / System</t>
        </is>
      </c>
      <c r="F20" s="4" t="n"/>
    </row>
    <row r="21" ht="30" customHeight="1">
      <c r="A21" s="11" t="inlineStr">
        <is>
          <t>Contribution Year</t>
        </is>
      </c>
      <c r="B21" s="4" t="n"/>
      <c r="C21" s="116" t="inlineStr">
        <is>
          <t>2026</t>
        </is>
      </c>
      <c r="D21" s="114" t="inlineStr">
        <is>
          <t>2026</t>
        </is>
      </c>
      <c r="E21" s="12" t="inlineStr">
        <is>
          <t>Highest income year; max SALT headroom</t>
        </is>
      </c>
      <c r="F21" s="4" t="n"/>
    </row>
    <row r="22" ht="30" customHeight="1">
      <c r="A22" s="11" t="inlineStr">
        <is>
          <t>Contribution Amount</t>
        </is>
      </c>
      <c r="B22" s="4" t="n"/>
      <c r="C22" s="116" t="inlineStr">
        <is>
          <t>$20,000</t>
        </is>
      </c>
      <c r="D22" s="114" t="inlineStr">
        <is>
          <t>$20,000</t>
        </is>
      </c>
      <c r="E22" s="12" t="inlineStr">
        <is>
          <t>5 yrs × $4,000/yr avg; ≤ 60% AGI limit $156,600</t>
        </is>
      </c>
      <c r="F22" s="4" t="n"/>
    </row>
    <row r="23" ht="30" customHeight="1">
      <c r="A23" s="11" t="inlineStr">
        <is>
          <t>Est. Tax Savings</t>
        </is>
      </c>
      <c r="B23" s="4" t="n"/>
      <c r="C23" s="116" t="inlineStr">
        <is>
          <t>$4,800</t>
        </is>
      </c>
      <c r="D23" s="74" t="inlineStr">
        <is>
          <t>N/A</t>
        </is>
      </c>
      <c r="E23" s="12" t="inlineStr">
        <is>
          <t>At 24% marginal rate; actual depends on final AGI</t>
        </is>
      </c>
      <c r="F23" s="4" t="n"/>
    </row>
    <row r="24" ht="30" customHeight="1">
      <c r="A24" s="11" t="inlineStr">
        <is>
          <t>Annual Grant Amount</t>
        </is>
      </c>
      <c r="B24" s="4" t="n"/>
      <c r="C24" s="116" t="inlineStr">
        <is>
          <t>$4,000/yr</t>
        </is>
      </c>
      <c r="D24" s="114" t="inlineStr">
        <is>
          <t>$4,000/yr</t>
        </is>
      </c>
      <c r="E24" s="12" t="inlineStr">
        <is>
          <t>Replace ongoing charitable cash spending from DAF</t>
        </is>
      </c>
      <c r="F24" s="4" t="n"/>
    </row>
    <row r="25" ht="30" customHeight="1">
      <c r="A25" s="11" t="inlineStr">
        <is>
          <t>Grant Start Year</t>
        </is>
      </c>
      <c r="B25" s="4" t="n"/>
      <c r="C25" s="116" t="inlineStr">
        <is>
          <t>2027</t>
        </is>
      </c>
      <c r="D25" s="114" t="inlineStr">
        <is>
          <t>2027</t>
        </is>
      </c>
      <c r="E25" s="12" t="inlineStr">
        <is>
          <t>Begin distributing year after contribution</t>
        </is>
      </c>
      <c r="F25" s="4" t="n"/>
    </row>
    <row r="26" ht="15" customHeight="1">
      <c r="A26" s="11" t="inlineStr">
        <is>
          <t>Grant End Year</t>
        </is>
      </c>
      <c r="B26" s="4" t="n"/>
      <c r="C26" s="116" t="inlineStr">
        <is>
          <t>2031</t>
        </is>
      </c>
      <c r="D26" s="114" t="inlineStr">
        <is>
          <t>2031</t>
        </is>
      </c>
      <c r="E26" s="12" t="inlineStr">
        <is>
          <t>Spread over 5 years</t>
        </is>
      </c>
      <c r="F26" s="4" t="n"/>
    </row>
    <row r="27"/>
    <row r="28" ht="45" customHeight="1">
      <c r="A28" s="117"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4" t="n">
        <v>6922792.393161375</v>
      </c>
    </row>
    <row r="5" ht="30" customHeight="1">
      <c r="A5" s="11" t="inlineStr">
        <is>
          <t>At Second Death (2056)</t>
        </is>
      </c>
      <c r="B5" s="104" t="n">
        <v>6980960.342980574</v>
      </c>
    </row>
    <row r="6"/>
    <row r="7" ht="15" customHeight="1">
      <c r="A7" s="10" t="inlineStr">
        <is>
          <t>Federal Estate Tax</t>
        </is>
      </c>
      <c r="B7" s="3" t="n"/>
      <c r="C7" s="3" t="n"/>
      <c r="D7" s="4" t="n"/>
    </row>
    <row r="8" ht="30" customHeight="1">
      <c r="A8" s="12" t="inlineStr">
        <is>
          <t>Federal Exemption (MFJ, OBBBA)</t>
        </is>
      </c>
      <c r="B8" s="102" t="n">
        <v>30000000</v>
      </c>
    </row>
    <row r="9" ht="30" customHeight="1">
      <c r="A9" s="12" t="inlineStr">
        <is>
          <t>Projected Estate at Second Death</t>
        </is>
      </c>
      <c r="B9" s="102" t="n">
        <v>6980960.342980574</v>
      </c>
    </row>
    <row r="10" ht="30" customHeight="1">
      <c r="A10" s="2" t="inlineStr">
        <is>
          <t>Est. Federal Estate Tax</t>
        </is>
      </c>
      <c r="B10" s="104"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2" t="n">
        <v>4000000</v>
      </c>
    </row>
    <row r="15" ht="30" customHeight="1">
      <c r="A15" s="12" t="inlineStr">
        <is>
          <t>Estate over IL Exemption</t>
        </is>
      </c>
      <c r="B15" s="102" t="n">
        <v>2980960.342980574</v>
      </c>
    </row>
    <row r="16" ht="45" customHeight="1">
      <c r="A16" s="2" t="inlineStr">
        <is>
          <t>Est. IL Estate Tax (cliff/interrelated calc)</t>
        </is>
      </c>
      <c r="B16" s="118" t="n">
        <v>570250.7779707233</v>
      </c>
    </row>
    <row r="17" ht="90" customHeight="1">
      <c r="A17" s="119" t="inlineStr">
        <is>
          <t>⚠ ACTION REQUIRED</t>
        </is>
      </c>
      <c r="B17" s="75"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120" t="inlineStr">
        <is>
          <t>QTIP Trust  [ENABLED]</t>
        </is>
      </c>
      <c r="B25" s="3" t="n"/>
      <c r="C25" s="3" t="n"/>
      <c r="D25" s="4" t="n"/>
    </row>
    <row r="26" ht="15" customHeight="1">
      <c r="A26" s="91" t="inlineStr">
        <is>
          <t>Status</t>
        </is>
      </c>
      <c r="B26" s="74" t="inlineStr">
        <is>
          <t>ENABLED — QTIP trust in place</t>
        </is>
      </c>
      <c r="C26" s="3" t="n"/>
      <c r="D26" s="4" t="n"/>
    </row>
    <row r="27" ht="15" customHeight="1">
      <c r="A27" s="91" t="inlineStr">
        <is>
          <t>Funding Amount</t>
        </is>
      </c>
      <c r="B27" s="74" t="inlineStr">
        <is>
          <t>All remaining marital assets</t>
        </is>
      </c>
      <c r="C27" s="3" t="n"/>
      <c r="D27" s="4" t="n"/>
    </row>
    <row r="28" ht="45" customHeight="1">
      <c r="A28" s="91" t="inlineStr">
        <is>
          <t>Purpose</t>
        </is>
      </c>
      <c r="B28" s="74" t="inlineStr">
        <is>
          <t>Qualifies for unlimited marital deduction; surviving spouse receives all income; executor controls remainder beneficiaries</t>
        </is>
      </c>
      <c r="C28" s="3" t="n"/>
      <c r="D28" s="4" t="n"/>
    </row>
    <row r="29" ht="30" customHeight="1">
      <c r="A29" s="91" t="inlineStr">
        <is>
          <t>Manages Annuity</t>
        </is>
      </c>
      <c r="B29" s="74" t="inlineStr">
        <is>
          <t>YES — annuity income flows to QTIP trustee after first death</t>
        </is>
      </c>
      <c r="C29" s="3" t="n"/>
      <c r="D29" s="4" t="n"/>
    </row>
    <row r="30" ht="45" customHeight="1">
      <c r="A30" s="91" t="inlineStr">
        <is>
          <t>Tax Effect</t>
        </is>
      </c>
      <c r="B30" s="74" t="inlineStr">
        <is>
          <t>Defers estate tax on marital share to second death; QTIP assets included in survivor's gross estate</t>
        </is>
      </c>
      <c r="C30" s="3" t="n"/>
      <c r="D30" s="4" t="n"/>
    </row>
    <row r="31" ht="30" customHeight="1">
      <c r="A31" s="91" t="inlineStr">
        <is>
          <t>Key Requirement</t>
        </is>
      </c>
      <c r="B31" s="74" t="inlineStr">
        <is>
          <t>Executor must file QTIP election on Form 706 by estate tax return due date</t>
        </is>
      </c>
      <c r="C31" s="3" t="n"/>
      <c r="D31" s="4" t="n"/>
    </row>
    <row r="32" ht="15" customHeight="1">
      <c r="A32" s="91" t="inlineStr">
        <is>
          <t>Cost</t>
        </is>
      </c>
      <c r="B32" s="74" t="inlineStr">
        <is>
          <t>$3,000–$5,000 drafting; $1,000–$2,000/yr admin</t>
        </is>
      </c>
      <c r="C32" s="3" t="n"/>
      <c r="D32" s="4" t="n"/>
    </row>
    <row r="33"/>
    <row r="34" ht="15" customHeight="1">
      <c r="A34" s="20" t="inlineStr">
        <is>
          <t>Credit Shelter Trust (Bypass Trust)  [ENABLED]</t>
        </is>
      </c>
      <c r="B34" s="3" t="n"/>
      <c r="C34" s="3" t="n"/>
      <c r="D34" s="4" t="n"/>
    </row>
    <row r="35" ht="15" customHeight="1">
      <c r="A35" s="91" t="inlineStr">
        <is>
          <t>Status</t>
        </is>
      </c>
      <c r="B35" s="74" t="inlineStr">
        <is>
          <t>ENABLED — Credit Shelter Trust in place</t>
        </is>
      </c>
      <c r="C35" s="3" t="n"/>
      <c r="D35" s="4" t="n"/>
    </row>
    <row r="36" ht="15" customHeight="1">
      <c r="A36" s="91" t="inlineStr">
        <is>
          <t>Funding Amount</t>
        </is>
      </c>
      <c r="B36" s="74" t="inlineStr">
        <is>
          <t>$4,000,000 (= IL exemption amount)</t>
        </is>
      </c>
      <c r="C36" s="3" t="n"/>
      <c r="D36" s="4" t="n"/>
    </row>
    <row r="37" ht="30" customHeight="1">
      <c r="A37" s="91" t="inlineStr">
        <is>
          <t>Purpose</t>
        </is>
      </c>
      <c r="B37" s="74" t="inlineStr">
        <is>
          <t>Assets bypass survivor estate for IL purposes. Preserves the $4,000,000 IL exemption.</t>
        </is>
      </c>
      <c r="C37" s="3" t="n"/>
      <c r="D37" s="4" t="n"/>
    </row>
    <row r="38" ht="30" customHeight="1">
      <c r="A38" s="91" t="inlineStr">
        <is>
          <t>Projected IL Tax Saved</t>
        </is>
      </c>
      <c r="B38" s="74" t="inlineStr">
        <is>
          <t>~$320,000 (approx 8% avg rate on $4,000,000 bypass amount)</t>
        </is>
      </c>
      <c r="C38" s="3" t="n"/>
      <c r="D38" s="4" t="n"/>
    </row>
    <row r="39" ht="45" customHeight="1">
      <c r="A39" s="91" t="inlineStr">
        <is>
          <t>Mechanism</t>
        </is>
      </c>
      <c r="B39" s="74" t="inlineStr">
        <is>
          <t>First-to-die funds trust up to IL exemption; survivor has limited access (income, HEMS); remainder passes to heirs free of IL estate tax</t>
        </is>
      </c>
      <c r="C39" s="3" t="n"/>
      <c r="D39" s="4" t="n"/>
    </row>
    <row r="40" ht="30" customHeight="1">
      <c r="A40" s="91" t="inlineStr">
        <is>
          <t>Federal Effect</t>
        </is>
      </c>
      <c r="B40" s="74" t="inlineStr">
        <is>
          <t>No federal benefit (OBBBA $30M exemption covers this estate); pure IL tax play</t>
        </is>
      </c>
      <c r="C40" s="3" t="n"/>
      <c r="D40" s="4" t="n"/>
    </row>
    <row r="41" ht="30" customHeight="1">
      <c r="A41" s="91" t="inlineStr">
        <is>
          <t>Portability</t>
        </is>
      </c>
      <c r="B41" s="74" t="inlineStr">
        <is>
          <t>Illinois has NO portability — unused exemption at first death is LOST without this trust</t>
        </is>
      </c>
      <c r="C41" s="3" t="n"/>
      <c r="D41" s="4" t="n"/>
    </row>
    <row r="42" ht="30" customHeight="1">
      <c r="A42" s="91" t="inlineStr">
        <is>
          <t>Cost</t>
        </is>
      </c>
      <c r="B42" s="74" t="inlineStr">
        <is>
          <t>$3,000–$5,000 drafting; trustee fees ~0.5%/yr on trust assets</t>
        </is>
      </c>
      <c r="C42" s="3" t="n"/>
      <c r="D42" s="4" t="n"/>
    </row>
    <row r="43" ht="30" customHeight="1">
      <c r="A43" s="121" t="inlineStr">
        <is>
          <t>Recommendation</t>
        </is>
      </c>
      <c r="B43" s="121"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8" t="inlineStr">
        <is>
          <t>2H. PLANNING LEVERS / SENSITIVITY DASHBOARD</t>
        </is>
      </c>
    </row>
    <row r="2"/>
    <row r="3" ht="30" customHeight="1">
      <c r="A3" s="122"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3" t="inlineStr">
        <is>
          <t>Terminal net worth</t>
        </is>
      </c>
      <c r="B6" s="102" t="n">
        <v>6980960.342980574</v>
      </c>
    </row>
    <row r="7" ht="30" customHeight="1">
      <c r="A7" s="123" t="inlineStr">
        <is>
          <t>Monte Carlo success</t>
        </is>
      </c>
      <c r="B7" s="69" t="n">
        <v>0.717</v>
      </c>
    </row>
    <row r="8" ht="30" customHeight="1">
      <c r="A8" s="123" t="inlineStr">
        <is>
          <t>Core annual spending</t>
        </is>
      </c>
      <c r="B8" s="102" t="n">
        <v>124059</v>
      </c>
    </row>
    <row r="9" ht="30" customHeight="1">
      <c r="A9" s="123" t="inlineStr">
        <is>
          <t>Earned income assumption</t>
        </is>
      </c>
      <c r="B9" s="102" t="n">
        <v>290000</v>
      </c>
    </row>
    <row r="10" ht="30" customHeight="1">
      <c r="A10" s="123" t="inlineStr">
        <is>
          <t>Remaining plan years</t>
        </is>
      </c>
      <c r="B10" s="124"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5" t="n">
        <v>10000</v>
      </c>
      <c r="E13" s="12" t="inlineStr">
        <is>
          <t>$/year</t>
        </is>
      </c>
      <c r="F13" s="102">
        <f>D13*$B$10*0.55</f>
        <v/>
      </c>
      <c r="G13" s="69">
        <f>MIN(0.30,MAX(-0.30,(D13/MAX(1,$B$8))*0.25))</f>
        <v/>
      </c>
      <c r="H13" s="124">
        <f>RANK.EQ(F13,$F$13:$F$22,0)</f>
        <v/>
      </c>
      <c r="I13" s="124">
        <f>RANK.EQ(G13,$G$13:$G$22,0)</f>
        <v/>
      </c>
      <c r="J13" s="126" t="inlineStr">
        <is>
          <t>Improves both TNW and success by lowering annual withdrawals.</t>
        </is>
      </c>
    </row>
    <row r="14" ht="75" customHeight="1">
      <c r="A14" s="12" t="inlineStr">
        <is>
          <t>TNW</t>
        </is>
      </c>
      <c r="B14" s="2" t="inlineStr">
        <is>
          <t>Work longer / retire later</t>
        </is>
      </c>
      <c r="C14" s="12" t="inlineStr">
        <is>
          <t>Retirement Timing</t>
        </is>
      </c>
      <c r="D14" s="127" t="n">
        <v>1</v>
      </c>
      <c r="E14" s="12" t="inlineStr">
        <is>
          <t>years</t>
        </is>
      </c>
      <c r="F14" s="102">
        <f>D14*($B$9*0.45+$B$8*0.25)</f>
        <v/>
      </c>
      <c r="G14" s="69">
        <f>MIN(0.30,MAX(-0.30,D14*0.08))</f>
        <v/>
      </c>
      <c r="H14" s="124">
        <f>RANK.EQ(F14,$F$13:$F$22,0)</f>
        <v/>
      </c>
      <c r="I14" s="124">
        <f>RANK.EQ(G14,$G$13:$G$22,0)</f>
        <v/>
      </c>
      <c r="J14" s="126"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5" t="n">
        <v>25000</v>
      </c>
      <c r="E15" s="12" t="inlineStr">
        <is>
          <t>$ one-time</t>
        </is>
      </c>
      <c r="F15" s="102">
        <f>D15</f>
        <v/>
      </c>
      <c r="G15" s="69">
        <f>MIN(0.30,MAX(-0.30,(D15/MAX(1,$B$8))*0.04))</f>
        <v/>
      </c>
      <c r="H15" s="124">
        <f>RANK.EQ(F15,$F$13:$F$22,0)</f>
        <v/>
      </c>
      <c r="I15" s="124">
        <f>RANK.EQ(G15,$G$13:$G$22,0)</f>
        <v/>
      </c>
      <c r="J15" s="126" t="inlineStr">
        <is>
          <t>Directly preserves liquidity and compounding capital.</t>
        </is>
      </c>
    </row>
    <row r="16" ht="75" customHeight="1">
      <c r="A16" s="12" t="inlineStr">
        <is>
          <t>TNW</t>
        </is>
      </c>
      <c r="B16" s="2" t="inlineStr">
        <is>
          <t>Preserve annual S-Corp tax advantage</t>
        </is>
      </c>
      <c r="C16" s="12" t="inlineStr">
        <is>
          <t>Entity &amp; Charitable</t>
        </is>
      </c>
      <c r="D16" s="125" t="n">
        <v>29000</v>
      </c>
      <c r="E16" s="12" t="inlineStr">
        <is>
          <t>$/year</t>
        </is>
      </c>
      <c r="F16" s="102">
        <f>D16*MIN(5,$B$10)*0.9</f>
        <v/>
      </c>
      <c r="G16" s="69">
        <f>MIN(0.30,MAX(-0.30,(D16/MAX(1,$B$8))*0.03))</f>
        <v/>
      </c>
      <c r="H16" s="124">
        <f>RANK.EQ(F16,$F$13:$F$22,0)</f>
        <v/>
      </c>
      <c r="I16" s="124">
        <f>RANK.EQ(G16,$G$13:$G$22,0)</f>
        <v/>
      </c>
      <c r="J16" s="126" t="inlineStr">
        <is>
          <t>Use the S-Corp vs LLC optimizer result if the actual benefit differs.</t>
        </is>
      </c>
    </row>
    <row r="17" ht="75" customHeight="1">
      <c r="A17" s="12" t="inlineStr">
        <is>
          <t>TNW</t>
        </is>
      </c>
      <c r="B17" s="2" t="inlineStr">
        <is>
          <t>Roth/tax optimization savings</t>
        </is>
      </c>
      <c r="C17" s="12" t="inlineStr">
        <is>
          <t>Roth Conversion</t>
        </is>
      </c>
      <c r="D17" s="125" t="n">
        <v>50000</v>
      </c>
      <c r="E17" s="12" t="inlineStr">
        <is>
          <t>$ total</t>
        </is>
      </c>
      <c r="F17" s="102">
        <f>D17</f>
        <v/>
      </c>
      <c r="G17" s="69">
        <f>0</f>
        <v/>
      </c>
      <c r="H17" s="124">
        <f>RANK.EQ(F17,$F$13:$F$22,0)</f>
        <v/>
      </c>
      <c r="I17" s="124">
        <f>RANK.EQ(G17,$G$13:$G$22,0)</f>
        <v/>
      </c>
      <c r="J17" s="126"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7" t="n">
        <v>25</v>
      </c>
      <c r="E18" s="12" t="inlineStr">
        <is>
          <t>bps/year</t>
        </is>
      </c>
      <c r="F18" s="102">
        <f>$B$6*(D18/10000)*$B$10*0.35</f>
        <v/>
      </c>
      <c r="G18" s="69">
        <f>MIN(0.30,MAX(-0.30,(D18/25)*0.01))</f>
        <v/>
      </c>
      <c r="H18" s="124">
        <f>RANK.EQ(F18,$F$13:$F$22,0)</f>
        <v/>
      </c>
      <c r="I18" s="124">
        <f>RANK.EQ(G18,$G$13:$G$22,0)</f>
        <v/>
      </c>
      <c r="J18" s="126" t="inlineStr">
        <is>
          <t>Only positive if volatility does not rise enough to reduce success.</t>
        </is>
      </c>
    </row>
    <row r="19" ht="75" customHeight="1">
      <c r="A19" s="12" t="inlineStr">
        <is>
          <t>Success</t>
        </is>
      </c>
      <c r="B19" s="2" t="inlineStr">
        <is>
          <t>Dedicated liquidity reserve</t>
        </is>
      </c>
      <c r="C19" s="12" t="inlineStr">
        <is>
          <t>Cash Reserves</t>
        </is>
      </c>
      <c r="D19" s="125" t="n">
        <v>50000</v>
      </c>
      <c r="E19" s="12" t="inlineStr">
        <is>
          <t>$ reserve</t>
        </is>
      </c>
      <c r="F19" s="102">
        <f>0</f>
        <v/>
      </c>
      <c r="G19" s="69">
        <f>MIN(0.30,MAX(-0.30,(D19/MAX(1,$B$8))*0.08))</f>
        <v/>
      </c>
      <c r="H19" s="124">
        <f>RANK.EQ(F19,$F$13:$F$22,0)</f>
        <v/>
      </c>
      <c r="I19" s="124">
        <f>RANK.EQ(G19,$G$13:$G$22,0)</f>
        <v/>
      </c>
      <c r="J19" s="126" t="inlineStr">
        <is>
          <t>Reduces forced selling after poor early returns.</t>
        </is>
      </c>
    </row>
    <row r="20" ht="75" customHeight="1">
      <c r="A20" s="12" t="inlineStr">
        <is>
          <t>Success</t>
        </is>
      </c>
      <c r="B20" s="2" t="inlineStr">
        <is>
          <t>Home-equity backstop</t>
        </is>
      </c>
      <c r="C20" s="12" t="inlineStr">
        <is>
          <t>Housing</t>
        </is>
      </c>
      <c r="D20" s="125" t="n">
        <v>250000</v>
      </c>
      <c r="E20" s="12" t="inlineStr">
        <is>
          <t>$ available</t>
        </is>
      </c>
      <c r="F20" s="102">
        <f>0</f>
        <v/>
      </c>
      <c r="G20" s="69">
        <f>MIN(0.30,MAX(-0.30,(D20/MAX(1,$B$8))*0.06))</f>
        <v/>
      </c>
      <c r="H20" s="124">
        <f>RANK.EQ(F20,$F$13:$F$22,0)</f>
        <v/>
      </c>
      <c r="I20" s="124">
        <f>RANK.EQ(G20,$G$13:$G$22,0)</f>
        <v/>
      </c>
      <c r="J20" s="126" t="inlineStr">
        <is>
          <t>Improves success only if there is a real access plan.</t>
        </is>
      </c>
    </row>
    <row r="21" ht="75" customHeight="1">
      <c r="A21" s="12" t="inlineStr">
        <is>
          <t>Success</t>
        </is>
      </c>
      <c r="B21" s="2" t="inlineStr">
        <is>
          <t>Dynamic spending guardrail</t>
        </is>
      </c>
      <c r="C21" s="12" t="inlineStr">
        <is>
          <t>Spending Categories</t>
        </is>
      </c>
      <c r="D21" s="127" t="n">
        <v>10</v>
      </c>
      <c r="E21" s="12" t="inlineStr">
        <is>
          <t>% cut in bad markets</t>
        </is>
      </c>
      <c r="F21" s="102">
        <f>$B$8*(D21/100)*$B$10*0.25</f>
        <v/>
      </c>
      <c r="G21" s="69">
        <f>MIN(0.30,MAX(-0.30,D21*0.006))</f>
        <v/>
      </c>
      <c r="H21" s="124">
        <f>RANK.EQ(F21,$F$13:$F$22,0)</f>
        <v/>
      </c>
      <c r="I21" s="124">
        <f>RANK.EQ(G21,$G$13:$G$22,0)</f>
        <v/>
      </c>
      <c r="J21" s="126"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5" t="n">
        <v>250000</v>
      </c>
      <c r="E22" s="12" t="inlineStr">
        <is>
          <t>$ coverage</t>
        </is>
      </c>
      <c r="F22" s="102">
        <f>-D22*0.05</f>
        <v/>
      </c>
      <c r="G22" s="69">
        <f>MIN(0.30,MAX(-0.30,(D22/MAX(1,$B$8))*0.04))</f>
        <v/>
      </c>
      <c r="H22" s="124">
        <f>RANK.EQ(F22,$F$13:$F$22,0)</f>
        <v/>
      </c>
      <c r="I22" s="124">
        <f>RANK.EQ(G22,$G$13:$G$22,0)</f>
        <v/>
      </c>
      <c r="J22" s="126" t="inlineStr">
        <is>
          <t>May lower expected TNW slightly, but protects downside paths.</t>
        </is>
      </c>
    </row>
    <row r="23"/>
    <row r="24"/>
    <row r="25" ht="15" customHeight="1">
      <c r="A25" s="68" t="inlineStr">
        <is>
          <t>HOW TO USE</t>
        </is>
      </c>
    </row>
    <row r="26" ht="15" customHeight="1">
      <c r="A26" s="128" t="inlineStr">
        <is>
          <t>1. Change a yellow test amount to screen sensitivity.</t>
        </is>
      </c>
    </row>
    <row r="27" ht="15" customHeight="1">
      <c r="A27" s="128" t="inlineStr">
        <is>
          <t>2. If the lever looks material, change the actual Plan Data or Optimizer input in the UI.</t>
        </is>
      </c>
    </row>
    <row r="28" ht="15" customHeight="1">
      <c r="A28" s="128" t="inlineStr">
        <is>
          <t>3. Rebuild outputs and compare measured Δ TNW and Δ success in Build Impact.</t>
        </is>
      </c>
    </row>
    <row r="29" ht="30" customHeight="1">
      <c r="A29" s="128"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1,000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1,000</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6.7% across simulated years</t>
        </is>
      </c>
      <c r="E10" s="3" t="n"/>
      <c r="F10" s="3" t="n"/>
      <c r="G10" s="3" t="n"/>
      <c r="H10" s="3" t="n"/>
      <c r="I10" s="3" t="n"/>
      <c r="J10" s="4" t="n"/>
    </row>
    <row r="11" ht="15" customHeight="1">
      <c r="A11" s="11" t="inlineStr">
        <is>
          <t>Sampled Geometric Mean Return</t>
        </is>
      </c>
      <c r="B11" s="3" t="n"/>
      <c r="C11" s="4" t="n"/>
      <c r="D11" s="12" t="inlineStr">
        <is>
          <t>6.0%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2.5%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946; mean event cost $150,163</t>
        </is>
      </c>
      <c r="E16" s="3" t="n"/>
      <c r="F16" s="3" t="n"/>
      <c r="G16" s="3" t="n"/>
      <c r="H16" s="3" t="n"/>
      <c r="I16" s="3" t="n"/>
      <c r="J16" s="4" t="n"/>
    </row>
    <row r="17" ht="15" customHeight="1">
      <c r="A17" s="11" t="inlineStr">
        <is>
          <t>Starting Liquid Assets</t>
        </is>
      </c>
      <c r="B17" s="3" t="n"/>
      <c r="C17" s="4" t="n"/>
      <c r="D17" s="12" t="inlineStr">
        <is>
          <t>$2,609,116</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68.8%–74.4% (SE 1.4%)</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50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3" t="n">
        <v>0.717</v>
      </c>
      <c r="G28" s="4" t="n"/>
      <c r="H28" s="129" t="inlineStr">
        <is>
          <t>Review</t>
        </is>
      </c>
      <c r="I28" s="3" t="n"/>
      <c r="J28" s="4" t="n"/>
    </row>
    <row r="29" ht="15" customHeight="1">
      <c r="A29" s="11" t="inlineStr">
        <is>
          <t>Success Rate CI Low (95%)</t>
        </is>
      </c>
      <c r="B29" s="3" t="n"/>
      <c r="C29" s="3" t="n"/>
      <c r="D29" s="3" t="n"/>
      <c r="E29" s="4" t="n"/>
      <c r="F29" s="83" t="n">
        <v>0.6882910866376466</v>
      </c>
      <c r="G29" s="4" t="n"/>
      <c r="H29" s="129" t="inlineStr">
        <is>
          <t>Review</t>
        </is>
      </c>
      <c r="I29" s="3" t="n"/>
      <c r="J29" s="4" t="n"/>
    </row>
    <row r="30" ht="15" customHeight="1">
      <c r="A30" s="11" t="inlineStr">
        <is>
          <t>Success Rate CI High (95%)</t>
        </is>
      </c>
      <c r="B30" s="3" t="n"/>
      <c r="C30" s="3" t="n"/>
      <c r="D30" s="3" t="n"/>
      <c r="E30" s="4" t="n"/>
      <c r="F30" s="83" t="n">
        <v>0.7440480393758599</v>
      </c>
      <c r="G30" s="4" t="n"/>
      <c r="H30" s="130" t="inlineStr">
        <is>
          <t>On Track</t>
        </is>
      </c>
      <c r="I30" s="3" t="n"/>
      <c r="J30" s="4" t="n"/>
    </row>
    <row r="31" ht="15" customHeight="1">
      <c r="A31" s="11" t="inlineStr">
        <is>
          <t>Median Terminal Liquid Assets (P50)</t>
        </is>
      </c>
      <c r="B31" s="3" t="n"/>
      <c r="C31" s="3" t="n"/>
      <c r="D31" s="3" t="n"/>
      <c r="E31" s="4" t="n"/>
      <c r="F31" s="82" t="n">
        <v>2862711.937970757</v>
      </c>
      <c r="G31" s="4" t="n"/>
      <c r="H31" s="130" t="inlineStr">
        <is>
          <t>On Track</t>
        </is>
      </c>
      <c r="I31" s="3" t="n"/>
      <c r="J31" s="4" t="n"/>
    </row>
    <row r="32" ht="15" customHeight="1">
      <c r="A32" s="11" t="inlineStr">
        <is>
          <t>P10 Terminal Liquid Assets</t>
        </is>
      </c>
      <c r="B32" s="3" t="n"/>
      <c r="C32" s="3" t="n"/>
      <c r="D32" s="3" t="n"/>
      <c r="E32" s="4" t="n"/>
      <c r="F32" s="82" t="n">
        <v>0</v>
      </c>
      <c r="G32" s="4" t="n"/>
      <c r="H32" s="129" t="inlineStr">
        <is>
          <t>Review</t>
        </is>
      </c>
      <c r="I32" s="3" t="n"/>
      <c r="J32" s="4" t="n"/>
    </row>
    <row r="33" ht="15" customHeight="1">
      <c r="A33" s="11" t="inlineStr">
        <is>
          <t>P25 Terminal Liquid Assets</t>
        </is>
      </c>
      <c r="B33" s="3" t="n"/>
      <c r="C33" s="3" t="n"/>
      <c r="D33" s="3" t="n"/>
      <c r="E33" s="4" t="n"/>
      <c r="F33" s="82" t="n">
        <v>0</v>
      </c>
      <c r="G33" s="4" t="n"/>
      <c r="H33" s="129" t="inlineStr">
        <is>
          <t>Review</t>
        </is>
      </c>
      <c r="I33" s="3" t="n"/>
      <c r="J33" s="4" t="n"/>
    </row>
    <row r="34" ht="15" customHeight="1">
      <c r="A34" s="11" t="inlineStr">
        <is>
          <t>P75 Terminal Liquid Assets</t>
        </is>
      </c>
      <c r="B34" s="3" t="n"/>
      <c r="C34" s="3" t="n"/>
      <c r="D34" s="3" t="n"/>
      <c r="E34" s="4" t="n"/>
      <c r="F34" s="82" t="n">
        <v>8502206.25280961</v>
      </c>
      <c r="G34" s="4" t="n"/>
      <c r="H34" s="130" t="inlineStr">
        <is>
          <t>On Track</t>
        </is>
      </c>
      <c r="I34" s="3" t="n"/>
      <c r="J34" s="4" t="n"/>
    </row>
    <row r="35" ht="15" customHeight="1">
      <c r="A35" s="11" t="inlineStr">
        <is>
          <t>P90 Terminal Liquid Assets</t>
        </is>
      </c>
      <c r="B35" s="3" t="n"/>
      <c r="C35" s="3" t="n"/>
      <c r="D35" s="3" t="n"/>
      <c r="E35" s="4" t="n"/>
      <c r="F35" s="82" t="n">
        <v>16901284.35885765</v>
      </c>
      <c r="G35" s="4" t="n"/>
      <c r="H35" s="130" t="inlineStr">
        <is>
          <t>On Track</t>
        </is>
      </c>
      <c r="I35" s="3" t="n"/>
      <c r="J35" s="4" t="n"/>
    </row>
    <row r="36" ht="15" customHeight="1">
      <c r="A36" s="11" t="inlineStr">
        <is>
          <t>Mean Terminal Liquid Assets</t>
        </is>
      </c>
      <c r="B36" s="3" t="n"/>
      <c r="C36" s="3" t="n"/>
      <c r="D36" s="3" t="n"/>
      <c r="E36" s="4" t="n"/>
      <c r="F36" s="82" t="n">
        <v>6130399.585597729</v>
      </c>
      <c r="G36" s="4" t="n"/>
      <c r="H36" s="130" t="inlineStr">
        <is>
          <t>On Track</t>
        </is>
      </c>
      <c r="I36" s="3" t="n"/>
      <c r="J36" s="4" t="n"/>
    </row>
    <row r="37" ht="15" customHeight="1">
      <c r="A37" s="11" t="inlineStr">
        <is>
          <t>Median Terminal Total Net Worth</t>
        </is>
      </c>
      <c r="B37" s="3" t="n"/>
      <c r="C37" s="3" t="n"/>
      <c r="D37" s="3" t="n"/>
      <c r="E37" s="4" t="n"/>
      <c r="F37" s="82" t="n">
        <v>6287569.117572553</v>
      </c>
      <c r="G37" s="4" t="n"/>
      <c r="H37" s="130" t="inlineStr">
        <is>
          <t>On Track</t>
        </is>
      </c>
      <c r="I37" s="3" t="n"/>
      <c r="J37" s="4" t="n"/>
    </row>
    <row r="38"/>
    <row r="39" ht="15" customHeight="1">
      <c r="A39" s="131"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2" t="n">
        <v>6980960.342980574</v>
      </c>
      <c r="D41" s="4" t="n"/>
      <c r="E41" s="78" t="n">
        <v>3390274.137803574</v>
      </c>
      <c r="F41" s="82" t="n">
        <v>6287569.117572553</v>
      </c>
      <c r="G41" s="78" t="n">
        <v>20323941.36122607</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2" t="n">
        <v>3590686.205177</v>
      </c>
      <c r="D42" s="4" t="n"/>
      <c r="E42" s="78" t="n">
        <v>0</v>
      </c>
      <c r="F42" s="82" t="n">
        <v>2862711.937970757</v>
      </c>
      <c r="G42" s="78" t="n">
        <v>16901284.35885765</v>
      </c>
      <c r="H42" s="12" t="inlineStr">
        <is>
          <t>Spendable funding measure used for MC success.</t>
        </is>
      </c>
      <c r="I42" s="3" t="n"/>
      <c r="J42" s="4" t="n"/>
    </row>
    <row r="43" ht="60" customHeight="1">
      <c r="A43" s="11" t="inlineStr">
        <is>
          <t>Success Liquidity Floor</t>
        </is>
      </c>
      <c r="B43" s="4" t="n"/>
      <c r="C43" s="82"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-2862711.937970757</v>
      </c>
      <c r="F47" s="4" t="n"/>
      <c r="G47" s="12" t="inlineStr">
        <is>
          <t>Catastrophic — total portfolio loss</t>
        </is>
      </c>
      <c r="H47" s="3" t="n"/>
      <c r="I47" s="3" t="n"/>
      <c r="J47" s="4" t="n"/>
    </row>
    <row r="48" ht="15" customHeight="1">
      <c r="A48" s="41" t="inlineStr">
        <is>
          <t>P5</t>
        </is>
      </c>
      <c r="B48" s="78" t="n">
        <v>0</v>
      </c>
      <c r="C48" s="3" t="n"/>
      <c r="D48" s="4" t="n"/>
      <c r="E48" s="27" t="n">
        <v>-2862711.937970757</v>
      </c>
      <c r="F48" s="4" t="n"/>
      <c r="G48" s="12" t="inlineStr">
        <is>
          <t>Very bad luck — significant shortfall</t>
        </is>
      </c>
      <c r="H48" s="3" t="n"/>
      <c r="I48" s="3" t="n"/>
      <c r="J48" s="4" t="n"/>
    </row>
    <row r="49" ht="15" customHeight="1">
      <c r="A49" s="41" t="inlineStr">
        <is>
          <t>P10</t>
        </is>
      </c>
      <c r="B49" s="78" t="n">
        <v>0</v>
      </c>
      <c r="C49" s="3" t="n"/>
      <c r="D49" s="4" t="n"/>
      <c r="E49" s="27" t="n">
        <v>-2862711.937970757</v>
      </c>
      <c r="F49" s="4" t="n"/>
      <c r="G49" s="12" t="inlineStr">
        <is>
          <t>Poor sequence — stress-test floor</t>
        </is>
      </c>
      <c r="H49" s="3" t="n"/>
      <c r="I49" s="3" t="n"/>
      <c r="J49" s="4" t="n"/>
    </row>
    <row r="50" ht="15" customHeight="1">
      <c r="A50" s="132" t="inlineStr">
        <is>
          <t>P25</t>
        </is>
      </c>
      <c r="B50" s="133" t="n">
        <v>0</v>
      </c>
      <c r="C50" s="3" t="n"/>
      <c r="D50" s="4" t="n"/>
      <c r="E50" s="133" t="n">
        <v>-2862711.937970757</v>
      </c>
      <c r="F50" s="4" t="n"/>
      <c r="G50" s="96" t="inlineStr">
        <is>
          <t>1-in-4 downside scenario</t>
        </is>
      </c>
      <c r="H50" s="3" t="n"/>
      <c r="I50" s="3" t="n"/>
      <c r="J50" s="4" t="n"/>
    </row>
    <row r="51" ht="15" customHeight="1">
      <c r="A51" s="134" t="inlineStr">
        <is>
          <t>P50</t>
        </is>
      </c>
      <c r="B51" s="135" t="n">
        <v>2862711.937970757</v>
      </c>
      <c r="C51" s="3" t="n"/>
      <c r="D51" s="4" t="n"/>
      <c r="E51" s="136" t="n">
        <v>0</v>
      </c>
      <c r="F51" s="4" t="n"/>
      <c r="G51" s="19" t="inlineStr">
        <is>
          <t>Base case — median outcome</t>
        </is>
      </c>
      <c r="H51" s="3" t="n"/>
      <c r="I51" s="3" t="n"/>
      <c r="J51" s="4" t="n"/>
    </row>
    <row r="52" ht="15" customHeight="1">
      <c r="A52" s="132" t="inlineStr">
        <is>
          <t>P75</t>
        </is>
      </c>
      <c r="B52" s="133" t="n">
        <v>8502206.25280961</v>
      </c>
      <c r="C52" s="3" t="n"/>
      <c r="D52" s="4" t="n"/>
      <c r="E52" s="133" t="n">
        <v>5639494.314838853</v>
      </c>
      <c r="F52" s="4" t="n"/>
      <c r="G52" s="96" t="inlineStr">
        <is>
          <t>3-in-4 scenarios end above this</t>
        </is>
      </c>
      <c r="H52" s="3" t="n"/>
      <c r="I52" s="3" t="n"/>
      <c r="J52" s="4" t="n"/>
    </row>
    <row r="53" ht="15" customHeight="1">
      <c r="A53" s="41" t="inlineStr">
        <is>
          <t>P90</t>
        </is>
      </c>
      <c r="B53" s="78" t="n">
        <v>16901284.35885765</v>
      </c>
      <c r="C53" s="3" t="n"/>
      <c r="D53" s="4" t="n"/>
      <c r="E53" s="27" t="n">
        <v>14038572.42088689</v>
      </c>
      <c r="F53" s="4" t="n"/>
      <c r="G53" s="12" t="inlineStr">
        <is>
          <t>Good sequence — upside scenario</t>
        </is>
      </c>
      <c r="H53" s="3" t="n"/>
      <c r="I53" s="3" t="n"/>
      <c r="J53" s="4" t="n"/>
    </row>
    <row r="54" ht="15" customHeight="1">
      <c r="A54" s="41" t="inlineStr">
        <is>
          <t>P95</t>
        </is>
      </c>
      <c r="B54" s="78" t="n">
        <v>22898702.57781237</v>
      </c>
      <c r="C54" s="3" t="n"/>
      <c r="D54" s="4" t="n"/>
      <c r="E54" s="27" t="n">
        <v>20035990.63984161</v>
      </c>
      <c r="F54" s="4" t="n"/>
      <c r="G54" s="12" t="inlineStr">
        <is>
          <t>Very good luck</t>
        </is>
      </c>
      <c r="H54" s="3" t="n"/>
      <c r="I54" s="3" t="n"/>
      <c r="J54" s="4" t="n"/>
    </row>
    <row r="55" ht="15" customHeight="1">
      <c r="A55" s="41" t="inlineStr">
        <is>
          <t>P99</t>
        </is>
      </c>
      <c r="B55" s="78" t="n">
        <v>40431472.31038277</v>
      </c>
      <c r="C55" s="3" t="n"/>
      <c r="D55" s="4" t="n"/>
      <c r="E55" s="27" t="n">
        <v>37568760.37241201</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7" t="n">
        <v>2026</v>
      </c>
      <c r="B59" s="137" t="n">
        <v>64</v>
      </c>
      <c r="C59" s="137" t="n">
        <v>65</v>
      </c>
      <c r="D59" s="107" t="n">
        <v>2431460.988752653</v>
      </c>
      <c r="E59" s="107" t="n">
        <v>2639133.249282068</v>
      </c>
      <c r="F59" s="138" t="n">
        <v>2864535.85007989</v>
      </c>
      <c r="G59" s="102" t="n">
        <v>3075469.69516445</v>
      </c>
      <c r="H59" s="107" t="n">
        <v>3298773.932048432</v>
      </c>
      <c r="I59" s="107" t="n">
        <v>2862115.536541548</v>
      </c>
      <c r="J59" s="139" t="n">
        <v>1</v>
      </c>
    </row>
    <row r="60" ht="30" customHeight="1">
      <c r="A60" s="137" t="n">
        <v>2027</v>
      </c>
      <c r="B60" s="137" t="n">
        <v>65</v>
      </c>
      <c r="C60" s="137" t="n">
        <v>66</v>
      </c>
      <c r="D60" s="107" t="n">
        <v>2092932.450440465</v>
      </c>
      <c r="E60" s="107" t="n">
        <v>2389310.49382886</v>
      </c>
      <c r="F60" s="138" t="n">
        <v>2707474.546411816</v>
      </c>
      <c r="G60" s="102" t="n">
        <v>3048730.411294368</v>
      </c>
      <c r="H60" s="107" t="n">
        <v>3428526.061025002</v>
      </c>
      <c r="I60" s="107" t="n">
        <v>2728662.025801104</v>
      </c>
      <c r="J60" s="139" t="n">
        <v>1</v>
      </c>
    </row>
    <row r="61" ht="30" customHeight="1">
      <c r="A61" s="137" t="n">
        <v>2028</v>
      </c>
      <c r="B61" s="137" t="n">
        <v>66</v>
      </c>
      <c r="C61" s="137" t="n">
        <v>67</v>
      </c>
      <c r="D61" s="107" t="n">
        <v>1829638.255542879</v>
      </c>
      <c r="E61" s="107" t="n">
        <v>2191014.573702871</v>
      </c>
      <c r="F61" s="138" t="n">
        <v>2598857.188552197</v>
      </c>
      <c r="G61" s="102" t="n">
        <v>3023771.494190817</v>
      </c>
      <c r="H61" s="107" t="n">
        <v>3512188.488419489</v>
      </c>
      <c r="I61" s="107" t="n">
        <v>2625175.118354572</v>
      </c>
      <c r="J61" s="139" t="n">
        <v>1</v>
      </c>
    </row>
    <row r="62" ht="30" customHeight="1">
      <c r="A62" s="137" t="n">
        <v>2029</v>
      </c>
      <c r="B62" s="137" t="n">
        <v>67</v>
      </c>
      <c r="C62" s="137" t="n">
        <v>68</v>
      </c>
      <c r="D62" s="107" t="n">
        <v>1723680.839795768</v>
      </c>
      <c r="E62" s="107" t="n">
        <v>2125022.517918195</v>
      </c>
      <c r="F62" s="138" t="n">
        <v>2573106.698865209</v>
      </c>
      <c r="G62" s="102" t="n">
        <v>3111844.619045026</v>
      </c>
      <c r="H62" s="107" t="n">
        <v>3610980.469603533</v>
      </c>
      <c r="I62" s="107" t="n">
        <v>2631736.693455464</v>
      </c>
      <c r="J62" s="139" t="n">
        <v>1</v>
      </c>
    </row>
    <row r="63" ht="30" customHeight="1">
      <c r="A63" s="137" t="n">
        <v>2030</v>
      </c>
      <c r="B63" s="137" t="n">
        <v>68</v>
      </c>
      <c r="C63" s="137" t="n">
        <v>69</v>
      </c>
      <c r="D63" s="107" t="n">
        <v>1618417.821284353</v>
      </c>
      <c r="E63" s="107" t="n">
        <v>2082355.655468108</v>
      </c>
      <c r="F63" s="138" t="n">
        <v>2656810.500559528</v>
      </c>
      <c r="G63" s="102" t="n">
        <v>3265389.387498084</v>
      </c>
      <c r="H63" s="107" t="n">
        <v>3864586.420638123</v>
      </c>
      <c r="I63" s="107" t="n">
        <v>2715289.379835338</v>
      </c>
      <c r="J63" s="139" t="n">
        <v>1</v>
      </c>
    </row>
    <row r="64" ht="30" customHeight="1">
      <c r="A64" s="137" t="n">
        <v>2031</v>
      </c>
      <c r="B64" s="137" t="n">
        <v>69</v>
      </c>
      <c r="C64" s="137" t="n">
        <v>70</v>
      </c>
      <c r="D64" s="107" t="n">
        <v>1562446.13254444</v>
      </c>
      <c r="E64" s="107" t="n">
        <v>2086202.878751155</v>
      </c>
      <c r="F64" s="138" t="n">
        <v>2696275.119721571</v>
      </c>
      <c r="G64" s="102" t="n">
        <v>3390712.447353717</v>
      </c>
      <c r="H64" s="107" t="n">
        <v>4174307.854716235</v>
      </c>
      <c r="I64" s="107" t="n">
        <v>2795155.984380939</v>
      </c>
      <c r="J64" s="139" t="n">
        <v>1</v>
      </c>
    </row>
    <row r="65" ht="30" customHeight="1">
      <c r="A65" s="137" t="n">
        <v>2032</v>
      </c>
      <c r="B65" s="137" t="n">
        <v>70</v>
      </c>
      <c r="C65" s="137" t="n">
        <v>71</v>
      </c>
      <c r="D65" s="107" t="n">
        <v>1419741.424634721</v>
      </c>
      <c r="E65" s="107" t="n">
        <v>1937407.830412183</v>
      </c>
      <c r="F65" s="138" t="n">
        <v>2616882.777052454</v>
      </c>
      <c r="G65" s="102" t="n">
        <v>3447216.436801264</v>
      </c>
      <c r="H65" s="107" t="n">
        <v>4329609.275657499</v>
      </c>
      <c r="I65" s="107" t="n">
        <v>2771603.919596146</v>
      </c>
      <c r="J65" s="139" t="n">
        <v>0.999</v>
      </c>
    </row>
    <row r="66" ht="30" customHeight="1">
      <c r="A66" s="137" t="n">
        <v>2033</v>
      </c>
      <c r="B66" s="137" t="n">
        <v>71</v>
      </c>
      <c r="C66" s="137" t="n">
        <v>72</v>
      </c>
      <c r="D66" s="107" t="n">
        <v>1403240.404085515</v>
      </c>
      <c r="E66" s="107" t="n">
        <v>1954794.819941105</v>
      </c>
      <c r="F66" s="138" t="n">
        <v>2734377.213960822</v>
      </c>
      <c r="G66" s="102" t="n">
        <v>3653571.546939394</v>
      </c>
      <c r="H66" s="107" t="n">
        <v>4627133.022496955</v>
      </c>
      <c r="I66" s="107" t="n">
        <v>2895814.094812628</v>
      </c>
      <c r="J66" s="139" t="n">
        <v>0.999</v>
      </c>
    </row>
    <row r="67" ht="30" customHeight="1">
      <c r="A67" s="137" t="n">
        <v>2034</v>
      </c>
      <c r="B67" s="137" t="n">
        <v>72</v>
      </c>
      <c r="C67" s="137" t="n">
        <v>73</v>
      </c>
      <c r="D67" s="107" t="n">
        <v>1242278.745995658</v>
      </c>
      <c r="E67" s="107" t="n">
        <v>1871596.086041437</v>
      </c>
      <c r="F67" s="138" t="n">
        <v>2696531.155616914</v>
      </c>
      <c r="G67" s="102" t="n">
        <v>3736223.176099868</v>
      </c>
      <c r="H67" s="107" t="n">
        <v>4694408.927135255</v>
      </c>
      <c r="I67" s="107" t="n">
        <v>2901476.582503941</v>
      </c>
      <c r="J67" s="139" t="n">
        <v>0.996</v>
      </c>
    </row>
    <row r="68" ht="30" customHeight="1">
      <c r="A68" s="137" t="n">
        <v>2035</v>
      </c>
      <c r="B68" s="137" t="n">
        <v>73</v>
      </c>
      <c r="C68" s="137" t="n">
        <v>74</v>
      </c>
      <c r="D68" s="107" t="n">
        <v>1207827.170566685</v>
      </c>
      <c r="E68" s="107" t="n">
        <v>1855857.728809559</v>
      </c>
      <c r="F68" s="138" t="n">
        <v>2700476.748524201</v>
      </c>
      <c r="G68" s="102" t="n">
        <v>3815400.968176245</v>
      </c>
      <c r="H68" s="107" t="n">
        <v>5013169.577389349</v>
      </c>
      <c r="I68" s="107" t="n">
        <v>2980947.032922224</v>
      </c>
      <c r="J68" s="139" t="n">
        <v>0.996</v>
      </c>
    </row>
    <row r="69" ht="30" customHeight="1">
      <c r="A69" s="137" t="n">
        <v>2036</v>
      </c>
      <c r="B69" s="137" t="n">
        <v>74</v>
      </c>
      <c r="C69" s="137" t="n">
        <v>75</v>
      </c>
      <c r="D69" s="107" t="n">
        <v>1144576.533807209</v>
      </c>
      <c r="E69" s="107" t="n">
        <v>1856669.463514726</v>
      </c>
      <c r="F69" s="138" t="n">
        <v>2772711.576126355</v>
      </c>
      <c r="G69" s="102" t="n">
        <v>3954653.635426152</v>
      </c>
      <c r="H69" s="107" t="n">
        <v>5389616.954714873</v>
      </c>
      <c r="I69" s="107" t="n">
        <v>3097462.265701186</v>
      </c>
      <c r="J69" s="139" t="n">
        <v>0.994</v>
      </c>
    </row>
    <row r="70" ht="30" customHeight="1">
      <c r="A70" s="137" t="n">
        <v>2037</v>
      </c>
      <c r="B70" s="137" t="n">
        <v>75</v>
      </c>
      <c r="C70" s="137" t="n">
        <v>76</v>
      </c>
      <c r="D70" s="107" t="n">
        <v>1065915.351171269</v>
      </c>
      <c r="E70" s="107" t="n">
        <v>1815589.675218998</v>
      </c>
      <c r="F70" s="138" t="n">
        <v>2794479.851820601</v>
      </c>
      <c r="G70" s="102" t="n">
        <v>4190744.526952744</v>
      </c>
      <c r="H70" s="107" t="n">
        <v>5686524.607693927</v>
      </c>
      <c r="I70" s="107" t="n">
        <v>3181160.798058965</v>
      </c>
      <c r="J70" s="139" t="n">
        <v>0.989</v>
      </c>
    </row>
    <row r="71" ht="30" customHeight="1">
      <c r="A71" s="137" t="n">
        <v>2038</v>
      </c>
      <c r="B71" s="137" t="n">
        <v>76</v>
      </c>
      <c r="C71" s="137" t="n">
        <v>77</v>
      </c>
      <c r="D71" s="107" t="n">
        <v>928221.6878691859</v>
      </c>
      <c r="E71" s="107" t="n">
        <v>1786977.709719532</v>
      </c>
      <c r="F71" s="138" t="n">
        <v>2811754.795851053</v>
      </c>
      <c r="G71" s="102" t="n">
        <v>4405766.327135615</v>
      </c>
      <c r="H71" s="107" t="n">
        <v>6092346.821531192</v>
      </c>
      <c r="I71" s="107" t="n">
        <v>3272672.443740282</v>
      </c>
      <c r="J71" s="139" t="n">
        <v>0.985</v>
      </c>
    </row>
    <row r="72" ht="30" customHeight="1">
      <c r="A72" s="137" t="n">
        <v>2039</v>
      </c>
      <c r="B72" s="137" t="n">
        <v>77</v>
      </c>
      <c r="C72" s="137" t="n">
        <v>78</v>
      </c>
      <c r="D72" s="107" t="n">
        <v>808744.8190032098</v>
      </c>
      <c r="E72" s="107" t="n">
        <v>1725529.551078642</v>
      </c>
      <c r="F72" s="138" t="n">
        <v>2763733.593460994</v>
      </c>
      <c r="G72" s="102" t="n">
        <v>4566140.321230389</v>
      </c>
      <c r="H72" s="107" t="n">
        <v>6317862.401146802</v>
      </c>
      <c r="I72" s="107" t="n">
        <v>3351986.504900484</v>
      </c>
      <c r="J72" s="139" t="n">
        <v>0.98</v>
      </c>
    </row>
    <row r="73" ht="30" customHeight="1">
      <c r="A73" s="137" t="n">
        <v>2040</v>
      </c>
      <c r="B73" s="137" t="n">
        <v>78</v>
      </c>
      <c r="C73" s="137" t="n">
        <v>79</v>
      </c>
      <c r="D73" s="107" t="n">
        <v>691972.2681087014</v>
      </c>
      <c r="E73" s="107" t="n">
        <v>1642085.613696875</v>
      </c>
      <c r="F73" s="138" t="n">
        <v>2787826.845970662</v>
      </c>
      <c r="G73" s="102" t="n">
        <v>4721791.266699341</v>
      </c>
      <c r="H73" s="107" t="n">
        <v>6756710.540564188</v>
      </c>
      <c r="I73" s="107" t="n">
        <v>3453949.136737632</v>
      </c>
      <c r="J73" s="139" t="n">
        <v>0.968</v>
      </c>
    </row>
    <row r="74" ht="30" customHeight="1">
      <c r="A74" s="137" t="n">
        <v>2041</v>
      </c>
      <c r="B74" s="137" t="n">
        <v>79</v>
      </c>
      <c r="C74" s="137" t="n">
        <v>80</v>
      </c>
      <c r="D74" s="107" t="n">
        <v>553570.4989555768</v>
      </c>
      <c r="E74" s="107" t="n">
        <v>1580701.042046353</v>
      </c>
      <c r="F74" s="138" t="n">
        <v>2832727.751719831</v>
      </c>
      <c r="G74" s="102" t="n">
        <v>4759944.456034862</v>
      </c>
      <c r="H74" s="107" t="n">
        <v>7013629.768679993</v>
      </c>
      <c r="I74" s="107" t="n">
        <v>3529000.11888724</v>
      </c>
      <c r="J74" s="139" t="n">
        <v>0.956</v>
      </c>
    </row>
    <row r="75" ht="30" customHeight="1">
      <c r="A75" s="137" t="n">
        <v>2042</v>
      </c>
      <c r="B75" s="137" t="n">
        <v>80</v>
      </c>
      <c r="C75" s="137" t="n">
        <v>81</v>
      </c>
      <c r="D75" s="107" t="n">
        <v>409194.6892609196</v>
      </c>
      <c r="E75" s="107" t="n">
        <v>1477624.791274195</v>
      </c>
      <c r="F75" s="138" t="n">
        <v>2869738.085272545</v>
      </c>
      <c r="G75" s="102" t="n">
        <v>4868769.141489619</v>
      </c>
      <c r="H75" s="107" t="n">
        <v>7700382.591882581</v>
      </c>
      <c r="I75" s="107" t="n">
        <v>3610487.378240235</v>
      </c>
      <c r="J75" s="139" t="n">
        <v>0.949</v>
      </c>
    </row>
    <row r="76" ht="30" customHeight="1">
      <c r="A76" s="137" t="n">
        <v>2043</v>
      </c>
      <c r="B76" s="137" t="n">
        <v>81</v>
      </c>
      <c r="C76" s="137" t="n">
        <v>82</v>
      </c>
      <c r="D76" s="107" t="n">
        <v>274405.466843036</v>
      </c>
      <c r="E76" s="107" t="n">
        <v>1370069.650753004</v>
      </c>
      <c r="F76" s="138" t="n">
        <v>2832066.804417358</v>
      </c>
      <c r="G76" s="102" t="n">
        <v>4928756.771766772</v>
      </c>
      <c r="H76" s="107" t="n">
        <v>8100824.626429282</v>
      </c>
      <c r="I76" s="107" t="n">
        <v>3672825.808801662</v>
      </c>
      <c r="J76" s="139" t="n">
        <v>0.9320000000000001</v>
      </c>
    </row>
    <row r="77" ht="30" customHeight="1">
      <c r="A77" s="137" t="n">
        <v>2044</v>
      </c>
      <c r="B77" s="137" t="n">
        <v>82</v>
      </c>
      <c r="C77" s="137" t="n">
        <v>83</v>
      </c>
      <c r="D77" s="107" t="n">
        <v>157331.7715338001</v>
      </c>
      <c r="E77" s="107" t="n">
        <v>1260721.352386659</v>
      </c>
      <c r="F77" s="138" t="n">
        <v>2791503.520618573</v>
      </c>
      <c r="G77" s="102" t="n">
        <v>5167885.000915853</v>
      </c>
      <c r="H77" s="107" t="n">
        <v>8292769.478848106</v>
      </c>
      <c r="I77" s="107" t="n">
        <v>3776709.646157508</v>
      </c>
      <c r="J77" s="139" t="n">
        <v>0.913</v>
      </c>
    </row>
    <row r="78" ht="30" customHeight="1">
      <c r="A78" s="137" t="n">
        <v>2045</v>
      </c>
      <c r="B78" s="137" t="n">
        <v>83</v>
      </c>
      <c r="C78" s="137" t="n">
        <v>84</v>
      </c>
      <c r="D78" s="107" t="n">
        <v>20555.82619869076</v>
      </c>
      <c r="E78" s="107" t="n">
        <v>1162564.271711587</v>
      </c>
      <c r="F78" s="138" t="n">
        <v>2822135.248114164</v>
      </c>
      <c r="G78" s="102" t="n">
        <v>5295805.910152439</v>
      </c>
      <c r="H78" s="107" t="n">
        <v>9120339.529393893</v>
      </c>
      <c r="I78" s="107" t="n">
        <v>3923187.49783345</v>
      </c>
      <c r="J78" s="139" t="n">
        <v>0.902</v>
      </c>
    </row>
    <row r="79" ht="30" customHeight="1">
      <c r="A79" s="140" t="n">
        <v>2046</v>
      </c>
      <c r="B79" s="140" t="n">
        <v>84</v>
      </c>
      <c r="C79" s="140" t="n">
        <v>85</v>
      </c>
      <c r="D79" s="141" t="n">
        <v>0</v>
      </c>
      <c r="E79" s="141" t="n">
        <v>1085356.716184823</v>
      </c>
      <c r="F79" s="76" t="n">
        <v>2978922.245618052</v>
      </c>
      <c r="G79" s="141" t="n">
        <v>5657593.639058183</v>
      </c>
      <c r="H79" s="141" t="n">
        <v>9466246.342808602</v>
      </c>
      <c r="I79" s="141" t="n">
        <v>4098182.846854043</v>
      </c>
      <c r="J79" s="142" t="n">
        <v>0.896</v>
      </c>
    </row>
    <row r="80" ht="30" customHeight="1">
      <c r="A80" s="140" t="n">
        <v>2047</v>
      </c>
      <c r="B80" s="140" t="n">
        <v>85</v>
      </c>
      <c r="C80" s="140" t="n">
        <v>86</v>
      </c>
      <c r="D80" s="141" t="n">
        <v>0</v>
      </c>
      <c r="E80" s="141" t="n">
        <v>1011545.656970747</v>
      </c>
      <c r="F80" s="76" t="n">
        <v>2927765.863621343</v>
      </c>
      <c r="G80" s="141" t="n">
        <v>5999698.496412</v>
      </c>
      <c r="H80" s="141" t="n">
        <v>9946871.496102706</v>
      </c>
      <c r="I80" s="141" t="n">
        <v>4282575.498743125</v>
      </c>
      <c r="J80" s="142" t="n">
        <v>0.88</v>
      </c>
    </row>
    <row r="81" ht="30" customHeight="1">
      <c r="A81" s="140" t="n">
        <v>2048</v>
      </c>
      <c r="B81" s="140" t="n">
        <v>86</v>
      </c>
      <c r="C81" s="140" t="n">
        <v>87</v>
      </c>
      <c r="D81" s="141" t="n">
        <v>0</v>
      </c>
      <c r="E81" s="141" t="n">
        <v>864050.3003228519</v>
      </c>
      <c r="F81" s="76" t="n">
        <v>2852433.301213957</v>
      </c>
      <c r="G81" s="141" t="n">
        <v>6068203.489398275</v>
      </c>
      <c r="H81" s="141" t="n">
        <v>10409295.51395031</v>
      </c>
      <c r="I81" s="141" t="n">
        <v>4460762.00981143</v>
      </c>
      <c r="J81" s="142" t="n">
        <v>0.854</v>
      </c>
    </row>
    <row r="82" ht="30" customHeight="1">
      <c r="A82" s="140" t="n">
        <v>2049</v>
      </c>
      <c r="B82" s="140" t="n">
        <v>87</v>
      </c>
      <c r="C82" s="140" t="n">
        <v>88</v>
      </c>
      <c r="D82" s="141" t="n">
        <v>0</v>
      </c>
      <c r="E82" s="141" t="n">
        <v>708575.7560577885</v>
      </c>
      <c r="F82" s="76" t="n">
        <v>2889348.944433334</v>
      </c>
      <c r="G82" s="141" t="n">
        <v>6490975.886696612</v>
      </c>
      <c r="H82" s="141" t="n">
        <v>11290435.60465915</v>
      </c>
      <c r="I82" s="141" t="n">
        <v>4621159.950902616</v>
      </c>
      <c r="J82" s="142" t="n">
        <v>0.84</v>
      </c>
    </row>
    <row r="83" ht="30" customHeight="1">
      <c r="A83" s="140" t="n">
        <v>2050</v>
      </c>
      <c r="B83" s="140" t="n">
        <v>88</v>
      </c>
      <c r="C83" s="140" t="n">
        <v>89</v>
      </c>
      <c r="D83" s="141" t="n">
        <v>0</v>
      </c>
      <c r="E83" s="141" t="n">
        <v>561221.2396638506</v>
      </c>
      <c r="F83" s="76" t="n">
        <v>2811492.420171822</v>
      </c>
      <c r="G83" s="141" t="n">
        <v>6652867.428424939</v>
      </c>
      <c r="H83" s="141" t="n">
        <v>12039129.5436055</v>
      </c>
      <c r="I83" s="141" t="n">
        <v>4801192.410770252</v>
      </c>
      <c r="J83" s="142" t="n">
        <v>0.8080000000000001</v>
      </c>
    </row>
    <row r="84" ht="30" customHeight="1">
      <c r="A84" s="140" t="n">
        <v>2051</v>
      </c>
      <c r="B84" s="140" t="n">
        <v>89</v>
      </c>
      <c r="C84" s="140" t="n">
        <v>90</v>
      </c>
      <c r="D84" s="141" t="n">
        <v>0</v>
      </c>
      <c r="E84" s="141" t="n">
        <v>390461.6272308101</v>
      </c>
      <c r="F84" s="76" t="n">
        <v>2787406.822621346</v>
      </c>
      <c r="G84" s="141" t="n">
        <v>6876513.150814629</v>
      </c>
      <c r="H84" s="141" t="n">
        <v>12685471.04821831</v>
      </c>
      <c r="I84" s="141" t="n">
        <v>4974057.899437624</v>
      </c>
      <c r="J84" s="142" t="n">
        <v>0.786</v>
      </c>
    </row>
    <row r="85" ht="30" customHeight="1">
      <c r="A85" s="140" t="n">
        <v>2052</v>
      </c>
      <c r="B85" s="140" t="n">
        <v>90</v>
      </c>
      <c r="C85" s="140" t="n">
        <v>91</v>
      </c>
      <c r="D85" s="141" t="n">
        <v>0</v>
      </c>
      <c r="E85" s="141" t="n">
        <v>241475.800273842</v>
      </c>
      <c r="F85" s="76" t="n">
        <v>2777294.178667346</v>
      </c>
      <c r="G85" s="141" t="n">
        <v>7210641.479584845</v>
      </c>
      <c r="H85" s="141" t="n">
        <v>13513418.08432454</v>
      </c>
      <c r="I85" s="141" t="n">
        <v>5151832.644964652</v>
      </c>
      <c r="J85" s="142" t="n">
        <v>0.776</v>
      </c>
    </row>
    <row r="86" ht="30" customHeight="1">
      <c r="A86" s="140" t="n">
        <v>2053</v>
      </c>
      <c r="B86" s="140" t="n">
        <v>91</v>
      </c>
      <c r="C86" s="140" t="n">
        <v>92</v>
      </c>
      <c r="D86" s="141" t="n">
        <v>0</v>
      </c>
      <c r="E86" s="141" t="n">
        <v>85288.62383599153</v>
      </c>
      <c r="F86" s="76" t="n">
        <v>2782591.625977149</v>
      </c>
      <c r="G86" s="141" t="n">
        <v>7562249.080162082</v>
      </c>
      <c r="H86" s="141" t="n">
        <v>14360622.22644296</v>
      </c>
      <c r="I86" s="141" t="n">
        <v>5319171.326501847</v>
      </c>
      <c r="J86" s="142" t="n">
        <v>0.756</v>
      </c>
    </row>
    <row r="87" ht="30" customHeight="1">
      <c r="A87" s="140" t="n">
        <v>2054</v>
      </c>
      <c r="B87" s="140" t="n">
        <v>92</v>
      </c>
      <c r="C87" s="140" t="n">
        <v>93</v>
      </c>
      <c r="D87" s="141" t="n">
        <v>0</v>
      </c>
      <c r="E87" s="141" t="n">
        <v>0</v>
      </c>
      <c r="F87" s="76" t="n">
        <v>2828256.467183159</v>
      </c>
      <c r="G87" s="141" t="n">
        <v>7813184.612441184</v>
      </c>
      <c r="H87" s="141" t="n">
        <v>14880433.88101806</v>
      </c>
      <c r="I87" s="141" t="n">
        <v>5533138.793243388</v>
      </c>
      <c r="J87" s="142" t="n">
        <v>0.741</v>
      </c>
    </row>
    <row r="88" ht="30" customHeight="1">
      <c r="A88" s="140" t="n">
        <v>2055</v>
      </c>
      <c r="B88" s="140" t="n">
        <v>93</v>
      </c>
      <c r="C88" s="140" t="n">
        <v>94</v>
      </c>
      <c r="D88" s="141" t="n">
        <v>0</v>
      </c>
      <c r="E88" s="141" t="n">
        <v>0</v>
      </c>
      <c r="F88" s="76" t="n">
        <v>2781496.601929829</v>
      </c>
      <c r="G88" s="141" t="n">
        <v>8187635.107319692</v>
      </c>
      <c r="H88" s="141" t="n">
        <v>15951676.69081588</v>
      </c>
      <c r="I88" s="141" t="n">
        <v>5803989.564721349</v>
      </c>
      <c r="J88" s="142" t="n">
        <v>0.726</v>
      </c>
    </row>
    <row r="89" ht="30" customHeight="1">
      <c r="A89" s="140" t="n">
        <v>2056</v>
      </c>
      <c r="B89" s="140" t="n">
        <v>94</v>
      </c>
      <c r="C89" s="140" t="n">
        <v>95</v>
      </c>
      <c r="D89" s="141" t="n">
        <v>0</v>
      </c>
      <c r="E89" s="141" t="n">
        <v>0</v>
      </c>
      <c r="F89" s="76" t="n">
        <v>2862711.937970757</v>
      </c>
      <c r="G89" s="141" t="n">
        <v>8502206.25280961</v>
      </c>
      <c r="H89" s="141" t="n">
        <v>16901284.35885765</v>
      </c>
      <c r="I89" s="141" t="n">
        <v>6130399.585597729</v>
      </c>
      <c r="J89" s="142" t="n">
        <v>0.717</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4" t="inlineStr">
        <is>
          <t>Q1 — Worst 20%</t>
        </is>
      </c>
      <c r="B93" s="89" t="n">
        <v>-0.01727622191764562</v>
      </c>
      <c r="C93" s="143" t="n">
        <v>0</v>
      </c>
      <c r="D93" s="144" t="n">
        <v>0</v>
      </c>
      <c r="E93" s="143" t="n">
        <v>2877465.328009156</v>
      </c>
      <c r="F93" s="143" t="n">
        <v>854778.464051503</v>
      </c>
      <c r="G93" s="145" t="n">
        <v>0.255</v>
      </c>
      <c r="H93" s="75" t="inlineStr">
        <is>
          <t>Retire into a bear market: portfolio may not recover</t>
        </is>
      </c>
      <c r="I93" s="3" t="n"/>
      <c r="J93" s="4" t="n"/>
    </row>
    <row r="94" ht="30" customHeight="1">
      <c r="A94" s="146" t="inlineStr">
        <is>
          <t>Q2</t>
        </is>
      </c>
      <c r="B94" s="147" t="n">
        <v>0.03832055682327415</v>
      </c>
      <c r="C94" s="148" t="n">
        <v>0</v>
      </c>
      <c r="D94" s="149" t="n">
        <v>1459662.300334732</v>
      </c>
      <c r="E94" s="148" t="n">
        <v>10611182.08394266</v>
      </c>
      <c r="F94" s="148" t="n">
        <v>3582054.570887665</v>
      </c>
      <c r="G94" s="150" t="n">
        <v>0.64</v>
      </c>
      <c r="H94" s="73" t="inlineStr">
        <is>
          <t>Below-avg early returns: monitor spending levels</t>
        </is>
      </c>
      <c r="I94" s="3" t="n"/>
      <c r="J94" s="4" t="n"/>
    </row>
    <row r="95" ht="30" customHeight="1">
      <c r="A95" s="151" t="inlineStr">
        <is>
          <t>Q3 — Middle 20%</t>
        </is>
      </c>
      <c r="B95" s="152" t="n">
        <v>0.07076860586677189</v>
      </c>
      <c r="C95" s="153" t="n">
        <v>0</v>
      </c>
      <c r="D95" s="154" t="n">
        <v>3508336.23221975</v>
      </c>
      <c r="E95" s="153" t="n">
        <v>16002218.81527029</v>
      </c>
      <c r="F95" s="153" t="n">
        <v>6400751.825948749</v>
      </c>
      <c r="G95" s="155" t="n">
        <v>0.855</v>
      </c>
      <c r="H95" s="114" t="inlineStr">
        <is>
          <t>Middle outcome: plan as modeled</t>
        </is>
      </c>
      <c r="I95" s="3" t="n"/>
      <c r="J95" s="4" t="n"/>
    </row>
    <row r="96" ht="30" customHeight="1">
      <c r="A96" s="91" t="inlineStr">
        <is>
          <t>Q4</t>
        </is>
      </c>
      <c r="B96" s="81" t="n">
        <v>0.1024793356235844</v>
      </c>
      <c r="C96" s="80" t="n">
        <v>0</v>
      </c>
      <c r="D96" s="92" t="n">
        <v>3959091.294730589</v>
      </c>
      <c r="E96" s="80" t="n">
        <v>19928767.76912894</v>
      </c>
      <c r="F96" s="80" t="n">
        <v>7763449.155395734</v>
      </c>
      <c r="G96" s="156" t="n">
        <v>0.86</v>
      </c>
      <c r="H96" s="74" t="inlineStr">
        <is>
          <t>Above-avg early returns: strong buffer builds fast</t>
        </is>
      </c>
      <c r="I96" s="3" t="n"/>
      <c r="J96" s="4" t="n"/>
    </row>
    <row r="97" ht="30" customHeight="1">
      <c r="A97" s="121" t="inlineStr">
        <is>
          <t>Q5 — Best 20%</t>
        </is>
      </c>
      <c r="B97" s="157" t="n">
        <v>0.1501668382056519</v>
      </c>
      <c r="C97" s="158" t="n">
        <v>1330308.9554778</v>
      </c>
      <c r="D97" s="159" t="n">
        <v>8748725.232579298</v>
      </c>
      <c r="E97" s="158" t="n">
        <v>25409956.76759767</v>
      </c>
      <c r="F97" s="158" t="n">
        <v>12050963.91170499</v>
      </c>
      <c r="G97" s="160" t="n">
        <v>0.975</v>
      </c>
      <c r="H97" s="116" t="inlineStr">
        <is>
          <t>Bull market at retirement: large bequest potential</t>
        </is>
      </c>
      <c r="I97" s="3" t="n"/>
      <c r="J97" s="4" t="n"/>
    </row>
    <row r="98"/>
    <row r="99" ht="45" customHeight="1">
      <c r="A99" s="96"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50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15" customHeight="1">
      <c r="A103" s="132" t="inlineStr">
        <is>
          <t>μ=4%</t>
        </is>
      </c>
      <c r="B103" s="162" t="n">
        <v>0.44</v>
      </c>
      <c r="C103" s="162" t="n">
        <v>0.46</v>
      </c>
      <c r="D103" s="162" t="n">
        <v>0.48</v>
      </c>
      <c r="E103" s="162" t="n">
        <v>0.3</v>
      </c>
      <c r="F103" s="162" t="n">
        <v>0.46</v>
      </c>
      <c r="G103" s="156" t="n">
        <v>0.48</v>
      </c>
    </row>
    <row r="104" ht="15" customHeight="1">
      <c r="A104" s="132" t="inlineStr">
        <is>
          <t>μ=5%</t>
        </is>
      </c>
      <c r="B104" s="163" t="n">
        <v>0.7</v>
      </c>
      <c r="C104" s="162" t="n">
        <v>0.52</v>
      </c>
      <c r="D104" s="162" t="n">
        <v>0.48</v>
      </c>
      <c r="E104" s="162" t="n">
        <v>0.38</v>
      </c>
      <c r="F104" s="162" t="n">
        <v>0.5</v>
      </c>
      <c r="G104" s="156" t="n">
        <v>0.7</v>
      </c>
    </row>
    <row r="105" ht="15" customHeight="1">
      <c r="A105" s="164" t="inlineStr">
        <is>
          <t>μ=6%</t>
        </is>
      </c>
      <c r="B105" s="162" t="n">
        <v>0.66</v>
      </c>
      <c r="C105" s="162" t="n">
        <v>0.64</v>
      </c>
      <c r="D105" s="165" t="n">
        <v>0.68</v>
      </c>
      <c r="E105" s="162" t="n">
        <v>0.46</v>
      </c>
      <c r="F105" s="162" t="n">
        <v>0.32</v>
      </c>
      <c r="G105" s="156" t="n">
        <v>0.68</v>
      </c>
    </row>
    <row r="106" ht="15" customHeight="1">
      <c r="A106" s="132" t="inlineStr">
        <is>
          <t>μ=7%</t>
        </is>
      </c>
      <c r="B106" s="163" t="n">
        <v>0.76</v>
      </c>
      <c r="C106" s="163" t="n">
        <v>0.84</v>
      </c>
      <c r="D106" s="162" t="n">
        <v>0.62</v>
      </c>
      <c r="E106" s="162" t="n">
        <v>0.6</v>
      </c>
      <c r="F106" s="162" t="n">
        <v>0.6</v>
      </c>
      <c r="G106" s="156" t="n">
        <v>0.84</v>
      </c>
    </row>
    <row r="107" ht="15" customHeight="1">
      <c r="A107" s="132" t="inlineStr">
        <is>
          <t>μ=8%</t>
        </is>
      </c>
      <c r="B107" s="163" t="n">
        <v>0.88</v>
      </c>
      <c r="C107" s="157" t="n">
        <v>0.9</v>
      </c>
      <c r="D107" s="163" t="n">
        <v>0.82</v>
      </c>
      <c r="E107" s="162" t="n">
        <v>0.68</v>
      </c>
      <c r="F107" s="162" t="n">
        <v>0.62</v>
      </c>
      <c r="G107" s="156" t="n">
        <v>0.9</v>
      </c>
    </row>
    <row r="108"/>
    <row r="109" ht="15" customHeight="1">
      <c r="A109" s="166" t="inlineStr"/>
      <c r="B109" s="114" t="inlineStr">
        <is>
          <t>Base case (μ=6%, σ=12%)</t>
        </is>
      </c>
      <c r="C109" s="3" t="n"/>
      <c r="D109" s="3" t="n"/>
      <c r="E109" s="3" t="n"/>
      <c r="F109" s="4" t="n"/>
    </row>
    <row r="110" ht="15" customHeight="1">
      <c r="A110" s="167" t="inlineStr"/>
      <c r="B110" s="114" t="inlineStr">
        <is>
          <t>Success ≥ 90%  — plan highly resilient</t>
        </is>
      </c>
      <c r="C110" s="3" t="n"/>
      <c r="D110" s="3" t="n"/>
      <c r="E110" s="3" t="n"/>
      <c r="F110" s="4" t="n"/>
    </row>
    <row r="111" ht="15" customHeight="1">
      <c r="A111" s="168" t="inlineStr"/>
      <c r="B111" s="114" t="inlineStr">
        <is>
          <t>Success 70–89%  — monitor; consider adjustments</t>
        </is>
      </c>
      <c r="C111" s="3" t="n"/>
      <c r="D111" s="3" t="n"/>
      <c r="E111" s="3" t="n"/>
      <c r="F111" s="4" t="n"/>
    </row>
    <row r="112" ht="15" customHeight="1">
      <c r="A112" s="169" t="inlineStr"/>
      <c r="B112" s="114"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72% liquid-funding success rate — moderate by institutional planning standards. Median terminal liquid assets of $2,862,712 and median total net worth of $6,287,569 are shown separately so illiquid wealth does not mask spending shortfalls. The sampled arithmetic/geometric returns were 6.7%/6.0%;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Patricia pension + joint annuities provide deterministic income starting in the configured income year. This income floor reduces spending pressure, but it does not by itself guarantee liquid funding success. In Q1 (worst first-5-year return paths), funded-plan success is 26%,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60%–84% across the tested volatility levels. At μ=5%, success ranges from 38%–70%.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45" customHeight="1">
      <c r="A4" s="5" t="inlineStr">
        <is>
          <t>Scenario</t>
        </is>
      </c>
      <c r="B4" s="5" t="inlineStr">
        <is>
          <t>Matthew Death</t>
        </is>
      </c>
      <c r="C4" s="5" t="inlineStr">
        <is>
          <t>Patricia Death</t>
        </is>
      </c>
      <c r="D4" s="5" t="inlineStr">
        <is>
          <t>Plan End</t>
        </is>
      </c>
      <c r="E4" s="5" t="inlineStr">
        <is>
          <t>Terminal NW</t>
        </is>
      </c>
      <c r="F4" s="5" t="inlineStr">
        <is>
          <t>Δ vs Base</t>
        </is>
      </c>
      <c r="G4" s="5" t="inlineStr">
        <is>
          <t>Lifetime Tax</t>
        </is>
      </c>
      <c r="H4" s="5" t="inlineStr">
        <is>
          <t>Δ Tax</t>
        </is>
      </c>
      <c r="I4" s="5" t="inlineStr">
        <is>
          <t>Description</t>
        </is>
      </c>
    </row>
    <row r="5" ht="45" customHeight="1">
      <c r="A5" s="11" t="inlineStr">
        <is>
          <t>BASE PLAN</t>
        </is>
      </c>
      <c r="B5" s="140" t="n">
        <v>2054</v>
      </c>
      <c r="C5" s="140" t="n">
        <v>2056</v>
      </c>
      <c r="D5" s="140" t="n">
        <v>2056</v>
      </c>
      <c r="E5" s="76" t="n">
        <v>6980960.342980574</v>
      </c>
      <c r="F5" s="96" t="inlineStr">
        <is>
          <t>Baseline</t>
        </is>
      </c>
      <c r="G5" s="141" t="n">
        <v>822511.3042277475</v>
      </c>
      <c r="H5" s="96" t="inlineStr">
        <is>
          <t>Baseline</t>
        </is>
      </c>
      <c r="I5" s="96" t="inlineStr">
        <is>
          <t>Matthew dies 2054 (age 92), Patricia dies 2056 (age 95)</t>
        </is>
      </c>
    </row>
    <row r="6" ht="90" customHeight="1">
      <c r="A6" s="2" t="inlineStr">
        <is>
          <t>Matthew dies at 65 (before SS &amp; annuities)</t>
        </is>
      </c>
      <c r="B6" s="137" t="n">
        <v>2027</v>
      </c>
      <c r="C6" s="170" t="n">
        <v>2056</v>
      </c>
      <c r="D6" s="170" t="n">
        <v>2056</v>
      </c>
      <c r="E6" s="171" t="n">
        <v>6316931.721932866</v>
      </c>
      <c r="F6" s="111" t="n">
        <v>-664028.6210477082</v>
      </c>
      <c r="G6" s="107" t="n">
        <v>693495.5275266047</v>
      </c>
      <c r="H6" s="107" t="n">
        <v>-129015.7767011428</v>
      </c>
      <c r="I6" s="12" t="inlineStr">
        <is>
          <t>Matthew dies 2027. No SS claimed yet. Joint annuity income continues to Patricia at 100%. Matthew single annuity stops. Patricia files Single.</t>
        </is>
      </c>
    </row>
    <row r="7" ht="90" customHeight="1">
      <c r="A7" s="2" t="inlineStr">
        <is>
          <t>Matthew dies at 72 (early retirement)</t>
        </is>
      </c>
      <c r="B7" s="137" t="n">
        <v>2034</v>
      </c>
      <c r="C7" s="170" t="n">
        <v>2056</v>
      </c>
      <c r="D7" s="170" t="n">
        <v>2056</v>
      </c>
      <c r="E7" s="171" t="n">
        <v>5899952.14088221</v>
      </c>
      <c r="F7" s="111" t="n">
        <v>-1081008.202098364</v>
      </c>
      <c r="G7" s="107" t="n">
        <v>802753.6210874335</v>
      </c>
      <c r="H7" s="107" t="n">
        <v>-19757.68314031395</v>
      </c>
      <c r="I7" s="12" t="inlineStr">
        <is>
          <t>Matthew dies 2034. SS claimed but only a few years of benefits. Joint annuities continue. Patricia survives as Single filer.</t>
        </is>
      </c>
    </row>
    <row r="8" ht="90" customHeight="1">
      <c r="A8" s="2" t="inlineStr">
        <is>
          <t>Patricia dies at 65 (pension &amp; annuities lost early)</t>
        </is>
      </c>
      <c r="B8" s="137" t="n">
        <v>2054</v>
      </c>
      <c r="C8" s="170" t="n">
        <v>2026</v>
      </c>
      <c r="D8" s="170" t="n">
        <v>2054</v>
      </c>
      <c r="E8" s="171" t="n">
        <v>6238347.312731428</v>
      </c>
      <c r="F8" s="111" t="n">
        <v>-742613.0302491458</v>
      </c>
      <c r="G8" s="107" t="n">
        <v>656850.8332708366</v>
      </c>
      <c r="H8" s="107" t="n">
        <v>-165660.4709569109</v>
      </c>
      <c r="I8" s="12" t="inlineStr">
        <is>
          <t>Patricia dies 2026: pension/single-life income stops immediately. Joint annuities continue to Matthew. Matthew files Single.</t>
        </is>
      </c>
    </row>
    <row r="9" ht="90" customHeight="1">
      <c r="A9" s="2" t="inlineStr">
        <is>
          <t>Patricia dies at 72 (early retirement)</t>
        </is>
      </c>
      <c r="B9" s="137" t="n">
        <v>2054</v>
      </c>
      <c r="C9" s="170" t="n">
        <v>2033</v>
      </c>
      <c r="D9" s="170" t="n">
        <v>2054</v>
      </c>
      <c r="E9" s="171" t="n">
        <v>5912656.465762343</v>
      </c>
      <c r="F9" s="111" t="n">
        <v>-1068303.877218231</v>
      </c>
      <c r="G9" s="107" t="n">
        <v>793472.014675492</v>
      </c>
      <c r="H9" s="107" t="n">
        <v>-29039.28955225553</v>
      </c>
      <c r="I9" s="12" t="inlineStr">
        <is>
          <t>Patricia dies 2033. Pension stops. Patricia single annuity stops. Joint annuities continue. Matthew survives as Single filer.</t>
        </is>
      </c>
    </row>
    <row r="10" ht="75" customHeight="1">
      <c r="A10" s="2" t="inlineStr">
        <is>
          <t>Both die at 75 (shortened plan)</t>
        </is>
      </c>
      <c r="B10" s="137" t="n">
        <v>2037</v>
      </c>
      <c r="C10" s="170" t="n">
        <v>2036</v>
      </c>
      <c r="D10" s="170" t="n">
        <v>2037</v>
      </c>
      <c r="E10" s="171" t="n">
        <v>5309113.797897854</v>
      </c>
      <c r="F10" s="111" t="n">
        <v>-1671846.54508272</v>
      </c>
      <c r="G10" s="107" t="n">
        <v>460286.8051891283</v>
      </c>
      <c r="H10" s="107" t="n">
        <v>-362224.4990386192</v>
      </c>
      <c r="I10" s="12" t="inlineStr">
        <is>
          <t>Both die by 2037. Plan horizon is sharply shortened.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(Patricia)</t>
        </is>
      </c>
      <c r="B15" s="12" t="inlineStr">
        <is>
          <t>$4,512/yr — STOPS at Patricia's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7" t="n">
        <v>2026</v>
      </c>
      <c r="B5" s="102" t="n">
        <v>54811</v>
      </c>
      <c r="C5" s="102" t="n">
        <v>355000</v>
      </c>
      <c r="D5" s="102" t="n">
        <v>93041</v>
      </c>
      <c r="E5" s="102" t="n">
        <v>860000</v>
      </c>
      <c r="F5" s="102" t="n">
        <v>1362852</v>
      </c>
    </row>
    <row r="6" ht="15" customHeight="1">
      <c r="A6" s="137" t="n">
        <v>2027</v>
      </c>
      <c r="B6" s="102" t="n">
        <v>57527</v>
      </c>
      <c r="C6" s="102" t="n">
        <v>355000</v>
      </c>
      <c r="D6" s="102" t="n">
        <v>98029</v>
      </c>
      <c r="E6" s="102" t="n">
        <v>860000</v>
      </c>
      <c r="F6" s="102" t="n">
        <v>1370556</v>
      </c>
    </row>
    <row r="7" ht="15" customHeight="1">
      <c r="A7" s="137" t="n">
        <v>2028</v>
      </c>
      <c r="B7" s="102" t="n">
        <v>60381</v>
      </c>
      <c r="C7" s="102" t="n">
        <v>353868</v>
      </c>
      <c r="D7" s="102" t="n">
        <v>103285</v>
      </c>
      <c r="E7" s="102" t="n">
        <v>887765</v>
      </c>
      <c r="F7" s="102" t="n">
        <v>1405299</v>
      </c>
    </row>
    <row r="8" ht="15" customHeight="1">
      <c r="A8" s="137" t="n">
        <v>2029</v>
      </c>
      <c r="B8" s="102" t="n">
        <v>67377</v>
      </c>
      <c r="C8" s="102" t="n">
        <v>324660</v>
      </c>
      <c r="D8" s="102" t="n">
        <v>108826</v>
      </c>
      <c r="E8" s="102" t="n">
        <v>936024</v>
      </c>
      <c r="F8" s="102" t="n">
        <v>1436887</v>
      </c>
    </row>
    <row r="9" ht="15" customHeight="1">
      <c r="A9" s="137" t="n">
        <v>2030</v>
      </c>
      <c r="B9" s="102" t="n">
        <v>0</v>
      </c>
      <c r="C9" s="102" t="n">
        <v>295406</v>
      </c>
      <c r="D9" s="102" t="n">
        <v>0</v>
      </c>
      <c r="E9" s="102" t="n">
        <v>869290</v>
      </c>
      <c r="F9" s="102" t="n">
        <v>1164696</v>
      </c>
    </row>
    <row r="10" ht="15" customHeight="1">
      <c r="A10" s="137" t="n">
        <v>2031</v>
      </c>
      <c r="B10" s="102" t="n">
        <v>0</v>
      </c>
      <c r="C10" s="102" t="n">
        <v>267026</v>
      </c>
      <c r="D10" s="102" t="n">
        <v>0</v>
      </c>
      <c r="E10" s="102" t="n">
        <v>793070</v>
      </c>
      <c r="F10" s="102" t="n">
        <v>1060096</v>
      </c>
    </row>
    <row r="11" ht="15" customHeight="1">
      <c r="A11" s="137" t="n">
        <v>2032</v>
      </c>
      <c r="B11" s="102" t="n">
        <v>0</v>
      </c>
      <c r="C11" s="102" t="n">
        <v>239467</v>
      </c>
      <c r="D11" s="102" t="n">
        <v>0</v>
      </c>
      <c r="E11" s="102" t="n">
        <v>717885</v>
      </c>
      <c r="F11" s="102" t="n">
        <v>957352</v>
      </c>
    </row>
    <row r="12" ht="15" customHeight="1">
      <c r="A12" s="137" t="n">
        <v>2033</v>
      </c>
      <c r="B12" s="102" t="n">
        <v>0</v>
      </c>
      <c r="C12" s="102" t="n">
        <v>212555</v>
      </c>
      <c r="D12" s="102" t="n">
        <v>0</v>
      </c>
      <c r="E12" s="102" t="n">
        <v>644998</v>
      </c>
      <c r="F12" s="102" t="n">
        <v>857553</v>
      </c>
    </row>
    <row r="13" ht="15" customHeight="1">
      <c r="A13" s="137" t="n">
        <v>2034</v>
      </c>
      <c r="B13" s="102" t="n">
        <v>0</v>
      </c>
      <c r="C13" s="102" t="n">
        <v>186153</v>
      </c>
      <c r="D13" s="102" t="n">
        <v>0</v>
      </c>
      <c r="E13" s="102" t="n">
        <v>574089</v>
      </c>
      <c r="F13" s="102" t="n">
        <v>760242</v>
      </c>
    </row>
    <row r="14" ht="15" customHeight="1">
      <c r="A14" s="137" t="n">
        <v>2035</v>
      </c>
      <c r="B14" s="102" t="n">
        <v>0</v>
      </c>
      <c r="C14" s="102" t="n">
        <v>160180</v>
      </c>
      <c r="D14" s="102" t="n">
        <v>0</v>
      </c>
      <c r="E14" s="102" t="n">
        <v>504776</v>
      </c>
      <c r="F14" s="102" t="n">
        <v>664956</v>
      </c>
    </row>
    <row r="15" ht="15" customHeight="1">
      <c r="A15" s="137" t="n">
        <v>2036</v>
      </c>
      <c r="B15" s="102" t="n">
        <v>0</v>
      </c>
      <c r="C15" s="102" t="n">
        <v>134626</v>
      </c>
      <c r="D15" s="102" t="n">
        <v>0</v>
      </c>
      <c r="E15" s="102" t="n">
        <v>436878</v>
      </c>
      <c r="F15" s="102" t="n">
        <v>571504</v>
      </c>
    </row>
    <row r="16" ht="15" customHeight="1">
      <c r="A16" s="137" t="n">
        <v>2037</v>
      </c>
      <c r="B16" s="102" t="n">
        <v>0</v>
      </c>
      <c r="C16" s="102" t="n">
        <v>109395</v>
      </c>
      <c r="D16" s="102" t="n">
        <v>0</v>
      </c>
      <c r="E16" s="102" t="n">
        <v>370076</v>
      </c>
      <c r="F16" s="102" t="n">
        <v>479471</v>
      </c>
    </row>
    <row r="17" ht="15" customHeight="1">
      <c r="A17" s="137" t="n">
        <v>2038</v>
      </c>
      <c r="B17" s="102" t="n">
        <v>0</v>
      </c>
      <c r="C17" s="102" t="n">
        <v>84451</v>
      </c>
      <c r="D17" s="102" t="n">
        <v>0</v>
      </c>
      <c r="E17" s="102" t="n">
        <v>304216</v>
      </c>
      <c r="F17" s="102" t="n">
        <v>388667</v>
      </c>
    </row>
    <row r="18" ht="15" customHeight="1">
      <c r="A18" s="137" t="n">
        <v>2039</v>
      </c>
      <c r="B18" s="102" t="n">
        <v>0</v>
      </c>
      <c r="C18" s="102" t="n">
        <v>59771</v>
      </c>
      <c r="D18" s="102" t="n">
        <v>0</v>
      </c>
      <c r="E18" s="102" t="n">
        <v>239205</v>
      </c>
      <c r="F18" s="102" t="n">
        <v>298976</v>
      </c>
    </row>
    <row r="19" ht="15" customHeight="1">
      <c r="A19" s="137" t="n">
        <v>2040</v>
      </c>
      <c r="B19" s="102" t="n">
        <v>0</v>
      </c>
      <c r="C19" s="102" t="n">
        <v>35209</v>
      </c>
      <c r="D19" s="102" t="n">
        <v>0</v>
      </c>
      <c r="E19" s="102" t="n">
        <v>173663</v>
      </c>
      <c r="F19" s="102" t="n">
        <v>208872</v>
      </c>
    </row>
    <row r="20" ht="15" customHeight="1">
      <c r="A20" s="137" t="n">
        <v>2041</v>
      </c>
      <c r="B20" s="102" t="n">
        <v>0</v>
      </c>
      <c r="C20" s="102" t="n">
        <v>10736</v>
      </c>
      <c r="D20" s="102" t="n">
        <v>0</v>
      </c>
      <c r="E20" s="102" t="n">
        <v>173663</v>
      </c>
      <c r="F20" s="102" t="n">
        <v>184399</v>
      </c>
    </row>
    <row r="21" ht="15" customHeight="1">
      <c r="A21" s="137" t="n">
        <v>2042</v>
      </c>
      <c r="B21" s="102" t="n">
        <v>0</v>
      </c>
      <c r="C21" s="102" t="n">
        <v>0</v>
      </c>
      <c r="D21" s="102" t="n">
        <v>0</v>
      </c>
      <c r="E21" s="102" t="n">
        <v>43892</v>
      </c>
      <c r="F21" s="102"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2" t="n">
        <v>2900000</v>
      </c>
      <c r="C26" s="102" t="n">
        <v>1362852</v>
      </c>
      <c r="D26" s="102" t="n">
        <v>2793016.403669</v>
      </c>
      <c r="E26" s="102" t="n">
        <v>0</v>
      </c>
      <c r="F26" s="74" t="inlineStr">
        <is>
          <t>Gap Covered</t>
        </is>
      </c>
    </row>
    <row r="27" ht="30" customHeight="1">
      <c r="A27" s="12" t="inlineStr">
        <is>
          <t>Mortgage Payoff</t>
        </is>
      </c>
      <c r="B27" s="102" t="n">
        <v>290769.34</v>
      </c>
      <c r="C27" s="102" t="n">
        <v>0</v>
      </c>
      <c r="D27" s="102" t="n">
        <v>2793016.403669</v>
      </c>
      <c r="E27" s="102" t="n">
        <v>0</v>
      </c>
      <c r="F27" s="74" t="inlineStr">
        <is>
          <t>Gap Covered</t>
        </is>
      </c>
    </row>
    <row r="28" ht="30" customHeight="1">
      <c r="A28" s="12" t="inlineStr">
        <is>
          <t>Estate Liquidity</t>
        </is>
      </c>
      <c r="B28" s="102" t="n">
        <v>500000</v>
      </c>
      <c r="C28" s="102" t="n">
        <v>1362852</v>
      </c>
      <c r="D28" s="102" t="n">
        <v>2793016.403669</v>
      </c>
      <c r="E28" s="102" t="n">
        <v>0</v>
      </c>
      <c r="F28" s="74"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6" t="inlineStr">
        <is>
          <t>$250,000</t>
        </is>
      </c>
      <c r="B33" s="96" t="inlineStr">
        <is>
          <t>~$9,500/yr</t>
        </is>
      </c>
      <c r="C33" s="96" t="inlineStr">
        <is>
          <t>$137/day</t>
        </is>
      </c>
      <c r="D33" s="96" t="inlineStr">
        <is>
          <t>3 years</t>
        </is>
      </c>
      <c r="E33" s="96" t="inlineStr">
        <is>
          <t>~0.5 yrs into claim</t>
        </is>
      </c>
      <c r="F33" s="96" t="inlineStr">
        <is>
          <t>Light coverage — 3yr facility = $411K at today cost; covers moderate scenario</t>
        </is>
      </c>
    </row>
    <row r="34" ht="75" customHeight="1">
      <c r="A34" s="96" t="inlineStr">
        <is>
          <t>$350,000</t>
        </is>
      </c>
      <c r="B34" s="96" t="inlineStr">
        <is>
          <t>~$13,000/yr</t>
        </is>
      </c>
      <c r="C34" s="96" t="inlineStr">
        <is>
          <t>$192/day</t>
        </is>
      </c>
      <c r="D34" s="96" t="inlineStr">
        <is>
          <t>4 years</t>
        </is>
      </c>
      <c r="E34" s="96" t="inlineStr">
        <is>
          <t>~0.7 yrs into claim</t>
        </is>
      </c>
      <c r="F34" s="96" t="inlineStr">
        <is>
          <t>Moderate — 4yr = $412K home care / $549K facility coverage</t>
        </is>
      </c>
    </row>
    <row r="35" ht="90" customHeight="1">
      <c r="A35" s="121" t="inlineStr">
        <is>
          <t>$500,000</t>
        </is>
      </c>
      <c r="B35" s="121" t="inlineStr">
        <is>
          <t>~$18,500/yr</t>
        </is>
      </c>
      <c r="C35" s="116" t="inlineStr">
        <is>
          <t>$274/day</t>
        </is>
      </c>
      <c r="D35" s="116" t="inlineStr">
        <is>
          <t>5 years</t>
        </is>
      </c>
      <c r="E35" s="116" t="inlineStr">
        <is>
          <t>~1.1 yrs into claim</t>
        </is>
      </c>
      <c r="F35" s="121" t="inlineStr">
        <is>
          <t>★ OPTIMAL — 5yr facility covers worst-case; premium affordable vs estate risk</t>
        </is>
      </c>
    </row>
    <row r="36" ht="75" customHeight="1">
      <c r="A36" s="96" t="inlineStr">
        <is>
          <t>$750,000</t>
        </is>
      </c>
      <c r="B36" s="96" t="inlineStr">
        <is>
          <t>~$27,000/yr</t>
        </is>
      </c>
      <c r="C36" s="96" t="inlineStr">
        <is>
          <t>$411/day</t>
        </is>
      </c>
      <c r="D36" s="96" t="inlineStr">
        <is>
          <t>6 years</t>
        </is>
      </c>
      <c r="E36" s="96" t="inlineStr">
        <is>
          <t>~1.8 yrs into claim</t>
        </is>
      </c>
      <c r="F36" s="96" t="inlineStr">
        <is>
          <t>Premium — extensive coverage; premium ~1.8% of estate annually</t>
        </is>
      </c>
    </row>
    <row r="37"/>
    <row r="38" ht="45" customHeight="1">
      <c r="A38" s="114" t="inlineStr">
        <is>
          <t>Configured settings: enabled=False, face=$500,000, premium=$18,500/yr, start=2027, insured=Matthew.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Matthew or Patricia</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Matthew</t>
        </is>
      </c>
      <c r="C43" s="12" t="inlineStr">
        <is>
          <t>$500,000</t>
        </is>
      </c>
      <c r="D43" s="12" t="inlineStr">
        <is>
          <t>Yes, accelerated DB</t>
        </is>
      </c>
      <c r="E43" s="12" t="inlineStr">
        <is>
          <t>Grows modestly</t>
        </is>
      </c>
      <c r="F43" s="74"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2" t="n">
        <v>35000</v>
      </c>
      <c r="C53" s="12" t="n">
        <v>3</v>
      </c>
      <c r="D53" s="102" t="n">
        <v>110880.8749999999</v>
      </c>
      <c r="E53" s="12" t="inlineStr">
        <is>
          <t>Trust / Roth</t>
        </is>
      </c>
      <c r="F53" s="74" t="inlineStr">
        <is>
          <t>YES</t>
        </is>
      </c>
    </row>
    <row r="54" ht="30" customHeight="1">
      <c r="A54" s="12" t="inlineStr">
        <is>
          <t>Severe Home Care</t>
        </is>
      </c>
      <c r="B54" s="102" t="n">
        <v>75000</v>
      </c>
      <c r="C54" s="12" t="n">
        <v>5</v>
      </c>
      <c r="D54" s="102" t="n">
        <v>418581.8269218746</v>
      </c>
      <c r="E54" s="12" t="inlineStr">
        <is>
          <t>Trust / IRA drawdown</t>
        </is>
      </c>
      <c r="F54" s="74" t="inlineStr">
        <is>
          <t>YES</t>
        </is>
      </c>
    </row>
    <row r="55" ht="30" customHeight="1">
      <c r="A55" s="12" t="inlineStr">
        <is>
          <t>Facility (Memory Care)</t>
        </is>
      </c>
      <c r="B55" s="102" t="n">
        <v>120000</v>
      </c>
      <c r="C55" s="12" t="n">
        <v>5</v>
      </c>
      <c r="D55" s="102" t="n">
        <v>669730.9230749994</v>
      </c>
      <c r="E55" s="12" t="inlineStr">
        <is>
          <t>IRA + Trust</t>
        </is>
      </c>
      <c r="F55" s="75" t="inlineStr">
        <is>
          <t>NO</t>
        </is>
      </c>
    </row>
    <row r="56" ht="30" customHeight="1">
      <c r="A56" s="12" t="inlineStr">
        <is>
          <t>Catastrophic (Both)</t>
        </is>
      </c>
      <c r="B56" s="102" t="n">
        <v>200000</v>
      </c>
      <c r="C56" s="12" t="n">
        <v>7</v>
      </c>
      <c r="D56" s="102" t="n">
        <v>1653378.76775925</v>
      </c>
      <c r="E56" s="12" t="inlineStr">
        <is>
          <t>Full portfolio drawdown</t>
        </is>
      </c>
      <c r="F56" s="75"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2"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2" t="inlineStr">
        <is>
          <t>4A. Plan Data — PLAN DATA SNAPSHOT</t>
        </is>
      </c>
    </row>
    <row r="2"/>
    <row r="3" ht="30" customHeight="1">
      <c r="A3" s="122"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2026-07-06</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45" customHeight="1">
      <c r="A11" s="12" t="inlineStr">
        <is>
          <t>Workbook Pricing Source</t>
        </is>
      </c>
      <c r="B11" s="12" t="inlineStr">
        <is>
          <t>CACHE — as of 07/06/2026 02:50 PM (configured mode: LIVE)</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9"/>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6" t="inlineStr">
        <is>
          <t>Current-year actuals blend</t>
        </is>
      </c>
      <c r="B4" s="173" t="inlineStr">
        <is>
          <t>2026: income/spending actual through 2026-06-25, projected for the remaining 48.77% of the year; account growth/contributions prorated to that same remainder.</t>
        </is>
      </c>
      <c r="C4" s="12" t="inlineStr">
        <is>
          <t>text</t>
        </is>
      </c>
      <c r="D4" s="12" t="inlineStr">
        <is>
          <t>Action: keep YTD transactions and each account's Prior Year End Balance current every January so the current-year row reflects real results, not just a full-year assumption.</t>
        </is>
      </c>
    </row>
    <row r="5" ht="90" customHeight="1">
      <c r="A5" s="96" t="inlineStr">
        <is>
          <t>Time horizon</t>
        </is>
      </c>
      <c r="B5" s="173" t="inlineStr">
        <is>
          <t>2026–2056</t>
        </is>
      </c>
      <c r="C5" s="12" t="inlineStr">
        <is>
          <t>text</t>
        </is>
      </c>
      <c r="D5" s="12" t="inlineStr">
        <is>
          <t>Sets the years included in every income, tax, spending, and terminal-net-worth calculation.</t>
        </is>
      </c>
    </row>
    <row r="6" ht="90" customHeight="1">
      <c r="A6" s="96" t="inlineStr">
        <is>
          <t>Social Security income</t>
        </is>
      </c>
      <c r="B6" s="173" t="inlineStr">
        <is>
          <t>Claim ages Matthew/Patricia: 70/70; funding haircut 22.00% starting 2032</t>
        </is>
      </c>
      <c r="C6" s="12" t="inlineStr">
        <is>
          <t>text</t>
        </is>
      </c>
      <c r="D6" s="12" t="inlineStr">
        <is>
          <t>Action: set the funding haircut to 0% for one scenario if you want to isolate this drag on terminal net worth.</t>
        </is>
      </c>
    </row>
    <row r="7" ht="90" customHeight="1">
      <c r="A7" s="96" t="inlineStr">
        <is>
          <t>Wellness cash flow</t>
        </is>
      </c>
      <c r="B7" s="173" t="inlineStr">
        <is>
          <t>Bridge monthly $1,000; Medicare B/D/G monthly $980; OOP $10,000; ACA PTC On</t>
        </is>
      </c>
      <c r="C7" s="12" t="inlineStr">
        <is>
          <t>text</t>
        </is>
      </c>
      <c r="D7" s="12" t="inlineStr">
        <is>
          <t>Action: if terminal net worth fell, temporarily zero bridge/Medicare/OOP costs to quantify wellness impact, then restore realistic values.</t>
        </is>
      </c>
    </row>
    <row r="8" ht="90" customHeight="1">
      <c r="A8" s="96" t="inlineStr">
        <is>
          <t>Taxable portfolio income</t>
        </is>
      </c>
      <c r="B8" s="173" t="inlineStr">
        <is>
          <t>asset-class/symbol yield assumptions</t>
        </is>
      </c>
      <c r="C8" s="12" t="inlineStr">
        <is>
          <t>text</t>
        </is>
      </c>
      <c r="D8" s="12" t="inlineStr">
        <is>
          <t>Annual dividends/interest can raise AGI, Social Security taxation, IRMAA, NIIT, and reduce Roth-conversion room. Action: review asset location and distribution yields.</t>
        </is>
      </c>
    </row>
    <row r="9" ht="90" customHeight="1">
      <c r="A9" s="96" t="inlineStr">
        <is>
          <t>Roth / IRMAA guardrails</t>
        </is>
      </c>
      <c r="B9" s="173" t="inlineStr">
        <is>
          <t>Policy fill_to_bracket; IRMAA mode WARN_ONLY; target TIER_2; headroom 100.00%</t>
        </is>
      </c>
      <c r="C9" s="12" t="inlineStr">
        <is>
          <t>text</t>
        </is>
      </c>
      <c r="D9" s="12" t="inlineStr">
        <is>
          <t>Action: if conversions look unexpectedly low, check the IRMAA guardrail and ACA PTC-loss weight before overriding the Roth policy.</t>
        </is>
      </c>
    </row>
    <row r="10" ht="90" customHeight="1">
      <c r="A10" s="96" t="inlineStr">
        <is>
          <t>Estate and survivor treatment</t>
        </is>
      </c>
      <c r="B10" s="173" t="inlineStr">
        <is>
          <t>Basis step-up On; CST On; CST funded/excluded $20,000; portability On</t>
        </is>
      </c>
      <c r="C10" s="12" t="inlineStr">
        <is>
          <t>text</t>
        </is>
      </c>
      <c r="D10" s="12" t="inlineStr">
        <is>
          <t>Action: compare one rebuild with CST or estate objective off if you need to isolate estate-policy impact.</t>
        </is>
      </c>
    </row>
    <row r="11" ht="90" customHeight="1">
      <c r="A11" s="96" t="inlineStr">
        <is>
          <t>Monte Carlo risk mode</t>
        </is>
      </c>
      <c r="B11" s="173" t="inlineStr">
        <is>
          <t>vectorized with None main paths and None sensitivity paths</t>
        </is>
      </c>
      <c r="C11" s="12" t="inlineStr">
        <is>
          <t>text</t>
        </is>
      </c>
      <c r="D11" s="12" t="inlineStr">
        <is>
          <t>Action: raise path counts for final advisor review; raise max_build_seconds if exact scalar MC runs too long.</t>
        </is>
      </c>
    </row>
    <row r="12" ht="90" customHeight="1">
      <c r="A12" s="96" t="inlineStr">
        <is>
          <t>Allocation and real-dollar reporting</t>
        </is>
      </c>
      <c r="B12" s="173" t="inlineStr">
        <is>
          <t>Allocation mode user_target; real-dollar rows On using base year 2026</t>
        </is>
      </c>
      <c r="C12" s="12" t="inlineStr">
        <is>
          <t>text</t>
        </is>
      </c>
      <c r="D12" s="12" t="inlineStr">
        <is>
          <t>Action: use real-dollar outputs for purchasing-power comparisons and nominal outputs only for like-for-like workbook runs.</t>
        </is>
      </c>
    </row>
    <row r="13"/>
    <row r="14" ht="15" customHeight="1">
      <c r="A14" s="10" t="inlineStr">
        <is>
          <t>Economic Assumptions</t>
        </is>
      </c>
      <c r="B14" s="3" t="n"/>
      <c r="C14" s="3" t="n"/>
      <c r="D14" s="4" t="n"/>
    </row>
    <row r="15" ht="15" customHeight="1">
      <c r="A15" s="5" t="inlineStr">
        <is>
          <t>Parameter</t>
        </is>
      </c>
      <c r="B15" s="5" t="inlineStr">
        <is>
          <t>Value</t>
        </is>
      </c>
      <c r="C15" s="5" t="inlineStr">
        <is>
          <t>Units</t>
        </is>
      </c>
      <c r="D15" s="5" t="inlineStr">
        <is>
          <t>Note</t>
        </is>
      </c>
    </row>
    <row r="16" ht="30" customHeight="1">
      <c r="A16" s="96" t="inlineStr">
        <is>
          <t>Inflation (General)</t>
        </is>
      </c>
      <c r="B16" s="174" t="n">
        <v>0.025</v>
      </c>
      <c r="C16" s="12" t="inlineStr">
        <is>
          <t>decimal</t>
        </is>
      </c>
      <c r="D16" s="12" t="inlineStr">
        <is>
          <t>2.50% annual</t>
        </is>
      </c>
    </row>
    <row r="17" ht="15" customHeight="1">
      <c r="A17" s="96" t="inlineStr">
        <is>
          <t>SS COLA</t>
        </is>
      </c>
      <c r="B17" s="174" t="n">
        <v>0.02</v>
      </c>
      <c r="C17" s="12" t="inlineStr">
        <is>
          <t>decimal</t>
        </is>
      </c>
      <c r="D17" s="12" t="inlineStr">
        <is>
          <t>2.00% annual</t>
        </is>
      </c>
    </row>
    <row r="18" ht="30" customHeight="1">
      <c r="A18" s="96" t="inlineStr">
        <is>
          <t>Medicare Inflation</t>
        </is>
      </c>
      <c r="B18" s="174" t="n">
        <v>0.055</v>
      </c>
      <c r="C18" s="12" t="inlineStr">
        <is>
          <t>decimal</t>
        </is>
      </c>
      <c r="D18" s="12" t="inlineStr">
        <is>
          <t>5.50% annual</t>
        </is>
      </c>
    </row>
    <row r="19" ht="90" customHeight="1">
      <c r="A19" s="96" t="inlineStr">
        <is>
          <t>Portfolio Nominal Return</t>
        </is>
      </c>
      <c r="B19" s="174" t="n">
        <v>0.06</v>
      </c>
      <c r="C19" s="12" t="inlineStr">
        <is>
          <t>decimal</t>
        </is>
      </c>
      <c r="D19" s="12" t="inlineStr">
        <is>
          <t>No-volatility deterministic reference return; MC may use asset-class covariance and sampled geometric returns</t>
        </is>
      </c>
    </row>
    <row r="20" ht="30" customHeight="1">
      <c r="A20" s="96" t="inlineStr">
        <is>
          <t>Fed Bracket Inflator</t>
        </is>
      </c>
      <c r="B20" s="174" t="n">
        <v>0.02</v>
      </c>
      <c r="C20" s="12" t="inlineStr">
        <is>
          <t>decimal</t>
        </is>
      </c>
      <c r="D20" s="12" t="inlineStr">
        <is>
          <t>2.00%/yr</t>
        </is>
      </c>
    </row>
    <row r="21" ht="30" customHeight="1">
      <c r="A21" s="96" t="inlineStr">
        <is>
          <t>SS Taxable Fraction</t>
        </is>
      </c>
      <c r="B21" s="174" t="n">
        <v>0.85</v>
      </c>
      <c r="C21" s="12" t="inlineStr">
        <is>
          <t>decimal</t>
        </is>
      </c>
      <c r="D21" s="12" t="inlineStr">
        <is>
          <t>85%</t>
        </is>
      </c>
    </row>
    <row r="22" ht="90" customHeight="1">
      <c r="A22" s="96" t="inlineStr">
        <is>
          <t>Roth Conversion Target Bracket</t>
        </is>
      </c>
      <c r="B22" s="174" t="n">
        <v>0.22</v>
      </c>
      <c r="C22" s="12" t="inlineStr">
        <is>
          <t>decimal</t>
        </is>
      </c>
      <c r="D22" s="12" t="inlineStr">
        <is>
          <t>Configured target bracket used when the selected strategy fills bracket headroom.</t>
        </is>
      </c>
    </row>
    <row r="23" ht="90" customHeight="1">
      <c r="A23" s="96" t="inlineStr">
        <is>
          <t>Roth Legacy Objective Mode</t>
        </is>
      </c>
      <c r="B23" s="173" t="inlineStr">
        <is>
          <t>BALANCED</t>
        </is>
      </c>
      <c r="C23" s="12" t="inlineStr">
        <is>
          <t>text</t>
        </is>
      </c>
      <c r="D23" s="12" t="inlineStr">
        <is>
          <t>OFF, LOW, BALANCED, or STRONG; weights future tax-rate risk and inheritance tax burden in Roth conversion selection.</t>
        </is>
      </c>
    </row>
    <row r="24" ht="90" customHeight="1">
      <c r="A24" s="96" t="inlineStr">
        <is>
          <t>Roth Future Tax Stress</t>
        </is>
      </c>
      <c r="B24" s="174" t="n">
        <v>0.1</v>
      </c>
      <c r="C24" s="12" t="inlineStr">
        <is>
          <t>decimal</t>
        </is>
      </c>
      <c r="D24" s="12" t="inlineStr">
        <is>
          <t>Additional ordinary-tax-rate stress used only in the Roth conversion objective.</t>
        </is>
      </c>
    </row>
    <row r="25" ht="75" customHeight="1">
      <c r="A25" s="96" t="inlineStr">
        <is>
          <t>Heir Ordinary Tax Assumption</t>
        </is>
      </c>
      <c r="B25" s="174" t="n">
        <v>0.24</v>
      </c>
      <c r="C25" s="12" t="inlineStr">
        <is>
          <t>decimal</t>
        </is>
      </c>
      <c r="D25" s="12" t="inlineStr">
        <is>
          <t>Estimated heir ordinary rate used to score inherited pre-tax balances.</t>
        </is>
      </c>
    </row>
    <row r="26"/>
    <row r="27" ht="15" customHeight="1">
      <c r="A27" s="10" t="inlineStr">
        <is>
          <t>Asset Allocation Selection and Recommendations</t>
        </is>
      </c>
      <c r="B27" s="3" t="n"/>
      <c r="C27" s="3" t="n"/>
      <c r="D27" s="4" t="n"/>
    </row>
    <row r="28" ht="15" customHeight="1">
      <c r="A28" s="5" t="inlineStr">
        <is>
          <t>Parameter</t>
        </is>
      </c>
      <c r="B28" s="5" t="inlineStr">
        <is>
          <t>Value</t>
        </is>
      </c>
      <c r="C28" s="5" t="inlineStr">
        <is>
          <t>Units</t>
        </is>
      </c>
      <c r="D28" s="5" t="inlineStr">
        <is>
          <t>Note</t>
        </is>
      </c>
    </row>
    <row r="29" ht="90" customHeight="1">
      <c r="A29" s="96" t="inlineStr">
        <is>
          <t>Capital Market Assumption Mode</t>
        </is>
      </c>
      <c r="B29" s="173" t="inlineStr">
        <is>
          <t>PRESET</t>
        </is>
      </c>
      <c r="C29" s="12" t="inlineStr">
        <is>
          <t>text</t>
        </is>
      </c>
      <c r="D29" s="12" t="inlineStr">
        <is>
          <t>PRESET uses built-in selectable horizon/preset assumptions; CUSTOM_FILE reads expert import assumptions.</t>
        </is>
      </c>
    </row>
    <row r="30" ht="90" customHeight="1">
      <c r="A30" s="96" t="inlineStr">
        <is>
          <t>Capital Market Horizon</t>
        </is>
      </c>
      <c r="B30" s="175" t="n">
        <v>30</v>
      </c>
      <c r="C30" s="12" t="inlineStr">
        <is>
          <t>years</t>
        </is>
      </c>
      <c r="D30" s="12" t="inlineStr">
        <is>
          <t>Supported horizons: 1, 3, 5, 10, 20, 25, 30 years. 30 is the long-term baseline.</t>
        </is>
      </c>
    </row>
    <row r="31" ht="90" customHeight="1">
      <c r="A31" s="96" t="inlineStr">
        <is>
          <t>Capital Market Preset</t>
        </is>
      </c>
      <c r="B31" s="173" t="inlineStr">
        <is>
          <t>BASELINE</t>
        </is>
      </c>
      <c r="C31" s="12" t="inlineStr">
        <is>
          <t>text</t>
        </is>
      </c>
      <c r="D31" s="12" t="inlineStr">
        <is>
          <t>CONSERVATIVE, BASELINE, or AGGRESSIVE. These are planning assumptions, not live forecasts.</t>
        </is>
      </c>
    </row>
    <row r="32" ht="90" customHeight="1">
      <c r="A32" s="96" t="inlineStr">
        <is>
          <t>Correlation Mode</t>
        </is>
      </c>
      <c r="B32" s="173" t="inlineStr">
        <is>
          <t>PRESET</t>
        </is>
      </c>
      <c r="C32" s="12" t="inlineStr">
        <is>
          <t>text</t>
        </is>
      </c>
      <c r="D32" s="12" t="inlineStr">
        <is>
          <t>PRESET, ADVANCED, or CUSTOM_FILE. Pairwise correlations affect diversification benefit.</t>
        </is>
      </c>
    </row>
    <row r="33" ht="75" customHeight="1">
      <c r="A33" s="96" t="inlineStr">
        <is>
          <t>Correlation Preset</t>
        </is>
      </c>
      <c r="B33" s="173" t="inlineStr">
        <is>
          <t>MODERATE</t>
        </is>
      </c>
      <c r="C33" s="12" t="inlineStr">
        <is>
          <t>text</t>
        </is>
      </c>
      <c r="D33" s="12" t="inlineStr">
        <is>
          <t>LOW, MODERATE, HIGH, or STRESS. Stress assumes weaker diversification.</t>
        </is>
      </c>
    </row>
    <row r="34" ht="90" customHeight="1">
      <c r="A34" s="96" t="inlineStr">
        <is>
          <t>Workbook Pricing Source</t>
        </is>
      </c>
      <c r="B34" s="173" t="inlineStr">
        <is>
          <t>CACHE — as of 07/06/2026 02:50 PM (configured mode: LIVE)</t>
        </is>
      </c>
      <c r="C34" s="12" t="inlineStr">
        <is>
          <t>text</t>
        </is>
      </c>
      <c r="D34" s="12" t="inlineStr">
        <is>
          <t>Cached quotes were used as of 07/06/2026 02:50 PM; cache TTL is 24.0 hours. Live pricing was not available for these symbols, so the cached quote was used as a fallback. Ticker-level source counts: cash: 1, fresh_cache_24h_from_yahoo: 7.</t>
        </is>
      </c>
    </row>
    <row r="35" ht="90" customHeight="1">
      <c r="A35" s="96" t="inlineStr">
        <is>
          <t>Asset Allocation Recommendation Source</t>
        </is>
      </c>
      <c r="B35" s="173" t="inlineStr">
        <is>
          <t>User-defined allocation</t>
        </is>
      </c>
      <c r="C35" s="12" t="inlineStr">
        <is>
          <t>text</t>
        </is>
      </c>
      <c r="D35" s="12" t="inlineStr">
        <is>
          <t>Selected in the UI and stored in database-backed Plan Data as allocation_selection_mode=user_target; this drives the workbook asset allocation recommendations.</t>
        </is>
      </c>
    </row>
    <row r="36" ht="90" customHeight="1">
      <c r="A36" s="96" t="inlineStr">
        <is>
          <t>Allocation Selection Mode</t>
        </is>
      </c>
      <c r="B36" s="173" t="inlineStr">
        <is>
          <t>Use user-specified allocation</t>
        </is>
      </c>
      <c r="C36" s="12" t="inlineStr">
        <is>
          <t>text</t>
        </is>
      </c>
      <c r="D36" s="12" t="inlineStr">
        <is>
          <t>UI toggle: use the optimizer recommendation or use the user-specified target_pct allocation.</t>
        </is>
      </c>
    </row>
    <row r="37" ht="90" customHeight="1">
      <c r="A37" s="96" t="inlineStr">
        <is>
          <t>Optimizer Recommendation Basis</t>
        </is>
      </c>
      <c r="B37" s="173" t="inlineStr">
        <is>
          <t>Visible as recommendation</t>
        </is>
      </c>
      <c r="C37" s="12" t="inlineStr">
        <is>
          <t>text</t>
        </is>
      </c>
      <c r="D37"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8" ht="90" customHeight="1">
      <c r="A38" s="96" t="inlineStr">
        <is>
          <t>User-Specified Allocation Total</t>
        </is>
      </c>
      <c r="B38" s="174" t="n">
        <v>1</v>
      </c>
      <c r="C38" s="12" t="inlineStr">
        <is>
          <t>decimal</t>
        </is>
      </c>
      <c r="D38" s="12" t="inlineStr">
        <is>
          <t>Must equal 100%. If selected as the allocation mode, these target_pct rows drive allocation recommendations.</t>
        </is>
      </c>
    </row>
    <row r="39" ht="90" customHeight="1">
      <c r="A39" s="96" t="inlineStr">
        <is>
          <t>Optimizer Override Total</t>
        </is>
      </c>
      <c r="B39" s="174" t="n">
        <v>0</v>
      </c>
      <c r="C39" s="12" t="inlineStr">
        <is>
          <t>decimal</t>
        </is>
      </c>
      <c r="D39" s="12" t="inlineStr">
        <is>
          <t>0% or blank means the computed optimizer target is used. If any optimizer override is entered, override percentages must total 100%.</t>
        </is>
      </c>
    </row>
    <row r="40" ht="90" customHeight="1">
      <c r="A40" s="96" t="inlineStr">
        <is>
          <t>Optimizer Override — US Large Cap</t>
        </is>
      </c>
      <c r="B40" s="174" t="n">
        <v>0</v>
      </c>
      <c r="C40" s="12" t="inlineStr">
        <is>
          <t>decimal</t>
        </is>
      </c>
      <c r="D40" s="12" t="inlineStr">
        <is>
          <t>Optional optimizer-mode override. If any override row is nonzero, the optimizer override replaces the computed optimizer target and must total 100%.</t>
        </is>
      </c>
    </row>
    <row r="41" ht="90" customHeight="1">
      <c r="A41" s="96" t="inlineStr">
        <is>
          <t>Optimizer Override — US Mid Cap</t>
        </is>
      </c>
      <c r="B41" s="174" t="n">
        <v>0</v>
      </c>
      <c r="C41" s="12" t="inlineStr">
        <is>
          <t>decimal</t>
        </is>
      </c>
      <c r="D41" s="12" t="inlineStr">
        <is>
          <t>Optional optimizer-mode override. If any override row is nonzero, the optimizer override replaces the computed optimizer target and must total 100%.</t>
        </is>
      </c>
    </row>
    <row r="42" ht="90" customHeight="1">
      <c r="A42" s="96" t="inlineStr">
        <is>
          <t>Optimizer Override — US Small Cap</t>
        </is>
      </c>
      <c r="B42" s="174" t="n">
        <v>0</v>
      </c>
      <c r="C42" s="12" t="inlineStr">
        <is>
          <t>decimal</t>
        </is>
      </c>
      <c r="D42" s="12" t="inlineStr">
        <is>
          <t>Optional optimizer-mode override. If any override row is nonzero, the optimizer override replaces the computed optimizer target and must total 100%.</t>
        </is>
      </c>
    </row>
    <row r="43" ht="90" customHeight="1">
      <c r="A43" s="96" t="inlineStr">
        <is>
          <t>Optimizer Override — International</t>
        </is>
      </c>
      <c r="B43" s="174" t="n">
        <v>0</v>
      </c>
      <c r="C43" s="12" t="inlineStr">
        <is>
          <t>decimal</t>
        </is>
      </c>
      <c r="D43" s="12" t="inlineStr">
        <is>
          <t>Optional optimizer-mode override. If any override row is nonzero, the optimizer override replaces the computed optimizer target and must total 100%.</t>
        </is>
      </c>
    </row>
    <row r="44" ht="90" customHeight="1">
      <c r="A44" s="96" t="inlineStr">
        <is>
          <t>Optimizer Override — Emerging Markets</t>
        </is>
      </c>
      <c r="B44" s="174" t="n">
        <v>0</v>
      </c>
      <c r="C44" s="12" t="inlineStr">
        <is>
          <t>decimal</t>
        </is>
      </c>
      <c r="D44" s="12" t="inlineStr">
        <is>
          <t>Optional optimizer-mode override. If any override row is nonzero, the optimizer override replaces the computed optimizer target and must total 100%.</t>
        </is>
      </c>
    </row>
    <row r="45" ht="90" customHeight="1">
      <c r="A45" s="96" t="inlineStr">
        <is>
          <t>Optimizer Override — Commodities</t>
        </is>
      </c>
      <c r="B45" s="174" t="n">
        <v>0</v>
      </c>
      <c r="C45" s="12" t="inlineStr">
        <is>
          <t>decimal</t>
        </is>
      </c>
      <c r="D45" s="12" t="inlineStr">
        <is>
          <t>Optional optimizer-mode override. If any override row is nonzero, the optimizer override replaces the computed optimizer target and must total 100%.</t>
        </is>
      </c>
    </row>
    <row r="46" ht="90" customHeight="1">
      <c r="A46" s="96" t="inlineStr">
        <is>
          <t>Optimizer Override — Bonds</t>
        </is>
      </c>
      <c r="B46" s="174" t="n">
        <v>0</v>
      </c>
      <c r="C46" s="12" t="inlineStr">
        <is>
          <t>decimal</t>
        </is>
      </c>
      <c r="D46" s="12" t="inlineStr">
        <is>
          <t>Optional optimizer-mode override. If any override row is nonzero, the optimizer override replaces the computed optimizer target and must total 100%.</t>
        </is>
      </c>
    </row>
    <row r="47" ht="90" customHeight="1">
      <c r="A47" s="96" t="inlineStr">
        <is>
          <t>Optimizer Override — Short-Term Bonds</t>
        </is>
      </c>
      <c r="B47" s="174" t="n">
        <v>0</v>
      </c>
      <c r="C47" s="12" t="inlineStr">
        <is>
          <t>decimal</t>
        </is>
      </c>
      <c r="D47" s="12" t="inlineStr">
        <is>
          <t>Optional optimizer-mode override. If any override row is nonzero, the optimizer override replaces the computed optimizer target and must total 100%.</t>
        </is>
      </c>
    </row>
    <row r="48" ht="90" customHeight="1">
      <c r="A48" s="96" t="inlineStr">
        <is>
          <t>Optimizer Override — TIPS</t>
        </is>
      </c>
      <c r="B48" s="174" t="n">
        <v>0</v>
      </c>
      <c r="C48" s="12" t="inlineStr">
        <is>
          <t>decimal</t>
        </is>
      </c>
      <c r="D48" s="12" t="inlineStr">
        <is>
          <t>Optional optimizer-mode override. If any override row is nonzero, the optimizer override replaces the computed optimizer target and must total 100%.</t>
        </is>
      </c>
    </row>
    <row r="49" ht="90" customHeight="1">
      <c r="A49" s="96" t="inlineStr">
        <is>
          <t>Optimizer Override — Municipal Bonds</t>
        </is>
      </c>
      <c r="B49" s="174" t="n">
        <v>0</v>
      </c>
      <c r="C49" s="12" t="inlineStr">
        <is>
          <t>decimal</t>
        </is>
      </c>
      <c r="D49" s="12" t="inlineStr">
        <is>
          <t>Optional optimizer-mode override. If any override row is nonzero, the optimizer override replaces the computed optimizer target and must total 100%.</t>
        </is>
      </c>
    </row>
    <row r="50" ht="90" customHeight="1">
      <c r="A50" s="96" t="inlineStr">
        <is>
          <t>Optimizer Override — Managed Futures</t>
        </is>
      </c>
      <c r="B50" s="174" t="n">
        <v>0</v>
      </c>
      <c r="C50" s="12" t="inlineStr">
        <is>
          <t>decimal</t>
        </is>
      </c>
      <c r="D50" s="12" t="inlineStr">
        <is>
          <t>Optional optimizer-mode override. If any override row is nonzero, the optimizer override replaces the computed optimizer target and must total 100%.</t>
        </is>
      </c>
    </row>
    <row r="51" ht="90" customHeight="1">
      <c r="A51" s="96" t="inlineStr">
        <is>
          <t>Optimizer Override — Private Credit</t>
        </is>
      </c>
      <c r="B51" s="174" t="n">
        <v>0</v>
      </c>
      <c r="C51" s="12" t="inlineStr">
        <is>
          <t>decimal</t>
        </is>
      </c>
      <c r="D51" s="12" t="inlineStr">
        <is>
          <t>Optional optimizer-mode override. If any override row is nonzero, the optimizer override replaces the computed optimizer target and must total 100%.</t>
        </is>
      </c>
    </row>
    <row r="52" ht="90" customHeight="1">
      <c r="A52" s="96" t="inlineStr">
        <is>
          <t>Optimizer Override — REITs</t>
        </is>
      </c>
      <c r="B52" s="174" t="n">
        <v>0</v>
      </c>
      <c r="C52" s="12" t="inlineStr">
        <is>
          <t>decimal</t>
        </is>
      </c>
      <c r="D52" s="12" t="inlineStr">
        <is>
          <t>Optional optimizer-mode override. If any override row is nonzero, the optimizer override replaces the computed optimizer target and must total 100%.</t>
        </is>
      </c>
    </row>
    <row r="53" ht="90" customHeight="1">
      <c r="A53" s="96" t="inlineStr">
        <is>
          <t>Optimizer Override — Cash</t>
        </is>
      </c>
      <c r="B53" s="174" t="n">
        <v>0</v>
      </c>
      <c r="C53" s="12" t="inlineStr">
        <is>
          <t>decimal</t>
        </is>
      </c>
      <c r="D53" s="12" t="inlineStr">
        <is>
          <t>Optional optimizer-mode override. If any override row is nonzero, the optimizer override replaces the computed optimizer target and must total 100%.</t>
        </is>
      </c>
    </row>
    <row r="54" ht="90" customHeight="1">
      <c r="A54" s="96" t="inlineStr">
        <is>
          <t>User Target — US Large Cap</t>
        </is>
      </c>
      <c r="B54" s="174" t="n">
        <v>0.35</v>
      </c>
      <c r="C54" s="12" t="inlineStr">
        <is>
          <t>decimal</t>
        </is>
      </c>
      <c r="D54" s="12" t="inlineStr">
        <is>
          <t>Default 40%; broad U.S. large-cap stock exposure. Examples: VOO, IVV, SCHX. User may override this percentage; all target_pct rows must total 100%. Core broad U.S. large-cap stock-index exposure.</t>
        </is>
      </c>
    </row>
    <row r="55" ht="90" customHeight="1">
      <c r="A55" s="96" t="inlineStr">
        <is>
          <t>US Large Cap Example Vehicles</t>
        </is>
      </c>
      <c r="B55" s="173" t="inlineStr">
        <is>
          <t>VOO, IVV, SCHX</t>
        </is>
      </c>
      <c r="C55" s="12" t="inlineStr">
        <is>
          <t>text</t>
        </is>
      </c>
      <c r="D55" s="12" t="inlineStr">
        <is>
          <t>Three examples used when the class is recommended but not currently represented. These are examples, not personalized trade instructions.</t>
        </is>
      </c>
    </row>
    <row r="56" ht="90" customHeight="1">
      <c r="A56" s="96" t="inlineStr">
        <is>
          <t>User Target — US Mid Cap</t>
        </is>
      </c>
      <c r="B56" s="174" t="n">
        <v>0.05</v>
      </c>
      <c r="C56" s="12" t="inlineStr">
        <is>
          <t>decimal</t>
        </is>
      </c>
      <c r="D56" s="12" t="inlineStr">
        <is>
          <t>Default 5%; U.S. mid-cap equity exposure. Examples: VO, IJH, SCHM. User may override this percentage; all target_pct rows must total 100%. U.S. mid-cap equity exposure between large- and small-cap risk/return.</t>
        </is>
      </c>
    </row>
    <row r="57" ht="90" customHeight="1">
      <c r="A57" s="96" t="inlineStr">
        <is>
          <t>US Mid Cap Example Vehicles</t>
        </is>
      </c>
      <c r="B57" s="173" t="inlineStr">
        <is>
          <t>VO, IJH, SCHM</t>
        </is>
      </c>
      <c r="C57" s="12" t="inlineStr">
        <is>
          <t>text</t>
        </is>
      </c>
      <c r="D57" s="12" t="inlineStr">
        <is>
          <t>Three examples used when the class is recommended but not currently represented. These are examples, not personalized trade instructions.</t>
        </is>
      </c>
    </row>
    <row r="58" ht="90" customHeight="1">
      <c r="A58" s="96" t="inlineStr">
        <is>
          <t>User Target — US Small Cap</t>
        </is>
      </c>
      <c r="B58" s="174" t="n">
        <v>0.05</v>
      </c>
      <c r="C58" s="12" t="inlineStr">
        <is>
          <t>decimal</t>
        </is>
      </c>
      <c r="D58" s="12" t="inlineStr">
        <is>
          <t>Default 5%; U.S. small-cap equity exposure. Examples: VB, IJR, SCHA. User may override this percentage; all target_pct rows must total 100%. Higher expected-return U.S. small-company exposure; usually higher volatility.</t>
        </is>
      </c>
    </row>
    <row r="59" ht="90" customHeight="1">
      <c r="A59" s="96" t="inlineStr">
        <is>
          <t>US Small Cap Example Vehicles</t>
        </is>
      </c>
      <c r="B59" s="173" t="inlineStr">
        <is>
          <t>VB, IJR, SCHA</t>
        </is>
      </c>
      <c r="C59" s="12" t="inlineStr">
        <is>
          <t>text</t>
        </is>
      </c>
      <c r="D59" s="12" t="inlineStr">
        <is>
          <t>Three examples used when the class is recommended but not currently represented. These are examples, not personalized trade instructions.</t>
        </is>
      </c>
    </row>
    <row r="60" ht="90" customHeight="1">
      <c r="A60" s="96" t="inlineStr">
        <is>
          <t>User Target — International</t>
        </is>
      </c>
      <c r="B60" s="174" t="n">
        <v>0.2</v>
      </c>
      <c r="C60" s="12" t="inlineStr">
        <is>
          <t>decimal</t>
        </is>
      </c>
      <c r="D60" s="12" t="inlineStr">
        <is>
          <t>Default 20%; developed non-U.S. stock exposure. Examples: VEA, IEFA, SCHF. User may override this percentage; all target_pct rows must total 100%. Developed non-U.S. equity diversification.</t>
        </is>
      </c>
    </row>
    <row r="61" ht="90" customHeight="1">
      <c r="A61" s="96" t="inlineStr">
        <is>
          <t>International Example Vehicles</t>
        </is>
      </c>
      <c r="B61" s="173" t="inlineStr">
        <is>
          <t>VEA, IEFA, SCHF</t>
        </is>
      </c>
      <c r="C61" s="12" t="inlineStr">
        <is>
          <t>text</t>
        </is>
      </c>
      <c r="D61" s="12" t="inlineStr">
        <is>
          <t>Three examples used when the class is recommended but not currently represented. These are examples, not personalized trade instructions.</t>
        </is>
      </c>
    </row>
    <row r="62" ht="90" customHeight="1">
      <c r="A62" s="96" t="inlineStr">
        <is>
          <t>User Target — Emerging Markets</t>
        </is>
      </c>
      <c r="B62" s="174" t="n">
        <v>0.05</v>
      </c>
      <c r="C62" s="12" t="inlineStr">
        <is>
          <t>decimal</t>
        </is>
      </c>
      <c r="D62" s="12" t="inlineStr">
        <is>
          <t>Default 5%; emerging-market stock exposure. Examples: VWO, IEMG, EEM. User may override this percentage; all target_pct rows must total 100%. Higher-growth non-U.S. equity exposure with higher political/currency risk.</t>
        </is>
      </c>
    </row>
    <row r="63" ht="90" customHeight="1">
      <c r="A63" s="96" t="inlineStr">
        <is>
          <t>Emerging Markets Example Vehicles</t>
        </is>
      </c>
      <c r="B63" s="173" t="inlineStr">
        <is>
          <t>VWO, IEMG, EEM</t>
        </is>
      </c>
      <c r="C63" s="12" t="inlineStr">
        <is>
          <t>text</t>
        </is>
      </c>
      <c r="D63" s="12" t="inlineStr">
        <is>
          <t>Three examples used when the class is recommended but not currently represented. These are examples, not personalized trade instructions.</t>
        </is>
      </c>
    </row>
    <row r="64" ht="90" customHeight="1">
      <c r="A64" s="96" t="inlineStr">
        <is>
          <t>User Target — Commodities</t>
        </is>
      </c>
      <c r="B64" s="174" t="n">
        <v>0.05</v>
      </c>
      <c r="C64" s="12" t="inlineStr">
        <is>
          <t>decimal</t>
        </is>
      </c>
      <c r="D64" s="12" t="inlineStr">
        <is>
          <t>Default 0%; optional real-asset/inflation-shock sleeve. Examples: PDBC, DJP, GSG. User may override this percentage; all target_pct rows must total 100%. Broad energy, metals, and agriculture basket; can help inflation shocks.</t>
        </is>
      </c>
    </row>
    <row r="65" ht="90" customHeight="1">
      <c r="A65" s="96" t="inlineStr">
        <is>
          <t>Commodities Example Vehicles</t>
        </is>
      </c>
      <c r="B65" s="173" t="inlineStr">
        <is>
          <t>PDBC, DJP, GSG</t>
        </is>
      </c>
      <c r="C65" s="12" t="inlineStr">
        <is>
          <t>text</t>
        </is>
      </c>
      <c r="D65" s="12" t="inlineStr">
        <is>
          <t>Three examples used when the class is recommended but not currently represented. These are examples, not personalized trade instructions.</t>
        </is>
      </c>
    </row>
    <row r="66" ht="90" customHeight="1">
      <c r="A66" s="96" t="inlineStr">
        <is>
          <t>User Target — Bonds</t>
        </is>
      </c>
      <c r="B66" s="174" t="n">
        <v>0.15</v>
      </c>
      <c r="C66" s="12" t="inlineStr">
        <is>
          <t>decimal</t>
        </is>
      </c>
      <c r="D66" s="12" t="inlineStr">
        <is>
          <t>Default 15%; core investment-grade bond exposure. Examples: BND, AGG, SCHZ. User may override this percentage; all target_pct rows must total 100%. Core duration and credit exposure for ballast and income.</t>
        </is>
      </c>
    </row>
    <row r="67" ht="90" customHeight="1">
      <c r="A67" s="96" t="inlineStr">
        <is>
          <t>Bonds Example Vehicles</t>
        </is>
      </c>
      <c r="B67" s="173" t="inlineStr">
        <is>
          <t>BND, AGG, SCHZ</t>
        </is>
      </c>
      <c r="C67" s="12" t="inlineStr">
        <is>
          <t>text</t>
        </is>
      </c>
      <c r="D67" s="12" t="inlineStr">
        <is>
          <t>Three examples used when the class is recommended but not currently represented. These are examples, not personalized trade instructions.</t>
        </is>
      </c>
    </row>
    <row r="68" ht="90" customHeight="1">
      <c r="A68" s="96" t="inlineStr">
        <is>
          <t>User Target — Short-Term Bonds</t>
        </is>
      </c>
      <c r="B68" s="174" t="n">
        <v>0.05</v>
      </c>
      <c r="C68" s="12" t="inlineStr">
        <is>
          <t>decimal</t>
        </is>
      </c>
      <c r="D68" s="12" t="inlineStr">
        <is>
          <t>Default 5%; short-duration reserve/bond sleeve. Examples: SGOV, SHY, USFR. User may override this percentage; all target_pct rows must total 100%. Low-duration bond reserve; lower rate sensitivity than broad bonds.</t>
        </is>
      </c>
    </row>
    <row r="69" ht="90" customHeight="1">
      <c r="A69" s="96" t="inlineStr">
        <is>
          <t>Short-Term Bonds Example Vehicles</t>
        </is>
      </c>
      <c r="B69" s="173" t="inlineStr">
        <is>
          <t>SGOV, SHY, USFR</t>
        </is>
      </c>
      <c r="C69" s="12" t="inlineStr">
        <is>
          <t>text</t>
        </is>
      </c>
      <c r="D69" s="12" t="inlineStr">
        <is>
          <t>Three examples used when the class is recommended but not currently represented. These are examples, not personalized trade instructions.</t>
        </is>
      </c>
    </row>
    <row r="70" ht="90" customHeight="1">
      <c r="A70" s="96" t="inlineStr">
        <is>
          <t>User Target — TIPS</t>
        </is>
      </c>
      <c r="B70" s="174" t="n">
        <v>0</v>
      </c>
      <c r="C70" s="12" t="inlineStr">
        <is>
          <t>decimal</t>
        </is>
      </c>
      <c r="D70" s="12" t="inlineStr">
        <is>
          <t>Default 0%; optional inflation-linked bonds. Examples: TIP, SCHP, VTIP. User may override this percentage; all target_pct rows must total 100%. Inflation-linked U.S. Treasury bonds; helps hedge real spending risk.</t>
        </is>
      </c>
    </row>
    <row r="71" ht="90" customHeight="1">
      <c r="A71" s="96" t="inlineStr">
        <is>
          <t>TIPS Example Vehicles</t>
        </is>
      </c>
      <c r="B71" s="173" t="inlineStr">
        <is>
          <t>TIP, SCHP, VTIP</t>
        </is>
      </c>
      <c r="C71" s="12" t="inlineStr">
        <is>
          <t>text</t>
        </is>
      </c>
      <c r="D71" s="12" t="inlineStr">
        <is>
          <t>Three examples used when the class is recommended but not currently represented. These are examples, not personalized trade instructions.</t>
        </is>
      </c>
    </row>
    <row r="72" ht="90" customHeight="1">
      <c r="A72" s="96" t="inlineStr">
        <is>
          <t>User Target — Municipal Bonds</t>
        </is>
      </c>
      <c r="B72" s="174" t="n">
        <v>0</v>
      </c>
      <c r="C72" s="12" t="inlineStr">
        <is>
          <t>decimal</t>
        </is>
      </c>
      <c r="D72" s="12" t="inlineStr">
        <is>
          <t>Default 0%; optional tax-exempt bond sleeve. Examples: MUB, VTEB, TFI. User may override this percentage; all target_pct rows must total 100%. Tax-exempt municipal bond sleeve; after-tax benefit depends on tax bracket and state.</t>
        </is>
      </c>
    </row>
    <row r="73" ht="90" customHeight="1">
      <c r="A73" s="96" t="inlineStr">
        <is>
          <t>Municipal Bonds Example Vehicles</t>
        </is>
      </c>
      <c r="B73" s="173" t="inlineStr">
        <is>
          <t>MUB, VTEB, TFI</t>
        </is>
      </c>
      <c r="C73" s="12" t="inlineStr">
        <is>
          <t>text</t>
        </is>
      </c>
      <c r="D73" s="12" t="inlineStr">
        <is>
          <t>Three examples used when the class is recommended but not currently represented. These are examples, not personalized trade instructions.</t>
        </is>
      </c>
    </row>
    <row r="74" ht="90" customHeight="1">
      <c r="A74" s="96" t="inlineStr">
        <is>
          <t>User Target — Managed Futures</t>
        </is>
      </c>
      <c r="B74" s="174" t="n">
        <v>0</v>
      </c>
      <c r="C74" s="12" t="inlineStr">
        <is>
          <t>decimal</t>
        </is>
      </c>
      <c r="D74" s="12" t="inlineStr">
        <is>
          <t>Default 0%; optional trend-following diversifier. Examples: DBMF, KMLM, CTA. User may override this percentage; all target_pct rows must total 100%. Systematic long/short futures trend following; often diversifies equity bear markets.</t>
        </is>
      </c>
    </row>
    <row r="75" ht="90" customHeight="1">
      <c r="A75" s="96" t="inlineStr">
        <is>
          <t>Managed Futures Example Vehicles</t>
        </is>
      </c>
      <c r="B75" s="173" t="inlineStr">
        <is>
          <t>DBMF, KMLM, CTA</t>
        </is>
      </c>
      <c r="C75" s="12" t="inlineStr">
        <is>
          <t>text</t>
        </is>
      </c>
      <c r="D75" s="12" t="inlineStr">
        <is>
          <t>Three examples used when the class is recommended but not currently represented. These are examples, not personalized trade instructions.</t>
        </is>
      </c>
    </row>
    <row r="76" ht="90" customHeight="1">
      <c r="A76" s="96" t="inlineStr">
        <is>
          <t>User Target — Private Credit</t>
        </is>
      </c>
      <c r="B76" s="174" t="n">
        <v>0</v>
      </c>
      <c r="C76" s="12" t="inlineStr">
        <is>
          <t>decimal</t>
        </is>
      </c>
      <c r="D76" s="12" t="inlineStr">
        <is>
          <t>Default 0%; optional senior-loan/CLO-style credit sleeve. Examples: BKLN, SRLN, JAAA. User may override this percentage; all target_pct rows must total 100%. Credit income sleeve with illiquidity and credit-cycle risk; cap conservatively.</t>
        </is>
      </c>
    </row>
    <row r="77" ht="90" customHeight="1">
      <c r="A77" s="96" t="inlineStr">
        <is>
          <t>Private Credit Example Vehicles</t>
        </is>
      </c>
      <c r="B77" s="173" t="inlineStr">
        <is>
          <t>BKLN, SRLN, JAAA</t>
        </is>
      </c>
      <c r="C77" s="12" t="inlineStr">
        <is>
          <t>text</t>
        </is>
      </c>
      <c r="D77" s="12" t="inlineStr">
        <is>
          <t>Three examples used when the class is recommended but not currently represented. These are examples, not personalized trade instructions.</t>
        </is>
      </c>
    </row>
    <row r="78" ht="90" customHeight="1">
      <c r="A78" s="96" t="inlineStr">
        <is>
          <t>User Target — REITs</t>
        </is>
      </c>
      <c r="B78" s="174" t="n">
        <v>0</v>
      </c>
      <c r="C78" s="12" t="inlineStr">
        <is>
          <t>decimal</t>
        </is>
      </c>
      <c r="D78" s="12" t="inlineStr">
        <is>
          <t>Default 0%; optional liquid real-estate exposure. Examples: VNQ, SCHH, IYR. User may override this percentage; all target_pct rows must total 100%. Liquid real estate securities; equity-like drawdowns with income/inflation sensitivity.</t>
        </is>
      </c>
    </row>
    <row r="79" ht="90" customHeight="1">
      <c r="A79" s="96" t="inlineStr">
        <is>
          <t>REITs Example Vehicles</t>
        </is>
      </c>
      <c r="B79" s="173" t="inlineStr">
        <is>
          <t>VNQ, SCHH, IYR</t>
        </is>
      </c>
      <c r="C79" s="12" t="inlineStr">
        <is>
          <t>text</t>
        </is>
      </c>
      <c r="D79" s="12" t="inlineStr">
        <is>
          <t>Three examples used when the class is recommended but not currently represented. These are examples, not personalized trade instructions.</t>
        </is>
      </c>
    </row>
    <row r="80" ht="90" customHeight="1">
      <c r="A80" s="96" t="inlineStr">
        <is>
          <t>User Target — Cash</t>
        </is>
      </c>
      <c r="B80" s="174" t="n">
        <v>0.05</v>
      </c>
      <c r="C80" s="12" t="inlineStr">
        <is>
          <t>decimal</t>
        </is>
      </c>
      <c r="D80" s="12" t="inlineStr">
        <is>
          <t>Default 5%; liquidity and money-market reserve. Examples: CASH, SGOV, BIL. User may override this percentage; all target_pct rows must total 100%. Liquidity reserve and spending buffer.</t>
        </is>
      </c>
    </row>
    <row r="81" ht="90" customHeight="1">
      <c r="A81" s="96" t="inlineStr">
        <is>
          <t>Cash Example Vehicles</t>
        </is>
      </c>
      <c r="B81" s="173" t="inlineStr">
        <is>
          <t>CASH, SGOV, BIL</t>
        </is>
      </c>
      <c r="C81" s="12" t="inlineStr">
        <is>
          <t>text</t>
        </is>
      </c>
      <c r="D81" s="12" t="inlineStr">
        <is>
          <t>Three examples used when the class is recommended but not currently represented. These are examples, not personalized trade instructions.</t>
        </is>
      </c>
    </row>
    <row r="82" ht="90" customHeight="1">
      <c r="A82" s="96" t="inlineStr">
        <is>
          <t>Optimizer Target — US Large Cap</t>
        </is>
      </c>
      <c r="B82" s="174" t="n">
        <v>0.5889393108511677</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6" t="inlineStr">
        <is>
          <t>Optimizer Target — International</t>
        </is>
      </c>
      <c r="B83" s="174" t="n">
        <v>0.2083939099934901</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6" t="inlineStr">
        <is>
          <t>Optimizer Target — Commodities</t>
        </is>
      </c>
      <c r="B84" s="174" t="n">
        <v>0.1087272573879079</v>
      </c>
      <c r="C84" s="12" t="inlineStr">
        <is>
          <t>decimal</t>
        </is>
      </c>
      <c r="D84" s="12" t="inlineStr">
        <is>
          <t>Computed recommendation using risk tolerance, withdrawal rate, guaranteed-income/home-equity coverage, capital-market assumptions, correlations, glide path, and inflation-sensitive spending.</t>
        </is>
      </c>
    </row>
    <row r="85" ht="90" customHeight="1">
      <c r="A85" s="96" t="inlineStr">
        <is>
          <t>Optimizer Target — Cash</t>
        </is>
      </c>
      <c r="B85" s="174" t="n">
        <v>0.09393952176743431</v>
      </c>
      <c r="C85" s="12" t="inlineStr">
        <is>
          <t>decimal</t>
        </is>
      </c>
      <c r="D85" s="12" t="inlineStr">
        <is>
          <t>Computed recommendation using risk tolerance, withdrawal rate, guaranteed-income/home-equity coverage, capital-market assumptions, correlations, glide path, and inflation-sensitive spending.</t>
        </is>
      </c>
    </row>
    <row r="86"/>
    <row r="87" ht="15" customHeight="1">
      <c r="A87" s="10" t="inlineStr">
        <is>
          <t>Global Tax-Location Rebalancing Controls</t>
        </is>
      </c>
      <c r="B87" s="3" t="n"/>
      <c r="C87" s="3" t="n"/>
      <c r="D87" s="4" t="n"/>
    </row>
    <row r="88" ht="15" customHeight="1">
      <c r="A88" s="5" t="inlineStr">
        <is>
          <t>Parameter</t>
        </is>
      </c>
      <c r="B88" s="5" t="inlineStr">
        <is>
          <t>Value</t>
        </is>
      </c>
      <c r="C88" s="5" t="inlineStr">
        <is>
          <t>Units</t>
        </is>
      </c>
      <c r="D88" s="5" t="inlineStr">
        <is>
          <t>Note</t>
        </is>
      </c>
    </row>
    <row r="89" ht="90" customHeight="1">
      <c r="A89" s="96" t="inlineStr">
        <is>
          <t>Trade Optimizer Mode</t>
        </is>
      </c>
      <c r="B89" s="173" t="inlineStr">
        <is>
          <t>GLOBAL_TAX_AWARE</t>
        </is>
      </c>
      <c r="C89" s="12" t="inlineStr">
        <is>
          <t>text</t>
        </is>
      </c>
      <c r="D89" s="12" t="inlineStr">
        <is>
          <t>GLOBAL_TAX_AWARE solves household-level drift/tax/location tradeoffs; HEURISTIC uses the prior account-by-account engine.</t>
        </is>
      </c>
    </row>
    <row r="90" ht="90" customHeight="1">
      <c r="A90" s="96" t="inlineStr">
        <is>
          <t>Objective</t>
        </is>
      </c>
      <c r="B90" s="173" t="inlineStr">
        <is>
          <t>Minimize drift + tax cost + turnover + location inefficiency</t>
        </is>
      </c>
      <c r="C90" s="12" t="inlineStr">
        <is>
          <t>text</t>
        </is>
      </c>
      <c r="D90" s="12" t="inlineStr">
        <is>
          <t>A conservative linear objective balances diversification against taxes, turnover, and account-location fit.</t>
        </is>
      </c>
    </row>
    <row r="91" ht="90" customHeight="1">
      <c r="A91" s="96" t="inlineStr">
        <is>
          <t>Maximum Turnover</t>
        </is>
      </c>
      <c r="B91" s="174" t="n">
        <v>0.2</v>
      </c>
      <c r="C91" s="12" t="inlineStr">
        <is>
          <t>decimal</t>
        </is>
      </c>
      <c r="D91" s="12" t="inlineStr">
        <is>
          <t>Addresses unintended consequence: excessive turnover and noisy small improvements.</t>
        </is>
      </c>
    </row>
    <row r="92" ht="60" customHeight="1">
      <c r="A92" s="96" t="inlineStr">
        <is>
          <t>Minimum Trade Amount</t>
        </is>
      </c>
      <c r="B92" s="176" t="n">
        <v>500</v>
      </c>
      <c r="C92" s="12" t="inlineStr">
        <is>
          <t>USD</t>
        </is>
      </c>
      <c r="D92" s="12" t="inlineStr">
        <is>
          <t>Addresses false precision and operational burden.</t>
        </is>
      </c>
    </row>
    <row r="93" ht="90" customHeight="1">
      <c r="A93" s="96" t="inlineStr">
        <is>
          <t>Taxable Gain Policy</t>
        </is>
      </c>
      <c r="B93" s="173" t="inlineStr">
        <is>
          <t>DRIFT_THRESHOLD</t>
        </is>
      </c>
      <c r="C93" s="12" t="inlineStr">
        <is>
          <t>text</t>
        </is>
      </c>
      <c r="D93" s="12" t="inlineStr">
        <is>
          <t>NEVER, DRIFT_THRESHOLD, WITHIN_BUDGET, or ALWAYS; controls tax tail wagging the dog and income-timing effects.</t>
        </is>
      </c>
    </row>
    <row r="94" ht="90" customHeight="1">
      <c r="A94" s="96" t="inlineStr">
        <is>
          <t>Taxable Gain Budget</t>
        </is>
      </c>
      <c r="B94" s="176" t="n">
        <v>2500</v>
      </c>
      <c r="C94" s="12" t="inlineStr">
        <is>
          <t>USD</t>
        </is>
      </c>
      <c r="D94" s="12" t="inlineStr">
        <is>
          <t>Limits estimated tax cost from taxable gain sales in one workbook cycle.</t>
        </is>
      </c>
    </row>
    <row r="95" ht="75" customHeight="1">
      <c r="A95" s="96" t="inlineStr">
        <is>
          <t>Max Tax Cost</t>
        </is>
      </c>
      <c r="B95" s="173" t="n">
        <v>25</v>
      </c>
      <c r="C95" s="12" t="inlineStr">
        <is>
          <t>bps</t>
        </is>
      </c>
      <c r="D95" s="12" t="inlineStr">
        <is>
          <t>Basis-point tax-drag limit for taxable sales before deferral.</t>
        </is>
      </c>
    </row>
    <row r="96" ht="90" customHeight="1">
      <c r="A96" s="96" t="inlineStr">
        <is>
          <t>Asset Location Strength</t>
        </is>
      </c>
      <c r="B96" s="173" t="inlineStr">
        <is>
          <t>BALANCED</t>
        </is>
      </c>
      <c r="C96" s="12" t="inlineStr">
        <is>
          <t>text</t>
        </is>
      </c>
      <c r="D96" s="12" t="inlineStr">
        <is>
          <t>LIGHT/BALANCED/STRONG controls how hard the optimizer pushes Roth growth, pre-tax income assets, and taxable tax-efficient equity.</t>
        </is>
      </c>
    </row>
    <row r="97" ht="45" customHeight="1">
      <c r="A97" s="96" t="inlineStr">
        <is>
          <t>Max Account Single Asset</t>
        </is>
      </c>
      <c r="B97" s="174" t="n">
        <v>0.45</v>
      </c>
      <c r="C97" s="12" t="inlineStr">
        <is>
          <t>decimal</t>
        </is>
      </c>
      <c r="D97" s="12" t="inlineStr">
        <is>
          <t>Reduces account-level concentration risk.</t>
        </is>
      </c>
    </row>
    <row r="98" ht="75" customHeight="1">
      <c r="A98" s="96" t="inlineStr">
        <is>
          <t>Max Roth High-Growth Tilt</t>
        </is>
      </c>
      <c r="B98" s="174" t="n">
        <v>0.85</v>
      </c>
      <c r="C98" s="12" t="inlineStr">
        <is>
          <t>decimal</t>
        </is>
      </c>
      <c r="D98" s="12" t="inlineStr">
        <is>
          <t>Limits unintended high-volatility concentration in Roth accounts.</t>
        </is>
      </c>
    </row>
    <row r="99" ht="90" customHeight="1">
      <c r="A99" s="96" t="inlineStr">
        <is>
          <t>Annuity calibration dependency</t>
        </is>
      </c>
      <c r="B99" s="173" t="inlineStr">
        <is>
          <t>Carrier-illustration dependent</t>
        </is>
      </c>
      <c r="C99" s="12" t="inlineStr">
        <is>
          <t>text</t>
        </is>
      </c>
      <c r="D99" s="12" t="inlineStr">
        <is>
          <t>PV/reserve and death-benefit figures use editable calibration assumptions; refresh against current carrier illustrations before annuity sale, replacement, or valuation decisions.</t>
        </is>
      </c>
    </row>
    <row r="100" ht="90" customHeight="1">
      <c r="A100" s="96" t="inlineStr">
        <is>
          <t>Max Pre-Tax Fixed Income Tilt</t>
        </is>
      </c>
      <c r="B100" s="174" t="n">
        <v>0.85</v>
      </c>
      <c r="C100" s="12" t="inlineStr">
        <is>
          <t>decimal</t>
        </is>
      </c>
      <c r="D100" s="12" t="inlineStr">
        <is>
          <t>Limits unintended bond-heavy pre-tax allocation and future RMD concentration risk.</t>
        </is>
      </c>
    </row>
    <row r="101" ht="90" customHeight="1">
      <c r="A101" s="96" t="inlineStr">
        <is>
          <t>Wash-Sale Policy</t>
        </is>
      </c>
      <c r="B101" s="173" t="inlineStr">
        <is>
          <t>FLAG_ONLY</t>
        </is>
      </c>
      <c r="C101" s="12" t="inlineStr">
        <is>
          <t>text</t>
        </is>
      </c>
      <c r="D101" s="12" t="inlineStr">
        <is>
          <t>Workbook flags review items; it does not certify wash-sale compliance or see outside/spousal trades.</t>
        </is>
      </c>
    </row>
    <row r="102" ht="90" customHeight="1">
      <c r="A102" s="96" t="inlineStr">
        <is>
          <t>Solver Fallback Policy</t>
        </is>
      </c>
      <c r="B102" s="173" t="inlineStr">
        <is>
          <t>HEURISTIC</t>
        </is>
      </c>
      <c r="C102" s="12" t="inlineStr">
        <is>
          <t>text</t>
        </is>
      </c>
      <c r="D102" s="12" t="inlineStr">
        <is>
          <t>HEURISTIC keeps workbook usable if the global optimization problem is infeasible.</t>
        </is>
      </c>
    </row>
    <row r="103"/>
    <row r="104" ht="15" customHeight="1">
      <c r="A104" s="10" t="inlineStr">
        <is>
          <t>Federal Tax Brackets — Tax Reference Year</t>
        </is>
      </c>
      <c r="B104" s="3" t="n"/>
      <c r="C104" s="3" t="n"/>
      <c r="D104" s="4" t="n"/>
    </row>
    <row r="105" ht="15" customHeight="1">
      <c r="A105" s="5" t="inlineStr">
        <is>
          <t>Parameter</t>
        </is>
      </c>
      <c r="B105" s="5" t="inlineStr">
        <is>
          <t>Value</t>
        </is>
      </c>
      <c r="C105" s="5" t="inlineStr">
        <is>
          <t>Units</t>
        </is>
      </c>
      <c r="D105" s="5" t="inlineStr">
        <is>
          <t>Note</t>
        </is>
      </c>
    </row>
    <row r="106" ht="30" customHeight="1">
      <c r="A106" s="96" t="inlineStr">
        <is>
          <t>10% bracket top</t>
        </is>
      </c>
      <c r="B106" s="176" t="n">
        <v>23200</v>
      </c>
      <c r="C106" s="12" t="inlineStr">
        <is>
          <t>USD</t>
        </is>
      </c>
      <c r="D106" s="12" t="inlineStr">
        <is>
          <t>inflates at bracket inflator</t>
        </is>
      </c>
    </row>
    <row r="107" ht="30" customHeight="1">
      <c r="A107" s="96" t="inlineStr">
        <is>
          <t>12% bracket top</t>
        </is>
      </c>
      <c r="B107" s="176" t="n">
        <v>94300</v>
      </c>
      <c r="C107" s="12" t="inlineStr">
        <is>
          <t>USD</t>
        </is>
      </c>
      <c r="D107" s="33" t="inlineStr"/>
    </row>
    <row r="108" ht="30" customHeight="1">
      <c r="A108" s="96" t="inlineStr">
        <is>
          <t>22% bracket top</t>
        </is>
      </c>
      <c r="B108" s="176" t="n">
        <v>201050</v>
      </c>
      <c r="C108" s="12" t="inlineStr">
        <is>
          <t>USD</t>
        </is>
      </c>
      <c r="D108" s="33" t="inlineStr"/>
    </row>
    <row r="109" ht="30" customHeight="1">
      <c r="A109" s="96" t="inlineStr">
        <is>
          <t>24% bracket top</t>
        </is>
      </c>
      <c r="B109" s="176" t="n">
        <v>383900</v>
      </c>
      <c r="C109" s="12" t="inlineStr">
        <is>
          <t>USD</t>
        </is>
      </c>
      <c r="D109" s="33" t="inlineStr"/>
    </row>
    <row r="110" ht="30" customHeight="1">
      <c r="A110" s="96" t="inlineStr">
        <is>
          <t>32% bracket top</t>
        </is>
      </c>
      <c r="B110" s="176" t="n">
        <v>487450</v>
      </c>
      <c r="C110" s="12" t="inlineStr">
        <is>
          <t>USD</t>
        </is>
      </c>
      <c r="D110" s="33" t="inlineStr"/>
    </row>
    <row r="111" ht="30" customHeight="1">
      <c r="A111" s="96" t="inlineStr">
        <is>
          <t>35% bracket top</t>
        </is>
      </c>
      <c r="B111" s="176" t="n">
        <v>731200</v>
      </c>
      <c r="C111" s="12" t="inlineStr">
        <is>
          <t>USD</t>
        </is>
      </c>
      <c r="D111" s="33" t="inlineStr"/>
    </row>
    <row r="112" ht="15" customHeight="1">
      <c r="A112" s="96" t="inlineStr">
        <is>
          <t>37%+</t>
        </is>
      </c>
      <c r="B112" s="173" t="n">
        <v/>
      </c>
      <c r="C112" s="12" t="inlineStr">
        <is>
          <t>USD</t>
        </is>
      </c>
      <c r="D112" s="33" t="inlineStr"/>
    </row>
    <row r="113"/>
    <row r="114" ht="15" customHeight="1">
      <c r="A114" s="10" t="inlineStr">
        <is>
          <t>SALT Cap Schedule</t>
        </is>
      </c>
      <c r="B114" s="3" t="n"/>
      <c r="C114" s="3" t="n"/>
      <c r="D114" s="4" t="n"/>
    </row>
    <row r="115" ht="15" customHeight="1">
      <c r="A115" s="5" t="inlineStr">
        <is>
          <t>Parameter</t>
        </is>
      </c>
      <c r="B115" s="5" t="inlineStr">
        <is>
          <t>Value</t>
        </is>
      </c>
      <c r="C115" s="5" t="inlineStr">
        <is>
          <t>Units</t>
        </is>
      </c>
      <c r="D115" s="5" t="inlineStr">
        <is>
          <t>Note</t>
        </is>
      </c>
    </row>
    <row r="116" ht="60" customHeight="1">
      <c r="A116" s="96" t="inlineStr">
        <is>
          <t>2025 SALT Cap</t>
        </is>
      </c>
      <c r="B116" s="176" t="n">
        <v>40000</v>
      </c>
      <c r="C116" s="12" t="inlineStr">
        <is>
          <t>USD</t>
        </is>
      </c>
      <c r="D116" s="12" t="inlineStr">
        <is>
          <t>Phase-down: max(cap - 0.30×max(MAGI-500K,0), 10000)</t>
        </is>
      </c>
    </row>
    <row r="117" ht="45" customHeight="1">
      <c r="A117" s="96" t="inlineStr">
        <is>
          <t>Reference-Year SALT Cap</t>
        </is>
      </c>
      <c r="B117" s="176" t="n">
        <v>40400</v>
      </c>
      <c r="C117" s="12" t="inlineStr">
        <is>
          <t>USD</t>
        </is>
      </c>
      <c r="D117" s="33" t="inlineStr"/>
    </row>
    <row r="118" ht="30" customHeight="1">
      <c r="A118" s="96" t="inlineStr">
        <is>
          <t>2027 SALT Cap</t>
        </is>
      </c>
      <c r="B118" s="176" t="n">
        <v>40804</v>
      </c>
      <c r="C118" s="12" t="inlineStr">
        <is>
          <t>USD</t>
        </is>
      </c>
      <c r="D118" s="33" t="inlineStr"/>
    </row>
    <row r="119" ht="45" customHeight="1">
      <c r="A119" s="96" t="inlineStr">
        <is>
          <t>Reference-Year + 2 SALT Cap</t>
        </is>
      </c>
      <c r="B119" s="176" t="n">
        <v>41212</v>
      </c>
      <c r="C119" s="12" t="inlineStr">
        <is>
          <t>USD</t>
        </is>
      </c>
      <c r="D119" s="33" t="inlineStr"/>
    </row>
    <row r="120" ht="45" customHeight="1">
      <c r="A120" s="96" t="inlineStr">
        <is>
          <t>Reference-Year + 3 SALT Cap</t>
        </is>
      </c>
      <c r="B120" s="176" t="n">
        <v>41624</v>
      </c>
      <c r="C120" s="12" t="inlineStr">
        <is>
          <t>USD</t>
        </is>
      </c>
      <c r="D120" s="33" t="inlineStr"/>
    </row>
    <row r="121" ht="45" customHeight="1">
      <c r="A121" s="96" t="inlineStr">
        <is>
          <t>Post-Schedule SALT Cap</t>
        </is>
      </c>
      <c r="B121" s="176" t="n">
        <v>10000</v>
      </c>
      <c r="C121" s="12" t="inlineStr">
        <is>
          <t>USD</t>
        </is>
      </c>
      <c r="D121" s="12" t="inlineStr">
        <is>
          <t>REVERTS to $10K — model must honor this</t>
        </is>
      </c>
    </row>
    <row r="122"/>
    <row r="123" ht="15" customHeight="1">
      <c r="A123" s="10" t="inlineStr">
        <is>
          <t>Other Statutory Parameters</t>
        </is>
      </c>
      <c r="B123" s="3" t="n"/>
      <c r="C123" s="3" t="n"/>
      <c r="D123" s="4" t="n"/>
    </row>
    <row r="124" ht="15" customHeight="1">
      <c r="A124" s="5" t="inlineStr">
        <is>
          <t>Parameter</t>
        </is>
      </c>
      <c r="B124" s="5" t="inlineStr">
        <is>
          <t>Value</t>
        </is>
      </c>
      <c r="C124" s="5" t="inlineStr">
        <is>
          <t>Units</t>
        </is>
      </c>
      <c r="D124" s="5" t="inlineStr">
        <is>
          <t>Note</t>
        </is>
      </c>
    </row>
    <row r="125" ht="30" customHeight="1">
      <c r="A125" s="96" t="inlineStr">
        <is>
          <t>§121 Exclusion (MFJ)</t>
        </is>
      </c>
      <c r="B125" s="176" t="n">
        <v>500000</v>
      </c>
      <c r="C125" s="12" t="inlineStr">
        <is>
          <t>USD</t>
        </is>
      </c>
      <c r="D125" s="12" t="inlineStr">
        <is>
          <t>Home sale gain exclusion</t>
        </is>
      </c>
    </row>
    <row r="126" ht="45" customHeight="1">
      <c r="A126" s="96" t="inlineStr">
        <is>
          <t>QCD Annual Limit (per person)</t>
        </is>
      </c>
      <c r="B126" s="176" t="n">
        <v>108000</v>
      </c>
      <c r="C126" s="12" t="inlineStr">
        <is>
          <t>USD</t>
        </is>
      </c>
      <c r="D126" s="12" t="inlineStr">
        <is>
          <t>2025, indexed</t>
        </is>
      </c>
    </row>
    <row r="127" ht="45" customHeight="1">
      <c r="A127" s="96" t="inlineStr">
        <is>
          <t>Federal Estate Exemption (MFJ)</t>
        </is>
      </c>
      <c r="B127" s="176" t="n">
        <v>30000000</v>
      </c>
      <c r="C127" s="12" t="inlineStr">
        <is>
          <t>USD</t>
        </is>
      </c>
      <c r="D127" s="12" t="inlineStr">
        <is>
          <t>Indexed from the tax reference year</t>
        </is>
      </c>
    </row>
    <row r="128" ht="45" customHeight="1">
      <c r="A128" s="96" t="inlineStr">
        <is>
          <t>IL State Estate Exemption</t>
        </is>
      </c>
      <c r="B128" s="176" t="n">
        <v>4000000</v>
      </c>
      <c r="C128" s="12" t="inlineStr">
        <is>
          <t>USD</t>
        </is>
      </c>
      <c r="D128" s="12" t="inlineStr">
        <is>
          <t>With CST doubling, cliff structure</t>
        </is>
      </c>
    </row>
    <row r="129" ht="45" customHeight="1">
      <c r="A129" s="96" t="inlineStr">
        <is>
          <t>Annual Gift-Tax Exclusion</t>
        </is>
      </c>
      <c r="B129" s="176" t="n">
        <v>19000</v>
      </c>
      <c r="C129" s="12" t="inlineStr">
        <is>
          <t>USD</t>
        </is>
      </c>
      <c r="D129" s="12" t="inlineStr">
        <is>
          <t>tax reference year, per donee</t>
        </is>
      </c>
    </row>
    <row r="130" ht="30" customHeight="1">
      <c r="A130" s="96" t="inlineStr">
        <is>
          <t>RMD Start Age</t>
        </is>
      </c>
      <c r="B130" s="175" t="n">
        <v>75</v>
      </c>
      <c r="C130" s="12" t="inlineStr">
        <is>
          <t>years</t>
        </is>
      </c>
      <c r="D130" s="12" t="inlineStr">
        <is>
          <t>SECURE 2.0 §107 — born 1960+</t>
        </is>
      </c>
    </row>
    <row r="131" ht="45" customHeight="1">
      <c r="A131" s="96" t="inlineStr">
        <is>
          <t>NIIT Rate</t>
        </is>
      </c>
      <c r="B131" s="174" t="n">
        <v>0.038</v>
      </c>
      <c r="C131" s="12" t="inlineStr">
        <is>
          <t>decimal</t>
        </is>
      </c>
      <c r="D131" s="12" t="inlineStr">
        <is>
          <t>3.8% on NII above MAGI threshold</t>
        </is>
      </c>
    </row>
    <row r="132" ht="45" customHeight="1">
      <c r="A132" s="96" t="inlineStr">
        <is>
          <t>NIIT MAGI Threshold (MFJ)</t>
        </is>
      </c>
      <c r="B132" s="176" t="n">
        <v>250000</v>
      </c>
      <c r="C132" s="12" t="inlineStr">
        <is>
          <t>USD</t>
        </is>
      </c>
      <c r="D132" s="12" t="inlineStr">
        <is>
          <t>NOT indexed</t>
        </is>
      </c>
    </row>
    <row r="133" ht="60" customHeight="1">
      <c r="A133" s="96" t="inlineStr">
        <is>
          <t>Standard Deduction MFJ — Reference Year</t>
        </is>
      </c>
      <c r="B133" s="176" t="n">
        <v>31500</v>
      </c>
      <c r="C133" s="12" t="inlineStr">
        <is>
          <t>USD</t>
        </is>
      </c>
      <c r="D133" s="12" t="inlineStr">
        <is>
          <t>+ $1,650/spouse age 65+</t>
        </is>
      </c>
    </row>
    <row r="134" ht="60" customHeight="1">
      <c r="A134" s="96" t="inlineStr">
        <is>
          <t>IRMAA Tier 2 Threshold (MFJ)</t>
        </is>
      </c>
      <c r="B134" s="176" t="n">
        <v>268000</v>
      </c>
      <c r="C134" s="12" t="inlineStr">
        <is>
          <t>USD</t>
        </is>
      </c>
      <c r="D134" s="12" t="inlineStr">
        <is>
          <t>reference-year threshold, inflated annually</t>
        </is>
      </c>
    </row>
    <row r="135"/>
    <row r="136"/>
    <row r="137" ht="15" customHeight="1">
      <c r="A137" s="13" t="inlineStr">
        <is>
          <t>Projected Target-Bracket Reference — MFJ</t>
        </is>
      </c>
      <c r="B137" s="3" t="n"/>
      <c r="C137" s="3" t="n"/>
      <c r="D137" s="3" t="n"/>
      <c r="E137" s="3" t="n"/>
      <c r="F137" s="4" t="n"/>
    </row>
    <row r="138" ht="30" customHeight="1">
      <c r="A138" s="5" t="inlineStr">
        <is>
          <t>Year</t>
        </is>
      </c>
      <c r="B138" s="5" t="inlineStr">
        <is>
          <t>Reference Bracket Top</t>
        </is>
      </c>
    </row>
    <row r="139" ht="15" customHeight="1">
      <c r="A139" s="25" t="n">
        <v>2026</v>
      </c>
      <c r="B139" s="102" t="n">
        <v>201050</v>
      </c>
    </row>
    <row r="140" ht="15" customHeight="1">
      <c r="A140" s="25" t="n">
        <v>2027</v>
      </c>
      <c r="B140" s="102" t="n">
        <v>205071</v>
      </c>
    </row>
    <row r="141" ht="15" customHeight="1">
      <c r="A141" s="25" t="n">
        <v>2028</v>
      </c>
      <c r="B141" s="102" t="n">
        <v>209172.42</v>
      </c>
    </row>
    <row r="142" ht="30" customHeight="1">
      <c r="A142" s="25" t="n">
        <v>2029</v>
      </c>
      <c r="B142" s="102" t="n">
        <v>213355.8684</v>
      </c>
    </row>
    <row r="143" ht="30" customHeight="1">
      <c r="A143" s="25" t="n">
        <v>2030</v>
      </c>
      <c r="B143" s="102" t="n">
        <v>217622.985768</v>
      </c>
    </row>
    <row r="144" ht="30" customHeight="1">
      <c r="A144" s="25" t="n">
        <v>2031</v>
      </c>
      <c r="B144" s="102" t="n">
        <v>221975.44548336</v>
      </c>
    </row>
    <row r="145" ht="30" customHeight="1">
      <c r="A145" s="25" t="n">
        <v>2032</v>
      </c>
      <c r="B145" s="102" t="n">
        <v>226414.9543930272</v>
      </c>
    </row>
    <row r="146" ht="30" customHeight="1">
      <c r="A146" s="25" t="n">
        <v>2033</v>
      </c>
      <c r="B146" s="102" t="n">
        <v>230943.2534808877</v>
      </c>
    </row>
    <row r="147" ht="30" customHeight="1">
      <c r="A147" s="25" t="n">
        <v>2034</v>
      </c>
      <c r="B147" s="102" t="n">
        <v>235562.1185505055</v>
      </c>
    </row>
    <row r="148" ht="30" customHeight="1">
      <c r="A148" s="25" t="n">
        <v>2035</v>
      </c>
      <c r="B148" s="102" t="n">
        <v>240273.3609215156</v>
      </c>
    </row>
    <row r="149" ht="30" customHeight="1">
      <c r="A149" s="25" t="n">
        <v>2036</v>
      </c>
      <c r="B149" s="102" t="n">
        <v>245078.828139946</v>
      </c>
    </row>
    <row r="150" ht="30" customHeight="1">
      <c r="A150" s="25" t="n">
        <v>2037</v>
      </c>
      <c r="B150" s="102" t="n">
        <v>249980.4047027449</v>
      </c>
    </row>
    <row r="151" ht="30" customHeight="1">
      <c r="A151" s="25" t="n">
        <v>2038</v>
      </c>
      <c r="B151" s="102" t="n">
        <v>254980.0127967998</v>
      </c>
    </row>
    <row r="152" ht="30" customHeight="1">
      <c r="A152" s="25" t="n">
        <v>2039</v>
      </c>
      <c r="B152" s="102" t="n">
        <v>260079.6130527358</v>
      </c>
    </row>
    <row r="153" ht="30" customHeight="1">
      <c r="A153" s="25" t="n">
        <v>2040</v>
      </c>
      <c r="B153" s="102" t="n">
        <v>265281.2053137905</v>
      </c>
    </row>
    <row r="154" ht="30" customHeight="1">
      <c r="A154" s="25" t="n">
        <v>2041</v>
      </c>
      <c r="B154" s="102" t="n">
        <v>270586.8294200663</v>
      </c>
    </row>
    <row r="155" ht="30" customHeight="1">
      <c r="A155" s="25" t="n">
        <v>2042</v>
      </c>
      <c r="B155" s="102" t="n">
        <v>275998.5660084676</v>
      </c>
    </row>
    <row r="156" ht="30" customHeight="1">
      <c r="A156" s="25" t="n">
        <v>2043</v>
      </c>
      <c r="B156" s="102" t="n">
        <v>281518.537328637</v>
      </c>
    </row>
    <row r="157" ht="30" customHeight="1">
      <c r="A157" s="25" t="n">
        <v>2044</v>
      </c>
      <c r="B157" s="102" t="n">
        <v>287148.9080752098</v>
      </c>
    </row>
    <row r="158" ht="30" customHeight="1">
      <c r="A158" s="25" t="n">
        <v>2045</v>
      </c>
      <c r="B158" s="102" t="n">
        <v>292891.886236714</v>
      </c>
    </row>
    <row r="159" ht="30" customHeight="1">
      <c r="A159" s="25" t="n">
        <v>2046</v>
      </c>
      <c r="B159" s="102" t="n">
        <v>298749.7239614482</v>
      </c>
    </row>
    <row r="160" ht="30" customHeight="1">
      <c r="A160" s="25" t="n">
        <v>2047</v>
      </c>
      <c r="B160" s="102" t="n">
        <v>304724.7184406772</v>
      </c>
    </row>
    <row r="161" ht="30" customHeight="1">
      <c r="A161" s="25" t="n">
        <v>2048</v>
      </c>
      <c r="B161" s="102" t="n">
        <v>310819.2128094907</v>
      </c>
    </row>
    <row r="162" ht="30" customHeight="1">
      <c r="A162" s="25" t="n">
        <v>2049</v>
      </c>
      <c r="B162" s="102" t="n">
        <v>317035.5970656806</v>
      </c>
    </row>
    <row r="163" ht="30" customHeight="1">
      <c r="A163" s="25" t="n">
        <v>2050</v>
      </c>
      <c r="B163" s="102" t="n">
        <v>323376.3090069942</v>
      </c>
    </row>
    <row r="164" ht="30" customHeight="1">
      <c r="A164" s="25" t="n">
        <v>2051</v>
      </c>
      <c r="B164" s="102" t="n">
        <v>329843.8351871341</v>
      </c>
    </row>
    <row r="165" ht="30" customHeight="1">
      <c r="A165" s="25" t="n">
        <v>2052</v>
      </c>
      <c r="B165" s="102" t="n">
        <v>336440.7118908768</v>
      </c>
    </row>
    <row r="166" ht="30" customHeight="1">
      <c r="A166" s="25" t="n">
        <v>2053</v>
      </c>
      <c r="B166" s="102" t="n">
        <v>343169.5261286943</v>
      </c>
    </row>
    <row r="167" ht="30" customHeight="1">
      <c r="A167" s="25" t="n">
        <v>2054</v>
      </c>
      <c r="B167" s="102" t="n">
        <v>350032.9166512683</v>
      </c>
    </row>
    <row r="168" ht="30" customHeight="1">
      <c r="A168" s="25" t="n">
        <v>2055</v>
      </c>
      <c r="B168" s="102" t="n">
        <v>357033.5749842936</v>
      </c>
    </row>
    <row r="169" ht="30" customHeight="1">
      <c r="A169" s="25" t="n">
        <v>2056</v>
      </c>
      <c r="B169" s="102" t="n">
        <v>364174.2464839795</v>
      </c>
    </row>
  </sheetData>
  <mergeCells count="9">
    <mergeCell ref="A27:D27"/>
    <mergeCell ref="A137:F137"/>
    <mergeCell ref="A114:D114"/>
    <mergeCell ref="A87:D87"/>
    <mergeCell ref="A104:D104"/>
    <mergeCell ref="A2:D2"/>
    <mergeCell ref="A1:H1"/>
    <mergeCell ref="A123:D123"/>
    <mergeCell ref="A14:D14"/>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Roll Forward by Account and Year</t>
        </is>
      </c>
    </row>
    <row r="2" ht="36" customHeight="1">
      <c r="A2" s="96"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7"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7" t="inlineStr">
        <is>
          <t>Calculated Ending</t>
        </is>
      </c>
      <c r="O4" s="177" t="inlineStr">
        <is>
          <t>Reported Ending</t>
        </is>
      </c>
      <c r="P4" s="177" t="inlineStr">
        <is>
          <t>Foot Delta</t>
        </is>
      </c>
      <c r="Q4" s="23" t="inlineStr">
        <is>
          <t>Notes</t>
        </is>
      </c>
    </row>
    <row r="5" ht="45" customHeight="1">
      <c r="A5" s="26" t="n">
        <v>2026</v>
      </c>
      <c r="B5" s="12" t="inlineStr">
        <is>
          <t>Business 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 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Matthew HSA</t>
        </is>
      </c>
      <c r="C7" s="12" t="inlineStr">
        <is>
          <t>Matthew</t>
        </is>
      </c>
      <c r="D7" s="41" t="inlineStr">
        <is>
          <t>hsa</t>
        </is>
      </c>
      <c r="E7" s="12" t="inlineStr">
        <is>
          <t>hsa</t>
        </is>
      </c>
      <c r="F7" s="27" t="n">
        <v>72679.36820000001</v>
      </c>
      <c r="G7" s="27" t="n">
        <v>3694.109589041096</v>
      </c>
      <c r="H7" s="27" t="n">
        <v>0</v>
      </c>
      <c r="I7" s="27" t="n">
        <v>0</v>
      </c>
      <c r="J7" s="27" t="n">
        <v>0</v>
      </c>
      <c r="K7" s="27" t="n">
        <v>0</v>
      </c>
      <c r="L7" s="27" t="n">
        <v>0</v>
      </c>
      <c r="M7" s="27" t="n">
        <v>2234.708884347833</v>
      </c>
      <c r="N7" s="27" t="n">
        <v>78608.18667338893</v>
      </c>
      <c r="O7" s="27" t="n">
        <v>78608.18667338893</v>
      </c>
      <c r="P7" s="27" t="n">
        <v>0</v>
      </c>
      <c r="Q7" s="12" t="inlineStr">
        <is>
          <t>deposit</t>
        </is>
      </c>
    </row>
    <row r="8" ht="45" customHeight="1">
      <c r="A8" s="26" t="n">
        <v>2026</v>
      </c>
      <c r="B8" s="12" t="inlineStr">
        <is>
          <t>Matthew 401k</t>
        </is>
      </c>
      <c r="C8" s="12" t="inlineStr">
        <is>
          <t>Matthew</t>
        </is>
      </c>
      <c r="D8" s="41" t="inlineStr">
        <is>
          <t>pre_tax</t>
        </is>
      </c>
      <c r="E8" s="12" t="inlineStr">
        <is>
          <t>401k</t>
        </is>
      </c>
      <c r="F8" s="27" t="n">
        <v>14966.08</v>
      </c>
      <c r="G8" s="27" t="n">
        <v>11704.1095890411</v>
      </c>
      <c r="H8" s="27" t="n">
        <v>0</v>
      </c>
      <c r="I8" s="27" t="n">
        <v>0</v>
      </c>
      <c r="J8" s="27" t="n">
        <v>0</v>
      </c>
      <c r="K8" s="27" t="n">
        <v>0</v>
      </c>
      <c r="L8" s="27" t="n">
        <v>0.0004274239592634748</v>
      </c>
      <c r="M8" s="27" t="n">
        <v>780.3770417700575</v>
      </c>
      <c r="N8" s="27" t="n">
        <v>27450.5662033872</v>
      </c>
      <c r="O8" s="27" t="n">
        <v>27450.5662033872</v>
      </c>
      <c r="P8" s="27" t="n">
        <v>0</v>
      </c>
      <c r="Q8" s="12" t="inlineStr">
        <is>
          <t>withdrawal; deposit</t>
        </is>
      </c>
    </row>
    <row r="9" ht="30" customHeight="1">
      <c r="A9" s="26" t="n">
        <v>2026</v>
      </c>
      <c r="B9" s="12" t="inlineStr">
        <is>
          <t>Matthew IRA</t>
        </is>
      </c>
      <c r="C9" s="12" t="inlineStr">
        <is>
          <t>Matthew</t>
        </is>
      </c>
      <c r="D9" s="41" t="inlineStr">
        <is>
          <t>pre_tax</t>
        </is>
      </c>
      <c r="E9" s="12" t="inlineStr">
        <is>
          <t>traditional_ira</t>
        </is>
      </c>
      <c r="F9" s="27" t="n">
        <v>1346551.37654</v>
      </c>
      <c r="G9" s="27" t="n">
        <v>0</v>
      </c>
      <c r="H9" s="27" t="n">
        <v>0</v>
      </c>
      <c r="I9" s="27" t="n">
        <v>0</v>
      </c>
      <c r="J9" s="27" t="n">
        <v>0</v>
      </c>
      <c r="K9" s="27" t="n">
        <v>0</v>
      </c>
      <c r="L9" s="27" t="n">
        <v>0.02158021107389894</v>
      </c>
      <c r="M9" s="27" t="n">
        <v>39400.46156430287</v>
      </c>
      <c r="N9" s="27" t="n">
        <v>1385951.816524092</v>
      </c>
      <c r="O9" s="27" t="n">
        <v>1385951.816524092</v>
      </c>
      <c r="P9" s="27" t="n">
        <v>0</v>
      </c>
      <c r="Q9" s="12" t="inlineStr">
        <is>
          <t>withdrawal</t>
        </is>
      </c>
    </row>
    <row r="10" ht="30" customHeight="1">
      <c r="A10" s="26" t="n">
        <v>2026</v>
      </c>
      <c r="B10" s="12" t="inlineStr">
        <is>
          <t>Matthew Roth</t>
        </is>
      </c>
      <c r="C10" s="12" t="inlineStr">
        <is>
          <t>Matthew</t>
        </is>
      </c>
      <c r="D10" s="41" t="inlineStr">
        <is>
          <t>roth</t>
        </is>
      </c>
      <c r="E10" s="12" t="inlineStr">
        <is>
          <t>roth_ira</t>
        </is>
      </c>
      <c r="F10" s="27" t="n">
        <v>139480.39609</v>
      </c>
      <c r="G10" s="27" t="n">
        <v>0</v>
      </c>
      <c r="H10" s="27" t="n">
        <v>0</v>
      </c>
      <c r="I10" s="27" t="n">
        <v>0</v>
      </c>
      <c r="J10" s="27" t="n">
        <v>0</v>
      </c>
      <c r="K10" s="27" t="n">
        <v>0</v>
      </c>
      <c r="L10" s="27" t="n">
        <v>0</v>
      </c>
      <c r="M10" s="27" t="n">
        <v>4081.234603400548</v>
      </c>
      <c r="N10" s="27" t="n">
        <v>143561.6306934005</v>
      </c>
      <c r="O10" s="27" t="n">
        <v>143561.6306934005</v>
      </c>
      <c r="P10" s="27" t="n">
        <v>0</v>
      </c>
      <c r="Q10" s="33" t="inlineStr"/>
    </row>
    <row r="11" ht="30" customHeight="1">
      <c r="A11" s="26" t="n">
        <v>2026</v>
      </c>
      <c r="B11" s="12" t="inlineStr">
        <is>
          <t>Matthew Trust</t>
        </is>
      </c>
      <c r="C11" s="12" t="inlineStr">
        <is>
          <t>Matthew</t>
        </is>
      </c>
      <c r="D11" s="41" t="inlineStr">
        <is>
          <t>taxable</t>
        </is>
      </c>
      <c r="E11" s="12" t="inlineStr">
        <is>
          <t>trust</t>
        </is>
      </c>
      <c r="F11" s="27" t="n">
        <v>210120.342705</v>
      </c>
      <c r="G11" s="27" t="n">
        <v>0</v>
      </c>
      <c r="H11" s="27" t="n">
        <v>0</v>
      </c>
      <c r="I11" s="27" t="n">
        <v>0</v>
      </c>
      <c r="J11" s="27" t="n">
        <v>0</v>
      </c>
      <c r="K11" s="27" t="n">
        <v>0</v>
      </c>
      <c r="L11" s="27" t="n">
        <v>52780.37955081878</v>
      </c>
      <c r="M11" s="27" t="n">
        <v>1242.569668233324</v>
      </c>
      <c r="N11" s="27" t="n">
        <v>158582.5328224145</v>
      </c>
      <c r="O11" s="27" t="n">
        <v>158582.5328224145</v>
      </c>
      <c r="P11" s="27" t="n">
        <v>0</v>
      </c>
      <c r="Q11" s="12" t="inlineStr">
        <is>
          <t>withdrawal</t>
        </is>
      </c>
    </row>
    <row r="12" ht="60" customHeight="1">
      <c r="A12" s="26" t="n">
        <v>2026</v>
      </c>
      <c r="B12" s="12" t="inlineStr">
        <is>
          <t>Patricia IRA</t>
        </is>
      </c>
      <c r="C12" s="12" t="inlineStr">
        <is>
          <t>Patricia</t>
        </is>
      </c>
      <c r="D12" s="41" t="inlineStr">
        <is>
          <t>pre_tax</t>
        </is>
      </c>
      <c r="E12" s="12" t="inlineStr">
        <is>
          <t>traditional_ira</t>
        </is>
      </c>
      <c r="F12" s="27" t="n">
        <v>465999.3710249999</v>
      </c>
      <c r="G12" s="27" t="n">
        <v>0</v>
      </c>
      <c r="H12" s="27" t="n">
        <v>0</v>
      </c>
      <c r="I12" s="27" t="n">
        <v>0</v>
      </c>
      <c r="J12" s="27" t="n">
        <v>0</v>
      </c>
      <c r="K12" s="27" t="n">
        <v>125000</v>
      </c>
      <c r="L12" s="27" t="n">
        <v>0.005464951825080014</v>
      </c>
      <c r="M12" s="27" t="n">
        <v>9977.734860770723</v>
      </c>
      <c r="N12" s="27" t="n">
        <v>350977.1004208188</v>
      </c>
      <c r="O12" s="27" t="n">
        <v>350977.1004208188</v>
      </c>
      <c r="P12" s="27" t="n">
        <v>0</v>
      </c>
      <c r="Q12" s="12" t="inlineStr">
        <is>
          <t>Roth conversion; withdrawal</t>
        </is>
      </c>
    </row>
    <row r="13" ht="30" customHeight="1">
      <c r="A13" s="26" t="n">
        <v>2026</v>
      </c>
      <c r="B13" s="12" t="inlineStr">
        <is>
          <t>Patricia Roth</t>
        </is>
      </c>
      <c r="C13" s="12" t="inlineStr">
        <is>
          <t>Patricia</t>
        </is>
      </c>
      <c r="D13" s="41" t="inlineStr">
        <is>
          <t>roth</t>
        </is>
      </c>
      <c r="E13" s="12" t="inlineStr">
        <is>
          <t>roth_ira</t>
        </is>
      </c>
      <c r="F13" s="27" t="n">
        <v>207631.742363</v>
      </c>
      <c r="G13" s="27" t="n">
        <v>0</v>
      </c>
      <c r="H13" s="27" t="n">
        <v>0</v>
      </c>
      <c r="I13" s="27" t="n">
        <v>0</v>
      </c>
      <c r="J13" s="27" t="n">
        <v>125000</v>
      </c>
      <c r="K13" s="27" t="n">
        <v>0</v>
      </c>
      <c r="L13" s="27" t="n">
        <v>0</v>
      </c>
      <c r="M13" s="27" t="n">
        <v>9732.89591352559</v>
      </c>
      <c r="N13" s="27" t="n">
        <v>342364.6382765257</v>
      </c>
      <c r="O13" s="27" t="n">
        <v>342364.6382765257</v>
      </c>
      <c r="P13" s="27" t="n">
        <v>0</v>
      </c>
      <c r="Q13" s="12" t="inlineStr">
        <is>
          <t>Roth conversion</t>
        </is>
      </c>
    </row>
    <row r="14" ht="30" customHeight="1">
      <c r="A14" s="26" t="n">
        <v>2026</v>
      </c>
      <c r="B14" s="12" t="inlineStr">
        <is>
          <t>Patricia Trust</t>
        </is>
      </c>
      <c r="C14" s="12" t="inlineStr">
        <is>
          <t>Patricia</t>
        </is>
      </c>
      <c r="D14" s="41" t="inlineStr">
        <is>
          <t>taxable</t>
        </is>
      </c>
      <c r="E14" s="12" t="inlineStr">
        <is>
          <t>trust</t>
        </is>
      </c>
      <c r="F14" s="27" t="n">
        <v>335587.7267459999</v>
      </c>
      <c r="G14" s="27" t="n">
        <v>0</v>
      </c>
      <c r="H14" s="27" t="n">
        <v>0</v>
      </c>
      <c r="I14" s="27" t="n">
        <v>0</v>
      </c>
      <c r="J14" s="27" t="n">
        <v>0</v>
      </c>
      <c r="K14" s="27" t="n">
        <v>0</v>
      </c>
      <c r="L14" s="27" t="n">
        <v>84296.68142659495</v>
      </c>
      <c r="M14" s="27" t="n">
        <v>2868.448721097564</v>
      </c>
      <c r="N14" s="27" t="n">
        <v>254159.4940405025</v>
      </c>
      <c r="O14" s="27" t="n">
        <v>254159.4940405025</v>
      </c>
      <c r="P14" s="27" t="n">
        <v>0</v>
      </c>
      <c r="Q14" s="12" t="inlineStr">
        <is>
          <t>withdrawal</t>
        </is>
      </c>
    </row>
    <row r="15" ht="45" customHeight="1">
      <c r="A15" s="26" t="n">
        <v>2027</v>
      </c>
      <c r="B15" s="12" t="inlineStr">
        <is>
          <t>Business 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 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Matthew HSA</t>
        </is>
      </c>
      <c r="C17" s="12" t="inlineStr">
        <is>
          <t>Matthew</t>
        </is>
      </c>
      <c r="D17" s="41" t="inlineStr">
        <is>
          <t>hsa</t>
        </is>
      </c>
      <c r="E17" s="12" t="inlineStr">
        <is>
          <t>hsa</t>
        </is>
      </c>
      <c r="F17" s="27" t="n">
        <v>78608.18667338893</v>
      </c>
      <c r="G17" s="27" t="n">
        <v>0</v>
      </c>
      <c r="H17" s="27" t="n">
        <v>0</v>
      </c>
      <c r="I17" s="27" t="n">
        <v>0</v>
      </c>
      <c r="J17" s="27" t="n">
        <v>0</v>
      </c>
      <c r="K17" s="27" t="n">
        <v>0</v>
      </c>
      <c r="L17" s="27" t="n">
        <v>0</v>
      </c>
      <c r="M17" s="27" t="n">
        <v>4716.491200403336</v>
      </c>
      <c r="N17" s="27" t="n">
        <v>83324.67787379227</v>
      </c>
      <c r="O17" s="27" t="n">
        <v>83324.67787379227</v>
      </c>
      <c r="P17" s="27" t="n">
        <v>0</v>
      </c>
      <c r="Q17" s="33" t="inlineStr"/>
    </row>
    <row r="18" ht="30" customHeight="1">
      <c r="A18" s="26" t="n">
        <v>2027</v>
      </c>
      <c r="B18" s="12" t="inlineStr">
        <is>
          <t>Matthew 401k</t>
        </is>
      </c>
      <c r="C18" s="12" t="inlineStr">
        <is>
          <t>Matthew</t>
        </is>
      </c>
      <c r="D18" s="41" t="inlineStr">
        <is>
          <t>pre_tax</t>
        </is>
      </c>
      <c r="E18" s="12" t="inlineStr">
        <is>
          <t>401k</t>
        </is>
      </c>
      <c r="F18" s="27" t="n">
        <v>27450.5662033872</v>
      </c>
      <c r="G18" s="27" t="n">
        <v>0</v>
      </c>
      <c r="H18" s="27" t="n">
        <v>0</v>
      </c>
      <c r="I18" s="27" t="n">
        <v>0</v>
      </c>
      <c r="J18" s="27" t="n">
        <v>0</v>
      </c>
      <c r="K18" s="27" t="n">
        <v>0</v>
      </c>
      <c r="L18" s="27" t="n">
        <v>1004.201052670499</v>
      </c>
      <c r="M18" s="27" t="n">
        <v>1586.781909043002</v>
      </c>
      <c r="N18" s="27" t="n">
        <v>28033.1470597597</v>
      </c>
      <c r="O18" s="27" t="n">
        <v>28033.1470597597</v>
      </c>
      <c r="P18" s="27" t="n">
        <v>-3.637978807091713e-12</v>
      </c>
      <c r="Q18" s="12" t="inlineStr">
        <is>
          <t>withdrawal</t>
        </is>
      </c>
    </row>
    <row r="19" ht="30" customHeight="1">
      <c r="A19" s="26" t="n">
        <v>2027</v>
      </c>
      <c r="B19" s="12" t="inlineStr">
        <is>
          <t>Matthew IRA</t>
        </is>
      </c>
      <c r="C19" s="12" t="inlineStr">
        <is>
          <t>Matthew</t>
        </is>
      </c>
      <c r="D19" s="41" t="inlineStr">
        <is>
          <t>pre_tax</t>
        </is>
      </c>
      <c r="E19" s="12" t="inlineStr">
        <is>
          <t>traditional_ira</t>
        </is>
      </c>
      <c r="F19" s="27" t="n">
        <v>1385951.816524092</v>
      </c>
      <c r="G19" s="27" t="n">
        <v>0</v>
      </c>
      <c r="H19" s="27" t="n">
        <v>0</v>
      </c>
      <c r="I19" s="27" t="n">
        <v>0</v>
      </c>
      <c r="J19" s="27" t="n">
        <v>0</v>
      </c>
      <c r="K19" s="27" t="n">
        <v>0</v>
      </c>
      <c r="L19" s="27" t="n">
        <v>50701.11351409392</v>
      </c>
      <c r="M19" s="27" t="n">
        <v>80115.04218059989</v>
      </c>
      <c r="N19" s="27" t="n">
        <v>1415365.745190598</v>
      </c>
      <c r="O19" s="27" t="n">
        <v>1415365.745190598</v>
      </c>
      <c r="P19" s="27" t="n">
        <v>0</v>
      </c>
      <c r="Q19" s="12" t="inlineStr">
        <is>
          <t>withdrawal</t>
        </is>
      </c>
    </row>
    <row r="20" ht="30" customHeight="1">
      <c r="A20" s="26" t="n">
        <v>2027</v>
      </c>
      <c r="B20" s="12" t="inlineStr">
        <is>
          <t>Matthew Roth</t>
        </is>
      </c>
      <c r="C20" s="12" t="inlineStr">
        <is>
          <t>Matthew</t>
        </is>
      </c>
      <c r="D20" s="41" t="inlineStr">
        <is>
          <t>roth</t>
        </is>
      </c>
      <c r="E20" s="12" t="inlineStr">
        <is>
          <t>roth_ira</t>
        </is>
      </c>
      <c r="F20" s="27" t="n">
        <v>143561.6306934005</v>
      </c>
      <c r="G20" s="27" t="n">
        <v>0</v>
      </c>
      <c r="H20" s="27" t="n">
        <v>0</v>
      </c>
      <c r="I20" s="27" t="n">
        <v>0</v>
      </c>
      <c r="J20" s="27" t="n">
        <v>0</v>
      </c>
      <c r="K20" s="27" t="n">
        <v>0</v>
      </c>
      <c r="L20" s="27" t="n">
        <v>0</v>
      </c>
      <c r="M20" s="27" t="n">
        <v>8613.697841604033</v>
      </c>
      <c r="N20" s="27" t="n">
        <v>152175.3285350046</v>
      </c>
      <c r="O20" s="27" t="n">
        <v>152175.3285350046</v>
      </c>
      <c r="P20" s="27" t="n">
        <v>0</v>
      </c>
      <c r="Q20" s="33" t="inlineStr"/>
    </row>
    <row r="21" ht="30" customHeight="1">
      <c r="A21" s="26" t="n">
        <v>2027</v>
      </c>
      <c r="B21" s="12" t="inlineStr">
        <is>
          <t>Matthew Trust</t>
        </is>
      </c>
      <c r="C21" s="12" t="inlineStr">
        <is>
          <t>Matthew</t>
        </is>
      </c>
      <c r="D21" s="41" t="inlineStr">
        <is>
          <t>taxable</t>
        </is>
      </c>
      <c r="E21" s="12" t="inlineStr">
        <is>
          <t>trust</t>
        </is>
      </c>
      <c r="F21" s="27" t="n">
        <v>158582.5328224145</v>
      </c>
      <c r="G21" s="27" t="n">
        <v>0</v>
      </c>
      <c r="H21" s="27" t="n">
        <v>0</v>
      </c>
      <c r="I21" s="27" t="n">
        <v>0</v>
      </c>
      <c r="J21" s="27" t="n">
        <v>0</v>
      </c>
      <c r="K21" s="27" t="n">
        <v>0</v>
      </c>
      <c r="L21" s="27" t="n">
        <v>95582.42910089219</v>
      </c>
      <c r="M21" s="27" t="n">
        <v>2434.14016168036</v>
      </c>
      <c r="N21" s="27" t="n">
        <v>65434.24388320271</v>
      </c>
      <c r="O21" s="27" t="n">
        <v>65434.24388320271</v>
      </c>
      <c r="P21" s="27" t="n">
        <v>0</v>
      </c>
      <c r="Q21" s="12" t="inlineStr">
        <is>
          <t>withdrawal</t>
        </is>
      </c>
    </row>
    <row r="22" ht="60" customHeight="1">
      <c r="A22" s="26" t="n">
        <v>2027</v>
      </c>
      <c r="B22" s="12" t="inlineStr">
        <is>
          <t>Patricia IRA</t>
        </is>
      </c>
      <c r="C22" s="12" t="inlineStr">
        <is>
          <t>Patricia</t>
        </is>
      </c>
      <c r="D22" s="41" t="inlineStr">
        <is>
          <t>pre_tax</t>
        </is>
      </c>
      <c r="E22" s="12" t="inlineStr">
        <is>
          <t>traditional_ira</t>
        </is>
      </c>
      <c r="F22" s="27" t="n">
        <v>350977.1004208188</v>
      </c>
      <c r="G22" s="27" t="n">
        <v>0</v>
      </c>
      <c r="H22" s="27" t="n">
        <v>0</v>
      </c>
      <c r="I22" s="27" t="n">
        <v>0</v>
      </c>
      <c r="J22" s="27" t="n">
        <v>0</v>
      </c>
      <c r="K22" s="27" t="n">
        <v>170451.3095200532</v>
      </c>
      <c r="L22" s="27" t="n">
        <v>6604.023680733922</v>
      </c>
      <c r="M22" s="27" t="n">
        <v>10435.3060332019</v>
      </c>
      <c r="N22" s="27" t="n">
        <v>184357.0732532336</v>
      </c>
      <c r="O22" s="27" t="n">
        <v>184357.0732532336</v>
      </c>
      <c r="P22" s="27" t="n">
        <v>0</v>
      </c>
      <c r="Q22" s="12" t="inlineStr">
        <is>
          <t>Roth conversion; withdrawal</t>
        </is>
      </c>
    </row>
    <row r="23" ht="30" customHeight="1">
      <c r="A23" s="26" t="n">
        <v>2027</v>
      </c>
      <c r="B23" s="12" t="inlineStr">
        <is>
          <t>Patricia Roth</t>
        </is>
      </c>
      <c r="C23" s="12" t="inlineStr">
        <is>
          <t>Patricia</t>
        </is>
      </c>
      <c r="D23" s="41" t="inlineStr">
        <is>
          <t>roth</t>
        </is>
      </c>
      <c r="E23" s="12" t="inlineStr">
        <is>
          <t>roth_ira</t>
        </is>
      </c>
      <c r="F23" s="27" t="n">
        <v>342364.6382765257</v>
      </c>
      <c r="G23" s="27" t="n">
        <v>0</v>
      </c>
      <c r="H23" s="27" t="n">
        <v>0</v>
      </c>
      <c r="I23" s="27" t="n">
        <v>0</v>
      </c>
      <c r="J23" s="27" t="n">
        <v>170451.3095200532</v>
      </c>
      <c r="K23" s="27" t="n">
        <v>0</v>
      </c>
      <c r="L23" s="27" t="n">
        <v>0</v>
      </c>
      <c r="M23" s="27" t="n">
        <v>30768.95686779473</v>
      </c>
      <c r="N23" s="27" t="n">
        <v>543584.9046643736</v>
      </c>
      <c r="O23" s="27" t="n">
        <v>543584.9046643736</v>
      </c>
      <c r="P23" s="27" t="n">
        <v>0</v>
      </c>
      <c r="Q23" s="12" t="inlineStr">
        <is>
          <t>Roth conversion</t>
        </is>
      </c>
    </row>
    <row r="24" ht="30" customHeight="1">
      <c r="A24" s="26" t="n">
        <v>2027</v>
      </c>
      <c r="B24" s="12" t="inlineStr">
        <is>
          <t>Patricia Trust</t>
        </is>
      </c>
      <c r="C24" s="12" t="inlineStr">
        <is>
          <t>Patricia</t>
        </is>
      </c>
      <c r="D24" s="41" t="inlineStr">
        <is>
          <t>taxable</t>
        </is>
      </c>
      <c r="E24" s="12" t="inlineStr">
        <is>
          <t>trust</t>
        </is>
      </c>
      <c r="F24" s="27" t="n">
        <v>254159.4940405025</v>
      </c>
      <c r="G24" s="27" t="n">
        <v>0</v>
      </c>
      <c r="H24" s="27" t="n">
        <v>0</v>
      </c>
      <c r="I24" s="27" t="n">
        <v>0</v>
      </c>
      <c r="J24" s="27" t="n">
        <v>0</v>
      </c>
      <c r="K24" s="27" t="n">
        <v>0</v>
      </c>
      <c r="L24" s="27" t="n">
        <v>153189.5183352204</v>
      </c>
      <c r="M24" s="27" t="n">
        <v>4256.346168760231</v>
      </c>
      <c r="N24" s="27" t="n">
        <v>105226.3218740423</v>
      </c>
      <c r="O24" s="27" t="n">
        <v>105226.3218740423</v>
      </c>
      <c r="P24" s="27" t="n">
        <v>-1.455191522836685e-11</v>
      </c>
      <c r="Q24" s="12" t="inlineStr">
        <is>
          <t>withdrawal</t>
        </is>
      </c>
    </row>
    <row r="25" ht="45" customHeight="1">
      <c r="A25" s="26" t="n">
        <v>2028</v>
      </c>
      <c r="B25" s="12" t="inlineStr">
        <is>
          <t>Business 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 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Matthew HSA</t>
        </is>
      </c>
      <c r="C27" s="12" t="inlineStr">
        <is>
          <t>Matthew</t>
        </is>
      </c>
      <c r="D27" s="41" t="inlineStr">
        <is>
          <t>hsa</t>
        </is>
      </c>
      <c r="E27" s="12" t="inlineStr">
        <is>
          <t>hsa</t>
        </is>
      </c>
      <c r="F27" s="27" t="n">
        <v>83324.67787379227</v>
      </c>
      <c r="G27" s="27" t="n">
        <v>0</v>
      </c>
      <c r="H27" s="27" t="n">
        <v>0</v>
      </c>
      <c r="I27" s="27" t="n">
        <v>0</v>
      </c>
      <c r="J27" s="27" t="n">
        <v>0</v>
      </c>
      <c r="K27" s="27" t="n">
        <v>0</v>
      </c>
      <c r="L27" s="27" t="n">
        <v>0</v>
      </c>
      <c r="M27" s="27" t="n">
        <v>4999.480672427536</v>
      </c>
      <c r="N27" s="27" t="n">
        <v>88324.15854621981</v>
      </c>
      <c r="O27" s="27" t="n">
        <v>88324.15854621981</v>
      </c>
      <c r="P27" s="27" t="n">
        <v>0</v>
      </c>
      <c r="Q27" s="33" t="inlineStr"/>
    </row>
    <row r="28" ht="30" customHeight="1">
      <c r="A28" s="26" t="n">
        <v>2028</v>
      </c>
      <c r="B28" s="12" t="inlineStr">
        <is>
          <t>Matthew 401k</t>
        </is>
      </c>
      <c r="C28" s="12" t="inlineStr">
        <is>
          <t>Matthew</t>
        </is>
      </c>
      <c r="D28" s="41" t="inlineStr">
        <is>
          <t>pre_tax</t>
        </is>
      </c>
      <c r="E28" s="12" t="inlineStr">
        <is>
          <t>401k</t>
        </is>
      </c>
      <c r="F28" s="27" t="n">
        <v>28033.1470597597</v>
      </c>
      <c r="G28" s="27" t="n">
        <v>0</v>
      </c>
      <c r="H28" s="27" t="n">
        <v>0</v>
      </c>
      <c r="I28" s="27" t="n">
        <v>0</v>
      </c>
      <c r="J28" s="27" t="n">
        <v>0</v>
      </c>
      <c r="K28" s="27" t="n">
        <v>0</v>
      </c>
      <c r="L28" s="27" t="n">
        <v>1750.91827928219</v>
      </c>
      <c r="M28" s="27" t="n">
        <v>1576.93372682865</v>
      </c>
      <c r="N28" s="27" t="n">
        <v>27859.16250730616</v>
      </c>
      <c r="O28" s="27" t="n">
        <v>27859.16250730616</v>
      </c>
      <c r="P28" s="27" t="n">
        <v>0</v>
      </c>
      <c r="Q28" s="12" t="inlineStr">
        <is>
          <t>withdrawal</t>
        </is>
      </c>
    </row>
    <row r="29" ht="30" customHeight="1">
      <c r="A29" s="26" t="n">
        <v>2028</v>
      </c>
      <c r="B29" s="12" t="inlineStr">
        <is>
          <t>Matthew IRA</t>
        </is>
      </c>
      <c r="C29" s="12" t="inlineStr">
        <is>
          <t>Matthew</t>
        </is>
      </c>
      <c r="D29" s="41" t="inlineStr">
        <is>
          <t>pre_tax</t>
        </is>
      </c>
      <c r="E29" s="12" t="inlineStr">
        <is>
          <t>traditional_ira</t>
        </is>
      </c>
      <c r="F29" s="27" t="n">
        <v>1415365.745190598</v>
      </c>
      <c r="G29" s="27" t="n">
        <v>0</v>
      </c>
      <c r="H29" s="27" t="n">
        <v>0</v>
      </c>
      <c r="I29" s="27" t="n">
        <v>0</v>
      </c>
      <c r="J29" s="27" t="n">
        <v>0</v>
      </c>
      <c r="K29" s="27" t="n">
        <v>0</v>
      </c>
      <c r="L29" s="27" t="n">
        <v>88402.1244507865</v>
      </c>
      <c r="M29" s="27" t="n">
        <v>79617.81724438869</v>
      </c>
      <c r="N29" s="27" t="n">
        <v>1406581.4379842</v>
      </c>
      <c r="O29" s="27" t="n">
        <v>1406581.4379842</v>
      </c>
      <c r="P29" s="27" t="n">
        <v>0</v>
      </c>
      <c r="Q29" s="12" t="inlineStr">
        <is>
          <t>withdrawal</t>
        </is>
      </c>
    </row>
    <row r="30" ht="30" customHeight="1">
      <c r="A30" s="26" t="n">
        <v>2028</v>
      </c>
      <c r="B30" s="12" t="inlineStr">
        <is>
          <t>Matthew Roth</t>
        </is>
      </c>
      <c r="C30" s="12" t="inlineStr">
        <is>
          <t>Matthew</t>
        </is>
      </c>
      <c r="D30" s="41" t="inlineStr">
        <is>
          <t>roth</t>
        </is>
      </c>
      <c r="E30" s="12" t="inlineStr">
        <is>
          <t>roth_ira</t>
        </is>
      </c>
      <c r="F30" s="27" t="n">
        <v>152175.3285350046</v>
      </c>
      <c r="G30" s="27" t="n">
        <v>0</v>
      </c>
      <c r="H30" s="27" t="n">
        <v>0</v>
      </c>
      <c r="I30" s="27" t="n">
        <v>0</v>
      </c>
      <c r="J30" s="27" t="n">
        <v>0</v>
      </c>
      <c r="K30" s="27" t="n">
        <v>0</v>
      </c>
      <c r="L30" s="27" t="n">
        <v>0</v>
      </c>
      <c r="M30" s="27" t="n">
        <v>9130.519712100275</v>
      </c>
      <c r="N30" s="27" t="n">
        <v>161305.8482471048</v>
      </c>
      <c r="O30" s="27" t="n">
        <v>161305.8482471048</v>
      </c>
      <c r="P30" s="27" t="n">
        <v>0</v>
      </c>
      <c r="Q30" s="33" t="inlineStr"/>
    </row>
    <row r="31" ht="30" customHeight="1">
      <c r="A31" s="26" t="n">
        <v>2028</v>
      </c>
      <c r="B31" s="12" t="inlineStr">
        <is>
          <t>Matthew Trust</t>
        </is>
      </c>
      <c r="C31" s="12" t="inlineStr">
        <is>
          <t>Matthew</t>
        </is>
      </c>
      <c r="D31" s="41" t="inlineStr">
        <is>
          <t>taxable</t>
        </is>
      </c>
      <c r="E31" s="12" t="inlineStr">
        <is>
          <t>trust</t>
        </is>
      </c>
      <c r="F31" s="27" t="n">
        <v>65434.24388320271</v>
      </c>
      <c r="G31" s="27" t="n">
        <v>0</v>
      </c>
      <c r="H31" s="27" t="n">
        <v>0</v>
      </c>
      <c r="I31" s="27" t="n">
        <v>0</v>
      </c>
      <c r="J31" s="27" t="n">
        <v>0</v>
      </c>
      <c r="K31" s="27" t="n">
        <v>0</v>
      </c>
      <c r="L31" s="27" t="n">
        <v>65434.24388320271</v>
      </c>
      <c r="M31" s="27" t="n">
        <v>0</v>
      </c>
      <c r="N31" s="27" t="n">
        <v>0</v>
      </c>
      <c r="O31" s="27" t="n">
        <v>0</v>
      </c>
      <c r="P31" s="27" t="n">
        <v>0</v>
      </c>
      <c r="Q31" s="12" t="inlineStr">
        <is>
          <t>withdrawal</t>
        </is>
      </c>
    </row>
    <row r="32" ht="60" customHeight="1">
      <c r="A32" s="26" t="n">
        <v>2028</v>
      </c>
      <c r="B32" s="12" t="inlineStr">
        <is>
          <t>Patricia IRA</t>
        </is>
      </c>
      <c r="C32" s="12" t="inlineStr">
        <is>
          <t>Patricia</t>
        </is>
      </c>
      <c r="D32" s="41" t="inlineStr">
        <is>
          <t>pre_tax</t>
        </is>
      </c>
      <c r="E32" s="12" t="inlineStr">
        <is>
          <t>traditional_ira</t>
        </is>
      </c>
      <c r="F32" s="27" t="n">
        <v>184357.0732532336</v>
      </c>
      <c r="G32" s="27" t="n">
        <v>0</v>
      </c>
      <c r="H32" s="27" t="n">
        <v>0</v>
      </c>
      <c r="I32" s="27" t="n">
        <v>0</v>
      </c>
      <c r="J32" s="27" t="n">
        <v>0</v>
      </c>
      <c r="K32" s="27" t="n">
        <v>156502.5712731815</v>
      </c>
      <c r="L32" s="27" t="n">
        <v>1739.760312076547</v>
      </c>
      <c r="M32" s="27" t="n">
        <v>1566.884500078536</v>
      </c>
      <c r="N32" s="27" t="n">
        <v>27681.62616805414</v>
      </c>
      <c r="O32" s="27" t="n">
        <v>27681.62616805414</v>
      </c>
      <c r="P32" s="27" t="n">
        <v>0</v>
      </c>
      <c r="Q32" s="12" t="inlineStr">
        <is>
          <t>Roth conversion; withdrawal</t>
        </is>
      </c>
    </row>
    <row r="33" ht="30" customHeight="1">
      <c r="A33" s="26" t="n">
        <v>2028</v>
      </c>
      <c r="B33" s="12" t="inlineStr">
        <is>
          <t>Patricia Roth</t>
        </is>
      </c>
      <c r="C33" s="12" t="inlineStr">
        <is>
          <t>Patricia</t>
        </is>
      </c>
      <c r="D33" s="41" t="inlineStr">
        <is>
          <t>roth</t>
        </is>
      </c>
      <c r="E33" s="12" t="inlineStr">
        <is>
          <t>roth_ira</t>
        </is>
      </c>
      <c r="F33" s="27" t="n">
        <v>543584.9046643736</v>
      </c>
      <c r="G33" s="27" t="n">
        <v>0</v>
      </c>
      <c r="H33" s="27" t="n">
        <v>0</v>
      </c>
      <c r="I33" s="27" t="n">
        <v>0</v>
      </c>
      <c r="J33" s="27" t="n">
        <v>156502.5712731815</v>
      </c>
      <c r="K33" s="27" t="n">
        <v>0</v>
      </c>
      <c r="L33" s="27" t="n">
        <v>0</v>
      </c>
      <c r="M33" s="27" t="n">
        <v>42005.2485562533</v>
      </c>
      <c r="N33" s="27" t="n">
        <v>742092.7244938083</v>
      </c>
      <c r="O33" s="27" t="n">
        <v>742092.7244938083</v>
      </c>
      <c r="P33" s="27" t="n">
        <v>0</v>
      </c>
      <c r="Q33" s="12" t="inlineStr">
        <is>
          <t>Roth conversion</t>
        </is>
      </c>
    </row>
    <row r="34" ht="30" customHeight="1">
      <c r="A34" s="26" t="n">
        <v>2028</v>
      </c>
      <c r="B34" s="12" t="inlineStr">
        <is>
          <t>Patricia Trust</t>
        </is>
      </c>
      <c r="C34" s="12" t="inlineStr">
        <is>
          <t>Patricia</t>
        </is>
      </c>
      <c r="D34" s="41" t="inlineStr">
        <is>
          <t>taxable</t>
        </is>
      </c>
      <c r="E34" s="12" t="inlineStr">
        <is>
          <t>trust</t>
        </is>
      </c>
      <c r="F34" s="27" t="n">
        <v>105226.3218740423</v>
      </c>
      <c r="G34" s="27" t="n">
        <v>0</v>
      </c>
      <c r="H34" s="27" t="n">
        <v>0</v>
      </c>
      <c r="I34" s="27" t="n">
        <v>0</v>
      </c>
      <c r="J34" s="27" t="n">
        <v>0</v>
      </c>
      <c r="K34" s="27" t="n">
        <v>0</v>
      </c>
      <c r="L34" s="27" t="n">
        <v>105226.3218740423</v>
      </c>
      <c r="M34" s="27" t="n">
        <v>0</v>
      </c>
      <c r="N34" s="27" t="n">
        <v>0</v>
      </c>
      <c r="O34" s="27" t="n">
        <v>0</v>
      </c>
      <c r="P34" s="27" t="n">
        <v>0</v>
      </c>
      <c r="Q34" s="12" t="inlineStr">
        <is>
          <t>withdrawal</t>
        </is>
      </c>
    </row>
    <row r="35" ht="45" customHeight="1">
      <c r="A35" s="26" t="n">
        <v>2029</v>
      </c>
      <c r="B35" s="12" t="inlineStr">
        <is>
          <t>Business 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 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Matthew HSA</t>
        </is>
      </c>
      <c r="C37" s="12" t="inlineStr">
        <is>
          <t>Matthew</t>
        </is>
      </c>
      <c r="D37" s="41" t="inlineStr">
        <is>
          <t>hsa</t>
        </is>
      </c>
      <c r="E37" s="12" t="inlineStr">
        <is>
          <t>hsa</t>
        </is>
      </c>
      <c r="F37" s="27" t="n">
        <v>88324.15854621981</v>
      </c>
      <c r="G37" s="27" t="n">
        <v>0</v>
      </c>
      <c r="H37" s="27" t="n">
        <v>0</v>
      </c>
      <c r="I37" s="27" t="n">
        <v>0</v>
      </c>
      <c r="J37" s="27" t="n">
        <v>0</v>
      </c>
      <c r="K37" s="27" t="n">
        <v>0</v>
      </c>
      <c r="L37" s="27" t="n">
        <v>0</v>
      </c>
      <c r="M37" s="27" t="n">
        <v>5299.449512773189</v>
      </c>
      <c r="N37" s="27" t="n">
        <v>93623.60805899301</v>
      </c>
      <c r="O37" s="27" t="n">
        <v>93623.60805899301</v>
      </c>
      <c r="P37" s="27" t="n">
        <v>0</v>
      </c>
      <c r="Q37" s="33" t="inlineStr"/>
    </row>
    <row r="38" ht="30" customHeight="1">
      <c r="A38" s="26" t="n">
        <v>2029</v>
      </c>
      <c r="B38" s="12" t="inlineStr">
        <is>
          <t>Matthew 401k</t>
        </is>
      </c>
      <c r="C38" s="12" t="inlineStr">
        <is>
          <t>Matthew</t>
        </is>
      </c>
      <c r="D38" s="41" t="inlineStr">
        <is>
          <t>pre_tax</t>
        </is>
      </c>
      <c r="E38" s="12" t="inlineStr">
        <is>
          <t>401k</t>
        </is>
      </c>
      <c r="F38" s="27" t="n">
        <v>27859.16250730616</v>
      </c>
      <c r="G38" s="27" t="n">
        <v>0</v>
      </c>
      <c r="H38" s="27" t="n">
        <v>0</v>
      </c>
      <c r="I38" s="27" t="n">
        <v>0</v>
      </c>
      <c r="J38" s="27" t="n">
        <v>0</v>
      </c>
      <c r="K38" s="27" t="n">
        <v>27859.16250730616</v>
      </c>
      <c r="L38" s="27" t="n">
        <v>0</v>
      </c>
      <c r="M38" s="27" t="n">
        <v>0</v>
      </c>
      <c r="N38" s="27" t="n">
        <v>0</v>
      </c>
      <c r="O38" s="27" t="n">
        <v>0</v>
      </c>
      <c r="P38" s="27" t="n">
        <v>0</v>
      </c>
      <c r="Q38" s="12" t="inlineStr">
        <is>
          <t>Roth conversion</t>
        </is>
      </c>
    </row>
    <row r="39" ht="60" customHeight="1">
      <c r="A39" s="26" t="n">
        <v>2029</v>
      </c>
      <c r="B39" s="12" t="inlineStr">
        <is>
          <t>Matthew IRA</t>
        </is>
      </c>
      <c r="C39" s="12" t="inlineStr">
        <is>
          <t>Matthew</t>
        </is>
      </c>
      <c r="D39" s="41" t="inlineStr">
        <is>
          <t>pre_tax</t>
        </is>
      </c>
      <c r="E39" s="12" t="inlineStr">
        <is>
          <t>traditional_ira</t>
        </is>
      </c>
      <c r="F39" s="27" t="n">
        <v>1406581.4379842</v>
      </c>
      <c r="G39" s="27" t="n">
        <v>0</v>
      </c>
      <c r="H39" s="27" t="n">
        <v>0</v>
      </c>
      <c r="I39" s="27" t="n">
        <v>0</v>
      </c>
      <c r="J39" s="27" t="n">
        <v>0</v>
      </c>
      <c r="K39" s="27" t="n">
        <v>29454.86979367609</v>
      </c>
      <c r="L39" s="27" t="n">
        <v>143401.1824779538</v>
      </c>
      <c r="M39" s="27" t="n">
        <v>74023.52314275422</v>
      </c>
      <c r="N39" s="27" t="n">
        <v>1307748.908855325</v>
      </c>
      <c r="O39" s="27" t="n">
        <v>1307748.908855325</v>
      </c>
      <c r="P39" s="27" t="n">
        <v>0</v>
      </c>
      <c r="Q39" s="12" t="inlineStr">
        <is>
          <t>Roth conversion; withdrawal</t>
        </is>
      </c>
    </row>
    <row r="40" ht="30" customHeight="1">
      <c r="A40" s="26" t="n">
        <v>2029</v>
      </c>
      <c r="B40" s="12" t="inlineStr">
        <is>
          <t>Matthew Roth</t>
        </is>
      </c>
      <c r="C40" s="12" t="inlineStr">
        <is>
          <t>Matthew</t>
        </is>
      </c>
      <c r="D40" s="41" t="inlineStr">
        <is>
          <t>roth</t>
        </is>
      </c>
      <c r="E40" s="12" t="inlineStr">
        <is>
          <t>roth_ira</t>
        </is>
      </c>
      <c r="F40" s="27" t="n">
        <v>161305.8482471048</v>
      </c>
      <c r="G40" s="27" t="n">
        <v>0</v>
      </c>
      <c r="H40" s="27" t="n">
        <v>0</v>
      </c>
      <c r="I40" s="27" t="n">
        <v>0</v>
      </c>
      <c r="J40" s="27" t="n">
        <v>57314.03230098225</v>
      </c>
      <c r="K40" s="27" t="n">
        <v>0</v>
      </c>
      <c r="L40" s="27" t="n">
        <v>0</v>
      </c>
      <c r="M40" s="27" t="n">
        <v>13117.19283288522</v>
      </c>
      <c r="N40" s="27" t="n">
        <v>231737.0733809723</v>
      </c>
      <c r="O40" s="27" t="n">
        <v>231737.0733809723</v>
      </c>
      <c r="P40" s="27" t="n">
        <v>0</v>
      </c>
      <c r="Q40" s="12" t="inlineStr">
        <is>
          <t>Roth conversion</t>
        </is>
      </c>
    </row>
    <row r="41" ht="30" customHeight="1">
      <c r="A41" s="26" t="n">
        <v>2029</v>
      </c>
      <c r="B41" s="12" t="inlineStr">
        <is>
          <t>Matthew 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Patricia IRA</t>
        </is>
      </c>
      <c r="C42" s="12" t="inlineStr">
        <is>
          <t>Patricia</t>
        </is>
      </c>
      <c r="D42" s="41" t="inlineStr">
        <is>
          <t>pre_tax</t>
        </is>
      </c>
      <c r="E42" s="12" t="inlineStr">
        <is>
          <t>traditional_ira</t>
        </is>
      </c>
      <c r="F42" s="27" t="n">
        <v>27681.62616805414</v>
      </c>
      <c r="G42" s="27" t="n">
        <v>0</v>
      </c>
      <c r="H42" s="27" t="n">
        <v>0</v>
      </c>
      <c r="I42" s="27" t="n">
        <v>0</v>
      </c>
      <c r="J42" s="27" t="n">
        <v>0</v>
      </c>
      <c r="K42" s="27" t="n">
        <v>27681.62616805414</v>
      </c>
      <c r="L42" s="27" t="n">
        <v>0</v>
      </c>
      <c r="M42" s="27" t="n">
        <v>0</v>
      </c>
      <c r="N42" s="27" t="n">
        <v>0</v>
      </c>
      <c r="O42" s="27" t="n">
        <v>0</v>
      </c>
      <c r="P42" s="27" t="n">
        <v>0</v>
      </c>
      <c r="Q42" s="12" t="inlineStr">
        <is>
          <t>Roth conversion</t>
        </is>
      </c>
    </row>
    <row r="43" ht="30" customHeight="1">
      <c r="A43" s="26" t="n">
        <v>2029</v>
      </c>
      <c r="B43" s="12" t="inlineStr">
        <is>
          <t>Patricia Roth</t>
        </is>
      </c>
      <c r="C43" s="12" t="inlineStr">
        <is>
          <t>Patricia</t>
        </is>
      </c>
      <c r="D43" s="41" t="inlineStr">
        <is>
          <t>roth</t>
        </is>
      </c>
      <c r="E43" s="12" t="inlineStr">
        <is>
          <t>roth_ira</t>
        </is>
      </c>
      <c r="F43" s="27" t="n">
        <v>742092.7244938083</v>
      </c>
      <c r="G43" s="27" t="n">
        <v>0</v>
      </c>
      <c r="H43" s="27" t="n">
        <v>0</v>
      </c>
      <c r="I43" s="27" t="n">
        <v>0</v>
      </c>
      <c r="J43" s="27" t="n">
        <v>27681.62616805414</v>
      </c>
      <c r="K43" s="27" t="n">
        <v>0</v>
      </c>
      <c r="L43" s="27" t="n">
        <v>0</v>
      </c>
      <c r="M43" s="27" t="n">
        <v>46186.46103971175</v>
      </c>
      <c r="N43" s="27" t="n">
        <v>815960.8117015742</v>
      </c>
      <c r="O43" s="27" t="n">
        <v>815960.8117015742</v>
      </c>
      <c r="P43" s="27" t="n">
        <v>0</v>
      </c>
      <c r="Q43" s="12" t="inlineStr">
        <is>
          <t>Roth conversion</t>
        </is>
      </c>
    </row>
    <row r="44" ht="30" customHeight="1">
      <c r="A44" s="26" t="n">
        <v>2029</v>
      </c>
      <c r="B44" s="12" t="inlineStr">
        <is>
          <t>Patricia 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 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 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Matthew HSA</t>
        </is>
      </c>
      <c r="C47" s="12" t="inlineStr">
        <is>
          <t>Matthew</t>
        </is>
      </c>
      <c r="D47" s="41" t="inlineStr">
        <is>
          <t>hsa</t>
        </is>
      </c>
      <c r="E47" s="12" t="inlineStr">
        <is>
          <t>hsa</t>
        </is>
      </c>
      <c r="F47" s="27" t="n">
        <v>93623.60805899301</v>
      </c>
      <c r="G47" s="27" t="n">
        <v>0</v>
      </c>
      <c r="H47" s="27" t="n">
        <v>0</v>
      </c>
      <c r="I47" s="27" t="n">
        <v>0</v>
      </c>
      <c r="J47" s="27" t="n">
        <v>0</v>
      </c>
      <c r="K47" s="27" t="n">
        <v>0</v>
      </c>
      <c r="L47" s="27" t="n">
        <v>0</v>
      </c>
      <c r="M47" s="27" t="n">
        <v>5617.41648353958</v>
      </c>
      <c r="N47" s="27" t="n">
        <v>99241.02454253258</v>
      </c>
      <c r="O47" s="27" t="n">
        <v>99241.02454253258</v>
      </c>
      <c r="P47" s="27" t="n">
        <v>0</v>
      </c>
      <c r="Q47" s="33" t="inlineStr"/>
    </row>
    <row r="48" ht="30" customHeight="1">
      <c r="A48" s="26" t="n">
        <v>2030</v>
      </c>
      <c r="B48" s="12" t="inlineStr">
        <is>
          <t>Matthew 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Matthew IRA</t>
        </is>
      </c>
      <c r="C49" s="12" t="inlineStr">
        <is>
          <t>Matthew</t>
        </is>
      </c>
      <c r="D49" s="41" t="inlineStr">
        <is>
          <t>pre_tax</t>
        </is>
      </c>
      <c r="E49" s="12" t="inlineStr">
        <is>
          <t>traditional_ira</t>
        </is>
      </c>
      <c r="F49" s="27" t="n">
        <v>1307748.908855325</v>
      </c>
      <c r="G49" s="27" t="n">
        <v>0</v>
      </c>
      <c r="H49" s="27" t="n">
        <v>0</v>
      </c>
      <c r="I49" s="27" t="n">
        <v>0</v>
      </c>
      <c r="J49" s="27" t="n">
        <v>0</v>
      </c>
      <c r="K49" s="27" t="n">
        <v>93417.36746752539</v>
      </c>
      <c r="L49" s="27" t="n">
        <v>73508.4557675962</v>
      </c>
      <c r="M49" s="27" t="n">
        <v>68449.38513721219</v>
      </c>
      <c r="N49" s="27" t="n">
        <v>1209272.470757415</v>
      </c>
      <c r="O49" s="27" t="n">
        <v>1209272.470757415</v>
      </c>
      <c r="P49" s="27" t="n">
        <v>0</v>
      </c>
      <c r="Q49" s="12" t="inlineStr">
        <is>
          <t>Roth conversion; withdrawal</t>
        </is>
      </c>
    </row>
    <row r="50" ht="30" customHeight="1">
      <c r="A50" s="26" t="n">
        <v>2030</v>
      </c>
      <c r="B50" s="12" t="inlineStr">
        <is>
          <t>Matthew Roth</t>
        </is>
      </c>
      <c r="C50" s="12" t="inlineStr">
        <is>
          <t>Matthew</t>
        </is>
      </c>
      <c r="D50" s="41" t="inlineStr">
        <is>
          <t>roth</t>
        </is>
      </c>
      <c r="E50" s="12" t="inlineStr">
        <is>
          <t>roth_ira</t>
        </is>
      </c>
      <c r="F50" s="27" t="n">
        <v>231737.0733809723</v>
      </c>
      <c r="G50" s="27" t="n">
        <v>0</v>
      </c>
      <c r="H50" s="27" t="n">
        <v>0</v>
      </c>
      <c r="I50" s="27" t="n">
        <v>0</v>
      </c>
      <c r="J50" s="27" t="n">
        <v>93417.36746752539</v>
      </c>
      <c r="K50" s="27" t="n">
        <v>0</v>
      </c>
      <c r="L50" s="27" t="n">
        <v>0</v>
      </c>
      <c r="M50" s="27" t="n">
        <v>19509.26645090986</v>
      </c>
      <c r="N50" s="27" t="n">
        <v>344663.7072994075</v>
      </c>
      <c r="O50" s="27" t="n">
        <v>344663.7072994075</v>
      </c>
      <c r="P50" s="27" t="n">
        <v>0</v>
      </c>
      <c r="Q50" s="12" t="inlineStr">
        <is>
          <t>Roth conversion</t>
        </is>
      </c>
    </row>
    <row r="51" ht="45" customHeight="1">
      <c r="A51" s="26" t="n">
        <v>2030</v>
      </c>
      <c r="B51" s="12" t="inlineStr">
        <is>
          <t>Matthew 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Patricia 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Patricia Roth</t>
        </is>
      </c>
      <c r="C53" s="12" t="inlineStr">
        <is>
          <t>Patricia</t>
        </is>
      </c>
      <c r="D53" s="41" t="inlineStr">
        <is>
          <t>roth</t>
        </is>
      </c>
      <c r="E53" s="12" t="inlineStr">
        <is>
          <t>roth_ira</t>
        </is>
      </c>
      <c r="F53" s="27" t="n">
        <v>815960.8117015742</v>
      </c>
      <c r="G53" s="27" t="n">
        <v>0</v>
      </c>
      <c r="H53" s="27" t="n">
        <v>0</v>
      </c>
      <c r="I53" s="27" t="n">
        <v>0</v>
      </c>
      <c r="J53" s="27" t="n">
        <v>0</v>
      </c>
      <c r="K53" s="27" t="n">
        <v>0</v>
      </c>
      <c r="L53" s="27" t="n">
        <v>0</v>
      </c>
      <c r="M53" s="27" t="n">
        <v>48957.64870209446</v>
      </c>
      <c r="N53" s="27" t="n">
        <v>864918.4604036687</v>
      </c>
      <c r="O53" s="27" t="n">
        <v>864918.4604036687</v>
      </c>
      <c r="P53" s="27" t="n">
        <v>0</v>
      </c>
      <c r="Q53" s="33" t="inlineStr"/>
    </row>
    <row r="54" ht="30" customHeight="1">
      <c r="A54" s="26" t="n">
        <v>2030</v>
      </c>
      <c r="B54" s="12" t="inlineStr">
        <is>
          <t>Patricia 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 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 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Matthew HSA</t>
        </is>
      </c>
      <c r="C57" s="12" t="inlineStr">
        <is>
          <t>Matthew</t>
        </is>
      </c>
      <c r="D57" s="41" t="inlineStr">
        <is>
          <t>hsa</t>
        </is>
      </c>
      <c r="E57" s="12" t="inlineStr">
        <is>
          <t>hsa</t>
        </is>
      </c>
      <c r="F57" s="27" t="n">
        <v>99241.02454253258</v>
      </c>
      <c r="G57" s="27" t="n">
        <v>0</v>
      </c>
      <c r="H57" s="27" t="n">
        <v>0</v>
      </c>
      <c r="I57" s="27" t="n">
        <v>0</v>
      </c>
      <c r="J57" s="27" t="n">
        <v>0</v>
      </c>
      <c r="K57" s="27" t="n">
        <v>0</v>
      </c>
      <c r="L57" s="27" t="n">
        <v>9924.102454253258</v>
      </c>
      <c r="M57" s="27" t="n">
        <v>5359.015325296759</v>
      </c>
      <c r="N57" s="27" t="n">
        <v>94675.93741357609</v>
      </c>
      <c r="O57" s="27" t="n">
        <v>94675.93741357609</v>
      </c>
      <c r="P57" s="27" t="n">
        <v>0</v>
      </c>
      <c r="Q57" s="12" t="inlineStr">
        <is>
          <t>withdrawal</t>
        </is>
      </c>
    </row>
    <row r="58" ht="30" customHeight="1">
      <c r="A58" s="26" t="n">
        <v>2031</v>
      </c>
      <c r="B58" s="12" t="inlineStr">
        <is>
          <t>Matthew 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Matthew IRA</t>
        </is>
      </c>
      <c r="C59" s="12" t="inlineStr">
        <is>
          <t>Matthew</t>
        </is>
      </c>
      <c r="D59" s="41" t="inlineStr">
        <is>
          <t>pre_tax</t>
        </is>
      </c>
      <c r="E59" s="12" t="inlineStr">
        <is>
          <t>traditional_ira</t>
        </is>
      </c>
      <c r="F59" s="27" t="n">
        <v>1209272.470757415</v>
      </c>
      <c r="G59" s="27" t="n">
        <v>0</v>
      </c>
      <c r="H59" s="27" t="n">
        <v>0</v>
      </c>
      <c r="I59" s="27" t="n">
        <v>0</v>
      </c>
      <c r="J59" s="27" t="n">
        <v>0</v>
      </c>
      <c r="K59" s="27" t="n">
        <v>62151.3244411526</v>
      </c>
      <c r="L59" s="27" t="n">
        <v>63303.59777063066</v>
      </c>
      <c r="M59" s="27" t="n">
        <v>65029.05291273792</v>
      </c>
      <c r="N59" s="27" t="n">
        <v>1148846.60145837</v>
      </c>
      <c r="O59" s="27" t="n">
        <v>1148846.60145837</v>
      </c>
      <c r="P59" s="27" t="n">
        <v>0</v>
      </c>
      <c r="Q59" s="12" t="inlineStr">
        <is>
          <t>Roth conversion; withdrawal</t>
        </is>
      </c>
    </row>
    <row r="60" ht="30" customHeight="1">
      <c r="A60" s="26" t="n">
        <v>2031</v>
      </c>
      <c r="B60" s="12" t="inlineStr">
        <is>
          <t>Matthew Roth</t>
        </is>
      </c>
      <c r="C60" s="12" t="inlineStr">
        <is>
          <t>Matthew</t>
        </is>
      </c>
      <c r="D60" s="41" t="inlineStr">
        <is>
          <t>roth</t>
        </is>
      </c>
      <c r="E60" s="12" t="inlineStr">
        <is>
          <t>roth_ira</t>
        </is>
      </c>
      <c r="F60" s="27" t="n">
        <v>344663.7072994075</v>
      </c>
      <c r="G60" s="27" t="n">
        <v>0</v>
      </c>
      <c r="H60" s="27" t="n">
        <v>0</v>
      </c>
      <c r="I60" s="27" t="n">
        <v>0</v>
      </c>
      <c r="J60" s="27" t="n">
        <v>62151.3244411526</v>
      </c>
      <c r="K60" s="27" t="n">
        <v>0</v>
      </c>
      <c r="L60" s="27" t="n">
        <v>0</v>
      </c>
      <c r="M60" s="27" t="n">
        <v>24408.90190443361</v>
      </c>
      <c r="N60" s="27" t="n">
        <v>431223.9336449937</v>
      </c>
      <c r="O60" s="27" t="n">
        <v>431223.9336449937</v>
      </c>
      <c r="P60" s="27" t="n">
        <v>0</v>
      </c>
      <c r="Q60" s="12" t="inlineStr">
        <is>
          <t>Roth conversion</t>
        </is>
      </c>
    </row>
    <row r="61" ht="30" customHeight="1">
      <c r="A61" s="26" t="n">
        <v>2031</v>
      </c>
      <c r="B61" s="12" t="inlineStr">
        <is>
          <t>Matthew 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Patricia 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Patricia Roth</t>
        </is>
      </c>
      <c r="C63" s="12" t="inlineStr">
        <is>
          <t>Patricia</t>
        </is>
      </c>
      <c r="D63" s="41" t="inlineStr">
        <is>
          <t>roth</t>
        </is>
      </c>
      <c r="E63" s="12" t="inlineStr">
        <is>
          <t>roth_ira</t>
        </is>
      </c>
      <c r="F63" s="27" t="n">
        <v>864918.4604036687</v>
      </c>
      <c r="G63" s="27" t="n">
        <v>0</v>
      </c>
      <c r="H63" s="27" t="n">
        <v>0</v>
      </c>
      <c r="I63" s="27" t="n">
        <v>0</v>
      </c>
      <c r="J63" s="27" t="n">
        <v>0</v>
      </c>
      <c r="K63" s="27" t="n">
        <v>0</v>
      </c>
      <c r="L63" s="27" t="n">
        <v>0</v>
      </c>
      <c r="M63" s="27" t="n">
        <v>51895.10762422012</v>
      </c>
      <c r="N63" s="27" t="n">
        <v>916813.5680278888</v>
      </c>
      <c r="O63" s="27" t="n">
        <v>916813.5680278888</v>
      </c>
      <c r="P63" s="27" t="n">
        <v>0</v>
      </c>
      <c r="Q63" s="33" t="inlineStr"/>
    </row>
    <row r="64" ht="30" customHeight="1">
      <c r="A64" s="26" t="n">
        <v>2031</v>
      </c>
      <c r="B64" s="12" t="inlineStr">
        <is>
          <t>Patricia 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 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 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Matthew HSA</t>
        </is>
      </c>
      <c r="C67" s="12" t="inlineStr">
        <is>
          <t>Matthew</t>
        </is>
      </c>
      <c r="D67" s="41" t="inlineStr">
        <is>
          <t>hsa</t>
        </is>
      </c>
      <c r="E67" s="12" t="inlineStr">
        <is>
          <t>hsa</t>
        </is>
      </c>
      <c r="F67" s="27" t="n">
        <v>94675.93741357609</v>
      </c>
      <c r="G67" s="27" t="n">
        <v>0</v>
      </c>
      <c r="H67" s="27" t="n">
        <v>0</v>
      </c>
      <c r="I67" s="27" t="n">
        <v>0</v>
      </c>
      <c r="J67" s="27" t="n">
        <v>0</v>
      </c>
      <c r="K67" s="27" t="n">
        <v>0</v>
      </c>
      <c r="L67" s="27" t="n">
        <v>10519.54860150845</v>
      </c>
      <c r="M67" s="27" t="n">
        <v>5049.383328724058</v>
      </c>
      <c r="N67" s="27" t="n">
        <v>89205.77214079168</v>
      </c>
      <c r="O67" s="27" t="n">
        <v>89205.77214079168</v>
      </c>
      <c r="P67" s="27" t="n">
        <v>0</v>
      </c>
      <c r="Q67" s="12" t="inlineStr">
        <is>
          <t>withdrawal</t>
        </is>
      </c>
    </row>
    <row r="68" ht="30" customHeight="1">
      <c r="A68" s="26" t="n">
        <v>2032</v>
      </c>
      <c r="B68" s="12" t="inlineStr">
        <is>
          <t>Matthew 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Matthew IRA</t>
        </is>
      </c>
      <c r="C69" s="12" t="inlineStr">
        <is>
          <t>Matthew</t>
        </is>
      </c>
      <c r="D69" s="41" t="inlineStr">
        <is>
          <t>pre_tax</t>
        </is>
      </c>
      <c r="E69" s="12" t="inlineStr">
        <is>
          <t>traditional_ira</t>
        </is>
      </c>
      <c r="F69" s="27" t="n">
        <v>1148846.60145837</v>
      </c>
      <c r="G69" s="27" t="n">
        <v>0</v>
      </c>
      <c r="H69" s="27" t="n">
        <v>0</v>
      </c>
      <c r="I69" s="27" t="n">
        <v>0</v>
      </c>
      <c r="J69" s="27" t="n">
        <v>0</v>
      </c>
      <c r="K69" s="27" t="n">
        <v>44530.28919683411</v>
      </c>
      <c r="L69" s="27" t="n">
        <v>163990.1133522663</v>
      </c>
      <c r="M69" s="27" t="n">
        <v>56419.57193455617</v>
      </c>
      <c r="N69" s="27" t="n">
        <v>996745.7708438257</v>
      </c>
      <c r="O69" s="27" t="n">
        <v>996745.7708438257</v>
      </c>
      <c r="P69" s="27" t="n">
        <v>0</v>
      </c>
      <c r="Q69" s="12" t="inlineStr">
        <is>
          <t>Roth conversion; withdrawal</t>
        </is>
      </c>
    </row>
    <row r="70" ht="30" customHeight="1">
      <c r="A70" s="26" t="n">
        <v>2032</v>
      </c>
      <c r="B70" s="12" t="inlineStr">
        <is>
          <t>Matthew Roth</t>
        </is>
      </c>
      <c r="C70" s="12" t="inlineStr">
        <is>
          <t>Matthew</t>
        </is>
      </c>
      <c r="D70" s="41" t="inlineStr">
        <is>
          <t>roth</t>
        </is>
      </c>
      <c r="E70" s="12" t="inlineStr">
        <is>
          <t>roth_ira</t>
        </is>
      </c>
      <c r="F70" s="27" t="n">
        <v>431223.9336449937</v>
      </c>
      <c r="G70" s="27" t="n">
        <v>0</v>
      </c>
      <c r="H70" s="27" t="n">
        <v>0</v>
      </c>
      <c r="I70" s="27" t="n">
        <v>0</v>
      </c>
      <c r="J70" s="27" t="n">
        <v>44530.28919683411</v>
      </c>
      <c r="K70" s="27" t="n">
        <v>0</v>
      </c>
      <c r="L70" s="27" t="n">
        <v>0</v>
      </c>
      <c r="M70" s="27" t="n">
        <v>28545.25337050966</v>
      </c>
      <c r="N70" s="27" t="n">
        <v>504299.4762123374</v>
      </c>
      <c r="O70" s="27" t="n">
        <v>504299.4762123374</v>
      </c>
      <c r="P70" s="27" t="n">
        <v>0</v>
      </c>
      <c r="Q70" s="12" t="inlineStr">
        <is>
          <t>Roth conversion</t>
        </is>
      </c>
    </row>
    <row r="71" ht="30" customHeight="1">
      <c r="A71" s="26" t="n">
        <v>2032</v>
      </c>
      <c r="B71" s="12" t="inlineStr">
        <is>
          <t>Matthew 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Patricia 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Patricia Roth</t>
        </is>
      </c>
      <c r="C73" s="12" t="inlineStr">
        <is>
          <t>Patricia</t>
        </is>
      </c>
      <c r="D73" s="41" t="inlineStr">
        <is>
          <t>roth</t>
        </is>
      </c>
      <c r="E73" s="12" t="inlineStr">
        <is>
          <t>roth_ira</t>
        </is>
      </c>
      <c r="F73" s="27" t="n">
        <v>916813.5680278888</v>
      </c>
      <c r="G73" s="27" t="n">
        <v>0</v>
      </c>
      <c r="H73" s="27" t="n">
        <v>0</v>
      </c>
      <c r="I73" s="27" t="n">
        <v>0</v>
      </c>
      <c r="J73" s="27" t="n">
        <v>0</v>
      </c>
      <c r="K73" s="27" t="n">
        <v>0</v>
      </c>
      <c r="L73" s="27" t="n">
        <v>0</v>
      </c>
      <c r="M73" s="27" t="n">
        <v>55008.81408167332</v>
      </c>
      <c r="N73" s="27" t="n">
        <v>971822.3821095621</v>
      </c>
      <c r="O73" s="27" t="n">
        <v>971822.3821095621</v>
      </c>
      <c r="P73" s="27" t="n">
        <v>0</v>
      </c>
      <c r="Q73" s="33" t="inlineStr"/>
    </row>
    <row r="74" ht="30" customHeight="1">
      <c r="A74" s="26" t="n">
        <v>2032</v>
      </c>
      <c r="B74" s="12" t="inlineStr">
        <is>
          <t>Patricia 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 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 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Matthew HSA</t>
        </is>
      </c>
      <c r="C77" s="12" t="inlineStr">
        <is>
          <t>Matthew</t>
        </is>
      </c>
      <c r="D77" s="41" t="inlineStr">
        <is>
          <t>hsa</t>
        </is>
      </c>
      <c r="E77" s="12" t="inlineStr">
        <is>
          <t>hsa</t>
        </is>
      </c>
      <c r="F77" s="27" t="n">
        <v>89205.77214079168</v>
      </c>
      <c r="G77" s="27" t="n">
        <v>0</v>
      </c>
      <c r="H77" s="27" t="n">
        <v>0</v>
      </c>
      <c r="I77" s="27" t="n">
        <v>0</v>
      </c>
      <c r="J77" s="27" t="n">
        <v>0</v>
      </c>
      <c r="K77" s="27" t="n">
        <v>0</v>
      </c>
      <c r="L77" s="27" t="n">
        <v>11150.72151759896</v>
      </c>
      <c r="M77" s="27" t="n">
        <v>4683.303037391564</v>
      </c>
      <c r="N77" s="27" t="n">
        <v>82738.3536605843</v>
      </c>
      <c r="O77" s="27" t="n">
        <v>82738.3536605843</v>
      </c>
      <c r="P77" s="27" t="n">
        <v>0</v>
      </c>
      <c r="Q77" s="12" t="inlineStr">
        <is>
          <t>withdrawal</t>
        </is>
      </c>
    </row>
    <row r="78" ht="30" customHeight="1">
      <c r="A78" s="26" t="n">
        <v>2033</v>
      </c>
      <c r="B78" s="12" t="inlineStr">
        <is>
          <t>Matthew 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Matthew IRA</t>
        </is>
      </c>
      <c r="C79" s="12" t="inlineStr">
        <is>
          <t>Matthew</t>
        </is>
      </c>
      <c r="D79" s="41" t="inlineStr">
        <is>
          <t>pre_tax</t>
        </is>
      </c>
      <c r="E79" s="12" t="inlineStr">
        <is>
          <t>traditional_ira</t>
        </is>
      </c>
      <c r="F79" s="27" t="n">
        <v>996745.7708438257</v>
      </c>
      <c r="G79" s="27" t="n">
        <v>0</v>
      </c>
      <c r="H79" s="27" t="n">
        <v>0</v>
      </c>
      <c r="I79" s="27" t="n">
        <v>0</v>
      </c>
      <c r="J79" s="27" t="n">
        <v>0</v>
      </c>
      <c r="K79" s="27" t="n">
        <v>50557.68148332619</v>
      </c>
      <c r="L79" s="27" t="n">
        <v>45935.56583308314</v>
      </c>
      <c r="M79" s="27" t="n">
        <v>54015.15141164498</v>
      </c>
      <c r="N79" s="27" t="n">
        <v>954267.6749390614</v>
      </c>
      <c r="O79" s="27" t="n">
        <v>954267.6749390614</v>
      </c>
      <c r="P79" s="27" t="n">
        <v>0</v>
      </c>
      <c r="Q79" s="12" t="inlineStr">
        <is>
          <t>Roth conversion; withdrawal</t>
        </is>
      </c>
    </row>
    <row r="80" ht="30" customHeight="1">
      <c r="A80" s="26" t="n">
        <v>2033</v>
      </c>
      <c r="B80" s="12" t="inlineStr">
        <is>
          <t>Matthew Roth</t>
        </is>
      </c>
      <c r="C80" s="12" t="inlineStr">
        <is>
          <t>Matthew</t>
        </is>
      </c>
      <c r="D80" s="41" t="inlineStr">
        <is>
          <t>roth</t>
        </is>
      </c>
      <c r="E80" s="12" t="inlineStr">
        <is>
          <t>roth_ira</t>
        </is>
      </c>
      <c r="F80" s="27" t="n">
        <v>504299.4762123374</v>
      </c>
      <c r="G80" s="27" t="n">
        <v>0</v>
      </c>
      <c r="H80" s="27" t="n">
        <v>0</v>
      </c>
      <c r="I80" s="27" t="n">
        <v>0</v>
      </c>
      <c r="J80" s="27" t="n">
        <v>50557.68148332619</v>
      </c>
      <c r="K80" s="27" t="n">
        <v>0</v>
      </c>
      <c r="L80" s="27" t="n">
        <v>0</v>
      </c>
      <c r="M80" s="27" t="n">
        <v>33291.42946173982</v>
      </c>
      <c r="N80" s="27" t="n">
        <v>588148.5871574035</v>
      </c>
      <c r="O80" s="27" t="n">
        <v>588148.5871574035</v>
      </c>
      <c r="P80" s="27" t="n">
        <v>0</v>
      </c>
      <c r="Q80" s="12" t="inlineStr">
        <is>
          <t>Roth conversion</t>
        </is>
      </c>
    </row>
    <row r="81" ht="30" customHeight="1">
      <c r="A81" s="26" t="n">
        <v>2033</v>
      </c>
      <c r="B81" s="12" t="inlineStr">
        <is>
          <t>Matthew 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Patricia 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Patricia Roth</t>
        </is>
      </c>
      <c r="C83" s="12" t="inlineStr">
        <is>
          <t>Patricia</t>
        </is>
      </c>
      <c r="D83" s="41" t="inlineStr">
        <is>
          <t>roth</t>
        </is>
      </c>
      <c r="E83" s="12" t="inlineStr">
        <is>
          <t>roth_ira</t>
        </is>
      </c>
      <c r="F83" s="27" t="n">
        <v>971822.3821095621</v>
      </c>
      <c r="G83" s="27" t="n">
        <v>0</v>
      </c>
      <c r="H83" s="27" t="n">
        <v>0</v>
      </c>
      <c r="I83" s="27" t="n">
        <v>0</v>
      </c>
      <c r="J83" s="27" t="n">
        <v>0</v>
      </c>
      <c r="K83" s="27" t="n">
        <v>0</v>
      </c>
      <c r="L83" s="27" t="n">
        <v>0</v>
      </c>
      <c r="M83" s="27" t="n">
        <v>58309.34292657372</v>
      </c>
      <c r="N83" s="27" t="n">
        <v>1030131.725036136</v>
      </c>
      <c r="O83" s="27" t="n">
        <v>1030131.725036136</v>
      </c>
      <c r="P83" s="27" t="n">
        <v>0</v>
      </c>
      <c r="Q83" s="33" t="inlineStr"/>
    </row>
    <row r="84" ht="30" customHeight="1">
      <c r="A84" s="26" t="n">
        <v>2033</v>
      </c>
      <c r="B84" s="12" t="inlineStr">
        <is>
          <t>Patricia 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 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 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Matthew HSA</t>
        </is>
      </c>
      <c r="C87" s="12" t="inlineStr">
        <is>
          <t>Matthew</t>
        </is>
      </c>
      <c r="D87" s="41" t="inlineStr">
        <is>
          <t>hsa</t>
        </is>
      </c>
      <c r="E87" s="12" t="inlineStr">
        <is>
          <t>hsa</t>
        </is>
      </c>
      <c r="F87" s="27" t="n">
        <v>82738.3536605843</v>
      </c>
      <c r="G87" s="27" t="n">
        <v>0</v>
      </c>
      <c r="H87" s="27" t="n">
        <v>0</v>
      </c>
      <c r="I87" s="27" t="n">
        <v>0</v>
      </c>
      <c r="J87" s="27" t="n">
        <v>0</v>
      </c>
      <c r="K87" s="27" t="n">
        <v>0</v>
      </c>
      <c r="L87" s="27" t="n">
        <v>11819.7648086549</v>
      </c>
      <c r="M87" s="27" t="n">
        <v>4255.115331115763</v>
      </c>
      <c r="N87" s="27" t="n">
        <v>75173.70418304516</v>
      </c>
      <c r="O87" s="27" t="n">
        <v>75173.70418304516</v>
      </c>
      <c r="P87" s="27" t="n">
        <v>0</v>
      </c>
      <c r="Q87" s="12" t="inlineStr">
        <is>
          <t>withdrawal</t>
        </is>
      </c>
    </row>
    <row r="88" ht="30" customHeight="1">
      <c r="A88" s="26" t="n">
        <v>2034</v>
      </c>
      <c r="B88" s="12" t="inlineStr">
        <is>
          <t>Matthew 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Matthew IRA</t>
        </is>
      </c>
      <c r="C89" s="12" t="inlineStr">
        <is>
          <t>Matthew</t>
        </is>
      </c>
      <c r="D89" s="41" t="inlineStr">
        <is>
          <t>pre_tax</t>
        </is>
      </c>
      <c r="E89" s="12" t="inlineStr">
        <is>
          <t>traditional_ira</t>
        </is>
      </c>
      <c r="F89" s="27" t="n">
        <v>954267.6749390614</v>
      </c>
      <c r="G89" s="27" t="n">
        <v>0</v>
      </c>
      <c r="H89" s="27" t="n">
        <v>0</v>
      </c>
      <c r="I89" s="27" t="n">
        <v>0</v>
      </c>
      <c r="J89" s="27" t="n">
        <v>0</v>
      </c>
      <c r="K89" s="27" t="n">
        <v>56615.1008459524</v>
      </c>
      <c r="L89" s="27" t="n">
        <v>132394.0983108639</v>
      </c>
      <c r="M89" s="27" t="n">
        <v>45915.50854693471</v>
      </c>
      <c r="N89" s="27" t="n">
        <v>811173.9843291799</v>
      </c>
      <c r="O89" s="27" t="n">
        <v>811173.9843291799</v>
      </c>
      <c r="P89" s="27" t="n">
        <v>0</v>
      </c>
      <c r="Q89" s="12" t="inlineStr">
        <is>
          <t>Roth conversion; withdrawal</t>
        </is>
      </c>
    </row>
    <row r="90" ht="30" customHeight="1">
      <c r="A90" s="26" t="n">
        <v>2034</v>
      </c>
      <c r="B90" s="12" t="inlineStr">
        <is>
          <t>Matthew Roth</t>
        </is>
      </c>
      <c r="C90" s="12" t="inlineStr">
        <is>
          <t>Matthew</t>
        </is>
      </c>
      <c r="D90" s="41" t="inlineStr">
        <is>
          <t>roth</t>
        </is>
      </c>
      <c r="E90" s="12" t="inlineStr">
        <is>
          <t>roth_ira</t>
        </is>
      </c>
      <c r="F90" s="27" t="n">
        <v>588148.5871574035</v>
      </c>
      <c r="G90" s="27" t="n">
        <v>0</v>
      </c>
      <c r="H90" s="27" t="n">
        <v>0</v>
      </c>
      <c r="I90" s="27" t="n">
        <v>0</v>
      </c>
      <c r="J90" s="27" t="n">
        <v>56615.1008459524</v>
      </c>
      <c r="K90" s="27" t="n">
        <v>0</v>
      </c>
      <c r="L90" s="27" t="n">
        <v>0</v>
      </c>
      <c r="M90" s="27" t="n">
        <v>38685.82128020135</v>
      </c>
      <c r="N90" s="27" t="n">
        <v>683449.5092835572</v>
      </c>
      <c r="O90" s="27" t="n">
        <v>683449.5092835572</v>
      </c>
      <c r="P90" s="27" t="n">
        <v>0</v>
      </c>
      <c r="Q90" s="12" t="inlineStr">
        <is>
          <t>Roth conversion</t>
        </is>
      </c>
    </row>
    <row r="91" ht="30" customHeight="1">
      <c r="A91" s="26" t="n">
        <v>2034</v>
      </c>
      <c r="B91" s="12" t="inlineStr">
        <is>
          <t>Matthew 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Patricia 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Patricia Roth</t>
        </is>
      </c>
      <c r="C93" s="12" t="inlineStr">
        <is>
          <t>Patricia</t>
        </is>
      </c>
      <c r="D93" s="41" t="inlineStr">
        <is>
          <t>roth</t>
        </is>
      </c>
      <c r="E93" s="12" t="inlineStr">
        <is>
          <t>roth_ira</t>
        </is>
      </c>
      <c r="F93" s="27" t="n">
        <v>1030131.725036136</v>
      </c>
      <c r="G93" s="27" t="n">
        <v>0</v>
      </c>
      <c r="H93" s="27" t="n">
        <v>0</v>
      </c>
      <c r="I93" s="27" t="n">
        <v>0</v>
      </c>
      <c r="J93" s="27" t="n">
        <v>0</v>
      </c>
      <c r="K93" s="27" t="n">
        <v>0</v>
      </c>
      <c r="L93" s="27" t="n">
        <v>0</v>
      </c>
      <c r="M93" s="27" t="n">
        <v>61807.90350216814</v>
      </c>
      <c r="N93" s="27" t="n">
        <v>1091939.628538304</v>
      </c>
      <c r="O93" s="27" t="n">
        <v>1091939.628538304</v>
      </c>
      <c r="P93" s="27" t="n">
        <v>0</v>
      </c>
      <c r="Q93" s="33" t="inlineStr"/>
    </row>
    <row r="94" ht="30" customHeight="1">
      <c r="A94" s="26" t="n">
        <v>2034</v>
      </c>
      <c r="B94" s="12" t="inlineStr">
        <is>
          <t>Patricia 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 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 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Matthew HSA</t>
        </is>
      </c>
      <c r="C97" s="12" t="inlineStr">
        <is>
          <t>Matthew</t>
        </is>
      </c>
      <c r="D97" s="41" t="inlineStr">
        <is>
          <t>hsa</t>
        </is>
      </c>
      <c r="E97" s="12" t="inlineStr">
        <is>
          <t>hsa</t>
        </is>
      </c>
      <c r="F97" s="27" t="n">
        <v>75173.70418304516</v>
      </c>
      <c r="G97" s="27" t="n">
        <v>0</v>
      </c>
      <c r="H97" s="27" t="n">
        <v>0</v>
      </c>
      <c r="I97" s="27" t="n">
        <v>0</v>
      </c>
      <c r="J97" s="27" t="n">
        <v>0</v>
      </c>
      <c r="K97" s="27" t="n">
        <v>0</v>
      </c>
      <c r="L97" s="27" t="n">
        <v>12528.95069717419</v>
      </c>
      <c r="M97" s="27" t="n">
        <v>3758.685209152258</v>
      </c>
      <c r="N97" s="27" t="n">
        <v>66403.43869502323</v>
      </c>
      <c r="O97" s="27" t="n">
        <v>66403.43869502323</v>
      </c>
      <c r="P97" s="27" t="n">
        <v>0</v>
      </c>
      <c r="Q97" s="12" t="inlineStr">
        <is>
          <t>withdrawal</t>
        </is>
      </c>
    </row>
    <row r="98" ht="30" customHeight="1">
      <c r="A98" s="26" t="n">
        <v>2035</v>
      </c>
      <c r="B98" s="12" t="inlineStr">
        <is>
          <t>Matthew 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Matthew IRA</t>
        </is>
      </c>
      <c r="C99" s="12" t="inlineStr">
        <is>
          <t>Matthew</t>
        </is>
      </c>
      <c r="D99" s="41" t="inlineStr">
        <is>
          <t>pre_tax</t>
        </is>
      </c>
      <c r="E99" s="12" t="inlineStr">
        <is>
          <t>traditional_ira</t>
        </is>
      </c>
      <c r="F99" s="27" t="n">
        <v>811173.9843291799</v>
      </c>
      <c r="G99" s="27" t="n">
        <v>0</v>
      </c>
      <c r="H99" s="27" t="n">
        <v>0</v>
      </c>
      <c r="I99" s="27" t="n">
        <v>0</v>
      </c>
      <c r="J99" s="27" t="n">
        <v>0</v>
      </c>
      <c r="K99" s="27" t="n">
        <v>57327.09731166446</v>
      </c>
      <c r="L99" s="27" t="n">
        <v>90083.10686910556</v>
      </c>
      <c r="M99" s="27" t="n">
        <v>39825.82680890458</v>
      </c>
      <c r="N99" s="27" t="n">
        <v>703589.6069573143</v>
      </c>
      <c r="O99" s="27" t="n">
        <v>703589.6069573143</v>
      </c>
      <c r="P99" s="27" t="n">
        <v>0</v>
      </c>
      <c r="Q99" s="12" t="inlineStr">
        <is>
          <t>Roth conversion; withdrawal</t>
        </is>
      </c>
    </row>
    <row r="100" ht="30" customHeight="1">
      <c r="A100" s="26" t="n">
        <v>2035</v>
      </c>
      <c r="B100" s="12" t="inlineStr">
        <is>
          <t>Matthew Roth</t>
        </is>
      </c>
      <c r="C100" s="12" t="inlineStr">
        <is>
          <t>Matthew</t>
        </is>
      </c>
      <c r="D100" s="41" t="inlineStr">
        <is>
          <t>roth</t>
        </is>
      </c>
      <c r="E100" s="12" t="inlineStr">
        <is>
          <t>roth_ira</t>
        </is>
      </c>
      <c r="F100" s="27" t="n">
        <v>683449.5092835572</v>
      </c>
      <c r="G100" s="27" t="n">
        <v>0</v>
      </c>
      <c r="H100" s="27" t="n">
        <v>0</v>
      </c>
      <c r="I100" s="27" t="n">
        <v>0</v>
      </c>
      <c r="J100" s="27" t="n">
        <v>57327.09731166446</v>
      </c>
      <c r="K100" s="27" t="n">
        <v>0</v>
      </c>
      <c r="L100" s="27" t="n">
        <v>0</v>
      </c>
      <c r="M100" s="27" t="n">
        <v>44446.5963957133</v>
      </c>
      <c r="N100" s="27" t="n">
        <v>785223.202990935</v>
      </c>
      <c r="O100" s="27" t="n">
        <v>785223.202990935</v>
      </c>
      <c r="P100" s="27" t="n">
        <v>0</v>
      </c>
      <c r="Q100" s="12" t="inlineStr">
        <is>
          <t>Roth conversion</t>
        </is>
      </c>
    </row>
    <row r="101" ht="30" customHeight="1">
      <c r="A101" s="26" t="n">
        <v>2035</v>
      </c>
      <c r="B101" s="12" t="inlineStr">
        <is>
          <t>Matthew 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Patricia 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Patricia Roth</t>
        </is>
      </c>
      <c r="C103" s="12" t="inlineStr">
        <is>
          <t>Patricia</t>
        </is>
      </c>
      <c r="D103" s="41" t="inlineStr">
        <is>
          <t>roth</t>
        </is>
      </c>
      <c r="E103" s="12" t="inlineStr">
        <is>
          <t>roth_ira</t>
        </is>
      </c>
      <c r="F103" s="27" t="n">
        <v>1091939.628538304</v>
      </c>
      <c r="G103" s="27" t="n">
        <v>0</v>
      </c>
      <c r="H103" s="27" t="n">
        <v>0</v>
      </c>
      <c r="I103" s="27" t="n">
        <v>0</v>
      </c>
      <c r="J103" s="27" t="n">
        <v>0</v>
      </c>
      <c r="K103" s="27" t="n">
        <v>0</v>
      </c>
      <c r="L103" s="27" t="n">
        <v>0</v>
      </c>
      <c r="M103" s="27" t="n">
        <v>65516.37771229824</v>
      </c>
      <c r="N103" s="27" t="n">
        <v>1157456.006250602</v>
      </c>
      <c r="O103" s="27" t="n">
        <v>1157456.006250602</v>
      </c>
      <c r="P103" s="27" t="n">
        <v>0</v>
      </c>
      <c r="Q103" s="33" t="inlineStr"/>
    </row>
    <row r="104" ht="30" customHeight="1">
      <c r="A104" s="26" t="n">
        <v>2035</v>
      </c>
      <c r="B104" s="12" t="inlineStr">
        <is>
          <t>Patricia 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 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 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Matthew HSA</t>
        </is>
      </c>
      <c r="C107" s="12" t="inlineStr">
        <is>
          <t>Matthew</t>
        </is>
      </c>
      <c r="D107" s="41" t="inlineStr">
        <is>
          <t>hsa</t>
        </is>
      </c>
      <c r="E107" s="12" t="inlineStr">
        <is>
          <t>hsa</t>
        </is>
      </c>
      <c r="F107" s="27" t="n">
        <v>66403.43869502323</v>
      </c>
      <c r="G107" s="27" t="n">
        <v>0</v>
      </c>
      <c r="H107" s="27" t="n">
        <v>0</v>
      </c>
      <c r="I107" s="27" t="n">
        <v>0</v>
      </c>
      <c r="J107" s="27" t="n">
        <v>0</v>
      </c>
      <c r="K107" s="27" t="n">
        <v>0</v>
      </c>
      <c r="L107" s="27" t="n">
        <v>13280.68773900465</v>
      </c>
      <c r="M107" s="27" t="n">
        <v>3187.365057361115</v>
      </c>
      <c r="N107" s="27" t="n">
        <v>56310.1160133797</v>
      </c>
      <c r="O107" s="27" t="n">
        <v>56310.1160133797</v>
      </c>
      <c r="P107" s="27" t="n">
        <v>0</v>
      </c>
      <c r="Q107" s="12" t="inlineStr">
        <is>
          <t>withdrawal</t>
        </is>
      </c>
    </row>
    <row r="108" ht="30" customHeight="1">
      <c r="A108" s="26" t="n">
        <v>2036</v>
      </c>
      <c r="B108" s="12" t="inlineStr">
        <is>
          <t>Matthew 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Matthew IRA</t>
        </is>
      </c>
      <c r="C109" s="12" t="inlineStr">
        <is>
          <t>Matthew</t>
        </is>
      </c>
      <c r="D109" s="41" t="inlineStr">
        <is>
          <t>pre_tax</t>
        </is>
      </c>
      <c r="E109" s="12" t="inlineStr">
        <is>
          <t>traditional_ira</t>
        </is>
      </c>
      <c r="F109" s="27" t="n">
        <v>703589.6069573143</v>
      </c>
      <c r="G109" s="27" t="n">
        <v>0</v>
      </c>
      <c r="H109" s="27" t="n">
        <v>0</v>
      </c>
      <c r="I109" s="27" t="n">
        <v>0</v>
      </c>
      <c r="J109" s="27" t="n">
        <v>0</v>
      </c>
      <c r="K109" s="27" t="n">
        <v>0</v>
      </c>
      <c r="L109" s="27" t="n">
        <v>72580.25631849692</v>
      </c>
      <c r="M109" s="27" t="n">
        <v>37860.56103832904</v>
      </c>
      <c r="N109" s="27" t="n">
        <v>668869.9116771464</v>
      </c>
      <c r="O109" s="27" t="n">
        <v>668869.9116771464</v>
      </c>
      <c r="P109" s="27" t="n">
        <v>0</v>
      </c>
      <c r="Q109" s="12" t="inlineStr">
        <is>
          <t>withdrawal</t>
        </is>
      </c>
    </row>
    <row r="110" ht="30" customHeight="1">
      <c r="A110" s="26" t="n">
        <v>2036</v>
      </c>
      <c r="B110" s="12" t="inlineStr">
        <is>
          <t>Matthew Roth</t>
        </is>
      </c>
      <c r="C110" s="12" t="inlineStr">
        <is>
          <t>Matthew</t>
        </is>
      </c>
      <c r="D110" s="41" t="inlineStr">
        <is>
          <t>roth</t>
        </is>
      </c>
      <c r="E110" s="12" t="inlineStr">
        <is>
          <t>roth_ira</t>
        </is>
      </c>
      <c r="F110" s="27" t="n">
        <v>785223.202990935</v>
      </c>
      <c r="G110" s="27" t="n">
        <v>0</v>
      </c>
      <c r="H110" s="27" t="n">
        <v>0</v>
      </c>
      <c r="I110" s="27" t="n">
        <v>0</v>
      </c>
      <c r="J110" s="27" t="n">
        <v>0</v>
      </c>
      <c r="K110" s="27" t="n">
        <v>0</v>
      </c>
      <c r="L110" s="27" t="n">
        <v>0</v>
      </c>
      <c r="M110" s="27" t="n">
        <v>47113.3921794561</v>
      </c>
      <c r="N110" s="27" t="n">
        <v>832336.595170391</v>
      </c>
      <c r="O110" s="27" t="n">
        <v>832336.595170391</v>
      </c>
      <c r="P110" s="27" t="n">
        <v>0</v>
      </c>
      <c r="Q110" s="33" t="inlineStr"/>
    </row>
    <row r="111" ht="30" customHeight="1">
      <c r="A111" s="26" t="n">
        <v>2036</v>
      </c>
      <c r="B111" s="12" t="inlineStr">
        <is>
          <t>Matthew 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Patricia 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Patricia Roth</t>
        </is>
      </c>
      <c r="C113" s="12" t="inlineStr">
        <is>
          <t>Patricia</t>
        </is>
      </c>
      <c r="D113" s="41" t="inlineStr">
        <is>
          <t>roth</t>
        </is>
      </c>
      <c r="E113" s="12" t="inlineStr">
        <is>
          <t>roth_ira</t>
        </is>
      </c>
      <c r="F113" s="27" t="n">
        <v>1157456.006250602</v>
      </c>
      <c r="G113" s="27" t="n">
        <v>0</v>
      </c>
      <c r="H113" s="27" t="n">
        <v>0</v>
      </c>
      <c r="I113" s="27" t="n">
        <v>0</v>
      </c>
      <c r="J113" s="27" t="n">
        <v>0</v>
      </c>
      <c r="K113" s="27" t="n">
        <v>0</v>
      </c>
      <c r="L113" s="27" t="n">
        <v>0</v>
      </c>
      <c r="M113" s="27" t="n">
        <v>69447.36037503614</v>
      </c>
      <c r="N113" s="27" t="n">
        <v>1226903.366625638</v>
      </c>
      <c r="O113" s="27" t="n">
        <v>1226903.366625638</v>
      </c>
      <c r="P113" s="27" t="n">
        <v>0</v>
      </c>
      <c r="Q113" s="33" t="inlineStr"/>
    </row>
    <row r="114" ht="30" customHeight="1">
      <c r="A114" s="26" t="n">
        <v>2036</v>
      </c>
      <c r="B114" s="12" t="inlineStr">
        <is>
          <t>Patricia 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 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 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Matthew HSA</t>
        </is>
      </c>
      <c r="C117" s="12" t="inlineStr">
        <is>
          <t>Matthew</t>
        </is>
      </c>
      <c r="D117" s="41" t="inlineStr">
        <is>
          <t>hsa</t>
        </is>
      </c>
      <c r="E117" s="12" t="inlineStr">
        <is>
          <t>hsa</t>
        </is>
      </c>
      <c r="F117" s="27" t="n">
        <v>56310.1160133797</v>
      </c>
      <c r="G117" s="27" t="n">
        <v>0</v>
      </c>
      <c r="H117" s="27" t="n">
        <v>0</v>
      </c>
      <c r="I117" s="27" t="n">
        <v>0</v>
      </c>
      <c r="J117" s="27" t="n">
        <v>0</v>
      </c>
      <c r="K117" s="27" t="n">
        <v>0</v>
      </c>
      <c r="L117" s="27" t="n">
        <v>14077.52900334492</v>
      </c>
      <c r="M117" s="27" t="n">
        <v>2533.955220602087</v>
      </c>
      <c r="N117" s="27" t="n">
        <v>44766.54223063687</v>
      </c>
      <c r="O117" s="27" t="n">
        <v>44766.54223063687</v>
      </c>
      <c r="P117" s="27" t="n">
        <v>0</v>
      </c>
      <c r="Q117" s="12" t="inlineStr">
        <is>
          <t>withdrawal</t>
        </is>
      </c>
    </row>
    <row r="118" ht="30" customHeight="1">
      <c r="A118" s="26" t="n">
        <v>2037</v>
      </c>
      <c r="B118" s="12" t="inlineStr">
        <is>
          <t>Matthew 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Matthew IRA</t>
        </is>
      </c>
      <c r="C119" s="12" t="inlineStr">
        <is>
          <t>Matthew</t>
        </is>
      </c>
      <c r="D119" s="41" t="inlineStr">
        <is>
          <t>pre_tax</t>
        </is>
      </c>
      <c r="E119" s="12" t="inlineStr">
        <is>
          <t>traditional_ira</t>
        </is>
      </c>
      <c r="F119" s="27" t="n">
        <v>668869.9116771464</v>
      </c>
      <c r="G119" s="27" t="n">
        <v>0</v>
      </c>
      <c r="H119" s="27" t="n">
        <v>0</v>
      </c>
      <c r="I119" s="27" t="n">
        <v>0</v>
      </c>
      <c r="J119" s="27" t="n">
        <v>0</v>
      </c>
      <c r="K119" s="27" t="n">
        <v>0</v>
      </c>
      <c r="L119" s="27" t="n">
        <v>80708.14343805169</v>
      </c>
      <c r="M119" s="27" t="n">
        <v>35289.70609434568</v>
      </c>
      <c r="N119" s="27" t="n">
        <v>623451.4743334404</v>
      </c>
      <c r="O119" s="27" t="n">
        <v>623451.4743334404</v>
      </c>
      <c r="P119" s="27" t="n">
        <v>0</v>
      </c>
      <c r="Q119" s="12" t="inlineStr">
        <is>
          <t>withdrawal</t>
        </is>
      </c>
    </row>
    <row r="120" ht="30" customHeight="1">
      <c r="A120" s="26" t="n">
        <v>2037</v>
      </c>
      <c r="B120" s="12" t="inlineStr">
        <is>
          <t>Matthew Roth</t>
        </is>
      </c>
      <c r="C120" s="12" t="inlineStr">
        <is>
          <t>Matthew</t>
        </is>
      </c>
      <c r="D120" s="41" t="inlineStr">
        <is>
          <t>roth</t>
        </is>
      </c>
      <c r="E120" s="12" t="inlineStr">
        <is>
          <t>roth_ira</t>
        </is>
      </c>
      <c r="F120" s="27" t="n">
        <v>832336.595170391</v>
      </c>
      <c r="G120" s="27" t="n">
        <v>0</v>
      </c>
      <c r="H120" s="27" t="n">
        <v>0</v>
      </c>
      <c r="I120" s="27" t="n">
        <v>0</v>
      </c>
      <c r="J120" s="27" t="n">
        <v>0</v>
      </c>
      <c r="K120" s="27" t="n">
        <v>0</v>
      </c>
      <c r="L120" s="27" t="n">
        <v>0</v>
      </c>
      <c r="M120" s="27" t="n">
        <v>49940.19571022346</v>
      </c>
      <c r="N120" s="27" t="n">
        <v>882276.7908806144</v>
      </c>
      <c r="O120" s="27" t="n">
        <v>882276.7908806144</v>
      </c>
      <c r="P120" s="27" t="n">
        <v>0</v>
      </c>
      <c r="Q120" s="33" t="inlineStr"/>
    </row>
    <row r="121" ht="30" customHeight="1">
      <c r="A121" s="26" t="n">
        <v>2037</v>
      </c>
      <c r="B121" s="12" t="inlineStr">
        <is>
          <t>Matthew 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Patricia 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Patricia Roth</t>
        </is>
      </c>
      <c r="C123" s="12" t="inlineStr">
        <is>
          <t>Patricia</t>
        </is>
      </c>
      <c r="D123" s="41" t="inlineStr">
        <is>
          <t>roth</t>
        </is>
      </c>
      <c r="E123" s="12" t="inlineStr">
        <is>
          <t>roth_ira</t>
        </is>
      </c>
      <c r="F123" s="27" t="n">
        <v>1226903.366625638</v>
      </c>
      <c r="G123" s="27" t="n">
        <v>0</v>
      </c>
      <c r="H123" s="27" t="n">
        <v>0</v>
      </c>
      <c r="I123" s="27" t="n">
        <v>0</v>
      </c>
      <c r="J123" s="27" t="n">
        <v>0</v>
      </c>
      <c r="K123" s="27" t="n">
        <v>0</v>
      </c>
      <c r="L123" s="27" t="n">
        <v>0</v>
      </c>
      <c r="M123" s="27" t="n">
        <v>73614.20199753829</v>
      </c>
      <c r="N123" s="27" t="n">
        <v>1300517.568623177</v>
      </c>
      <c r="O123" s="27" t="n">
        <v>1300517.568623177</v>
      </c>
      <c r="P123" s="27" t="n">
        <v>0</v>
      </c>
      <c r="Q123" s="33" t="inlineStr"/>
    </row>
    <row r="124" ht="30" customHeight="1">
      <c r="A124" s="26" t="n">
        <v>2037</v>
      </c>
      <c r="B124" s="12" t="inlineStr">
        <is>
          <t>Patricia 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 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 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Matthew HSA</t>
        </is>
      </c>
      <c r="C127" s="12" t="inlineStr">
        <is>
          <t>Matthew</t>
        </is>
      </c>
      <c r="D127" s="41" t="inlineStr">
        <is>
          <t>hsa</t>
        </is>
      </c>
      <c r="E127" s="12" t="inlineStr">
        <is>
          <t>hsa</t>
        </is>
      </c>
      <c r="F127" s="27" t="n">
        <v>44766.54223063687</v>
      </c>
      <c r="G127" s="27" t="n">
        <v>0</v>
      </c>
      <c r="H127" s="27" t="n">
        <v>0</v>
      </c>
      <c r="I127" s="27" t="n">
        <v>0</v>
      </c>
      <c r="J127" s="27" t="n">
        <v>0</v>
      </c>
      <c r="K127" s="27" t="n">
        <v>0</v>
      </c>
      <c r="L127" s="27" t="n">
        <v>14922.18074354562</v>
      </c>
      <c r="M127" s="27" t="n">
        <v>1790.661689225475</v>
      </c>
      <c r="N127" s="27" t="n">
        <v>31635.02317631672</v>
      </c>
      <c r="O127" s="27" t="n">
        <v>31635.02317631672</v>
      </c>
      <c r="P127" s="27" t="n">
        <v>0</v>
      </c>
      <c r="Q127" s="12" t="inlineStr">
        <is>
          <t>withdrawal</t>
        </is>
      </c>
    </row>
    <row r="128" ht="30" customHeight="1">
      <c r="A128" s="26" t="n">
        <v>2038</v>
      </c>
      <c r="B128" s="12" t="inlineStr">
        <is>
          <t>Matthew 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Matthew IRA</t>
        </is>
      </c>
      <c r="C129" s="12" t="inlineStr">
        <is>
          <t>Matthew</t>
        </is>
      </c>
      <c r="D129" s="41" t="inlineStr">
        <is>
          <t>pre_tax</t>
        </is>
      </c>
      <c r="E129" s="12" t="inlineStr">
        <is>
          <t>traditional_ira</t>
        </is>
      </c>
      <c r="F129" s="27" t="n">
        <v>623451.4743334404</v>
      </c>
      <c r="G129" s="27" t="n">
        <v>0</v>
      </c>
      <c r="H129" s="27" t="n">
        <v>0</v>
      </c>
      <c r="I129" s="27" t="n">
        <v>0</v>
      </c>
      <c r="J129" s="27" t="n">
        <v>0</v>
      </c>
      <c r="K129" s="27" t="n">
        <v>0</v>
      </c>
      <c r="L129" s="27" t="n">
        <v>88997.27380888713</v>
      </c>
      <c r="M129" s="27" t="n">
        <v>32067.2520314732</v>
      </c>
      <c r="N129" s="27" t="n">
        <v>566521.4525560265</v>
      </c>
      <c r="O129" s="27" t="n">
        <v>566521.4525560265</v>
      </c>
      <c r="P129" s="27" t="n">
        <v>0</v>
      </c>
      <c r="Q129" s="12" t="inlineStr">
        <is>
          <t>withdrawal</t>
        </is>
      </c>
    </row>
    <row r="130" ht="30" customHeight="1">
      <c r="A130" s="26" t="n">
        <v>2038</v>
      </c>
      <c r="B130" s="12" t="inlineStr">
        <is>
          <t>Matthew Roth</t>
        </is>
      </c>
      <c r="C130" s="12" t="inlineStr">
        <is>
          <t>Matthew</t>
        </is>
      </c>
      <c r="D130" s="41" t="inlineStr">
        <is>
          <t>roth</t>
        </is>
      </c>
      <c r="E130" s="12" t="inlineStr">
        <is>
          <t>roth_ira</t>
        </is>
      </c>
      <c r="F130" s="27" t="n">
        <v>882276.7908806144</v>
      </c>
      <c r="G130" s="27" t="n">
        <v>0</v>
      </c>
      <c r="H130" s="27" t="n">
        <v>0</v>
      </c>
      <c r="I130" s="27" t="n">
        <v>0</v>
      </c>
      <c r="J130" s="27" t="n">
        <v>0</v>
      </c>
      <c r="K130" s="27" t="n">
        <v>0</v>
      </c>
      <c r="L130" s="27" t="n">
        <v>0</v>
      </c>
      <c r="M130" s="27" t="n">
        <v>52936.60745283686</v>
      </c>
      <c r="N130" s="27" t="n">
        <v>935213.3983334512</v>
      </c>
      <c r="O130" s="27" t="n">
        <v>935213.3983334512</v>
      </c>
      <c r="P130" s="27" t="n">
        <v>0</v>
      </c>
      <c r="Q130" s="33" t="inlineStr"/>
    </row>
    <row r="131" ht="30" customHeight="1">
      <c r="A131" s="26" t="n">
        <v>2038</v>
      </c>
      <c r="B131" s="12" t="inlineStr">
        <is>
          <t>Matthew 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Patricia 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Patricia Roth</t>
        </is>
      </c>
      <c r="C133" s="12" t="inlineStr">
        <is>
          <t>Patricia</t>
        </is>
      </c>
      <c r="D133" s="41" t="inlineStr">
        <is>
          <t>roth</t>
        </is>
      </c>
      <c r="E133" s="12" t="inlineStr">
        <is>
          <t>roth_ira</t>
        </is>
      </c>
      <c r="F133" s="27" t="n">
        <v>1300517.568623177</v>
      </c>
      <c r="G133" s="27" t="n">
        <v>0</v>
      </c>
      <c r="H133" s="27" t="n">
        <v>0</v>
      </c>
      <c r="I133" s="27" t="n">
        <v>0</v>
      </c>
      <c r="J133" s="27" t="n">
        <v>0</v>
      </c>
      <c r="K133" s="27" t="n">
        <v>0</v>
      </c>
      <c r="L133" s="27" t="n">
        <v>0</v>
      </c>
      <c r="M133" s="27" t="n">
        <v>78031.05411739059</v>
      </c>
      <c r="N133" s="27" t="n">
        <v>1378548.622740567</v>
      </c>
      <c r="O133" s="27" t="n">
        <v>1378548.622740567</v>
      </c>
      <c r="P133" s="27" t="n">
        <v>0</v>
      </c>
      <c r="Q133" s="33" t="inlineStr"/>
    </row>
    <row r="134" ht="30" customHeight="1">
      <c r="A134" s="26" t="n">
        <v>2038</v>
      </c>
      <c r="B134" s="12" t="inlineStr">
        <is>
          <t>Patricia 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 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 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Matthew HSA</t>
        </is>
      </c>
      <c r="C137" s="12" t="inlineStr">
        <is>
          <t>Matthew</t>
        </is>
      </c>
      <c r="D137" s="41" t="inlineStr">
        <is>
          <t>hsa</t>
        </is>
      </c>
      <c r="E137" s="12" t="inlineStr">
        <is>
          <t>hsa</t>
        </is>
      </c>
      <c r="F137" s="27" t="n">
        <v>31635.02317631672</v>
      </c>
      <c r="G137" s="27" t="n">
        <v>0</v>
      </c>
      <c r="H137" s="27" t="n">
        <v>0</v>
      </c>
      <c r="I137" s="27" t="n">
        <v>0</v>
      </c>
      <c r="J137" s="27" t="n">
        <v>0</v>
      </c>
      <c r="K137" s="27" t="n">
        <v>0</v>
      </c>
      <c r="L137" s="27" t="n">
        <v>15817.51158815836</v>
      </c>
      <c r="M137" s="27" t="n">
        <v>949.0506952895017</v>
      </c>
      <c r="N137" s="27" t="n">
        <v>16766.56228344786</v>
      </c>
      <c r="O137" s="27" t="n">
        <v>16766.56228344786</v>
      </c>
      <c r="P137" s="27" t="n">
        <v>0</v>
      </c>
      <c r="Q137" s="12" t="inlineStr">
        <is>
          <t>withdrawal</t>
        </is>
      </c>
    </row>
    <row r="138" ht="30" customHeight="1">
      <c r="A138" s="26" t="n">
        <v>2039</v>
      </c>
      <c r="B138" s="12" t="inlineStr">
        <is>
          <t>Matthew 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Matthew IRA</t>
        </is>
      </c>
      <c r="C139" s="12" t="inlineStr">
        <is>
          <t>Matthew</t>
        </is>
      </c>
      <c r="D139" s="41" t="inlineStr">
        <is>
          <t>pre_tax</t>
        </is>
      </c>
      <c r="E139" s="12" t="inlineStr">
        <is>
          <t>traditional_ira</t>
        </is>
      </c>
      <c r="F139" s="27" t="n">
        <v>566521.4525560265</v>
      </c>
      <c r="G139" s="27" t="n">
        <v>0</v>
      </c>
      <c r="H139" s="27" t="n">
        <v>0</v>
      </c>
      <c r="I139" s="27" t="n">
        <v>0</v>
      </c>
      <c r="J139" s="27" t="n">
        <v>0</v>
      </c>
      <c r="K139" s="27" t="n">
        <v>0</v>
      </c>
      <c r="L139" s="27" t="n">
        <v>97436.13854539511</v>
      </c>
      <c r="M139" s="27" t="n">
        <v>28145.11884063789</v>
      </c>
      <c r="N139" s="27" t="n">
        <v>497230.4328512693</v>
      </c>
      <c r="O139" s="27" t="n">
        <v>497230.4328512694</v>
      </c>
      <c r="P139" s="27" t="n">
        <v>5.820766091346741e-11</v>
      </c>
      <c r="Q139" s="12" t="inlineStr">
        <is>
          <t>withdrawal</t>
        </is>
      </c>
    </row>
    <row r="140" ht="30" customHeight="1">
      <c r="A140" s="26" t="n">
        <v>2039</v>
      </c>
      <c r="B140" s="12" t="inlineStr">
        <is>
          <t>Matthew Roth</t>
        </is>
      </c>
      <c r="C140" s="12" t="inlineStr">
        <is>
          <t>Matthew</t>
        </is>
      </c>
      <c r="D140" s="41" t="inlineStr">
        <is>
          <t>roth</t>
        </is>
      </c>
      <c r="E140" s="12" t="inlineStr">
        <is>
          <t>roth_ira</t>
        </is>
      </c>
      <c r="F140" s="27" t="n">
        <v>935213.3983334512</v>
      </c>
      <c r="G140" s="27" t="n">
        <v>0</v>
      </c>
      <c r="H140" s="27" t="n">
        <v>0</v>
      </c>
      <c r="I140" s="27" t="n">
        <v>0</v>
      </c>
      <c r="J140" s="27" t="n">
        <v>0</v>
      </c>
      <c r="K140" s="27" t="n">
        <v>0</v>
      </c>
      <c r="L140" s="27" t="n">
        <v>0</v>
      </c>
      <c r="M140" s="27" t="n">
        <v>56112.80390000707</v>
      </c>
      <c r="N140" s="27" t="n">
        <v>991326.2022334583</v>
      </c>
      <c r="O140" s="27" t="n">
        <v>991326.2022334583</v>
      </c>
      <c r="P140" s="27" t="n">
        <v>0</v>
      </c>
      <c r="Q140" s="33" t="inlineStr"/>
    </row>
    <row r="141" ht="30" customHeight="1">
      <c r="A141" s="26" t="n">
        <v>2039</v>
      </c>
      <c r="B141" s="12" t="inlineStr">
        <is>
          <t>Matthew 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2.811217696030156e-13</v>
      </c>
      <c r="N141" s="27" t="n">
        <v>2.811217696030156e-13</v>
      </c>
      <c r="O141" s="27" t="n">
        <v>7.557079383786441e-12</v>
      </c>
      <c r="P141" s="27" t="n">
        <v>7.275957614183425e-12</v>
      </c>
      <c r="Q141" s="33" t="inlineStr"/>
    </row>
    <row r="142" ht="30" customHeight="1">
      <c r="A142" s="26" t="n">
        <v>2039</v>
      </c>
      <c r="B142" s="12" t="inlineStr">
        <is>
          <t>Patricia 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Patricia Roth</t>
        </is>
      </c>
      <c r="C143" s="12" t="inlineStr">
        <is>
          <t>Patricia</t>
        </is>
      </c>
      <c r="D143" s="41" t="inlineStr">
        <is>
          <t>roth</t>
        </is>
      </c>
      <c r="E143" s="12" t="inlineStr">
        <is>
          <t>roth_ira</t>
        </is>
      </c>
      <c r="F143" s="27" t="n">
        <v>1378548.622740567</v>
      </c>
      <c r="G143" s="27" t="n">
        <v>0</v>
      </c>
      <c r="H143" s="27" t="n">
        <v>0</v>
      </c>
      <c r="I143" s="27" t="n">
        <v>0</v>
      </c>
      <c r="J143" s="27" t="n">
        <v>0</v>
      </c>
      <c r="K143" s="27" t="n">
        <v>0</v>
      </c>
      <c r="L143" s="27" t="n">
        <v>0</v>
      </c>
      <c r="M143" s="27" t="n">
        <v>82712.91736443403</v>
      </c>
      <c r="N143" s="27" t="n">
        <v>1461261.540105001</v>
      </c>
      <c r="O143" s="27" t="n">
        <v>1461261.540105001</v>
      </c>
      <c r="P143" s="27" t="n">
        <v>0</v>
      </c>
      <c r="Q143" s="33" t="inlineStr"/>
    </row>
    <row r="144" ht="30" customHeight="1">
      <c r="A144" s="26" t="n">
        <v>2039</v>
      </c>
      <c r="B144" s="12" t="inlineStr">
        <is>
          <t>Patricia 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 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 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Matthew HSA</t>
        </is>
      </c>
      <c r="C147" s="12" t="inlineStr">
        <is>
          <t>Matthew</t>
        </is>
      </c>
      <c r="D147" s="41" t="inlineStr">
        <is>
          <t>hsa</t>
        </is>
      </c>
      <c r="E147" s="12" t="inlineStr">
        <is>
          <t>hsa</t>
        </is>
      </c>
      <c r="F147" s="27" t="n">
        <v>16766.56228344786</v>
      </c>
      <c r="G147" s="27" t="n">
        <v>0</v>
      </c>
      <c r="H147" s="27" t="n">
        <v>0</v>
      </c>
      <c r="I147" s="27" t="n">
        <v>0</v>
      </c>
      <c r="J147" s="27" t="n">
        <v>0</v>
      </c>
      <c r="K147" s="27" t="n">
        <v>0</v>
      </c>
      <c r="L147" s="27" t="n">
        <v>16766.56228344786</v>
      </c>
      <c r="M147" s="27" t="n">
        <v>0</v>
      </c>
      <c r="N147" s="27" t="n">
        <v>0</v>
      </c>
      <c r="O147" s="27" t="n">
        <v>0</v>
      </c>
      <c r="P147" s="27" t="n">
        <v>0</v>
      </c>
      <c r="Q147" s="12" t="inlineStr">
        <is>
          <t>withdrawal</t>
        </is>
      </c>
    </row>
    <row r="148" ht="30" customHeight="1">
      <c r="A148" s="26" t="n">
        <v>2040</v>
      </c>
      <c r="B148" s="12" t="inlineStr">
        <is>
          <t>Matthew 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Matthew IRA</t>
        </is>
      </c>
      <c r="C149" s="12" t="inlineStr">
        <is>
          <t>Matthew</t>
        </is>
      </c>
      <c r="D149" s="41" t="inlineStr">
        <is>
          <t>pre_tax</t>
        </is>
      </c>
      <c r="E149" s="12" t="inlineStr">
        <is>
          <t>traditional_ira</t>
        </is>
      </c>
      <c r="F149" s="27" t="n">
        <v>497230.4328512694</v>
      </c>
      <c r="G149" s="27" t="n">
        <v>0</v>
      </c>
      <c r="H149" s="27" t="n">
        <v>0</v>
      </c>
      <c r="I149" s="27" t="n">
        <v>0</v>
      </c>
      <c r="J149" s="27" t="n">
        <v>0</v>
      </c>
      <c r="K149" s="27" t="n">
        <v>0</v>
      </c>
      <c r="L149" s="27" t="n">
        <v>106042.4213089846</v>
      </c>
      <c r="M149" s="27" t="n">
        <v>23471.28069253708</v>
      </c>
      <c r="N149" s="27" t="n">
        <v>414659.2922348218</v>
      </c>
      <c r="O149" s="27" t="n">
        <v>414659.2922348218</v>
      </c>
      <c r="P149" s="27" t="n">
        <v>0</v>
      </c>
      <c r="Q149" s="12" t="inlineStr">
        <is>
          <t>withdrawal</t>
        </is>
      </c>
    </row>
    <row r="150" ht="30" customHeight="1">
      <c r="A150" s="26" t="n">
        <v>2040</v>
      </c>
      <c r="B150" s="12" t="inlineStr">
        <is>
          <t>Matthew Roth</t>
        </is>
      </c>
      <c r="C150" s="12" t="inlineStr">
        <is>
          <t>Matthew</t>
        </is>
      </c>
      <c r="D150" s="41" t="inlineStr">
        <is>
          <t>roth</t>
        </is>
      </c>
      <c r="E150" s="12" t="inlineStr">
        <is>
          <t>roth_ira</t>
        </is>
      </c>
      <c r="F150" s="27" t="n">
        <v>991326.2022334583</v>
      </c>
      <c r="G150" s="27" t="n">
        <v>0</v>
      </c>
      <c r="H150" s="27" t="n">
        <v>0</v>
      </c>
      <c r="I150" s="27" t="n">
        <v>0</v>
      </c>
      <c r="J150" s="27" t="n">
        <v>0</v>
      </c>
      <c r="K150" s="27" t="n">
        <v>0</v>
      </c>
      <c r="L150" s="27" t="n">
        <v>0</v>
      </c>
      <c r="M150" s="27" t="n">
        <v>59479.5721340075</v>
      </c>
      <c r="N150" s="27" t="n">
        <v>1050805.774367466</v>
      </c>
      <c r="O150" s="27" t="n">
        <v>1050805.774367466</v>
      </c>
      <c r="P150" s="27" t="n">
        <v>0</v>
      </c>
      <c r="Q150" s="33" t="inlineStr"/>
    </row>
    <row r="151" ht="30" customHeight="1">
      <c r="A151" s="26" t="n">
        <v>2040</v>
      </c>
      <c r="B151" s="12" t="inlineStr">
        <is>
          <t>Matthew Trust</t>
        </is>
      </c>
      <c r="C151" s="12" t="inlineStr">
        <is>
          <t>Matthew</t>
        </is>
      </c>
      <c r="D151" s="41" t="inlineStr">
        <is>
          <t>taxable</t>
        </is>
      </c>
      <c r="E151" s="12" t="inlineStr">
        <is>
          <t>trust</t>
        </is>
      </c>
      <c r="F151" s="27" t="n">
        <v>7.557079383786441e-12</v>
      </c>
      <c r="G151" s="27" t="n">
        <v>0</v>
      </c>
      <c r="H151" s="27" t="n">
        <v>0</v>
      </c>
      <c r="I151" s="27" t="n">
        <v>0</v>
      </c>
      <c r="J151" s="27" t="n">
        <v>0</v>
      </c>
      <c r="K151" s="27" t="n">
        <v>0</v>
      </c>
      <c r="L151" s="27" t="n">
        <v>0</v>
      </c>
      <c r="M151" s="27" t="n">
        <v>2.919834944144238e-13</v>
      </c>
      <c r="N151" s="27" t="n">
        <v>7.849062878200864e-12</v>
      </c>
      <c r="O151" s="27" t="n">
        <v>7.849062878200864e-12</v>
      </c>
      <c r="P151" s="27" t="n">
        <v>0</v>
      </c>
      <c r="Q151" s="33" t="inlineStr"/>
    </row>
    <row r="152" ht="30" customHeight="1">
      <c r="A152" s="26" t="n">
        <v>2040</v>
      </c>
      <c r="B152" s="12" t="inlineStr">
        <is>
          <t>Patricia 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Patricia Roth</t>
        </is>
      </c>
      <c r="C153" s="12" t="inlineStr">
        <is>
          <t>Patricia</t>
        </is>
      </c>
      <c r="D153" s="41" t="inlineStr">
        <is>
          <t>roth</t>
        </is>
      </c>
      <c r="E153" s="12" t="inlineStr">
        <is>
          <t>roth_ira</t>
        </is>
      </c>
      <c r="F153" s="27" t="n">
        <v>1461261.540105001</v>
      </c>
      <c r="G153" s="27" t="n">
        <v>0</v>
      </c>
      <c r="H153" s="27" t="n">
        <v>0</v>
      </c>
      <c r="I153" s="27" t="n">
        <v>0</v>
      </c>
      <c r="J153" s="27" t="n">
        <v>0</v>
      </c>
      <c r="K153" s="27" t="n">
        <v>0</v>
      </c>
      <c r="L153" s="27" t="n">
        <v>0</v>
      </c>
      <c r="M153" s="27" t="n">
        <v>87675.69240630008</v>
      </c>
      <c r="N153" s="27" t="n">
        <v>1548937.232511301</v>
      </c>
      <c r="O153" s="27" t="n">
        <v>1548937.232511301</v>
      </c>
      <c r="P153" s="27" t="n">
        <v>0</v>
      </c>
      <c r="Q153" s="33" t="inlineStr"/>
    </row>
    <row r="154" ht="30" customHeight="1">
      <c r="A154" s="26" t="n">
        <v>2040</v>
      </c>
      <c r="B154" s="12" t="inlineStr">
        <is>
          <t>Patricia 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 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 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Matthew 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Matthew 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Matthew IRA</t>
        </is>
      </c>
      <c r="C159" s="12" t="inlineStr">
        <is>
          <t>Matthew</t>
        </is>
      </c>
      <c r="D159" s="41" t="inlineStr">
        <is>
          <t>pre_tax</t>
        </is>
      </c>
      <c r="E159" s="12" t="inlineStr">
        <is>
          <t>traditional_ira</t>
        </is>
      </c>
      <c r="F159" s="27" t="n">
        <v>414659.2922348218</v>
      </c>
      <c r="G159" s="27" t="n">
        <v>0</v>
      </c>
      <c r="H159" s="27" t="n">
        <v>0</v>
      </c>
      <c r="I159" s="27" t="n">
        <v>0</v>
      </c>
      <c r="J159" s="27" t="n">
        <v>0</v>
      </c>
      <c r="K159" s="27" t="n">
        <v>0</v>
      </c>
      <c r="L159" s="27" t="n">
        <v>132000.8895352447</v>
      </c>
      <c r="M159" s="27" t="n">
        <v>16959.50416197463</v>
      </c>
      <c r="N159" s="27" t="n">
        <v>299617.9068615518</v>
      </c>
      <c r="O159" s="27" t="n">
        <v>299617.9068615519</v>
      </c>
      <c r="P159" s="27" t="n">
        <v>5.820766091346741e-11</v>
      </c>
      <c r="Q159" s="12" t="inlineStr">
        <is>
          <t>withdrawal</t>
        </is>
      </c>
    </row>
    <row r="160" ht="30" customHeight="1">
      <c r="A160" s="26" t="n">
        <v>2041</v>
      </c>
      <c r="B160" s="12" t="inlineStr">
        <is>
          <t>Matthew Roth</t>
        </is>
      </c>
      <c r="C160" s="12" t="inlineStr">
        <is>
          <t>Matthew</t>
        </is>
      </c>
      <c r="D160" s="41" t="inlineStr">
        <is>
          <t>roth</t>
        </is>
      </c>
      <c r="E160" s="12" t="inlineStr">
        <is>
          <t>roth_ira</t>
        </is>
      </c>
      <c r="F160" s="27" t="n">
        <v>1050805.774367466</v>
      </c>
      <c r="G160" s="27" t="n">
        <v>0</v>
      </c>
      <c r="H160" s="27" t="n">
        <v>0</v>
      </c>
      <c r="I160" s="27" t="n">
        <v>0</v>
      </c>
      <c r="J160" s="27" t="n">
        <v>0</v>
      </c>
      <c r="K160" s="27" t="n">
        <v>0</v>
      </c>
      <c r="L160" s="27" t="n">
        <v>0</v>
      </c>
      <c r="M160" s="27" t="n">
        <v>63048.34646204795</v>
      </c>
      <c r="N160" s="27" t="n">
        <v>1113854.120829514</v>
      </c>
      <c r="O160" s="27" t="n">
        <v>1113854.120829514</v>
      </c>
      <c r="P160" s="27" t="n">
        <v>0</v>
      </c>
      <c r="Q160" s="33" t="inlineStr"/>
    </row>
    <row r="161" ht="30" customHeight="1">
      <c r="A161" s="26" t="n">
        <v>2041</v>
      </c>
      <c r="B161" s="12" t="inlineStr">
        <is>
          <t>Matthew Trust</t>
        </is>
      </c>
      <c r="C161" s="12" t="inlineStr">
        <is>
          <t>Matthew</t>
        </is>
      </c>
      <c r="D161" s="41" t="inlineStr">
        <is>
          <t>taxable</t>
        </is>
      </c>
      <c r="E161" s="12" t="inlineStr">
        <is>
          <t>trust</t>
        </is>
      </c>
      <c r="F161" s="27" t="n">
        <v>7.849062878200864e-12</v>
      </c>
      <c r="G161" s="27" t="n">
        <v>0</v>
      </c>
      <c r="H161" s="27" t="n">
        <v>0</v>
      </c>
      <c r="I161" s="27" t="n">
        <v>0</v>
      </c>
      <c r="J161" s="27" t="n">
        <v>0</v>
      </c>
      <c r="K161" s="27" t="n">
        <v>0</v>
      </c>
      <c r="L161" s="27" t="n">
        <v>0</v>
      </c>
      <c r="M161" s="27" t="n">
        <v>3.032648845759946e-13</v>
      </c>
      <c r="N161" s="27" t="n">
        <v>8.15232776277686e-12</v>
      </c>
      <c r="O161" s="27" t="n">
        <v>8.15232776277686e-12</v>
      </c>
      <c r="P161" s="27" t="n">
        <v>0</v>
      </c>
      <c r="Q161" s="33" t="inlineStr"/>
    </row>
    <row r="162" ht="30" customHeight="1">
      <c r="A162" s="26" t="n">
        <v>2041</v>
      </c>
      <c r="B162" s="12" t="inlineStr">
        <is>
          <t>Patricia 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Patricia Roth</t>
        </is>
      </c>
      <c r="C163" s="12" t="inlineStr">
        <is>
          <t>Patricia</t>
        </is>
      </c>
      <c r="D163" s="41" t="inlineStr">
        <is>
          <t>roth</t>
        </is>
      </c>
      <c r="E163" s="12" t="inlineStr">
        <is>
          <t>roth_ira</t>
        </is>
      </c>
      <c r="F163" s="27" t="n">
        <v>1548937.232511301</v>
      </c>
      <c r="G163" s="27" t="n">
        <v>0</v>
      </c>
      <c r="H163" s="27" t="n">
        <v>0</v>
      </c>
      <c r="I163" s="27" t="n">
        <v>0</v>
      </c>
      <c r="J163" s="27" t="n">
        <v>0</v>
      </c>
      <c r="K163" s="27" t="n">
        <v>0</v>
      </c>
      <c r="L163" s="27" t="n">
        <v>0</v>
      </c>
      <c r="M163" s="27" t="n">
        <v>92936.23395067807</v>
      </c>
      <c r="N163" s="27" t="n">
        <v>1641873.466461979</v>
      </c>
      <c r="O163" s="27" t="n">
        <v>1641873.466461979</v>
      </c>
      <c r="P163" s="27" t="n">
        <v>0</v>
      </c>
      <c r="Q163" s="33" t="inlineStr"/>
    </row>
    <row r="164" ht="30" customHeight="1">
      <c r="A164" s="26" t="n">
        <v>2041</v>
      </c>
      <c r="B164" s="12" t="inlineStr">
        <is>
          <t>Patricia 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 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 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Matthew 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Matthew 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Matthew IRA</t>
        </is>
      </c>
      <c r="C169" s="12" t="inlineStr">
        <is>
          <t>Matthew</t>
        </is>
      </c>
      <c r="D169" s="41" t="inlineStr">
        <is>
          <t>pre_tax</t>
        </is>
      </c>
      <c r="E169" s="12" t="inlineStr">
        <is>
          <t>traditional_ira</t>
        </is>
      </c>
      <c r="F169" s="27" t="n">
        <v>299617.9068615519</v>
      </c>
      <c r="G169" s="27" t="n">
        <v>0</v>
      </c>
      <c r="H169" s="27" t="n">
        <v>0</v>
      </c>
      <c r="I169" s="27" t="n">
        <v>0</v>
      </c>
      <c r="J169" s="27" t="n">
        <v>0</v>
      </c>
      <c r="K169" s="27" t="n">
        <v>0</v>
      </c>
      <c r="L169" s="27" t="n">
        <v>136603.7958585094</v>
      </c>
      <c r="M169" s="27" t="n">
        <v>9780.846660182548</v>
      </c>
      <c r="N169" s="27" t="n">
        <v>172794.957663225</v>
      </c>
      <c r="O169" s="27" t="n">
        <v>172794.957663225</v>
      </c>
      <c r="P169" s="27" t="n">
        <v>2.91038304567337e-11</v>
      </c>
      <c r="Q169" s="12" t="inlineStr">
        <is>
          <t>withdrawal</t>
        </is>
      </c>
    </row>
    <row r="170" ht="30" customHeight="1">
      <c r="A170" s="26" t="n">
        <v>2042</v>
      </c>
      <c r="B170" s="12" t="inlineStr">
        <is>
          <t>Matthew Roth</t>
        </is>
      </c>
      <c r="C170" s="12" t="inlineStr">
        <is>
          <t>Matthew</t>
        </is>
      </c>
      <c r="D170" s="41" t="inlineStr">
        <is>
          <t>roth</t>
        </is>
      </c>
      <c r="E170" s="12" t="inlineStr">
        <is>
          <t>roth_ira</t>
        </is>
      </c>
      <c r="F170" s="27" t="n">
        <v>1113854.120829514</v>
      </c>
      <c r="G170" s="27" t="n">
        <v>0</v>
      </c>
      <c r="H170" s="27" t="n">
        <v>0</v>
      </c>
      <c r="I170" s="27" t="n">
        <v>0</v>
      </c>
      <c r="J170" s="27" t="n">
        <v>0</v>
      </c>
      <c r="K170" s="27" t="n">
        <v>0</v>
      </c>
      <c r="L170" s="27" t="n">
        <v>0</v>
      </c>
      <c r="M170" s="27" t="n">
        <v>66831.24724977082</v>
      </c>
      <c r="N170" s="27" t="n">
        <v>1180685.368079285</v>
      </c>
      <c r="O170" s="27" t="n">
        <v>1180685.368079285</v>
      </c>
      <c r="P170" s="27" t="n">
        <v>0</v>
      </c>
      <c r="Q170" s="33" t="inlineStr"/>
    </row>
    <row r="171" ht="30" customHeight="1">
      <c r="A171" s="26" t="n">
        <v>2042</v>
      </c>
      <c r="B171" s="12" t="inlineStr">
        <is>
          <t>Matthew Trust</t>
        </is>
      </c>
      <c r="C171" s="12" t="inlineStr">
        <is>
          <t>Matthew</t>
        </is>
      </c>
      <c r="D171" s="41" t="inlineStr">
        <is>
          <t>taxable</t>
        </is>
      </c>
      <c r="E171" s="12" t="inlineStr">
        <is>
          <t>trust</t>
        </is>
      </c>
      <c r="F171" s="27" t="n">
        <v>8.15232776277686e-12</v>
      </c>
      <c r="G171" s="27" t="n">
        <v>0</v>
      </c>
      <c r="H171" s="27" t="n">
        <v>0</v>
      </c>
      <c r="I171" s="27" t="n">
        <v>0</v>
      </c>
      <c r="J171" s="27" t="n">
        <v>0</v>
      </c>
      <c r="K171" s="27" t="n">
        <v>0</v>
      </c>
      <c r="L171" s="27" t="n">
        <v>0</v>
      </c>
      <c r="M171" s="27" t="n">
        <v>3.14982154732196e-13</v>
      </c>
      <c r="N171" s="27" t="n">
        <v>8.467309917509055e-12</v>
      </c>
      <c r="O171" s="27" t="n">
        <v>8.467309917509055e-12</v>
      </c>
      <c r="P171" s="27" t="n">
        <v>0</v>
      </c>
      <c r="Q171" s="33" t="inlineStr"/>
    </row>
    <row r="172" ht="30" customHeight="1">
      <c r="A172" s="26" t="n">
        <v>2042</v>
      </c>
      <c r="B172" s="12" t="inlineStr">
        <is>
          <t>Patricia 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Patricia Roth</t>
        </is>
      </c>
      <c r="C173" s="12" t="inlineStr">
        <is>
          <t>Patricia</t>
        </is>
      </c>
      <c r="D173" s="41" t="inlineStr">
        <is>
          <t>roth</t>
        </is>
      </c>
      <c r="E173" s="12" t="inlineStr">
        <is>
          <t>roth_ira</t>
        </is>
      </c>
      <c r="F173" s="27" t="n">
        <v>1641873.466461979</v>
      </c>
      <c r="G173" s="27" t="n">
        <v>0</v>
      </c>
      <c r="H173" s="27" t="n">
        <v>0</v>
      </c>
      <c r="I173" s="27" t="n">
        <v>0</v>
      </c>
      <c r="J173" s="27" t="n">
        <v>0</v>
      </c>
      <c r="K173" s="27" t="n">
        <v>0</v>
      </c>
      <c r="L173" s="27" t="n">
        <v>0</v>
      </c>
      <c r="M173" s="27" t="n">
        <v>98512.40798771876</v>
      </c>
      <c r="N173" s="27" t="n">
        <v>1740385.874449698</v>
      </c>
      <c r="O173" s="27" t="n">
        <v>1740385.874449698</v>
      </c>
      <c r="P173" s="27" t="n">
        <v>0</v>
      </c>
      <c r="Q173" s="33" t="inlineStr"/>
    </row>
    <row r="174" ht="30" customHeight="1">
      <c r="A174" s="26" t="n">
        <v>2042</v>
      </c>
      <c r="B174" s="12" t="inlineStr">
        <is>
          <t>Patricia 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 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 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Matthew 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Matthew 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Matthew IRA</t>
        </is>
      </c>
      <c r="C179" s="12" t="inlineStr">
        <is>
          <t>Matthew</t>
        </is>
      </c>
      <c r="D179" s="41" t="inlineStr">
        <is>
          <t>pre_tax</t>
        </is>
      </c>
      <c r="E179" s="12" t="inlineStr">
        <is>
          <t>traditional_ira</t>
        </is>
      </c>
      <c r="F179" s="27" t="n">
        <v>172794.957663225</v>
      </c>
      <c r="G179" s="27" t="n">
        <v>0</v>
      </c>
      <c r="H179" s="27" t="n">
        <v>0</v>
      </c>
      <c r="I179" s="27" t="n">
        <v>0</v>
      </c>
      <c r="J179" s="27" t="n">
        <v>0</v>
      </c>
      <c r="K179" s="27" t="n">
        <v>0</v>
      </c>
      <c r="L179" s="27" t="n">
        <v>141365.9513097073</v>
      </c>
      <c r="M179" s="27" t="n">
        <v>1885.740381211063</v>
      </c>
      <c r="N179" s="27" t="n">
        <v>33314.7467347288</v>
      </c>
      <c r="O179" s="27" t="n">
        <v>33314.74673472879</v>
      </c>
      <c r="P179" s="27" t="n">
        <v>-7.275957614183426e-12</v>
      </c>
      <c r="Q179" s="12" t="inlineStr">
        <is>
          <t>withdrawal</t>
        </is>
      </c>
    </row>
    <row r="180" ht="30" customHeight="1">
      <c r="A180" s="26" t="n">
        <v>2043</v>
      </c>
      <c r="B180" s="12" t="inlineStr">
        <is>
          <t>Matthew Roth</t>
        </is>
      </c>
      <c r="C180" s="12" t="inlineStr">
        <is>
          <t>Matthew</t>
        </is>
      </c>
      <c r="D180" s="41" t="inlineStr">
        <is>
          <t>roth</t>
        </is>
      </c>
      <c r="E180" s="12" t="inlineStr">
        <is>
          <t>roth_ira</t>
        </is>
      </c>
      <c r="F180" s="27" t="n">
        <v>1180685.368079285</v>
      </c>
      <c r="G180" s="27" t="n">
        <v>0</v>
      </c>
      <c r="H180" s="27" t="n">
        <v>0</v>
      </c>
      <c r="I180" s="27" t="n">
        <v>0</v>
      </c>
      <c r="J180" s="27" t="n">
        <v>0</v>
      </c>
      <c r="K180" s="27" t="n">
        <v>0</v>
      </c>
      <c r="L180" s="27" t="n">
        <v>0</v>
      </c>
      <c r="M180" s="27" t="n">
        <v>70841.12208475708</v>
      </c>
      <c r="N180" s="27" t="n">
        <v>1251526.490164042</v>
      </c>
      <c r="O180" s="27" t="n">
        <v>1251526.490164042</v>
      </c>
      <c r="P180" s="27" t="n">
        <v>0</v>
      </c>
      <c r="Q180" s="33" t="inlineStr"/>
    </row>
    <row r="181" ht="30" customHeight="1">
      <c r="A181" s="26" t="n">
        <v>2043</v>
      </c>
      <c r="B181" s="12" t="inlineStr">
        <is>
          <t>Matthew Trust</t>
        </is>
      </c>
      <c r="C181" s="12" t="inlineStr">
        <is>
          <t>Matthew</t>
        </is>
      </c>
      <c r="D181" s="41" t="inlineStr">
        <is>
          <t>taxable</t>
        </is>
      </c>
      <c r="E181" s="12" t="inlineStr">
        <is>
          <t>trust</t>
        </is>
      </c>
      <c r="F181" s="27" t="n">
        <v>8.467309917509055e-12</v>
      </c>
      <c r="G181" s="27" t="n">
        <v>0</v>
      </c>
      <c r="H181" s="27" t="n">
        <v>0</v>
      </c>
      <c r="I181" s="27" t="n">
        <v>0</v>
      </c>
      <c r="J181" s="27" t="n">
        <v>0</v>
      </c>
      <c r="K181" s="27" t="n">
        <v>0</v>
      </c>
      <c r="L181" s="27" t="n">
        <v>0</v>
      </c>
      <c r="M181" s="27" t="n">
        <v>0</v>
      </c>
      <c r="N181" s="27" t="n">
        <v>8.467309917509055e-12</v>
      </c>
      <c r="O181" s="27" t="n">
        <v>0</v>
      </c>
      <c r="P181" s="27" t="n">
        <v>-8.467309917509055e-12</v>
      </c>
      <c r="Q181" s="33" t="inlineStr"/>
    </row>
    <row r="182" ht="30" customHeight="1">
      <c r="A182" s="26" t="n">
        <v>2043</v>
      </c>
      <c r="B182" s="12" t="inlineStr">
        <is>
          <t>Patricia 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Patricia Roth</t>
        </is>
      </c>
      <c r="C183" s="12" t="inlineStr">
        <is>
          <t>Patricia</t>
        </is>
      </c>
      <c r="D183" s="41" t="inlineStr">
        <is>
          <t>roth</t>
        </is>
      </c>
      <c r="E183" s="12" t="inlineStr">
        <is>
          <t>roth_ira</t>
        </is>
      </c>
      <c r="F183" s="27" t="n">
        <v>1740385.874449698</v>
      </c>
      <c r="G183" s="27" t="n">
        <v>0</v>
      </c>
      <c r="H183" s="27" t="n">
        <v>0</v>
      </c>
      <c r="I183" s="27" t="n">
        <v>0</v>
      </c>
      <c r="J183" s="27" t="n">
        <v>0</v>
      </c>
      <c r="K183" s="27" t="n">
        <v>0</v>
      </c>
      <c r="L183" s="27" t="n">
        <v>0</v>
      </c>
      <c r="M183" s="27" t="n">
        <v>104423.1524669819</v>
      </c>
      <c r="N183" s="27" t="n">
        <v>1844809.02691668</v>
      </c>
      <c r="O183" s="27" t="n">
        <v>1844809.02691668</v>
      </c>
      <c r="P183" s="27" t="n">
        <v>0</v>
      </c>
      <c r="Q183" s="33" t="inlineStr"/>
    </row>
    <row r="184" ht="30" customHeight="1">
      <c r="A184" s="26" t="n">
        <v>2043</v>
      </c>
      <c r="B184" s="12" t="inlineStr">
        <is>
          <t>Patricia 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 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 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Matthew 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Matthew 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Matthew IRA</t>
        </is>
      </c>
      <c r="C189" s="12" t="inlineStr">
        <is>
          <t>Matthew</t>
        </is>
      </c>
      <c r="D189" s="41" t="inlineStr">
        <is>
          <t>pre_tax</t>
        </is>
      </c>
      <c r="E189" s="12" t="inlineStr">
        <is>
          <t>traditional_ira</t>
        </is>
      </c>
      <c r="F189" s="27" t="n">
        <v>33314.74673472879</v>
      </c>
      <c r="G189" s="27" t="n">
        <v>0</v>
      </c>
      <c r="H189" s="27" t="n">
        <v>0</v>
      </c>
      <c r="I189" s="27" t="n">
        <v>0</v>
      </c>
      <c r="J189" s="27" t="n">
        <v>0</v>
      </c>
      <c r="K189" s="27" t="n">
        <v>0</v>
      </c>
      <c r="L189" s="27" t="n">
        <v>33314.74673472879</v>
      </c>
      <c r="M189" s="27" t="n">
        <v>0</v>
      </c>
      <c r="N189" s="27" t="n">
        <v>0</v>
      </c>
      <c r="O189" s="27" t="n">
        <v>0</v>
      </c>
      <c r="P189" s="27" t="n">
        <v>0</v>
      </c>
      <c r="Q189" s="12" t="inlineStr">
        <is>
          <t>withdrawal</t>
        </is>
      </c>
    </row>
    <row r="190" ht="30" customHeight="1">
      <c r="A190" s="26" t="n">
        <v>2044</v>
      </c>
      <c r="B190" s="12" t="inlineStr">
        <is>
          <t>Matthew Roth</t>
        </is>
      </c>
      <c r="C190" s="12" t="inlineStr">
        <is>
          <t>Matthew</t>
        </is>
      </c>
      <c r="D190" s="41" t="inlineStr">
        <is>
          <t>roth</t>
        </is>
      </c>
      <c r="E190" s="12" t="inlineStr">
        <is>
          <t>roth_ira</t>
        </is>
      </c>
      <c r="F190" s="27" t="n">
        <v>1251526.490164042</v>
      </c>
      <c r="G190" s="27" t="n">
        <v>0</v>
      </c>
      <c r="H190" s="27" t="n">
        <v>0</v>
      </c>
      <c r="I190" s="27" t="n">
        <v>0</v>
      </c>
      <c r="J190" s="27" t="n">
        <v>0</v>
      </c>
      <c r="K190" s="27" t="n">
        <v>0</v>
      </c>
      <c r="L190" s="27" t="n">
        <v>35623.38949548393</v>
      </c>
      <c r="M190" s="27" t="n">
        <v>72954.18604011348</v>
      </c>
      <c r="N190" s="27" t="n">
        <v>1288857.286708671</v>
      </c>
      <c r="O190" s="27" t="n">
        <v>1288857.286708671</v>
      </c>
      <c r="P190" s="27" t="n">
        <v>0</v>
      </c>
      <c r="Q190" s="12" t="inlineStr">
        <is>
          <t>withdrawal</t>
        </is>
      </c>
    </row>
    <row r="191" ht="30" customHeight="1">
      <c r="A191" s="26" t="n">
        <v>2044</v>
      </c>
      <c r="B191" s="12" t="inlineStr">
        <is>
          <t>Matthew 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Patricia 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Patricia Roth</t>
        </is>
      </c>
      <c r="C193" s="12" t="inlineStr">
        <is>
          <t>Patricia</t>
        </is>
      </c>
      <c r="D193" s="41" t="inlineStr">
        <is>
          <t>roth</t>
        </is>
      </c>
      <c r="E193" s="12" t="inlineStr">
        <is>
          <t>roth_ira</t>
        </is>
      </c>
      <c r="F193" s="27" t="n">
        <v>1844809.02691668</v>
      </c>
      <c r="G193" s="27" t="n">
        <v>0</v>
      </c>
      <c r="H193" s="27" t="n">
        <v>0</v>
      </c>
      <c r="I193" s="27" t="n">
        <v>0</v>
      </c>
      <c r="J193" s="27" t="n">
        <v>0</v>
      </c>
      <c r="K193" s="27" t="n">
        <v>0</v>
      </c>
      <c r="L193" s="27" t="n">
        <v>52510.55493202039</v>
      </c>
      <c r="M193" s="27" t="n">
        <v>107537.9083190796</v>
      </c>
      <c r="N193" s="27" t="n">
        <v>1899836.380303739</v>
      </c>
      <c r="O193" s="27" t="n">
        <v>1899836.380303739</v>
      </c>
      <c r="P193" s="27" t="n">
        <v>0</v>
      </c>
      <c r="Q193" s="12" t="inlineStr">
        <is>
          <t>withdrawal</t>
        </is>
      </c>
    </row>
    <row r="194" ht="30" customHeight="1">
      <c r="A194" s="26" t="n">
        <v>2044</v>
      </c>
      <c r="B194" s="12" t="inlineStr">
        <is>
          <t>Patricia 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 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 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Matthew 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Matthew 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Matthew 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Matthew Roth</t>
        </is>
      </c>
      <c r="C200" s="12" t="inlineStr">
        <is>
          <t>Matthew</t>
        </is>
      </c>
      <c r="D200" s="41" t="inlineStr">
        <is>
          <t>roth</t>
        </is>
      </c>
      <c r="E200" s="12" t="inlineStr">
        <is>
          <t>roth_ira</t>
        </is>
      </c>
      <c r="F200" s="27" t="n">
        <v>1288857.286708671</v>
      </c>
      <c r="G200" s="27" t="n">
        <v>0</v>
      </c>
      <c r="H200" s="27" t="n">
        <v>0</v>
      </c>
      <c r="I200" s="27" t="n">
        <v>0</v>
      </c>
      <c r="J200" s="27" t="n">
        <v>0</v>
      </c>
      <c r="K200" s="27" t="n">
        <v>0</v>
      </c>
      <c r="L200" s="27" t="n">
        <v>47747.12927551889</v>
      </c>
      <c r="M200" s="27" t="n">
        <v>74466.60944598915</v>
      </c>
      <c r="N200" s="27" t="n">
        <v>1315576.766879142</v>
      </c>
      <c r="O200" s="27" t="n">
        <v>1315576.766879142</v>
      </c>
      <c r="P200" s="27" t="n">
        <v>0</v>
      </c>
      <c r="Q200" s="12" t="inlineStr">
        <is>
          <t>withdrawal</t>
        </is>
      </c>
    </row>
    <row r="201" ht="30" customHeight="1">
      <c r="A201" s="26" t="n">
        <v>2045</v>
      </c>
      <c r="B201" s="12" t="inlineStr">
        <is>
          <t>Matthew 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5.622435392060312e-13</v>
      </c>
      <c r="N201" s="27" t="n">
        <v>5.622435392060312e-13</v>
      </c>
      <c r="O201" s="27" t="n">
        <v>1.511415876757288e-11</v>
      </c>
      <c r="P201" s="27" t="n">
        <v>1.455191522836685e-11</v>
      </c>
      <c r="Q201" s="33" t="inlineStr"/>
    </row>
    <row r="202" ht="30" customHeight="1">
      <c r="A202" s="26" t="n">
        <v>2045</v>
      </c>
      <c r="B202" s="12" t="inlineStr">
        <is>
          <t>Patricia 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Patricia Roth</t>
        </is>
      </c>
      <c r="C203" s="12" t="inlineStr">
        <is>
          <t>Patricia</t>
        </is>
      </c>
      <c r="D203" s="41" t="inlineStr">
        <is>
          <t>roth</t>
        </is>
      </c>
      <c r="E203" s="12" t="inlineStr">
        <is>
          <t>roth_ira</t>
        </is>
      </c>
      <c r="F203" s="27" t="n">
        <v>1899836.380303739</v>
      </c>
      <c r="G203" s="27" t="n">
        <v>0</v>
      </c>
      <c r="H203" s="27" t="n">
        <v>0</v>
      </c>
      <c r="I203" s="27" t="n">
        <v>0</v>
      </c>
      <c r="J203" s="27" t="n">
        <v>0</v>
      </c>
      <c r="K203" s="27" t="n">
        <v>0</v>
      </c>
      <c r="L203" s="27" t="n">
        <v>70381.51872062206</v>
      </c>
      <c r="M203" s="27" t="n">
        <v>109767.291694987</v>
      </c>
      <c r="N203" s="27" t="n">
        <v>1939222.153278104</v>
      </c>
      <c r="O203" s="27" t="n">
        <v>1939222.153278104</v>
      </c>
      <c r="P203" s="27" t="n">
        <v>0</v>
      </c>
      <c r="Q203" s="12" t="inlineStr">
        <is>
          <t>withdrawal</t>
        </is>
      </c>
    </row>
    <row r="204" ht="30" customHeight="1">
      <c r="A204" s="26" t="n">
        <v>2045</v>
      </c>
      <c r="B204" s="12" t="inlineStr">
        <is>
          <t>Patricia 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 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 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Matthew 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Matthew 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Matthew 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Matthew Roth</t>
        </is>
      </c>
      <c r="C210" s="12" t="inlineStr">
        <is>
          <t>Matthew</t>
        </is>
      </c>
      <c r="D210" s="41" t="inlineStr">
        <is>
          <t>roth</t>
        </is>
      </c>
      <c r="E210" s="12" t="inlineStr">
        <is>
          <t>roth_ira</t>
        </is>
      </c>
      <c r="F210" s="27" t="n">
        <v>1315576.766879142</v>
      </c>
      <c r="G210" s="27" t="n">
        <v>0</v>
      </c>
      <c r="H210" s="27" t="n">
        <v>0</v>
      </c>
      <c r="I210" s="27" t="n">
        <v>0</v>
      </c>
      <c r="J210" s="27" t="n">
        <v>0</v>
      </c>
      <c r="K210" s="27" t="n">
        <v>0</v>
      </c>
      <c r="L210" s="27" t="n">
        <v>49436.86219537807</v>
      </c>
      <c r="M210" s="27" t="n">
        <v>75968.3942810258</v>
      </c>
      <c r="N210" s="27" t="n">
        <v>1342108.298964789</v>
      </c>
      <c r="O210" s="27" t="n">
        <v>1342108.298964789</v>
      </c>
      <c r="P210" s="27" t="n">
        <v>0</v>
      </c>
      <c r="Q210" s="12" t="inlineStr">
        <is>
          <t>withdrawal</t>
        </is>
      </c>
    </row>
    <row r="211" ht="30" customHeight="1">
      <c r="A211" s="26" t="n">
        <v>2046</v>
      </c>
      <c r="B211" s="12" t="inlineStr">
        <is>
          <t>Matthew Trust</t>
        </is>
      </c>
      <c r="C211" s="12" t="inlineStr">
        <is>
          <t>Matthew</t>
        </is>
      </c>
      <c r="D211" s="41" t="inlineStr">
        <is>
          <t>taxable</t>
        </is>
      </c>
      <c r="E211" s="12" t="inlineStr">
        <is>
          <t>trust</t>
        </is>
      </c>
      <c r="F211" s="27" t="n">
        <v>1.511415876757288e-11</v>
      </c>
      <c r="G211" s="27" t="n">
        <v>0</v>
      </c>
      <c r="H211" s="27" t="n">
        <v>0</v>
      </c>
      <c r="I211" s="27" t="n">
        <v>0</v>
      </c>
      <c r="J211" s="27" t="n">
        <v>0</v>
      </c>
      <c r="K211" s="27" t="n">
        <v>0</v>
      </c>
      <c r="L211" s="27" t="n">
        <v>0</v>
      </c>
      <c r="M211" s="27" t="n">
        <v>5.622435392060312e-13</v>
      </c>
      <c r="N211" s="27" t="n">
        <v>1.567640230677891e-11</v>
      </c>
      <c r="O211" s="27" t="n">
        <v>1.511415876757288e-11</v>
      </c>
      <c r="P211" s="27" t="n">
        <v>-5.6224353920603e-13</v>
      </c>
      <c r="Q211" s="33" t="inlineStr"/>
    </row>
    <row r="212" ht="30" customHeight="1">
      <c r="A212" s="26" t="n">
        <v>2046</v>
      </c>
      <c r="B212" s="12" t="inlineStr">
        <is>
          <t>Patricia 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Patricia Roth</t>
        </is>
      </c>
      <c r="C213" s="12" t="inlineStr">
        <is>
          <t>Patricia</t>
        </is>
      </c>
      <c r="D213" s="41" t="inlineStr">
        <is>
          <t>roth</t>
        </is>
      </c>
      <c r="E213" s="12" t="inlineStr">
        <is>
          <t>roth_ira</t>
        </is>
      </c>
      <c r="F213" s="27" t="n">
        <v>1939222.153278104</v>
      </c>
      <c r="G213" s="27" t="n">
        <v>0</v>
      </c>
      <c r="H213" s="27" t="n">
        <v>0</v>
      </c>
      <c r="I213" s="27" t="n">
        <v>0</v>
      </c>
      <c r="J213" s="27" t="n">
        <v>0</v>
      </c>
      <c r="K213" s="27" t="n">
        <v>0</v>
      </c>
      <c r="L213" s="27" t="n">
        <v>72872.26467616783</v>
      </c>
      <c r="M213" s="27" t="n">
        <v>111980.9933161162</v>
      </c>
      <c r="N213" s="27" t="n">
        <v>1978330.881918052</v>
      </c>
      <c r="O213" s="27" t="n">
        <v>1978330.881918052</v>
      </c>
      <c r="P213" s="27" t="n">
        <v>0</v>
      </c>
      <c r="Q213" s="12" t="inlineStr">
        <is>
          <t>withdrawal</t>
        </is>
      </c>
    </row>
    <row r="214" ht="30" customHeight="1">
      <c r="A214" s="26" t="n">
        <v>2046</v>
      </c>
      <c r="B214" s="12" t="inlineStr">
        <is>
          <t>Patricia 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 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 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Matthew 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Matthew 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Matthew 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Matthew Roth</t>
        </is>
      </c>
      <c r="C220" s="12" t="inlineStr">
        <is>
          <t>Matthew</t>
        </is>
      </c>
      <c r="D220" s="41" t="inlineStr">
        <is>
          <t>roth</t>
        </is>
      </c>
      <c r="E220" s="12" t="inlineStr">
        <is>
          <t>roth_ira</t>
        </is>
      </c>
      <c r="F220" s="27" t="n">
        <v>1342108.298964789</v>
      </c>
      <c r="G220" s="27" t="n">
        <v>0</v>
      </c>
      <c r="H220" s="27" t="n">
        <v>0</v>
      </c>
      <c r="I220" s="27" t="n">
        <v>0</v>
      </c>
      <c r="J220" s="27" t="n">
        <v>0</v>
      </c>
      <c r="K220" s="27" t="n">
        <v>0</v>
      </c>
      <c r="L220" s="27" t="n">
        <v>54362.65829142676</v>
      </c>
      <c r="M220" s="27" t="n">
        <v>77264.73844040174</v>
      </c>
      <c r="N220" s="27" t="n">
        <v>1365010.379113764</v>
      </c>
      <c r="O220" s="27" t="n">
        <v>1365010.379113764</v>
      </c>
      <c r="P220" s="27" t="n">
        <v>0</v>
      </c>
      <c r="Q220" s="12" t="inlineStr">
        <is>
          <t>withdrawal</t>
        </is>
      </c>
    </row>
    <row r="221" ht="30" customHeight="1">
      <c r="A221" s="26" t="n">
        <v>2047</v>
      </c>
      <c r="B221" s="12" t="inlineStr">
        <is>
          <t>Matthew Trust</t>
        </is>
      </c>
      <c r="C221" s="12" t="inlineStr">
        <is>
          <t>Matthew</t>
        </is>
      </c>
      <c r="D221" s="41" t="inlineStr">
        <is>
          <t>taxable</t>
        </is>
      </c>
      <c r="E221" s="12" t="inlineStr">
        <is>
          <t>trust</t>
        </is>
      </c>
      <c r="F221" s="27" t="n">
        <v>1.511415876757288e-11</v>
      </c>
      <c r="G221" s="27" t="n">
        <v>0</v>
      </c>
      <c r="H221" s="27" t="n">
        <v>0</v>
      </c>
      <c r="I221" s="27" t="n">
        <v>0</v>
      </c>
      <c r="J221" s="27" t="n">
        <v>0</v>
      </c>
      <c r="K221" s="27" t="n">
        <v>0</v>
      </c>
      <c r="L221" s="27" t="n">
        <v>0</v>
      </c>
      <c r="M221" s="27" t="n">
        <v>0</v>
      </c>
      <c r="N221" s="27" t="n">
        <v>1.511415876757288e-11</v>
      </c>
      <c r="O221" s="27" t="n">
        <v>0</v>
      </c>
      <c r="P221" s="27" t="n">
        <v>-1.511415876757288e-11</v>
      </c>
      <c r="Q221" s="33" t="inlineStr"/>
    </row>
    <row r="222" ht="30" customHeight="1">
      <c r="A222" s="26" t="n">
        <v>2047</v>
      </c>
      <c r="B222" s="12" t="inlineStr">
        <is>
          <t>Patricia 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Patricia Roth</t>
        </is>
      </c>
      <c r="C223" s="12" t="inlineStr">
        <is>
          <t>Patricia</t>
        </is>
      </c>
      <c r="D223" s="41" t="inlineStr">
        <is>
          <t>roth</t>
        </is>
      </c>
      <c r="E223" s="12" t="inlineStr">
        <is>
          <t>roth_ira</t>
        </is>
      </c>
      <c r="F223" s="27" t="n">
        <v>1978330.881918052</v>
      </c>
      <c r="G223" s="27" t="n">
        <v>0</v>
      </c>
      <c r="H223" s="27" t="n">
        <v>0</v>
      </c>
      <c r="I223" s="27" t="n">
        <v>0</v>
      </c>
      <c r="J223" s="27" t="n">
        <v>0</v>
      </c>
      <c r="K223" s="27" t="n">
        <v>0</v>
      </c>
      <c r="L223" s="27" t="n">
        <v>80133.12025865773</v>
      </c>
      <c r="M223" s="27" t="n">
        <v>113891.8656995637</v>
      </c>
      <c r="N223" s="27" t="n">
        <v>2012089.627358958</v>
      </c>
      <c r="O223" s="27" t="n">
        <v>2012089.627358958</v>
      </c>
      <c r="P223" s="27" t="n">
        <v>0</v>
      </c>
      <c r="Q223" s="12" t="inlineStr">
        <is>
          <t>withdrawal</t>
        </is>
      </c>
    </row>
    <row r="224" ht="30" customHeight="1">
      <c r="A224" s="26" t="n">
        <v>2047</v>
      </c>
      <c r="B224" s="12" t="inlineStr">
        <is>
          <t>Patricia 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 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 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Matthew 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Matthew 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Matthew 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Matthew Roth</t>
        </is>
      </c>
      <c r="C230" s="12" t="inlineStr">
        <is>
          <t>Matthew</t>
        </is>
      </c>
      <c r="D230" s="41" t="inlineStr">
        <is>
          <t>roth</t>
        </is>
      </c>
      <c r="E230" s="12" t="inlineStr">
        <is>
          <t>roth_ira</t>
        </is>
      </c>
      <c r="F230" s="27" t="n">
        <v>1365010.379113764</v>
      </c>
      <c r="G230" s="27" t="n">
        <v>0</v>
      </c>
      <c r="H230" s="27" t="n">
        <v>0</v>
      </c>
      <c r="I230" s="27" t="n">
        <v>0</v>
      </c>
      <c r="J230" s="27" t="n">
        <v>0</v>
      </c>
      <c r="K230" s="27" t="n">
        <v>0</v>
      </c>
      <c r="L230" s="27" t="n">
        <v>63829.12031655599</v>
      </c>
      <c r="M230" s="27" t="n">
        <v>78070.87552783248</v>
      </c>
      <c r="N230" s="27" t="n">
        <v>1379252.134325041</v>
      </c>
      <c r="O230" s="27" t="n">
        <v>1379252.134325041</v>
      </c>
      <c r="P230" s="27" t="n">
        <v>0</v>
      </c>
      <c r="Q230" s="12" t="inlineStr">
        <is>
          <t>withdrawal</t>
        </is>
      </c>
    </row>
    <row r="231" ht="30" customHeight="1">
      <c r="A231" s="26" t="n">
        <v>2048</v>
      </c>
      <c r="B231" s="12" t="inlineStr">
        <is>
          <t>Matthew 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Patricia 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Patricia Roth</t>
        </is>
      </c>
      <c r="C233" s="12" t="inlineStr">
        <is>
          <t>Patricia</t>
        </is>
      </c>
      <c r="D233" s="41" t="inlineStr">
        <is>
          <t>roth</t>
        </is>
      </c>
      <c r="E233" s="12" t="inlineStr">
        <is>
          <t>roth_ira</t>
        </is>
      </c>
      <c r="F233" s="27" t="n">
        <v>2012089.627358958</v>
      </c>
      <c r="G233" s="27" t="n">
        <v>0</v>
      </c>
      <c r="H233" s="27" t="n">
        <v>0</v>
      </c>
      <c r="I233" s="27" t="n">
        <v>0</v>
      </c>
      <c r="J233" s="27" t="n">
        <v>0</v>
      </c>
      <c r="K233" s="27" t="n">
        <v>0</v>
      </c>
      <c r="L233" s="27" t="n">
        <v>94087.1314075814</v>
      </c>
      <c r="M233" s="27" t="n">
        <v>115080.1497570826</v>
      </c>
      <c r="N233" s="27" t="n">
        <v>2033082.645708459</v>
      </c>
      <c r="O233" s="27" t="n">
        <v>2033082.645708459</v>
      </c>
      <c r="P233" s="27" t="n">
        <v>0</v>
      </c>
      <c r="Q233" s="12" t="inlineStr">
        <is>
          <t>withdrawal</t>
        </is>
      </c>
    </row>
    <row r="234" ht="30" customHeight="1">
      <c r="A234" s="26" t="n">
        <v>2048</v>
      </c>
      <c r="B234" s="12" t="inlineStr">
        <is>
          <t>Patricia 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 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 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Matthew 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Matthew 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Matthew 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Matthew Roth</t>
        </is>
      </c>
      <c r="C240" s="12" t="inlineStr">
        <is>
          <t>Matthew</t>
        </is>
      </c>
      <c r="D240" s="41" t="inlineStr">
        <is>
          <t>roth</t>
        </is>
      </c>
      <c r="E240" s="12" t="inlineStr">
        <is>
          <t>roth_ira</t>
        </is>
      </c>
      <c r="F240" s="27" t="n">
        <v>1379252.134325041</v>
      </c>
      <c r="G240" s="27" t="n">
        <v>0</v>
      </c>
      <c r="H240" s="27" t="n">
        <v>0</v>
      </c>
      <c r="I240" s="27" t="n">
        <v>0</v>
      </c>
      <c r="J240" s="27" t="n">
        <v>0</v>
      </c>
      <c r="K240" s="27" t="n">
        <v>0</v>
      </c>
      <c r="L240" s="27" t="n">
        <v>65373.93476845487</v>
      </c>
      <c r="M240" s="27" t="n">
        <v>78832.69197339514</v>
      </c>
      <c r="N240" s="27" t="n">
        <v>1392710.891529981</v>
      </c>
      <c r="O240" s="27" t="n">
        <v>1392710.891529981</v>
      </c>
      <c r="P240" s="27" t="n">
        <v>0</v>
      </c>
      <c r="Q240" s="12" t="inlineStr">
        <is>
          <t>withdrawal</t>
        </is>
      </c>
    </row>
    <row r="241" ht="30" customHeight="1">
      <c r="A241" s="26" t="n">
        <v>2049</v>
      </c>
      <c r="B241" s="12" t="inlineStr">
        <is>
          <t>Matthew 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Patricia 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Patricia Roth</t>
        </is>
      </c>
      <c r="C243" s="12" t="inlineStr">
        <is>
          <t>Patricia</t>
        </is>
      </c>
      <c r="D243" s="41" t="inlineStr">
        <is>
          <t>roth</t>
        </is>
      </c>
      <c r="E243" s="12" t="inlineStr">
        <is>
          <t>roth_ira</t>
        </is>
      </c>
      <c r="F243" s="27" t="n">
        <v>2033082.645708459</v>
      </c>
      <c r="G243" s="27" t="n">
        <v>0</v>
      </c>
      <c r="H243" s="27" t="n">
        <v>0</v>
      </c>
      <c r="I243" s="27" t="n">
        <v>0</v>
      </c>
      <c r="J243" s="27" t="n">
        <v>0</v>
      </c>
      <c r="K243" s="27" t="n">
        <v>0</v>
      </c>
      <c r="L243" s="27" t="n">
        <v>96364.26071181281</v>
      </c>
      <c r="M243" s="27" t="n">
        <v>116203.1030997988</v>
      </c>
      <c r="N243" s="27" t="n">
        <v>2052921.488096445</v>
      </c>
      <c r="O243" s="27" t="n">
        <v>2052921.488096445</v>
      </c>
      <c r="P243" s="27" t="n">
        <v>0</v>
      </c>
      <c r="Q243" s="12" t="inlineStr">
        <is>
          <t>withdrawal</t>
        </is>
      </c>
    </row>
    <row r="244" ht="30" customHeight="1">
      <c r="A244" s="26" t="n">
        <v>2049</v>
      </c>
      <c r="B244" s="12" t="inlineStr">
        <is>
          <t>Patricia 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 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 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Matthew 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Matthew 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Matthew 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Matthew Roth</t>
        </is>
      </c>
      <c r="C250" s="12" t="inlineStr">
        <is>
          <t>Matthew</t>
        </is>
      </c>
      <c r="D250" s="41" t="inlineStr">
        <is>
          <t>roth</t>
        </is>
      </c>
      <c r="E250" s="12" t="inlineStr">
        <is>
          <t>roth_ira</t>
        </is>
      </c>
      <c r="F250" s="27" t="n">
        <v>1392710.891529981</v>
      </c>
      <c r="G250" s="27" t="n">
        <v>0</v>
      </c>
      <c r="H250" s="27" t="n">
        <v>0</v>
      </c>
      <c r="I250" s="27" t="n">
        <v>0</v>
      </c>
      <c r="J250" s="27" t="n">
        <v>0</v>
      </c>
      <c r="K250" s="27" t="n">
        <v>0</v>
      </c>
      <c r="L250" s="27" t="n">
        <v>67028.78560250007</v>
      </c>
      <c r="M250" s="27" t="n">
        <v>79540.92635564884</v>
      </c>
      <c r="N250" s="27" t="n">
        <v>1405223.03228313</v>
      </c>
      <c r="O250" s="27" t="n">
        <v>1405223.03228313</v>
      </c>
      <c r="P250" s="27" t="n">
        <v>0</v>
      </c>
      <c r="Q250" s="12" t="inlineStr">
        <is>
          <t>withdrawal</t>
        </is>
      </c>
    </row>
    <row r="251" ht="30" customHeight="1">
      <c r="A251" s="26" t="n">
        <v>2050</v>
      </c>
      <c r="B251" s="12" t="inlineStr">
        <is>
          <t>Matthew 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Patricia 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Patricia Roth</t>
        </is>
      </c>
      <c r="C253" s="12" t="inlineStr">
        <is>
          <t>Patricia</t>
        </is>
      </c>
      <c r="D253" s="41" t="inlineStr">
        <is>
          <t>roth</t>
        </is>
      </c>
      <c r="E253" s="12" t="inlineStr">
        <is>
          <t>roth_ira</t>
        </is>
      </c>
      <c r="F253" s="27" t="n">
        <v>2052921.488096445</v>
      </c>
      <c r="G253" s="27" t="n">
        <v>0</v>
      </c>
      <c r="H253" s="27" t="n">
        <v>0</v>
      </c>
      <c r="I253" s="27" t="n">
        <v>0</v>
      </c>
      <c r="J253" s="27" t="n">
        <v>0</v>
      </c>
      <c r="K253" s="27" t="n">
        <v>0</v>
      </c>
      <c r="L253" s="27" t="n">
        <v>98803.58882898834</v>
      </c>
      <c r="M253" s="27" t="n">
        <v>117247.0739560474</v>
      </c>
      <c r="N253" s="27" t="n">
        <v>2071364.973223504</v>
      </c>
      <c r="O253" s="27" t="n">
        <v>2071364.973223504</v>
      </c>
      <c r="P253" s="27" t="n">
        <v>0</v>
      </c>
      <c r="Q253" s="12" t="inlineStr">
        <is>
          <t>withdrawal</t>
        </is>
      </c>
    </row>
    <row r="254" ht="30" customHeight="1">
      <c r="A254" s="26" t="n">
        <v>2050</v>
      </c>
      <c r="B254" s="12" t="inlineStr">
        <is>
          <t>Patricia 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 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 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Matthew 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Matthew 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Matthew 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Matthew Roth</t>
        </is>
      </c>
      <c r="C260" s="12" t="inlineStr">
        <is>
          <t>Matthew</t>
        </is>
      </c>
      <c r="D260" s="41" t="inlineStr">
        <is>
          <t>roth</t>
        </is>
      </c>
      <c r="E260" s="12" t="inlineStr">
        <is>
          <t>roth_ira</t>
        </is>
      </c>
      <c r="F260" s="27" t="n">
        <v>1405223.03228313</v>
      </c>
      <c r="G260" s="27" t="n">
        <v>0</v>
      </c>
      <c r="H260" s="27" t="n">
        <v>0</v>
      </c>
      <c r="I260" s="27" t="n">
        <v>0</v>
      </c>
      <c r="J260" s="27" t="n">
        <v>0</v>
      </c>
      <c r="K260" s="27" t="n">
        <v>0</v>
      </c>
      <c r="L260" s="27" t="n">
        <v>68801.02478844573</v>
      </c>
      <c r="M260" s="27" t="n">
        <v>80185.32044968102</v>
      </c>
      <c r="N260" s="27" t="n">
        <v>1416607.327944365</v>
      </c>
      <c r="O260" s="27" t="n">
        <v>1416607.327944365</v>
      </c>
      <c r="P260" s="27" t="n">
        <v>0</v>
      </c>
      <c r="Q260" s="12" t="inlineStr">
        <is>
          <t>withdrawal</t>
        </is>
      </c>
    </row>
    <row r="261" ht="30" customHeight="1">
      <c r="A261" s="26" t="n">
        <v>2051</v>
      </c>
      <c r="B261" s="12" t="inlineStr">
        <is>
          <t>Matthew 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Patricia 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Patricia Roth</t>
        </is>
      </c>
      <c r="C263" s="12" t="inlineStr">
        <is>
          <t>Patricia</t>
        </is>
      </c>
      <c r="D263" s="41" t="inlineStr">
        <is>
          <t>roth</t>
        </is>
      </c>
      <c r="E263" s="12" t="inlineStr">
        <is>
          <t>roth_ira</t>
        </is>
      </c>
      <c r="F263" s="27" t="n">
        <v>2071364.973223504</v>
      </c>
      <c r="G263" s="27" t="n">
        <v>0</v>
      </c>
      <c r="H263" s="27" t="n">
        <v>0</v>
      </c>
      <c r="I263" s="27" t="n">
        <v>0</v>
      </c>
      <c r="J263" s="27" t="n">
        <v>0</v>
      </c>
      <c r="K263" s="27" t="n">
        <v>0</v>
      </c>
      <c r="L263" s="27" t="n">
        <v>101415.9529090003</v>
      </c>
      <c r="M263" s="27" t="n">
        <v>118196.9412188702</v>
      </c>
      <c r="N263" s="27" t="n">
        <v>2088145.961533374</v>
      </c>
      <c r="O263" s="27" t="n">
        <v>2088145.961533374</v>
      </c>
      <c r="P263" s="27" t="n">
        <v>0</v>
      </c>
      <c r="Q263" s="12" t="inlineStr">
        <is>
          <t>withdrawal</t>
        </is>
      </c>
    </row>
    <row r="264" ht="30" customHeight="1">
      <c r="A264" s="26" t="n">
        <v>2051</v>
      </c>
      <c r="B264" s="12" t="inlineStr">
        <is>
          <t>Patricia 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 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 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Matthew 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Matthew 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Matthew 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Matthew Roth</t>
        </is>
      </c>
      <c r="C270" s="12" t="inlineStr">
        <is>
          <t>Matthew</t>
        </is>
      </c>
      <c r="D270" s="41" t="inlineStr">
        <is>
          <t>roth</t>
        </is>
      </c>
      <c r="E270" s="12" t="inlineStr">
        <is>
          <t>roth_ira</t>
        </is>
      </c>
      <c r="F270" s="27" t="n">
        <v>1416607.327944365</v>
      </c>
      <c r="G270" s="27" t="n">
        <v>0</v>
      </c>
      <c r="H270" s="27" t="n">
        <v>0</v>
      </c>
      <c r="I270" s="27" t="n">
        <v>0</v>
      </c>
      <c r="J270" s="27" t="n">
        <v>0</v>
      </c>
      <c r="K270" s="27" t="n">
        <v>0</v>
      </c>
      <c r="L270" s="27" t="n">
        <v>70687.94466458027</v>
      </c>
      <c r="M270" s="27" t="n">
        <v>80755.16299678707</v>
      </c>
      <c r="N270" s="27" t="n">
        <v>1426674.546276572</v>
      </c>
      <c r="O270" s="27" t="n">
        <v>1426674.546276572</v>
      </c>
      <c r="P270" s="27" t="n">
        <v>0</v>
      </c>
      <c r="Q270" s="12" t="inlineStr">
        <is>
          <t>withdrawal</t>
        </is>
      </c>
    </row>
    <row r="271" ht="30" customHeight="1">
      <c r="A271" s="26" t="n">
        <v>2052</v>
      </c>
      <c r="B271" s="12" t="inlineStr">
        <is>
          <t>Matthew 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Patricia 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Patricia Roth</t>
        </is>
      </c>
      <c r="C273" s="12" t="inlineStr">
        <is>
          <t>Patricia</t>
        </is>
      </c>
      <c r="D273" s="41" t="inlineStr">
        <is>
          <t>roth</t>
        </is>
      </c>
      <c r="E273" s="12" t="inlineStr">
        <is>
          <t>roth_ira</t>
        </is>
      </c>
      <c r="F273" s="27" t="n">
        <v>2088145.961533374</v>
      </c>
      <c r="G273" s="27" t="n">
        <v>0</v>
      </c>
      <c r="H273" s="27" t="n">
        <v>0</v>
      </c>
      <c r="I273" s="27" t="n">
        <v>0</v>
      </c>
      <c r="J273" s="27" t="n">
        <v>0</v>
      </c>
      <c r="K273" s="27" t="n">
        <v>0</v>
      </c>
      <c r="L273" s="27" t="n">
        <v>104197.3617308825</v>
      </c>
      <c r="M273" s="27" t="n">
        <v>119036.9159881495</v>
      </c>
      <c r="N273" s="27" t="n">
        <v>2102985.515790641</v>
      </c>
      <c r="O273" s="27" t="n">
        <v>2102985.515790641</v>
      </c>
      <c r="P273" s="27" t="n">
        <v>0</v>
      </c>
      <c r="Q273" s="12" t="inlineStr">
        <is>
          <t>withdrawal</t>
        </is>
      </c>
    </row>
    <row r="274" ht="30" customHeight="1">
      <c r="A274" s="26" t="n">
        <v>2052</v>
      </c>
      <c r="B274" s="12" t="inlineStr">
        <is>
          <t>Patricia 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 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 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Matthew 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Matthew 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Matthew 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Matthew Roth</t>
        </is>
      </c>
      <c r="C280" s="12" t="inlineStr">
        <is>
          <t>Matthew</t>
        </is>
      </c>
      <c r="D280" s="41" t="inlineStr">
        <is>
          <t>roth</t>
        </is>
      </c>
      <c r="E280" s="12" t="inlineStr">
        <is>
          <t>roth_ira</t>
        </is>
      </c>
      <c r="F280" s="27" t="n">
        <v>1426674.546276572</v>
      </c>
      <c r="G280" s="27" t="n">
        <v>0</v>
      </c>
      <c r="H280" s="27" t="n">
        <v>0</v>
      </c>
      <c r="I280" s="27" t="n">
        <v>0</v>
      </c>
      <c r="J280" s="27" t="n">
        <v>0</v>
      </c>
      <c r="K280" s="27" t="n">
        <v>0</v>
      </c>
      <c r="L280" s="27" t="n">
        <v>72667.9823264297</v>
      </c>
      <c r="M280" s="27" t="n">
        <v>81240.39383700851</v>
      </c>
      <c r="N280" s="27" t="n">
        <v>1435246.957787151</v>
      </c>
      <c r="O280" s="27" t="n">
        <v>1435246.957787151</v>
      </c>
      <c r="P280" s="27" t="n">
        <v>0</v>
      </c>
      <c r="Q280" s="12" t="inlineStr">
        <is>
          <t>withdrawal</t>
        </is>
      </c>
    </row>
    <row r="281" ht="30" customHeight="1">
      <c r="A281" s="26" t="n">
        <v>2053</v>
      </c>
      <c r="B281" s="12" t="inlineStr">
        <is>
          <t>Matthew 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Patricia 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Patricia Roth</t>
        </is>
      </c>
      <c r="C283" s="12" t="inlineStr">
        <is>
          <t>Patricia</t>
        </is>
      </c>
      <c r="D283" s="41" t="inlineStr">
        <is>
          <t>roth</t>
        </is>
      </c>
      <c r="E283" s="12" t="inlineStr">
        <is>
          <t>roth_ira</t>
        </is>
      </c>
      <c r="F283" s="27" t="n">
        <v>2102985.515790641</v>
      </c>
      <c r="G283" s="27" t="n">
        <v>0</v>
      </c>
      <c r="H283" s="27" t="n">
        <v>0</v>
      </c>
      <c r="I283" s="27" t="n">
        <v>0</v>
      </c>
      <c r="J283" s="27" t="n">
        <v>0</v>
      </c>
      <c r="K283" s="27" t="n">
        <v>0</v>
      </c>
      <c r="L283" s="27" t="n">
        <v>107116.03055725</v>
      </c>
      <c r="M283" s="27" t="n">
        <v>119752.1691140035</v>
      </c>
      <c r="N283" s="27" t="n">
        <v>2115621.654347395</v>
      </c>
      <c r="O283" s="27" t="n">
        <v>2115621.654347395</v>
      </c>
      <c r="P283" s="27" t="n">
        <v>0</v>
      </c>
      <c r="Q283" s="12" t="inlineStr">
        <is>
          <t>withdrawal</t>
        </is>
      </c>
    </row>
    <row r="284" ht="30" customHeight="1">
      <c r="A284" s="26" t="n">
        <v>2053</v>
      </c>
      <c r="B284" s="12" t="inlineStr">
        <is>
          <t>Patricia 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 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 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Matthew 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Matthew 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Matthew 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Matthew Roth</t>
        </is>
      </c>
      <c r="C290" s="12" t="inlineStr">
        <is>
          <t>Matthew</t>
        </is>
      </c>
      <c r="D290" s="41" t="inlineStr">
        <is>
          <t>roth</t>
        </is>
      </c>
      <c r="E290" s="12" t="inlineStr">
        <is>
          <t>roth_ira</t>
        </is>
      </c>
      <c r="F290" s="27" t="n">
        <v>1435246.957787151</v>
      </c>
      <c r="G290" s="27" t="n">
        <v>0</v>
      </c>
      <c r="H290" s="27" t="n">
        <v>0</v>
      </c>
      <c r="I290" s="27" t="n">
        <v>1435246.957787151</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Matthew 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Patricia 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Patricia Roth</t>
        </is>
      </c>
      <c r="C293" s="12" t="inlineStr">
        <is>
          <t>Patricia</t>
        </is>
      </c>
      <c r="D293" s="41" t="inlineStr">
        <is>
          <t>roth</t>
        </is>
      </c>
      <c r="E293" s="12" t="inlineStr">
        <is>
          <t>roth_ira</t>
        </is>
      </c>
      <c r="F293" s="27" t="n">
        <v>2115621.654347395</v>
      </c>
      <c r="G293" s="27" t="n">
        <v>0</v>
      </c>
      <c r="H293" s="27" t="n">
        <v>1435246.957787151</v>
      </c>
      <c r="I293" s="27" t="n">
        <v>0</v>
      </c>
      <c r="J293" s="27" t="n">
        <v>0</v>
      </c>
      <c r="K293" s="27" t="n">
        <v>0</v>
      </c>
      <c r="L293" s="27" t="n">
        <v>184921.4582537374</v>
      </c>
      <c r="M293" s="27" t="n">
        <v>201956.8292328485</v>
      </c>
      <c r="N293" s="27" t="n">
        <v>3567903.983113657</v>
      </c>
      <c r="O293" s="27" t="n">
        <v>3567903.983113657</v>
      </c>
      <c r="P293" s="27" t="n">
        <v>0</v>
      </c>
      <c r="Q293" s="12" t="inlineStr">
        <is>
          <t>transfer/rollover; withdrawal</t>
        </is>
      </c>
    </row>
    <row r="294" ht="45" customHeight="1">
      <c r="A294" s="26" t="n">
        <v>2054</v>
      </c>
      <c r="B294" s="12" t="inlineStr">
        <is>
          <t>Patricia 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 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 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Matthew 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Matthew 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Matthew 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Matthew 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Matthew 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Patricia 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Patricia Roth</t>
        </is>
      </c>
      <c r="C303" s="12" t="inlineStr">
        <is>
          <t>Patricia</t>
        </is>
      </c>
      <c r="D303" s="41" t="inlineStr">
        <is>
          <t>roth</t>
        </is>
      </c>
      <c r="E303" s="12" t="inlineStr">
        <is>
          <t>roth_ira</t>
        </is>
      </c>
      <c r="F303" s="27" t="n">
        <v>3567903.983113657</v>
      </c>
      <c r="G303" s="27" t="n">
        <v>0</v>
      </c>
      <c r="H303" s="27" t="n">
        <v>0</v>
      </c>
      <c r="I303" s="27" t="n">
        <v>0</v>
      </c>
      <c r="J303" s="27" t="n">
        <v>0</v>
      </c>
      <c r="K303" s="27" t="n">
        <v>0</v>
      </c>
      <c r="L303" s="27" t="n">
        <v>189434.2272456844</v>
      </c>
      <c r="M303" s="27" t="n">
        <v>202708.1853520783</v>
      </c>
      <c r="N303" s="27" t="n">
        <v>3581177.941220051</v>
      </c>
      <c r="O303" s="27" t="n">
        <v>3581177.941220051</v>
      </c>
      <c r="P303" s="27" t="n">
        <v>0</v>
      </c>
      <c r="Q303" s="12" t="inlineStr">
        <is>
          <t>withdrawal</t>
        </is>
      </c>
    </row>
    <row r="304" ht="30" customHeight="1">
      <c r="A304" s="26" t="n">
        <v>2055</v>
      </c>
      <c r="B304" s="12" t="inlineStr">
        <is>
          <t>Patricia 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 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 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Matthew 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Matthew 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Matthew 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Matthew 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Matthew 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Patricia 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Patricia Roth</t>
        </is>
      </c>
      <c r="C313" s="12" t="inlineStr">
        <is>
          <t>Patricia</t>
        </is>
      </c>
      <c r="D313" s="41" t="inlineStr">
        <is>
          <t>roth</t>
        </is>
      </c>
      <c r="E313" s="12" t="inlineStr">
        <is>
          <t>roth_ira</t>
        </is>
      </c>
      <c r="F313" s="27" t="n">
        <v>3581177.941220051</v>
      </c>
      <c r="G313" s="27" t="n">
        <v>0</v>
      </c>
      <c r="H313" s="27" t="n">
        <v>0</v>
      </c>
      <c r="I313" s="27" t="n">
        <v>0</v>
      </c>
      <c r="J313" s="27" t="n">
        <v>0</v>
      </c>
      <c r="K313" s="27" t="n">
        <v>0</v>
      </c>
      <c r="L313" s="27" t="n">
        <v>193738.1250153338</v>
      </c>
      <c r="M313" s="27" t="n">
        <v>203246.388972283</v>
      </c>
      <c r="N313" s="27" t="n">
        <v>3590686.205177</v>
      </c>
      <c r="O313" s="27" t="n">
        <v>3590686.205177</v>
      </c>
      <c r="P313" s="27" t="n">
        <v>0</v>
      </c>
      <c r="Q313" s="12" t="inlineStr">
        <is>
          <t>withdrawal</t>
        </is>
      </c>
    </row>
    <row r="314" ht="30" customHeight="1">
      <c r="A314" s="26" t="n">
        <v>2056</v>
      </c>
      <c r="B314" s="12" t="inlineStr">
        <is>
          <t>Patricia 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6" t="inlineStr">
        <is>
          <t>16. Scenario Analysis</t>
        </is>
      </c>
      <c r="B4" s="12" t="inlineStr">
        <is>
          <t>All configured scenarios have result rows</t>
        </is>
      </c>
      <c r="C4" s="4" t="n"/>
      <c r="D4" s="130" t="inlineStr">
        <is>
          <t>PASS</t>
        </is>
      </c>
      <c r="E4" s="33" t="inlineStr"/>
    </row>
    <row r="5" ht="30" customHeight="1">
      <c r="A5" s="96" t="inlineStr">
        <is>
          <t>1A. Executive Summary</t>
        </is>
      </c>
      <c r="B5" s="12" t="inlineStr">
        <is>
          <t>Headline numbers present</t>
        </is>
      </c>
      <c r="C5" s="4" t="n"/>
      <c r="D5" s="130" t="inlineStr">
        <is>
          <t>PASS</t>
        </is>
      </c>
      <c r="E5" s="12" t="inlineStr">
        <is>
          <t>NW: $6,980,960</t>
        </is>
      </c>
    </row>
    <row r="6" ht="30" customHeight="1">
      <c r="A6" s="96" t="inlineStr">
        <is>
          <t>4B. Assumptions</t>
        </is>
      </c>
      <c r="B6" s="12" t="inlineStr">
        <is>
          <t>All major parameters in editable cells</t>
        </is>
      </c>
      <c r="C6" s="4" t="n"/>
      <c r="D6" s="130" t="inlineStr">
        <is>
          <t>PASS</t>
        </is>
      </c>
      <c r="E6" s="33" t="inlineStr"/>
    </row>
    <row r="7" ht="60" customHeight="1">
      <c r="A7" s="96" t="inlineStr">
        <is>
          <t>1D. Balance Sheet</t>
        </is>
      </c>
      <c r="B7" s="12" t="inlineStr">
        <is>
          <t>Total assets - liabilities = net worth and reconciles to projection Y0</t>
        </is>
      </c>
      <c r="C7" s="4" t="n"/>
      <c r="D7" s="130" t="inlineStr">
        <is>
          <t>PASS</t>
        </is>
      </c>
      <c r="E7" s="12" t="inlineStr">
        <is>
          <t>NW=5,713,296 vs projection Y0=5,713,296</t>
        </is>
      </c>
    </row>
    <row r="8" ht="45" customHeight="1">
      <c r="A8" s="96" t="inlineStr">
        <is>
          <t>1D. Balance Sheet</t>
        </is>
      </c>
      <c r="B8" s="12" t="inlineStr">
        <is>
          <t>Positions sourced from holdings data</t>
        </is>
      </c>
      <c r="C8" s="4" t="n"/>
      <c r="D8" s="130" t="inlineStr">
        <is>
          <t>PASS</t>
        </is>
      </c>
      <c r="E8" s="12" t="inlineStr">
        <is>
          <t>30 holdings across 10 accounts</t>
        </is>
      </c>
    </row>
    <row r="9" ht="60" customHeight="1">
      <c r="A9" s="96" t="inlineStr">
        <is>
          <t>1D. Balance Sheet</t>
        </is>
      </c>
      <c r="B9" s="12" t="inlineStr">
        <is>
          <t>Tax-lot data coverage</t>
        </is>
      </c>
      <c r="C9" s="4" t="n"/>
      <c r="D9" s="130" t="inlineStr">
        <is>
          <t>PASS</t>
        </is>
      </c>
      <c r="E9" s="12" t="inlineStr">
        <is>
          <t>100% — specific-lot sell guidance active</t>
        </is>
      </c>
    </row>
    <row r="10" ht="45" customHeight="1">
      <c r="A10" s="96" t="inlineStr">
        <is>
          <t>1D. Balance Sheet</t>
        </is>
      </c>
      <c r="B10" s="12" t="inlineStr">
        <is>
          <t>Holdings detail: all positions with live prices</t>
        </is>
      </c>
      <c r="C10" s="4" t="n"/>
      <c r="D10" s="130" t="inlineStr">
        <is>
          <t>PASS</t>
        </is>
      </c>
      <c r="E10" s="12" t="inlineStr">
        <is>
          <t>Grand total invested: $2,813,016</t>
        </is>
      </c>
    </row>
    <row r="11" ht="15" customHeight="1">
      <c r="A11" s="96" t="inlineStr">
        <is>
          <t>1B. Net Worth</t>
        </is>
      </c>
      <c r="B11" s="12" t="inlineStr">
        <is>
          <t>Row count = 31 (2026-2056)</t>
        </is>
      </c>
      <c r="C11" s="4" t="n"/>
      <c r="D11" s="130" t="inlineStr">
        <is>
          <t>PASS</t>
        </is>
      </c>
      <c r="E11" s="33" t="inlineStr"/>
    </row>
    <row r="12" ht="15" customHeight="1">
      <c r="A12" s="96" t="inlineStr">
        <is>
          <t>1B. Net Worth</t>
        </is>
      </c>
      <c r="B12" s="12" t="inlineStr">
        <is>
          <t>All balances ≥ 0</t>
        </is>
      </c>
      <c r="C12" s="4" t="n"/>
      <c r="D12" s="130" t="inlineStr">
        <is>
          <t>PASS</t>
        </is>
      </c>
      <c r="E12" s="33" t="inlineStr"/>
    </row>
    <row r="13" ht="30" customHeight="1">
      <c r="A13" s="96" t="inlineStr">
        <is>
          <t>1C. Cash Flow</t>
        </is>
      </c>
      <c r="B13" s="12" t="inlineStr">
        <is>
          <t>31 rows, account-level WDs, collapsible groups</t>
        </is>
      </c>
      <c r="C13" s="4" t="n"/>
      <c r="D13" s="130" t="inlineStr">
        <is>
          <t>PASS</t>
        </is>
      </c>
      <c r="E13" s="33" t="inlineStr"/>
    </row>
    <row r="14" ht="30" customHeight="1">
      <c r="A14" s="96" t="inlineStr">
        <is>
          <t>1F. Lifetime Taxes</t>
        </is>
      </c>
      <c r="B14" s="12" t="inlineStr">
        <is>
          <t>Lifetime totals present</t>
        </is>
      </c>
      <c r="C14" s="4" t="n"/>
      <c r="D14" s="130" t="inlineStr">
        <is>
          <t>PASS</t>
        </is>
      </c>
      <c r="E14" s="12" t="inlineStr">
        <is>
          <t>Total: $822,511</t>
        </is>
      </c>
    </row>
    <row r="15" ht="90" customHeight="1">
      <c r="A15" s="96" t="inlineStr">
        <is>
          <t>1E. Charts</t>
        </is>
      </c>
      <c r="B15" s="12" t="inlineStr">
        <is>
          <t>6 charts: NW, CF Income, CF Expense, MC Bands, Alloc Before, Alloc After</t>
        </is>
      </c>
      <c r="C15" s="4" t="n"/>
      <c r="D15" s="130" t="inlineStr">
        <is>
          <t>PASS</t>
        </is>
      </c>
      <c r="E15" s="12" t="inlineStr">
        <is>
          <t>NW, Income (15 ser, ymax=$600,000), Expense (8 ser, ymax=$600,000), MC bands, 2 pie charts</t>
        </is>
      </c>
    </row>
    <row r="16" ht="30" customHeight="1">
      <c r="A16" s="96" t="inlineStr">
        <is>
          <t>9. Retirement Strategy</t>
        </is>
      </c>
      <c r="B16" s="12" t="inlineStr">
        <is>
          <t>Withdrawal cascade and key risks documented</t>
        </is>
      </c>
      <c r="C16" s="4" t="n"/>
      <c r="D16" s="130" t="inlineStr">
        <is>
          <t>PASS</t>
        </is>
      </c>
      <c r="E16" s="33" t="inlineStr"/>
    </row>
    <row r="17" ht="30" customHeight="1">
      <c r="A17" s="96" t="inlineStr">
        <is>
          <t>2D. Social Security</t>
        </is>
      </c>
      <c r="B17" s="12" t="inlineStr">
        <is>
          <t>Claim ages 62-70 swept by spouse against full projection</t>
        </is>
      </c>
      <c r="C17" s="4" t="n"/>
      <c r="D17" s="130" t="inlineStr">
        <is>
          <t>PASS</t>
        </is>
      </c>
      <c r="E17" s="33" t="inlineStr"/>
    </row>
    <row r="18" ht="75" customHeight="1">
      <c r="A18" s="96" t="inlineStr">
        <is>
          <t>2A. Roth Conversion</t>
        </is>
      </c>
      <c r="B18" s="12" t="inlineStr">
        <is>
          <t>Canonical result contract, candidate scores, rejection reasons, and binding constraints rendered</t>
        </is>
      </c>
      <c r="C18" s="4" t="n"/>
      <c r="D18" s="130" t="inlineStr">
        <is>
          <t>PASS</t>
        </is>
      </c>
      <c r="E18" s="12" t="inlineStr">
        <is>
          <t>Total: $901,548  Forced: $125,000  Voluntary: $776,548</t>
        </is>
      </c>
    </row>
    <row r="19" ht="30" customHeight="1">
      <c r="A19" s="96" t="inlineStr">
        <is>
          <t>2F. Charitable Giving</t>
        </is>
      </c>
      <c r="B19" s="12" t="inlineStr">
        <is>
          <t>Three vehicles documented; SALT phases shown</t>
        </is>
      </c>
      <c r="C19" s="4" t="n"/>
      <c r="D19" s="130" t="inlineStr">
        <is>
          <t>PASS</t>
        </is>
      </c>
      <c r="E19" s="33" t="inlineStr"/>
    </row>
    <row r="20" ht="30" customHeight="1">
      <c r="A20" s="96" t="inlineStr">
        <is>
          <t>2C. State Residency</t>
        </is>
      </c>
      <c r="B20" s="12" t="inlineStr">
        <is>
          <t>11 states compared with retirement-income treatment</t>
        </is>
      </c>
      <c r="C20" s="4" t="n"/>
      <c r="D20" s="130" t="inlineStr">
        <is>
          <t>PASS</t>
        </is>
      </c>
      <c r="E20" s="12" t="inlineStr">
        <is>
          <t>retirement=43% of AGI</t>
        </is>
      </c>
    </row>
    <row r="21" ht="60" customHeight="1">
      <c r="A21" s="96" t="inlineStr">
        <is>
          <t>2G. Estate &amp; Legacy Planning</t>
        </is>
      </c>
      <c r="B21" s="12" t="inlineStr">
        <is>
          <t>Federal/IL tax, QTIP, Credit Shelter documented</t>
        </is>
      </c>
      <c r="C21" s="4" t="n"/>
      <c r="D21" s="130" t="inlineStr">
        <is>
          <t>PASS</t>
        </is>
      </c>
      <c r="E21" s="12" t="inlineStr">
        <is>
          <t>IL est. tax: $570,251, CS saves ~$320,000</t>
        </is>
      </c>
    </row>
    <row r="22" ht="30" customHeight="1">
      <c r="A22" s="96" t="inlineStr">
        <is>
          <t>2H. Planning Levers</t>
        </is>
      </c>
      <c r="B22" s="12" t="inlineStr">
        <is>
          <t>Interactive lever sensitivity dashboard created</t>
        </is>
      </c>
      <c r="C22" s="4" t="n"/>
      <c r="D22" s="130" t="inlineStr">
        <is>
          <t>PASS</t>
        </is>
      </c>
      <c r="E22" s="12" t="inlineStr">
        <is>
          <t>10 levers</t>
        </is>
      </c>
    </row>
    <row r="23" ht="75" customHeight="1">
      <c r="A23" s="96" t="inlineStr">
        <is>
          <t>3A. Monte Carlo</t>
        </is>
      </c>
      <c r="B23" s="12" t="inlineStr">
        <is>
          <t>7-section MC report: 1000 sims, 5 quintiles, 25-cell sensitivity</t>
        </is>
      </c>
      <c r="C23" s="4" t="n"/>
      <c r="D23" s="130" t="inlineStr">
        <is>
          <t>PASS</t>
        </is>
      </c>
      <c r="E23" s="12" t="inlineStr">
        <is>
          <t>Funding success=71.7%, P50 liquid end=$2,862,712</t>
        </is>
      </c>
    </row>
    <row r="24" ht="30" customHeight="1">
      <c r="A24" s="96" t="inlineStr">
        <is>
          <t>17. LTC Stress Test</t>
        </is>
      </c>
      <c r="B24" s="12" t="inlineStr">
        <is>
          <t>Four scenarios modeled with plan-survives flag</t>
        </is>
      </c>
      <c r="C24" s="4" t="n"/>
      <c r="D24" s="130" t="inlineStr">
        <is>
          <t>PASS</t>
        </is>
      </c>
      <c r="E24" s="33" t="inlineStr"/>
    </row>
    <row r="25" ht="90" customHeight="1">
      <c r="A25" s="96" t="inlineStr">
        <is>
          <t>3B. Survivor</t>
        </is>
      </c>
      <c r="B25" s="12" t="inlineStr">
        <is>
          <t>5 early-death scenarios with full projection re-runs</t>
        </is>
      </c>
      <c r="C25" s="4" t="n"/>
      <c r="D25" s="130" t="inlineStr">
        <is>
          <t>PASS</t>
        </is>
      </c>
      <c r="E25" s="12" t="inlineStr">
        <is>
          <t>worst case: Both die at 75 (shortened plan) at $-1,671,847</t>
        </is>
      </c>
    </row>
    <row r="26" ht="30" customHeight="1">
      <c r="A26" s="96" t="inlineStr">
        <is>
          <t>3C. LTC + Life Insurance</t>
        </is>
      </c>
      <c r="B26" s="12" t="inlineStr">
        <is>
          <t>Annuity DB table; gap analysis; options documented</t>
        </is>
      </c>
      <c r="C26" s="4" t="n"/>
      <c r="D26" s="130" t="inlineStr">
        <is>
          <t>PASS</t>
        </is>
      </c>
      <c r="E26" s="33" t="inlineStr"/>
    </row>
    <row r="27" ht="60" customHeight="1">
      <c r="A27" s="96" t="inlineStr">
        <is>
          <t>4E. RMD Audit</t>
        </is>
      </c>
      <c r="B27" s="12" t="inlineStr">
        <is>
          <t>Matches CF; RMD vs elective flagged; death years correct</t>
        </is>
      </c>
      <c r="C27" s="4" t="n"/>
      <c r="D27" s="130" t="inlineStr">
        <is>
          <t>PASS</t>
        </is>
      </c>
      <c r="E27" s="12" t="inlineStr">
        <is>
          <t>RMD start age 75; H dies 2054; W dies 2056</t>
        </is>
      </c>
    </row>
    <row r="28" ht="15" customHeight="1">
      <c r="A28" s="96" t="inlineStr">
        <is>
          <t>4G. Glossary</t>
        </is>
      </c>
      <c r="B28" s="12" t="inlineStr">
        <is>
          <t>All key terms defined</t>
        </is>
      </c>
      <c r="C28" s="4" t="n"/>
      <c r="D28" s="130" t="inlineStr">
        <is>
          <t>PASS</t>
        </is>
      </c>
      <c r="E28" s="12" t="inlineStr">
        <is>
          <t>22 terms</t>
        </is>
      </c>
    </row>
    <row r="29" ht="30" customHeight="1">
      <c r="A29" s="96" t="inlineStr">
        <is>
          <t>4F. Methodology</t>
        </is>
      </c>
      <c r="B29" s="12" t="inlineStr">
        <is>
          <t>Re-run steps and methodology documented</t>
        </is>
      </c>
      <c r="C29" s="4" t="n"/>
      <c r="D29" s="130" t="inlineStr">
        <is>
          <t>PASS</t>
        </is>
      </c>
      <c r="E29" s="33" t="inlineStr"/>
    </row>
    <row r="30" ht="30" customHeight="1">
      <c r="A30" s="96" t="inlineStr">
        <is>
          <t>24. Asset Location</t>
        </is>
      </c>
      <c r="B30" s="12" t="inlineStr">
        <is>
          <t>Tax-location savings quantified</t>
        </is>
      </c>
      <c r="C30" s="4" t="n"/>
      <c r="D30" s="130" t="inlineStr">
        <is>
          <t>PASS</t>
        </is>
      </c>
      <c r="E30" s="12" t="inlineStr">
        <is>
          <t>$41,158 lifetime</t>
        </is>
      </c>
    </row>
    <row r="31" ht="60" customHeight="1">
      <c r="A31" s="96" t="inlineStr">
        <is>
          <t>4C. Account Reconciliation</t>
        </is>
      </c>
      <c r="B31" s="12" t="inlineStr">
        <is>
          <t>Every account roll-forward foots</t>
        </is>
      </c>
      <c r="C31" s="4" t="n"/>
      <c r="D31" s="130" t="inlineStr">
        <is>
          <t>PASS</t>
        </is>
      </c>
      <c r="E31" s="12" t="inlineStr">
        <is>
          <t>max residual $0.00 across 310 account-years</t>
        </is>
      </c>
    </row>
    <row r="32" ht="60" customHeight="1">
      <c r="A32" s="96" t="inlineStr">
        <is>
          <t>Core Spending</t>
        </is>
      </c>
      <c r="B32" s="12" t="inlineStr">
        <is>
          <t>YTD core spending breakdown, 7 groups</t>
        </is>
      </c>
      <c r="C32" s="4" t="n"/>
      <c r="D32" s="130" t="inlineStr">
        <is>
          <t>PASS</t>
        </is>
      </c>
      <c r="E32" s="12" t="inlineStr">
        <is>
          <t>$73,469 actual  |  $143,401 annualized</t>
        </is>
      </c>
    </row>
    <row r="33" ht="75" customHeight="1">
      <c r="A33" s="96" t="inlineStr">
        <is>
          <t>Spending Summary</t>
        </is>
      </c>
      <c r="B33" s="12" t="inlineStr">
        <is>
          <t>Taxonomy-aware spending summary, 7 tracking types</t>
        </is>
      </c>
      <c r="C33" s="4" t="n"/>
      <c r="D33" s="130" t="inlineStr">
        <is>
          <t>PASS</t>
        </is>
      </c>
      <c r="E33" s="12" t="inlineStr">
        <is>
          <t>$178,134 actual  |  $347,694 annualized  |  0 unmapped</t>
        </is>
      </c>
    </row>
    <row r="34" ht="30" customHeight="1">
      <c r="A34" s="96" t="inlineStr">
        <is>
          <t>4D. Quality Control</t>
        </is>
      </c>
      <c r="B34" s="12" t="inlineStr">
        <is>
          <t>QC sheet itself has checks</t>
        </is>
      </c>
      <c r="C34" s="4" t="n"/>
      <c r="D34" s="130" t="inlineStr">
        <is>
          <t>PASS</t>
        </is>
      </c>
      <c r="E34" s="12" t="inlineStr">
        <is>
          <t>30 checks</t>
        </is>
      </c>
    </row>
    <row r="35" ht="30" customHeight="1">
      <c r="A35" s="96" t="inlineStr">
        <is>
          <t>Validation</t>
        </is>
      </c>
      <c r="B35" s="12" t="inlineStr">
        <is>
          <t>All invariants passed</t>
        </is>
      </c>
      <c r="C35" s="4" t="n"/>
      <c r="D35" s="130"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8"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1"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Matthew Age</t>
        </is>
      </c>
      <c r="C2" s="39" t="inlineStr">
        <is>
          <t>Patricia Age</t>
        </is>
      </c>
      <c r="D2" s="39" t="inlineStr">
        <is>
          <t>Filing</t>
        </is>
      </c>
      <c r="E2" s="39" t="inlineStr">
        <is>
          <t>Matthew Alive</t>
        </is>
      </c>
      <c r="F2" s="39" t="inlineStr">
        <is>
          <t>Patricia Alive</t>
        </is>
      </c>
      <c r="G2" s="179" t="inlineStr">
        <is>
          <t>Matthew IRA Bal (BOY)</t>
        </is>
      </c>
      <c r="H2" s="179" t="inlineStr">
        <is>
          <t>Matthew 401k Bal</t>
        </is>
      </c>
      <c r="I2" s="179" t="inlineStr">
        <is>
          <t>Matthew RMD Required</t>
        </is>
      </c>
      <c r="J2" s="179" t="inlineStr">
        <is>
          <t>Matthew RMD Satisfied?</t>
        </is>
      </c>
      <c r="K2" s="179" t="inlineStr">
        <is>
          <t>Matthew IRA Elective</t>
        </is>
      </c>
      <c r="L2" s="179" t="inlineStr">
        <is>
          <t>Matthew IRA Conversion</t>
        </is>
      </c>
      <c r="M2" s="179" t="inlineStr">
        <is>
          <t>Matthew IRA Total Outflow</t>
        </is>
      </c>
      <c r="N2" s="177" t="inlineStr">
        <is>
          <t>Matthew IRA RMD%</t>
        </is>
      </c>
      <c r="O2" s="177" t="inlineStr">
        <is>
          <t>Patricia IRA Bal (BOY)</t>
        </is>
      </c>
      <c r="P2" s="177" t="inlineStr">
        <is>
          <t>Patricia RMD Required</t>
        </is>
      </c>
      <c r="Q2" s="177" t="inlineStr">
        <is>
          <t>Patricia RMD Satisfied?</t>
        </is>
      </c>
      <c r="R2" s="177" t="inlineStr">
        <is>
          <t>Patricia IRA Elective</t>
        </is>
      </c>
      <c r="S2" s="177" t="inlineStr">
        <is>
          <t>Patricia IRA Conversion</t>
        </is>
      </c>
      <c r="T2" s="180" t="inlineStr">
        <is>
          <t>Patricia IRA Total Outflow</t>
        </is>
      </c>
      <c r="U2" s="180" t="inlineStr">
        <is>
          <t>Patricia IRA RMD%</t>
        </is>
      </c>
      <c r="V2" s="180"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1" t="n">
        <v>2026</v>
      </c>
      <c r="B3" s="182" t="n">
        <v>64</v>
      </c>
      <c r="C3" s="181" t="n">
        <v>65</v>
      </c>
      <c r="D3" s="183" t="inlineStr">
        <is>
          <t>MFJ</t>
        </is>
      </c>
      <c r="E3" s="183" t="inlineStr">
        <is>
          <t>ALIVE</t>
        </is>
      </c>
      <c r="F3" s="183" t="inlineStr">
        <is>
          <t>ALIVE</t>
        </is>
      </c>
      <c r="G3" s="184" t="n">
        <v>1413402.382727479</v>
      </c>
      <c r="H3" s="184" t="n">
        <v>27450.5662033872</v>
      </c>
      <c r="I3" s="185" t="n">
        <v>0</v>
      </c>
      <c r="J3" s="186" t="inlineStr">
        <is>
          <t>N/A</t>
        </is>
      </c>
      <c r="K3" s="184" t="n">
        <v>0.02200763503316241</v>
      </c>
      <c r="L3" s="185" t="n">
        <v>0</v>
      </c>
      <c r="M3" s="184" t="n">
        <v>0.02200763503316241</v>
      </c>
      <c r="N3" s="187" t="n">
        <v>0</v>
      </c>
      <c r="O3" s="185" t="n">
        <v>350977.1004208188</v>
      </c>
      <c r="P3" s="188" t="n">
        <v>0</v>
      </c>
      <c r="Q3" s="183" t="inlineStr">
        <is>
          <t>N/A</t>
        </is>
      </c>
      <c r="R3" s="185" t="n">
        <v>0.005464951825080014</v>
      </c>
      <c r="S3" s="184" t="n">
        <v>125000</v>
      </c>
      <c r="T3" s="185" t="n">
        <v>125000.0054649518</v>
      </c>
      <c r="U3" s="189" t="n">
        <v>0</v>
      </c>
      <c r="V3" s="184" t="n">
        <v>0</v>
      </c>
      <c r="W3" s="184" t="n">
        <v>0.02747258685824243</v>
      </c>
      <c r="X3" s="184" t="n">
        <v>125000.0274725869</v>
      </c>
      <c r="Y3" s="190" t="inlineStr">
        <is>
          <t>✓</t>
        </is>
      </c>
      <c r="Z3" s="191" t="inlineStr"/>
      <c r="AA3" s="191" t="inlineStr"/>
    </row>
    <row r="4" ht="15" customHeight="1">
      <c r="A4" s="181" t="n">
        <v>2027</v>
      </c>
      <c r="B4" s="182" t="n">
        <v>65</v>
      </c>
      <c r="C4" s="181" t="n">
        <v>66</v>
      </c>
      <c r="D4" s="183" t="inlineStr">
        <is>
          <t>MFJ</t>
        </is>
      </c>
      <c r="E4" s="183" t="inlineStr">
        <is>
          <t>ALIVE</t>
        </is>
      </c>
      <c r="F4" s="183" t="inlineStr">
        <is>
          <t>ALIVE</t>
        </is>
      </c>
      <c r="G4" s="184" t="n">
        <v>1443398.892250358</v>
      </c>
      <c r="H4" s="184" t="n">
        <v>28033.1470597597</v>
      </c>
      <c r="I4" s="185" t="n">
        <v>0</v>
      </c>
      <c r="J4" s="186" t="inlineStr">
        <is>
          <t>N/A</t>
        </is>
      </c>
      <c r="K4" s="184" t="n">
        <v>51705.31456676441</v>
      </c>
      <c r="L4" s="185" t="n">
        <v>0</v>
      </c>
      <c r="M4" s="184" t="n">
        <v>51705.31456676441</v>
      </c>
      <c r="N4" s="187" t="n">
        <v>0</v>
      </c>
      <c r="O4" s="185" t="n">
        <v>184357.0732532336</v>
      </c>
      <c r="P4" s="188" t="n">
        <v>0</v>
      </c>
      <c r="Q4" s="183" t="inlineStr">
        <is>
          <t>N/A</t>
        </is>
      </c>
      <c r="R4" s="185" t="n">
        <v>6604.023680733922</v>
      </c>
      <c r="S4" s="184" t="n">
        <v>170451.3095200532</v>
      </c>
      <c r="T4" s="185" t="n">
        <v>177055.3332007871</v>
      </c>
      <c r="U4" s="189" t="n">
        <v>0</v>
      </c>
      <c r="V4" s="184" t="n">
        <v>0</v>
      </c>
      <c r="W4" s="184" t="n">
        <v>58309.33824749834</v>
      </c>
      <c r="X4" s="184" t="n">
        <v>228760.6477675515</v>
      </c>
      <c r="Y4" s="190" t="inlineStr">
        <is>
          <t>✓</t>
        </is>
      </c>
      <c r="Z4" s="191" t="inlineStr"/>
      <c r="AA4" s="191" t="inlineStr"/>
    </row>
    <row r="5" ht="15" customHeight="1">
      <c r="A5" s="181" t="n">
        <v>2028</v>
      </c>
      <c r="B5" s="182" t="n">
        <v>66</v>
      </c>
      <c r="C5" s="181" t="n">
        <v>67</v>
      </c>
      <c r="D5" s="183" t="inlineStr">
        <is>
          <t>MFJ</t>
        </is>
      </c>
      <c r="E5" s="183" t="inlineStr">
        <is>
          <t>ALIVE</t>
        </is>
      </c>
      <c r="F5" s="183" t="inlineStr">
        <is>
          <t>ALIVE</t>
        </is>
      </c>
      <c r="G5" s="184" t="n">
        <v>1434440.600491506</v>
      </c>
      <c r="H5" s="184" t="n">
        <v>27859.16250730616</v>
      </c>
      <c r="I5" s="185" t="n">
        <v>0</v>
      </c>
      <c r="J5" s="186" t="inlineStr">
        <is>
          <t>N/A</t>
        </is>
      </c>
      <c r="K5" s="184" t="n">
        <v>90153.0427300687</v>
      </c>
      <c r="L5" s="185" t="n">
        <v>0</v>
      </c>
      <c r="M5" s="184" t="n">
        <v>90153.0427300687</v>
      </c>
      <c r="N5" s="187" t="n">
        <v>0</v>
      </c>
      <c r="O5" s="185" t="n">
        <v>27681.62616805414</v>
      </c>
      <c r="P5" s="188" t="n">
        <v>0</v>
      </c>
      <c r="Q5" s="183" t="inlineStr">
        <is>
          <t>N/A</t>
        </is>
      </c>
      <c r="R5" s="185" t="n">
        <v>1739.760312076547</v>
      </c>
      <c r="S5" s="184" t="n">
        <v>156502.5712731815</v>
      </c>
      <c r="T5" s="185" t="n">
        <v>158242.331585258</v>
      </c>
      <c r="U5" s="189" t="n">
        <v>0</v>
      </c>
      <c r="V5" s="184" t="n">
        <v>0</v>
      </c>
      <c r="W5" s="184" t="n">
        <v>91892.80304214524</v>
      </c>
      <c r="X5" s="184" t="n">
        <v>248395.3743153267</v>
      </c>
      <c r="Y5" s="190" t="inlineStr">
        <is>
          <t>✓</t>
        </is>
      </c>
      <c r="Z5" s="191" t="inlineStr"/>
      <c r="AA5" s="191" t="inlineStr"/>
    </row>
    <row r="6" ht="15" customHeight="1">
      <c r="A6" s="181" t="n">
        <v>2029</v>
      </c>
      <c r="B6" s="182" t="n">
        <v>67</v>
      </c>
      <c r="C6" s="181" t="n">
        <v>68</v>
      </c>
      <c r="D6" s="183" t="inlineStr">
        <is>
          <t>MFJ</t>
        </is>
      </c>
      <c r="E6" s="183" t="inlineStr">
        <is>
          <t>ALIVE</t>
        </is>
      </c>
      <c r="F6" s="183" t="inlineStr">
        <is>
          <t>ALIVE</t>
        </is>
      </c>
      <c r="G6" s="184" t="n">
        <v>1307748.908855325</v>
      </c>
      <c r="H6" s="184" t="n">
        <v>0</v>
      </c>
      <c r="I6" s="185" t="n">
        <v>0</v>
      </c>
      <c r="J6" s="186" t="inlineStr">
        <is>
          <t>N/A</t>
        </is>
      </c>
      <c r="K6" s="184" t="n">
        <v>143401.1824779538</v>
      </c>
      <c r="L6" s="185" t="n">
        <v>57314.03230098225</v>
      </c>
      <c r="M6" s="184" t="n">
        <v>200715.2147789361</v>
      </c>
      <c r="N6" s="187" t="n">
        <v>0</v>
      </c>
      <c r="O6" s="185" t="n">
        <v>0</v>
      </c>
      <c r="P6" s="188" t="n">
        <v>0</v>
      </c>
      <c r="Q6" s="183" t="inlineStr">
        <is>
          <t>N/A</t>
        </is>
      </c>
      <c r="R6" s="185" t="n">
        <v>0</v>
      </c>
      <c r="S6" s="184" t="n">
        <v>27681.62616805414</v>
      </c>
      <c r="T6" s="185" t="n">
        <v>27681.62616805414</v>
      </c>
      <c r="U6" s="189" t="n"/>
      <c r="V6" s="184" t="n">
        <v>0</v>
      </c>
      <c r="W6" s="184" t="n">
        <v>143401.1824779538</v>
      </c>
      <c r="X6" s="184" t="n">
        <v>228396.8409469902</v>
      </c>
      <c r="Y6" s="190" t="inlineStr">
        <is>
          <t>✓</t>
        </is>
      </c>
      <c r="Z6" s="191" t="inlineStr"/>
      <c r="AA6" s="191" t="inlineStr"/>
    </row>
    <row r="7" ht="15" customHeight="1">
      <c r="A7" s="181" t="n">
        <v>2030</v>
      </c>
      <c r="B7" s="182" t="n">
        <v>68</v>
      </c>
      <c r="C7" s="181" t="n">
        <v>69</v>
      </c>
      <c r="D7" s="183" t="inlineStr">
        <is>
          <t>MFJ</t>
        </is>
      </c>
      <c r="E7" s="183" t="inlineStr">
        <is>
          <t>ALIVE</t>
        </is>
      </c>
      <c r="F7" s="183" t="inlineStr">
        <is>
          <t>ALIVE</t>
        </is>
      </c>
      <c r="G7" s="184" t="n">
        <v>1209272.470757415</v>
      </c>
      <c r="H7" s="184" t="n">
        <v>0</v>
      </c>
      <c r="I7" s="185" t="n">
        <v>0</v>
      </c>
      <c r="J7" s="186" t="inlineStr">
        <is>
          <t>N/A</t>
        </is>
      </c>
      <c r="K7" s="184" t="n">
        <v>73508.4557675962</v>
      </c>
      <c r="L7" s="185" t="n">
        <v>93417.36746752539</v>
      </c>
      <c r="M7" s="184" t="n">
        <v>166925.8232351216</v>
      </c>
      <c r="N7" s="187" t="n">
        <v>0</v>
      </c>
      <c r="O7" s="185" t="n">
        <v>0</v>
      </c>
      <c r="P7" s="188" t="n">
        <v>0</v>
      </c>
      <c r="Q7" s="183" t="inlineStr">
        <is>
          <t>N/A</t>
        </is>
      </c>
      <c r="R7" s="185" t="n">
        <v>0</v>
      </c>
      <c r="S7" s="184" t="n">
        <v>0</v>
      </c>
      <c r="T7" s="185" t="n">
        <v>0</v>
      </c>
      <c r="U7" s="189" t="n"/>
      <c r="V7" s="184" t="n">
        <v>0</v>
      </c>
      <c r="W7" s="184" t="n">
        <v>73508.4557675962</v>
      </c>
      <c r="X7" s="184" t="n">
        <v>166925.8232351216</v>
      </c>
      <c r="Y7" s="190" t="inlineStr">
        <is>
          <t>✓</t>
        </is>
      </c>
      <c r="Z7" s="191" t="inlineStr"/>
      <c r="AA7" s="183" t="inlineStr">
        <is>
          <t>workplace plan rollover</t>
        </is>
      </c>
    </row>
    <row r="8" ht="15" customHeight="1">
      <c r="A8" s="181" t="n">
        <v>2031</v>
      </c>
      <c r="B8" s="182" t="n">
        <v>69</v>
      </c>
      <c r="C8" s="181" t="n">
        <v>70</v>
      </c>
      <c r="D8" s="183" t="inlineStr">
        <is>
          <t>MFJ</t>
        </is>
      </c>
      <c r="E8" s="183" t="inlineStr">
        <is>
          <t>ALIVE</t>
        </is>
      </c>
      <c r="F8" s="183" t="inlineStr">
        <is>
          <t>ALIVE</t>
        </is>
      </c>
      <c r="G8" s="184" t="n">
        <v>1148846.60145837</v>
      </c>
      <c r="H8" s="184" t="n">
        <v>0</v>
      </c>
      <c r="I8" s="185" t="n">
        <v>0</v>
      </c>
      <c r="J8" s="186" t="inlineStr">
        <is>
          <t>N/A</t>
        </is>
      </c>
      <c r="K8" s="184" t="n">
        <v>63303.59777063066</v>
      </c>
      <c r="L8" s="185" t="n">
        <v>62151.3244411526</v>
      </c>
      <c r="M8" s="184" t="n">
        <v>125454.9222117833</v>
      </c>
      <c r="N8" s="187" t="n">
        <v>0</v>
      </c>
      <c r="O8" s="185" t="n">
        <v>0</v>
      </c>
      <c r="P8" s="188" t="n">
        <v>0</v>
      </c>
      <c r="Q8" s="183" t="inlineStr">
        <is>
          <t>N/A</t>
        </is>
      </c>
      <c r="R8" s="185" t="n">
        <v>0</v>
      </c>
      <c r="S8" s="184" t="n">
        <v>0</v>
      </c>
      <c r="T8" s="185" t="n">
        <v>0</v>
      </c>
      <c r="U8" s="189" t="n"/>
      <c r="V8" s="184" t="n">
        <v>0</v>
      </c>
      <c r="W8" s="184" t="n">
        <v>63303.59777063066</v>
      </c>
      <c r="X8" s="184" t="n">
        <v>125454.9222117833</v>
      </c>
      <c r="Y8" s="190" t="inlineStr">
        <is>
          <t>✓</t>
        </is>
      </c>
      <c r="Z8" s="191" t="inlineStr"/>
      <c r="AA8" s="191" t="inlineStr"/>
    </row>
    <row r="9" ht="15" customHeight="1">
      <c r="A9" s="181" t="n">
        <v>2032</v>
      </c>
      <c r="B9" s="182" t="n">
        <v>70</v>
      </c>
      <c r="C9" s="181" t="n">
        <v>71</v>
      </c>
      <c r="D9" s="183" t="inlineStr">
        <is>
          <t>MFJ</t>
        </is>
      </c>
      <c r="E9" s="183" t="inlineStr">
        <is>
          <t>ALIVE</t>
        </is>
      </c>
      <c r="F9" s="183" t="inlineStr">
        <is>
          <t>ALIVE</t>
        </is>
      </c>
      <c r="G9" s="184" t="n">
        <v>996745.7708438257</v>
      </c>
      <c r="H9" s="184" t="n">
        <v>0</v>
      </c>
      <c r="I9" s="185" t="n">
        <v>0</v>
      </c>
      <c r="J9" s="186" t="inlineStr">
        <is>
          <t>N/A</t>
        </is>
      </c>
      <c r="K9" s="184" t="n">
        <v>163990.1133522663</v>
      </c>
      <c r="L9" s="185" t="n">
        <v>44530.28919683411</v>
      </c>
      <c r="M9" s="184" t="n">
        <v>208520.4025491004</v>
      </c>
      <c r="N9" s="187" t="n">
        <v>0</v>
      </c>
      <c r="O9" s="185" t="n">
        <v>0</v>
      </c>
      <c r="P9" s="188" t="n">
        <v>0</v>
      </c>
      <c r="Q9" s="183" t="inlineStr">
        <is>
          <t>N/A</t>
        </is>
      </c>
      <c r="R9" s="185" t="n">
        <v>0</v>
      </c>
      <c r="S9" s="184" t="n">
        <v>0</v>
      </c>
      <c r="T9" s="185" t="n">
        <v>0</v>
      </c>
      <c r="U9" s="189" t="n"/>
      <c r="V9" s="184" t="n">
        <v>0</v>
      </c>
      <c r="W9" s="184" t="n">
        <v>163990.1133522663</v>
      </c>
      <c r="X9" s="184" t="n">
        <v>208520.4025491004</v>
      </c>
      <c r="Y9" s="190" t="inlineStr">
        <is>
          <t>✓</t>
        </is>
      </c>
      <c r="Z9" s="191" t="inlineStr"/>
      <c r="AA9" s="191" t="inlineStr"/>
    </row>
    <row r="10" ht="15" customHeight="1">
      <c r="A10" s="181" t="n">
        <v>2033</v>
      </c>
      <c r="B10" s="182" t="n">
        <v>71</v>
      </c>
      <c r="C10" s="181" t="n">
        <v>72</v>
      </c>
      <c r="D10" s="183" t="inlineStr">
        <is>
          <t>MFJ</t>
        </is>
      </c>
      <c r="E10" s="183" t="inlineStr">
        <is>
          <t>ALIVE</t>
        </is>
      </c>
      <c r="F10" s="183" t="inlineStr">
        <is>
          <t>ALIVE</t>
        </is>
      </c>
      <c r="G10" s="184" t="n">
        <v>954267.6749390614</v>
      </c>
      <c r="H10" s="184" t="n">
        <v>0</v>
      </c>
      <c r="I10" s="185" t="n">
        <v>0</v>
      </c>
      <c r="J10" s="186" t="inlineStr">
        <is>
          <t>N/A</t>
        </is>
      </c>
      <c r="K10" s="184" t="n">
        <v>45935.56583308314</v>
      </c>
      <c r="L10" s="185" t="n">
        <v>50557.68148332619</v>
      </c>
      <c r="M10" s="184" t="n">
        <v>96493.24731640932</v>
      </c>
      <c r="N10" s="187" t="n">
        <v>0</v>
      </c>
      <c r="O10" s="185" t="n">
        <v>0</v>
      </c>
      <c r="P10" s="188" t="n">
        <v>0</v>
      </c>
      <c r="Q10" s="183" t="inlineStr">
        <is>
          <t>N/A</t>
        </is>
      </c>
      <c r="R10" s="185" t="n">
        <v>0</v>
      </c>
      <c r="S10" s="184" t="n">
        <v>0</v>
      </c>
      <c r="T10" s="185" t="n">
        <v>0</v>
      </c>
      <c r="U10" s="189" t="n"/>
      <c r="V10" s="184" t="n">
        <v>0</v>
      </c>
      <c r="W10" s="184" t="n">
        <v>45935.56583308314</v>
      </c>
      <c r="X10" s="184" t="n">
        <v>96493.24731640932</v>
      </c>
      <c r="Y10" s="190" t="inlineStr">
        <is>
          <t>✓</t>
        </is>
      </c>
      <c r="Z10" s="191" t="inlineStr"/>
      <c r="AA10" s="191" t="inlineStr"/>
    </row>
    <row r="11" ht="15" customHeight="1">
      <c r="A11" s="181" t="n">
        <v>2034</v>
      </c>
      <c r="B11" s="182" t="n">
        <v>72</v>
      </c>
      <c r="C11" s="181" t="n">
        <v>73</v>
      </c>
      <c r="D11" s="183" t="inlineStr">
        <is>
          <t>MFJ</t>
        </is>
      </c>
      <c r="E11" s="183" t="inlineStr">
        <is>
          <t>ALIVE</t>
        </is>
      </c>
      <c r="F11" s="183" t="inlineStr">
        <is>
          <t>ALIVE</t>
        </is>
      </c>
      <c r="G11" s="184" t="n">
        <v>811173.9843291799</v>
      </c>
      <c r="H11" s="184" t="n">
        <v>0</v>
      </c>
      <c r="I11" s="185" t="n">
        <v>0</v>
      </c>
      <c r="J11" s="186" t="inlineStr">
        <is>
          <t>N/A</t>
        </is>
      </c>
      <c r="K11" s="184" t="n">
        <v>132394.0983108639</v>
      </c>
      <c r="L11" s="185" t="n">
        <v>56615.1008459524</v>
      </c>
      <c r="M11" s="184" t="n">
        <v>189009.1991568163</v>
      </c>
      <c r="N11" s="187" t="n">
        <v>0</v>
      </c>
      <c r="O11" s="185" t="n">
        <v>0</v>
      </c>
      <c r="P11" s="188" t="n">
        <v>0</v>
      </c>
      <c r="Q11" s="183" t="inlineStr">
        <is>
          <t>N/A</t>
        </is>
      </c>
      <c r="R11" s="185" t="n">
        <v>0</v>
      </c>
      <c r="S11" s="184" t="n">
        <v>0</v>
      </c>
      <c r="T11" s="185" t="n">
        <v>0</v>
      </c>
      <c r="U11" s="189" t="n"/>
      <c r="V11" s="184" t="n">
        <v>0</v>
      </c>
      <c r="W11" s="184" t="n">
        <v>132394.0983108639</v>
      </c>
      <c r="X11" s="184" t="n">
        <v>189009.1991568163</v>
      </c>
      <c r="Y11" s="190" t="inlineStr">
        <is>
          <t>✓</t>
        </is>
      </c>
      <c r="Z11" s="191" t="inlineStr"/>
      <c r="AA11" s="191" t="inlineStr"/>
    </row>
    <row r="12" ht="15" customHeight="1">
      <c r="A12" s="181" t="n">
        <v>2035</v>
      </c>
      <c r="B12" s="182" t="n">
        <v>73</v>
      </c>
      <c r="C12" s="181" t="n">
        <v>74</v>
      </c>
      <c r="D12" s="183" t="inlineStr">
        <is>
          <t>MFJ</t>
        </is>
      </c>
      <c r="E12" s="183" t="inlineStr">
        <is>
          <t>ALIVE</t>
        </is>
      </c>
      <c r="F12" s="183" t="inlineStr">
        <is>
          <t>ALIVE</t>
        </is>
      </c>
      <c r="G12" s="184" t="n">
        <v>703589.6069573143</v>
      </c>
      <c r="H12" s="184" t="n">
        <v>0</v>
      </c>
      <c r="I12" s="185" t="n">
        <v>0</v>
      </c>
      <c r="J12" s="186" t="inlineStr">
        <is>
          <t>N/A</t>
        </is>
      </c>
      <c r="K12" s="184" t="n">
        <v>90083.10686910556</v>
      </c>
      <c r="L12" s="185" t="n">
        <v>57327.09731166446</v>
      </c>
      <c r="M12" s="184" t="n">
        <v>147410.20418077</v>
      </c>
      <c r="N12" s="187" t="n">
        <v>0</v>
      </c>
      <c r="O12" s="185" t="n">
        <v>0</v>
      </c>
      <c r="P12" s="188" t="n">
        <v>0</v>
      </c>
      <c r="Q12" s="183" t="inlineStr">
        <is>
          <t>N/A</t>
        </is>
      </c>
      <c r="R12" s="185" t="n">
        <v>0</v>
      </c>
      <c r="S12" s="184" t="n">
        <v>0</v>
      </c>
      <c r="T12" s="185" t="n">
        <v>0</v>
      </c>
      <c r="U12" s="189" t="n"/>
      <c r="V12" s="184" t="n">
        <v>0</v>
      </c>
      <c r="W12" s="184" t="n">
        <v>90083.10686910556</v>
      </c>
      <c r="X12" s="184" t="n">
        <v>147410.20418077</v>
      </c>
      <c r="Y12" s="190" t="inlineStr">
        <is>
          <t>✓</t>
        </is>
      </c>
      <c r="Z12" s="191" t="inlineStr"/>
      <c r="AA12" s="191" t="inlineStr"/>
    </row>
    <row r="13" ht="15" customHeight="1">
      <c r="A13" s="181" t="n">
        <v>2036</v>
      </c>
      <c r="B13" s="182" t="n">
        <v>74</v>
      </c>
      <c r="C13" s="181" t="n">
        <v>75</v>
      </c>
      <c r="D13" s="183" t="inlineStr">
        <is>
          <t>MFJ</t>
        </is>
      </c>
      <c r="E13" s="183" t="inlineStr">
        <is>
          <t>ALIVE</t>
        </is>
      </c>
      <c r="F13" s="183" t="inlineStr">
        <is>
          <t>ALIVE</t>
        </is>
      </c>
      <c r="G13" s="184" t="n">
        <v>668869.9116771464</v>
      </c>
      <c r="H13" s="184" t="n">
        <v>0</v>
      </c>
      <c r="I13" s="185" t="n">
        <v>0</v>
      </c>
      <c r="J13" s="186" t="inlineStr">
        <is>
          <t>N/A</t>
        </is>
      </c>
      <c r="K13" s="184" t="n">
        <v>72580.25631849693</v>
      </c>
      <c r="L13" s="185" t="n">
        <v>0</v>
      </c>
      <c r="M13" s="184" t="n">
        <v>72580.25631849693</v>
      </c>
      <c r="N13" s="187" t="n">
        <v>0</v>
      </c>
      <c r="O13" s="185" t="n">
        <v>0</v>
      </c>
      <c r="P13" s="188" t="n">
        <v>0</v>
      </c>
      <c r="Q13" s="183" t="inlineStr">
        <is>
          <t>✓</t>
        </is>
      </c>
      <c r="R13" s="185" t="n">
        <v>0</v>
      </c>
      <c r="S13" s="184" t="n">
        <v>0</v>
      </c>
      <c r="T13" s="185" t="n">
        <v>0</v>
      </c>
      <c r="U13" s="189" t="n"/>
      <c r="V13" s="184" t="n">
        <v>0</v>
      </c>
      <c r="W13" s="184" t="n">
        <v>72580.25631849693</v>
      </c>
      <c r="X13" s="184" t="n">
        <v>72580.25631849693</v>
      </c>
      <c r="Y13" s="190" t="inlineStr">
        <is>
          <t>✓</t>
        </is>
      </c>
      <c r="Z13" s="191" t="inlineStr"/>
      <c r="AA13" s="191" t="inlineStr"/>
    </row>
    <row r="14" ht="45" customHeight="1">
      <c r="A14" s="192" t="n">
        <v>2037</v>
      </c>
      <c r="B14" s="192" t="n">
        <v>75</v>
      </c>
      <c r="C14" s="192" t="n">
        <v>76</v>
      </c>
      <c r="D14" s="190" t="inlineStr">
        <is>
          <t>MFJ</t>
        </is>
      </c>
      <c r="E14" s="190" t="inlineStr">
        <is>
          <t>ALIVE</t>
        </is>
      </c>
      <c r="F14" s="190" t="inlineStr">
        <is>
          <t>ALIVE</t>
        </is>
      </c>
      <c r="G14" s="193" t="n">
        <v>623451.4743334404</v>
      </c>
      <c r="H14" s="193" t="n">
        <v>0</v>
      </c>
      <c r="I14" s="194" t="n">
        <v>27189.83380801408</v>
      </c>
      <c r="J14" s="190" t="inlineStr">
        <is>
          <t>✓</t>
        </is>
      </c>
      <c r="K14" s="193" t="n">
        <v>53518.30963003761</v>
      </c>
      <c r="L14" s="194" t="n">
        <v>0</v>
      </c>
      <c r="M14" s="193" t="n">
        <v>80708.14343805169</v>
      </c>
      <c r="N14" s="195" t="n">
        <v>0.3368908346762294</v>
      </c>
      <c r="O14" s="194" t="n">
        <v>0</v>
      </c>
      <c r="P14" s="196" t="n">
        <v>0</v>
      </c>
      <c r="Q14" s="190" t="inlineStr">
        <is>
          <t>✓</t>
        </is>
      </c>
      <c r="R14" s="194" t="n">
        <v>0</v>
      </c>
      <c r="S14" s="193" t="n">
        <v>0</v>
      </c>
      <c r="T14" s="194" t="n">
        <v>0</v>
      </c>
      <c r="U14" s="197" t="n"/>
      <c r="V14" s="193" t="n">
        <v>27189.83380801408</v>
      </c>
      <c r="W14" s="193" t="n">
        <v>80708.14343805169</v>
      </c>
      <c r="X14" s="193" t="n">
        <v>80708.14343805169</v>
      </c>
      <c r="Y14" s="190" t="inlineStr">
        <is>
          <t>✓</t>
        </is>
      </c>
      <c r="Z14" s="198" t="inlineStr"/>
      <c r="AA14" s="190" t="inlineStr">
        <is>
          <t>Matthew: RMD $27,190 + Elec $53,518</t>
        </is>
      </c>
    </row>
    <row r="15" ht="45" customHeight="1">
      <c r="A15" s="192" t="n">
        <v>2038</v>
      </c>
      <c r="B15" s="192" t="n">
        <v>76</v>
      </c>
      <c r="C15" s="192" t="n">
        <v>77</v>
      </c>
      <c r="D15" s="190" t="inlineStr">
        <is>
          <t>MFJ</t>
        </is>
      </c>
      <c r="E15" s="190" t="inlineStr">
        <is>
          <t>ALIVE</t>
        </is>
      </c>
      <c r="F15" s="190" t="inlineStr">
        <is>
          <t>ALIVE</t>
        </is>
      </c>
      <c r="G15" s="193" t="n">
        <v>566521.4525560265</v>
      </c>
      <c r="H15" s="193" t="n">
        <v>0</v>
      </c>
      <c r="I15" s="194" t="n">
        <v>26305.96938115783</v>
      </c>
      <c r="J15" s="190" t="inlineStr">
        <is>
          <t>✓</t>
        </is>
      </c>
      <c r="K15" s="193" t="n">
        <v>62691.3044277293</v>
      </c>
      <c r="L15" s="194" t="n">
        <v>0</v>
      </c>
      <c r="M15" s="193" t="n">
        <v>88997.27380888713</v>
      </c>
      <c r="N15" s="195" t="n">
        <v>0.2955817437469748</v>
      </c>
      <c r="O15" s="194" t="n">
        <v>0</v>
      </c>
      <c r="P15" s="196" t="n">
        <v>0</v>
      </c>
      <c r="Q15" s="190" t="inlineStr">
        <is>
          <t>✓</t>
        </is>
      </c>
      <c r="R15" s="194" t="n">
        <v>0</v>
      </c>
      <c r="S15" s="193" t="n">
        <v>0</v>
      </c>
      <c r="T15" s="194" t="n">
        <v>0</v>
      </c>
      <c r="U15" s="197" t="n"/>
      <c r="V15" s="193" t="n">
        <v>26305.96938115783</v>
      </c>
      <c r="W15" s="193" t="n">
        <v>88997.27380888713</v>
      </c>
      <c r="X15" s="193" t="n">
        <v>88997.27380888713</v>
      </c>
      <c r="Y15" s="190" t="inlineStr">
        <is>
          <t>✓</t>
        </is>
      </c>
      <c r="Z15" s="198" t="inlineStr"/>
      <c r="AA15" s="190" t="inlineStr">
        <is>
          <t>Matthew: RMD $26,306 + Elec $62,691</t>
        </is>
      </c>
    </row>
    <row r="16" ht="30" customHeight="1">
      <c r="A16" s="192" t="n">
        <v>2039</v>
      </c>
      <c r="B16" s="192" t="n">
        <v>77</v>
      </c>
      <c r="C16" s="192" t="n">
        <v>78</v>
      </c>
      <c r="D16" s="190" t="inlineStr">
        <is>
          <t>MFJ</t>
        </is>
      </c>
      <c r="E16" s="190" t="inlineStr">
        <is>
          <t>ALIVE</t>
        </is>
      </c>
      <c r="F16" s="190" t="inlineStr">
        <is>
          <t>ALIVE</t>
        </is>
      </c>
      <c r="G16" s="193" t="n">
        <v>497230.4328512694</v>
      </c>
      <c r="H16" s="193" t="n">
        <v>0</v>
      </c>
      <c r="I16" s="194" t="n">
        <v>24738.92805921513</v>
      </c>
      <c r="J16" s="190" t="inlineStr">
        <is>
          <t>✓</t>
        </is>
      </c>
      <c r="K16" s="193" t="n">
        <v>72697.21048617997</v>
      </c>
      <c r="L16" s="194" t="n">
        <v>0</v>
      </c>
      <c r="M16" s="193" t="n">
        <v>97436.13854539511</v>
      </c>
      <c r="N16" s="195" t="n">
        <v>0.2538988965340551</v>
      </c>
      <c r="O16" s="194" t="n">
        <v>0</v>
      </c>
      <c r="P16" s="196" t="n">
        <v>0</v>
      </c>
      <c r="Q16" s="190" t="inlineStr">
        <is>
          <t>✓</t>
        </is>
      </c>
      <c r="R16" s="194" t="n">
        <v>0</v>
      </c>
      <c r="S16" s="193" t="n">
        <v>0</v>
      </c>
      <c r="T16" s="194" t="n">
        <v>0</v>
      </c>
      <c r="U16" s="197" t="n"/>
      <c r="V16" s="193" t="n">
        <v>24738.92805921513</v>
      </c>
      <c r="W16" s="193" t="n">
        <v>97436.13854539511</v>
      </c>
      <c r="X16" s="193" t="n">
        <v>97436.13854539511</v>
      </c>
      <c r="Y16" s="190" t="inlineStr">
        <is>
          <t>✓</t>
        </is>
      </c>
      <c r="Z16" s="198" t="inlineStr"/>
      <c r="AA16" s="190" t="inlineStr">
        <is>
          <t>Matthew: RMD $24,739 + Elec $72,697</t>
        </is>
      </c>
    </row>
    <row r="17" ht="45" customHeight="1">
      <c r="A17" s="192" t="n">
        <v>2040</v>
      </c>
      <c r="B17" s="192" t="n">
        <v>78</v>
      </c>
      <c r="C17" s="192" t="n">
        <v>79</v>
      </c>
      <c r="D17" s="190" t="inlineStr">
        <is>
          <t>MFJ</t>
        </is>
      </c>
      <c r="E17" s="190" t="inlineStr">
        <is>
          <t>ALIVE</t>
        </is>
      </c>
      <c r="F17" s="190" t="inlineStr">
        <is>
          <t>ALIVE</t>
        </is>
      </c>
      <c r="G17" s="193" t="n">
        <v>414659.2922348218</v>
      </c>
      <c r="H17" s="193" t="n">
        <v>0</v>
      </c>
      <c r="I17" s="194" t="n">
        <v>22601.38331142133</v>
      </c>
      <c r="J17" s="190" t="inlineStr">
        <is>
          <t>✓</t>
        </is>
      </c>
      <c r="K17" s="193" t="n">
        <v>83441.0379975633</v>
      </c>
      <c r="L17" s="194" t="n">
        <v>0</v>
      </c>
      <c r="M17" s="193" t="n">
        <v>106042.4213089846</v>
      </c>
      <c r="N17" s="195" t="n">
        <v>0.2131353003112387</v>
      </c>
      <c r="O17" s="194" t="n">
        <v>0</v>
      </c>
      <c r="P17" s="196" t="n">
        <v>0</v>
      </c>
      <c r="Q17" s="190" t="inlineStr">
        <is>
          <t>✓</t>
        </is>
      </c>
      <c r="R17" s="194" t="n">
        <v>0</v>
      </c>
      <c r="S17" s="193" t="n">
        <v>0</v>
      </c>
      <c r="T17" s="194" t="n">
        <v>0</v>
      </c>
      <c r="U17" s="197" t="n"/>
      <c r="V17" s="193" t="n">
        <v>22601.38331142133</v>
      </c>
      <c r="W17" s="193" t="n">
        <v>106042.4213089846</v>
      </c>
      <c r="X17" s="193" t="n">
        <v>106042.4213089846</v>
      </c>
      <c r="Y17" s="190" t="inlineStr">
        <is>
          <t>✓</t>
        </is>
      </c>
      <c r="Z17" s="198" t="inlineStr"/>
      <c r="AA17" s="190" t="inlineStr">
        <is>
          <t>Matthew: RMD $22,601 + Elec $83,441</t>
        </is>
      </c>
    </row>
    <row r="18" ht="45" customHeight="1">
      <c r="A18" s="192" t="n">
        <v>2041</v>
      </c>
      <c r="B18" s="192" t="n">
        <v>79</v>
      </c>
      <c r="C18" s="192" t="n">
        <v>80</v>
      </c>
      <c r="D18" s="190" t="inlineStr">
        <is>
          <t>MFJ</t>
        </is>
      </c>
      <c r="E18" s="190" t="inlineStr">
        <is>
          <t>ALIVE</t>
        </is>
      </c>
      <c r="F18" s="190" t="inlineStr">
        <is>
          <t>ALIVE</t>
        </is>
      </c>
      <c r="G18" s="193" t="n">
        <v>299617.9068615519</v>
      </c>
      <c r="H18" s="193" t="n">
        <v>0</v>
      </c>
      <c r="I18" s="194" t="n">
        <v>19652.09915804843</v>
      </c>
      <c r="J18" s="190" t="inlineStr">
        <is>
          <t>✓</t>
        </is>
      </c>
      <c r="K18" s="193" t="n">
        <v>112348.7903771962</v>
      </c>
      <c r="L18" s="194" t="n">
        <v>0</v>
      </c>
      <c r="M18" s="193" t="n">
        <v>132000.8895352447</v>
      </c>
      <c r="N18" s="195" t="n">
        <v>0.148878535798058</v>
      </c>
      <c r="O18" s="194" t="n">
        <v>0</v>
      </c>
      <c r="P18" s="196" t="n">
        <v>0</v>
      </c>
      <c r="Q18" s="190" t="inlineStr">
        <is>
          <t>✓</t>
        </is>
      </c>
      <c r="R18" s="194" t="n">
        <v>0</v>
      </c>
      <c r="S18" s="193" t="n">
        <v>0</v>
      </c>
      <c r="T18" s="194" t="n">
        <v>0</v>
      </c>
      <c r="U18" s="197" t="n"/>
      <c r="V18" s="193" t="n">
        <v>19652.09915804843</v>
      </c>
      <c r="W18" s="193" t="n">
        <v>132000.8895352447</v>
      </c>
      <c r="X18" s="193" t="n">
        <v>132000.8895352447</v>
      </c>
      <c r="Y18" s="190" t="inlineStr">
        <is>
          <t>✓</t>
        </is>
      </c>
      <c r="Z18" s="198" t="inlineStr"/>
      <c r="AA18" s="190" t="inlineStr">
        <is>
          <t>Matthew: RMD $19,652 + Elec $112,349</t>
        </is>
      </c>
    </row>
    <row r="19" ht="45" customHeight="1">
      <c r="A19" s="192" t="n">
        <v>2042</v>
      </c>
      <c r="B19" s="192" t="n">
        <v>80</v>
      </c>
      <c r="C19" s="192" t="n">
        <v>81</v>
      </c>
      <c r="D19" s="190" t="inlineStr">
        <is>
          <t>MFJ</t>
        </is>
      </c>
      <c r="E19" s="190" t="inlineStr">
        <is>
          <t>ALIVE</t>
        </is>
      </c>
      <c r="F19" s="190" t="inlineStr">
        <is>
          <t>ALIVE</t>
        </is>
      </c>
      <c r="G19" s="193" t="n">
        <v>172794.957663225</v>
      </c>
      <c r="H19" s="193" t="n">
        <v>0</v>
      </c>
      <c r="I19" s="194" t="n">
        <v>14832.56964661148</v>
      </c>
      <c r="J19" s="190" t="inlineStr">
        <is>
          <t>✓</t>
        </is>
      </c>
      <c r="K19" s="193" t="n">
        <v>121771.2262118979</v>
      </c>
      <c r="L19" s="194" t="n">
        <v>0</v>
      </c>
      <c r="M19" s="193" t="n">
        <v>136603.7958585094</v>
      </c>
      <c r="N19" s="195" t="n">
        <v>0.1085809479406755</v>
      </c>
      <c r="O19" s="194" t="n">
        <v>0</v>
      </c>
      <c r="P19" s="196" t="n">
        <v>0</v>
      </c>
      <c r="Q19" s="190" t="inlineStr">
        <is>
          <t>✓</t>
        </is>
      </c>
      <c r="R19" s="194" t="n">
        <v>0</v>
      </c>
      <c r="S19" s="193" t="n">
        <v>0</v>
      </c>
      <c r="T19" s="194" t="n">
        <v>0</v>
      </c>
      <c r="U19" s="197" t="n"/>
      <c r="V19" s="193" t="n">
        <v>14832.56964661148</v>
      </c>
      <c r="W19" s="193" t="n">
        <v>136603.7958585094</v>
      </c>
      <c r="X19" s="193" t="n">
        <v>136603.7958585094</v>
      </c>
      <c r="Y19" s="190" t="inlineStr">
        <is>
          <t>✓</t>
        </is>
      </c>
      <c r="Z19" s="198" t="inlineStr"/>
      <c r="AA19" s="190" t="inlineStr">
        <is>
          <t>Matthew: RMD $14,833 + Elec $121,771</t>
        </is>
      </c>
    </row>
    <row r="20" ht="30" customHeight="1">
      <c r="A20" s="192" t="n">
        <v>2043</v>
      </c>
      <c r="B20" s="192" t="n">
        <v>81</v>
      </c>
      <c r="C20" s="192" t="n">
        <v>82</v>
      </c>
      <c r="D20" s="190" t="inlineStr">
        <is>
          <t>MFJ</t>
        </is>
      </c>
      <c r="E20" s="190" t="inlineStr">
        <is>
          <t>ALIVE</t>
        </is>
      </c>
      <c r="F20" s="190" t="inlineStr">
        <is>
          <t>ALIVE</t>
        </is>
      </c>
      <c r="G20" s="193" t="n">
        <v>33314.74673472879</v>
      </c>
      <c r="H20" s="193" t="n">
        <v>0</v>
      </c>
      <c r="I20" s="194" t="n">
        <v>8906.95658057861</v>
      </c>
      <c r="J20" s="190" t="inlineStr">
        <is>
          <t>✓</t>
        </is>
      </c>
      <c r="K20" s="193" t="n">
        <v>132458.9947291287</v>
      </c>
      <c r="L20" s="194" t="n">
        <v>0</v>
      </c>
      <c r="M20" s="193" t="n">
        <v>141365.9513097073</v>
      </c>
      <c r="N20" s="195" t="n">
        <v>0.0630063781133908</v>
      </c>
      <c r="O20" s="194" t="n">
        <v>0</v>
      </c>
      <c r="P20" s="196" t="n">
        <v>0</v>
      </c>
      <c r="Q20" s="190" t="inlineStr">
        <is>
          <t>✓</t>
        </is>
      </c>
      <c r="R20" s="194" t="n">
        <v>0</v>
      </c>
      <c r="S20" s="193" t="n">
        <v>0</v>
      </c>
      <c r="T20" s="194" t="n">
        <v>0</v>
      </c>
      <c r="U20" s="197" t="n"/>
      <c r="V20" s="193" t="n">
        <v>8906.95658057861</v>
      </c>
      <c r="W20" s="193" t="n">
        <v>141365.9513097073</v>
      </c>
      <c r="X20" s="193" t="n">
        <v>141365.9513097073</v>
      </c>
      <c r="Y20" s="190" t="inlineStr">
        <is>
          <t>✓</t>
        </is>
      </c>
      <c r="Z20" s="198" t="inlineStr"/>
      <c r="AA20" s="190" t="inlineStr">
        <is>
          <t>Matthew: RMD $8,907 + Elec $132,459</t>
        </is>
      </c>
    </row>
    <row r="21" ht="45" customHeight="1">
      <c r="A21" s="192" t="n">
        <v>2044</v>
      </c>
      <c r="B21" s="192" t="n">
        <v>82</v>
      </c>
      <c r="C21" s="192" t="n">
        <v>83</v>
      </c>
      <c r="D21" s="190" t="inlineStr">
        <is>
          <t>MFJ</t>
        </is>
      </c>
      <c r="E21" s="190" t="inlineStr">
        <is>
          <t>ALIVE</t>
        </is>
      </c>
      <c r="F21" s="190" t="inlineStr">
        <is>
          <t>ALIVE</t>
        </is>
      </c>
      <c r="G21" s="193" t="n">
        <v>0</v>
      </c>
      <c r="H21" s="193" t="n">
        <v>0</v>
      </c>
      <c r="I21" s="194" t="n">
        <v>1800.797120796151</v>
      </c>
      <c r="J21" s="190" t="inlineStr">
        <is>
          <t>✓</t>
        </is>
      </c>
      <c r="K21" s="193" t="n">
        <v>31513.94961393264</v>
      </c>
      <c r="L21" s="194" t="n">
        <v>0</v>
      </c>
      <c r="M21" s="193" t="n">
        <v>33314.74673472879</v>
      </c>
      <c r="N21" s="195" t="n">
        <v>0.05405405405405405</v>
      </c>
      <c r="O21" s="194" t="n">
        <v>0</v>
      </c>
      <c r="P21" s="196" t="n">
        <v>0</v>
      </c>
      <c r="Q21" s="190" t="inlineStr">
        <is>
          <t>✓</t>
        </is>
      </c>
      <c r="R21" s="194" t="n">
        <v>0</v>
      </c>
      <c r="S21" s="193" t="n">
        <v>0</v>
      </c>
      <c r="T21" s="194" t="n">
        <v>0</v>
      </c>
      <c r="U21" s="197" t="n"/>
      <c r="V21" s="193" t="n">
        <v>1800.797120796151</v>
      </c>
      <c r="W21" s="193" t="n">
        <v>33314.74673472879</v>
      </c>
      <c r="X21" s="193" t="n">
        <v>33314.74673472879</v>
      </c>
      <c r="Y21" s="190" t="inlineStr">
        <is>
          <t>✓</t>
        </is>
      </c>
      <c r="Z21" s="198" t="inlineStr"/>
      <c r="AA21" s="190" t="inlineStr">
        <is>
          <t>Matthew: RMD $1,801 + Elec $31,514</t>
        </is>
      </c>
    </row>
    <row r="22" ht="15" customHeight="1">
      <c r="A22" s="181" t="n">
        <v>2045</v>
      </c>
      <c r="B22" s="182" t="n">
        <v>83</v>
      </c>
      <c r="C22" s="181" t="n">
        <v>84</v>
      </c>
      <c r="D22" s="183" t="inlineStr">
        <is>
          <t>MFJ</t>
        </is>
      </c>
      <c r="E22" s="183" t="inlineStr">
        <is>
          <t>ALIVE</t>
        </is>
      </c>
      <c r="F22" s="183" t="inlineStr">
        <is>
          <t>ALIVE</t>
        </is>
      </c>
      <c r="G22" s="184" t="n">
        <v>0</v>
      </c>
      <c r="H22" s="184" t="n">
        <v>0</v>
      </c>
      <c r="I22" s="185" t="n">
        <v>0</v>
      </c>
      <c r="J22" s="190" t="inlineStr">
        <is>
          <t>✓</t>
        </is>
      </c>
      <c r="K22" s="184" t="n">
        <v>0</v>
      </c>
      <c r="L22" s="185" t="n">
        <v>0</v>
      </c>
      <c r="M22" s="184" t="n">
        <v>0</v>
      </c>
      <c r="N22" s="187" t="n"/>
      <c r="O22" s="185" t="n">
        <v>0</v>
      </c>
      <c r="P22" s="188" t="n">
        <v>0</v>
      </c>
      <c r="Q22" s="183" t="inlineStr">
        <is>
          <t>✓</t>
        </is>
      </c>
      <c r="R22" s="185" t="n">
        <v>0</v>
      </c>
      <c r="S22" s="184" t="n">
        <v>0</v>
      </c>
      <c r="T22" s="185" t="n">
        <v>0</v>
      </c>
      <c r="U22" s="189" t="n"/>
      <c r="V22" s="184" t="n">
        <v>0</v>
      </c>
      <c r="W22" s="184" t="n">
        <v>0</v>
      </c>
      <c r="X22" s="184" t="n">
        <v>0</v>
      </c>
      <c r="Y22" s="190" t="inlineStr">
        <is>
          <t>✓</t>
        </is>
      </c>
      <c r="Z22" s="191" t="inlineStr"/>
      <c r="AA22" s="191" t="inlineStr"/>
    </row>
    <row r="23" ht="15" customHeight="1">
      <c r="A23" s="181" t="n">
        <v>2046</v>
      </c>
      <c r="B23" s="182" t="n">
        <v>84</v>
      </c>
      <c r="C23" s="181" t="n">
        <v>85</v>
      </c>
      <c r="D23" s="183" t="inlineStr">
        <is>
          <t>MFJ</t>
        </is>
      </c>
      <c r="E23" s="183" t="inlineStr">
        <is>
          <t>ALIVE</t>
        </is>
      </c>
      <c r="F23" s="183" t="inlineStr">
        <is>
          <t>ALIVE</t>
        </is>
      </c>
      <c r="G23" s="184" t="n">
        <v>0</v>
      </c>
      <c r="H23" s="184" t="n">
        <v>0</v>
      </c>
      <c r="I23" s="185" t="n">
        <v>0</v>
      </c>
      <c r="J23" s="190" t="inlineStr">
        <is>
          <t>✓</t>
        </is>
      </c>
      <c r="K23" s="184" t="n">
        <v>0</v>
      </c>
      <c r="L23" s="185" t="n">
        <v>0</v>
      </c>
      <c r="M23" s="184" t="n">
        <v>0</v>
      </c>
      <c r="N23" s="187" t="n"/>
      <c r="O23" s="185" t="n">
        <v>0</v>
      </c>
      <c r="P23" s="188" t="n">
        <v>0</v>
      </c>
      <c r="Q23" s="183" t="inlineStr">
        <is>
          <t>✓</t>
        </is>
      </c>
      <c r="R23" s="185" t="n">
        <v>0</v>
      </c>
      <c r="S23" s="184" t="n">
        <v>0</v>
      </c>
      <c r="T23" s="185" t="n">
        <v>0</v>
      </c>
      <c r="U23" s="189" t="n"/>
      <c r="V23" s="184" t="n">
        <v>0</v>
      </c>
      <c r="W23" s="184" t="n">
        <v>0</v>
      </c>
      <c r="X23" s="184" t="n">
        <v>0</v>
      </c>
      <c r="Y23" s="190" t="inlineStr">
        <is>
          <t>✓</t>
        </is>
      </c>
      <c r="Z23" s="191" t="inlineStr"/>
      <c r="AA23" s="191" t="inlineStr"/>
    </row>
    <row r="24" ht="15" customHeight="1">
      <c r="A24" s="181" t="n">
        <v>2047</v>
      </c>
      <c r="B24" s="182" t="n">
        <v>85</v>
      </c>
      <c r="C24" s="181" t="n">
        <v>86</v>
      </c>
      <c r="D24" s="183" t="inlineStr">
        <is>
          <t>MFJ</t>
        </is>
      </c>
      <c r="E24" s="183" t="inlineStr">
        <is>
          <t>ALIVE</t>
        </is>
      </c>
      <c r="F24" s="183" t="inlineStr">
        <is>
          <t>ALIVE</t>
        </is>
      </c>
      <c r="G24" s="184" t="n">
        <v>0</v>
      </c>
      <c r="H24" s="184" t="n">
        <v>0</v>
      </c>
      <c r="I24" s="185" t="n">
        <v>0</v>
      </c>
      <c r="J24" s="190" t="inlineStr">
        <is>
          <t>✓</t>
        </is>
      </c>
      <c r="K24" s="184" t="n">
        <v>0</v>
      </c>
      <c r="L24" s="185" t="n">
        <v>0</v>
      </c>
      <c r="M24" s="184" t="n">
        <v>0</v>
      </c>
      <c r="N24" s="187" t="n"/>
      <c r="O24" s="185" t="n">
        <v>0</v>
      </c>
      <c r="P24" s="188" t="n">
        <v>0</v>
      </c>
      <c r="Q24" s="183" t="inlineStr">
        <is>
          <t>✓</t>
        </is>
      </c>
      <c r="R24" s="185" t="n">
        <v>0</v>
      </c>
      <c r="S24" s="184" t="n">
        <v>0</v>
      </c>
      <c r="T24" s="185" t="n">
        <v>0</v>
      </c>
      <c r="U24" s="189" t="n"/>
      <c r="V24" s="184" t="n">
        <v>0</v>
      </c>
      <c r="W24" s="184" t="n">
        <v>0</v>
      </c>
      <c r="X24" s="184" t="n">
        <v>0</v>
      </c>
      <c r="Y24" s="190" t="inlineStr">
        <is>
          <t>✓</t>
        </is>
      </c>
      <c r="Z24" s="191" t="inlineStr"/>
      <c r="AA24" s="191" t="inlineStr"/>
    </row>
    <row r="25" ht="15" customHeight="1">
      <c r="A25" s="181" t="n">
        <v>2048</v>
      </c>
      <c r="B25" s="182" t="n">
        <v>86</v>
      </c>
      <c r="C25" s="181" t="n">
        <v>87</v>
      </c>
      <c r="D25" s="183" t="inlineStr">
        <is>
          <t>MFJ</t>
        </is>
      </c>
      <c r="E25" s="183" t="inlineStr">
        <is>
          <t>ALIVE</t>
        </is>
      </c>
      <c r="F25" s="183" t="inlineStr">
        <is>
          <t>ALIVE</t>
        </is>
      </c>
      <c r="G25" s="184" t="n">
        <v>0</v>
      </c>
      <c r="H25" s="184" t="n">
        <v>0</v>
      </c>
      <c r="I25" s="185" t="n">
        <v>0</v>
      </c>
      <c r="J25" s="190" t="inlineStr">
        <is>
          <t>✓</t>
        </is>
      </c>
      <c r="K25" s="184" t="n">
        <v>0</v>
      </c>
      <c r="L25" s="185" t="n">
        <v>0</v>
      </c>
      <c r="M25" s="184" t="n">
        <v>0</v>
      </c>
      <c r="N25" s="187" t="n"/>
      <c r="O25" s="185" t="n">
        <v>0</v>
      </c>
      <c r="P25" s="188" t="n">
        <v>0</v>
      </c>
      <c r="Q25" s="183" t="inlineStr">
        <is>
          <t>✓</t>
        </is>
      </c>
      <c r="R25" s="185" t="n">
        <v>0</v>
      </c>
      <c r="S25" s="184" t="n">
        <v>0</v>
      </c>
      <c r="T25" s="185" t="n">
        <v>0</v>
      </c>
      <c r="U25" s="189" t="n"/>
      <c r="V25" s="184" t="n">
        <v>0</v>
      </c>
      <c r="W25" s="184" t="n">
        <v>0</v>
      </c>
      <c r="X25" s="184" t="n">
        <v>0</v>
      </c>
      <c r="Y25" s="190" t="inlineStr">
        <is>
          <t>✓</t>
        </is>
      </c>
      <c r="Z25" s="191" t="inlineStr"/>
      <c r="AA25" s="191" t="inlineStr"/>
    </row>
    <row r="26" ht="15" customHeight="1">
      <c r="A26" s="181" t="n">
        <v>2049</v>
      </c>
      <c r="B26" s="182" t="n">
        <v>87</v>
      </c>
      <c r="C26" s="181" t="n">
        <v>88</v>
      </c>
      <c r="D26" s="183" t="inlineStr">
        <is>
          <t>MFJ</t>
        </is>
      </c>
      <c r="E26" s="183" t="inlineStr">
        <is>
          <t>ALIVE</t>
        </is>
      </c>
      <c r="F26" s="183" t="inlineStr">
        <is>
          <t>ALIVE</t>
        </is>
      </c>
      <c r="G26" s="184" t="n">
        <v>0</v>
      </c>
      <c r="H26" s="184" t="n">
        <v>0</v>
      </c>
      <c r="I26" s="185" t="n">
        <v>0</v>
      </c>
      <c r="J26" s="190" t="inlineStr">
        <is>
          <t>✓</t>
        </is>
      </c>
      <c r="K26" s="184" t="n">
        <v>0</v>
      </c>
      <c r="L26" s="185" t="n">
        <v>0</v>
      </c>
      <c r="M26" s="184" t="n">
        <v>0</v>
      </c>
      <c r="N26" s="187" t="n"/>
      <c r="O26" s="185" t="n">
        <v>0</v>
      </c>
      <c r="P26" s="188" t="n">
        <v>0</v>
      </c>
      <c r="Q26" s="183" t="inlineStr">
        <is>
          <t>✓</t>
        </is>
      </c>
      <c r="R26" s="185" t="n">
        <v>0</v>
      </c>
      <c r="S26" s="184" t="n">
        <v>0</v>
      </c>
      <c r="T26" s="185" t="n">
        <v>0</v>
      </c>
      <c r="U26" s="189" t="n"/>
      <c r="V26" s="184" t="n">
        <v>0</v>
      </c>
      <c r="W26" s="184" t="n">
        <v>0</v>
      </c>
      <c r="X26" s="184" t="n">
        <v>0</v>
      </c>
      <c r="Y26" s="190" t="inlineStr">
        <is>
          <t>✓</t>
        </is>
      </c>
      <c r="Z26" s="191" t="inlineStr"/>
      <c r="AA26" s="191" t="inlineStr"/>
    </row>
    <row r="27" ht="15" customHeight="1">
      <c r="A27" s="181" t="n">
        <v>2050</v>
      </c>
      <c r="B27" s="182" t="n">
        <v>88</v>
      </c>
      <c r="C27" s="181" t="n">
        <v>89</v>
      </c>
      <c r="D27" s="183" t="inlineStr">
        <is>
          <t>MFJ</t>
        </is>
      </c>
      <c r="E27" s="183" t="inlineStr">
        <is>
          <t>ALIVE</t>
        </is>
      </c>
      <c r="F27" s="183" t="inlineStr">
        <is>
          <t>ALIVE</t>
        </is>
      </c>
      <c r="G27" s="184" t="n">
        <v>0</v>
      </c>
      <c r="H27" s="184" t="n">
        <v>0</v>
      </c>
      <c r="I27" s="185" t="n">
        <v>0</v>
      </c>
      <c r="J27" s="190" t="inlineStr">
        <is>
          <t>✓</t>
        </is>
      </c>
      <c r="K27" s="184" t="n">
        <v>0</v>
      </c>
      <c r="L27" s="185" t="n">
        <v>0</v>
      </c>
      <c r="M27" s="184" t="n">
        <v>0</v>
      </c>
      <c r="N27" s="187" t="n"/>
      <c r="O27" s="185" t="n">
        <v>0</v>
      </c>
      <c r="P27" s="188" t="n">
        <v>0</v>
      </c>
      <c r="Q27" s="183" t="inlineStr">
        <is>
          <t>✓</t>
        </is>
      </c>
      <c r="R27" s="185" t="n">
        <v>0</v>
      </c>
      <c r="S27" s="184" t="n">
        <v>0</v>
      </c>
      <c r="T27" s="185" t="n">
        <v>0</v>
      </c>
      <c r="U27" s="189" t="n"/>
      <c r="V27" s="184" t="n">
        <v>0</v>
      </c>
      <c r="W27" s="184" t="n">
        <v>0</v>
      </c>
      <c r="X27" s="184" t="n">
        <v>0</v>
      </c>
      <c r="Y27" s="190" t="inlineStr">
        <is>
          <t>✓</t>
        </is>
      </c>
      <c r="Z27" s="191" t="inlineStr"/>
      <c r="AA27" s="191" t="inlineStr"/>
    </row>
    <row r="28" ht="15" customHeight="1">
      <c r="A28" s="181" t="n">
        <v>2051</v>
      </c>
      <c r="B28" s="182" t="n">
        <v>89</v>
      </c>
      <c r="C28" s="181" t="n">
        <v>90</v>
      </c>
      <c r="D28" s="183" t="inlineStr">
        <is>
          <t>MFJ</t>
        </is>
      </c>
      <c r="E28" s="183" t="inlineStr">
        <is>
          <t>ALIVE</t>
        </is>
      </c>
      <c r="F28" s="183" t="inlineStr">
        <is>
          <t>ALIVE</t>
        </is>
      </c>
      <c r="G28" s="184" t="n">
        <v>0</v>
      </c>
      <c r="H28" s="184" t="n">
        <v>0</v>
      </c>
      <c r="I28" s="185" t="n">
        <v>0</v>
      </c>
      <c r="J28" s="190" t="inlineStr">
        <is>
          <t>✓</t>
        </is>
      </c>
      <c r="K28" s="184" t="n">
        <v>0</v>
      </c>
      <c r="L28" s="185" t="n">
        <v>0</v>
      </c>
      <c r="M28" s="184" t="n">
        <v>0</v>
      </c>
      <c r="N28" s="187" t="n"/>
      <c r="O28" s="185" t="n">
        <v>0</v>
      </c>
      <c r="P28" s="188" t="n">
        <v>0</v>
      </c>
      <c r="Q28" s="183" t="inlineStr">
        <is>
          <t>✓</t>
        </is>
      </c>
      <c r="R28" s="185" t="n">
        <v>0</v>
      </c>
      <c r="S28" s="184" t="n">
        <v>0</v>
      </c>
      <c r="T28" s="185" t="n">
        <v>0</v>
      </c>
      <c r="U28" s="189" t="n"/>
      <c r="V28" s="184" t="n">
        <v>0</v>
      </c>
      <c r="W28" s="184" t="n">
        <v>0</v>
      </c>
      <c r="X28" s="184" t="n">
        <v>0</v>
      </c>
      <c r="Y28" s="190" t="inlineStr">
        <is>
          <t>✓</t>
        </is>
      </c>
      <c r="Z28" s="191" t="inlineStr"/>
      <c r="AA28" s="191" t="inlineStr"/>
    </row>
    <row r="29" ht="15" customHeight="1">
      <c r="A29" s="181" t="n">
        <v>2052</v>
      </c>
      <c r="B29" s="182" t="n">
        <v>90</v>
      </c>
      <c r="C29" s="181" t="n">
        <v>91</v>
      </c>
      <c r="D29" s="183" t="inlineStr">
        <is>
          <t>MFJ</t>
        </is>
      </c>
      <c r="E29" s="183" t="inlineStr">
        <is>
          <t>ALIVE</t>
        </is>
      </c>
      <c r="F29" s="183" t="inlineStr">
        <is>
          <t>ALIVE</t>
        </is>
      </c>
      <c r="G29" s="184" t="n">
        <v>0</v>
      </c>
      <c r="H29" s="184" t="n">
        <v>0</v>
      </c>
      <c r="I29" s="185" t="n">
        <v>0</v>
      </c>
      <c r="J29" s="190" t="inlineStr">
        <is>
          <t>✓</t>
        </is>
      </c>
      <c r="K29" s="184" t="n">
        <v>0</v>
      </c>
      <c r="L29" s="185" t="n">
        <v>0</v>
      </c>
      <c r="M29" s="184" t="n">
        <v>0</v>
      </c>
      <c r="N29" s="187" t="n"/>
      <c r="O29" s="185" t="n">
        <v>0</v>
      </c>
      <c r="P29" s="188" t="n">
        <v>0</v>
      </c>
      <c r="Q29" s="183" t="inlineStr">
        <is>
          <t>✓</t>
        </is>
      </c>
      <c r="R29" s="185" t="n">
        <v>0</v>
      </c>
      <c r="S29" s="184" t="n">
        <v>0</v>
      </c>
      <c r="T29" s="185" t="n">
        <v>0</v>
      </c>
      <c r="U29" s="189" t="n"/>
      <c r="V29" s="184" t="n">
        <v>0</v>
      </c>
      <c r="W29" s="184" t="n">
        <v>0</v>
      </c>
      <c r="X29" s="184" t="n">
        <v>0</v>
      </c>
      <c r="Y29" s="190" t="inlineStr">
        <is>
          <t>✓</t>
        </is>
      </c>
      <c r="Z29" s="191" t="inlineStr"/>
      <c r="AA29" s="191" t="inlineStr"/>
    </row>
    <row r="30" ht="15" customHeight="1">
      <c r="A30" s="181" t="n">
        <v>2053</v>
      </c>
      <c r="B30" s="182" t="n">
        <v>91</v>
      </c>
      <c r="C30" s="181" t="n">
        <v>92</v>
      </c>
      <c r="D30" s="183" t="inlineStr">
        <is>
          <t>MFJ</t>
        </is>
      </c>
      <c r="E30" s="183" t="inlineStr">
        <is>
          <t>ALIVE</t>
        </is>
      </c>
      <c r="F30" s="183" t="inlineStr">
        <is>
          <t>ALIVE</t>
        </is>
      </c>
      <c r="G30" s="184" t="n">
        <v>0</v>
      </c>
      <c r="H30" s="184" t="n">
        <v>0</v>
      </c>
      <c r="I30" s="185" t="n">
        <v>0</v>
      </c>
      <c r="J30" s="190" t="inlineStr">
        <is>
          <t>✓</t>
        </is>
      </c>
      <c r="K30" s="184" t="n">
        <v>0</v>
      </c>
      <c r="L30" s="185" t="n">
        <v>0</v>
      </c>
      <c r="M30" s="184" t="n">
        <v>0</v>
      </c>
      <c r="N30" s="187" t="n"/>
      <c r="O30" s="185" t="n">
        <v>0</v>
      </c>
      <c r="P30" s="188" t="n">
        <v>0</v>
      </c>
      <c r="Q30" s="183" t="inlineStr">
        <is>
          <t>✓</t>
        </is>
      </c>
      <c r="R30" s="185" t="n">
        <v>0</v>
      </c>
      <c r="S30" s="184" t="n">
        <v>0</v>
      </c>
      <c r="T30" s="185" t="n">
        <v>0</v>
      </c>
      <c r="U30" s="189" t="n"/>
      <c r="V30" s="184" t="n">
        <v>0</v>
      </c>
      <c r="W30" s="184" t="n">
        <v>0</v>
      </c>
      <c r="X30" s="184" t="n">
        <v>0</v>
      </c>
      <c r="Y30" s="190" t="inlineStr">
        <is>
          <t>✓</t>
        </is>
      </c>
      <c r="Z30" s="191" t="inlineStr"/>
      <c r="AA30" s="191" t="inlineStr"/>
    </row>
    <row r="31" ht="45" customHeight="1">
      <c r="A31" s="199" t="n">
        <v>2054</v>
      </c>
      <c r="B31" s="199" t="n">
        <v>92</v>
      </c>
      <c r="C31" s="199" t="n">
        <v>93</v>
      </c>
      <c r="D31" s="200" t="inlineStr">
        <is>
          <t>MFJ</t>
        </is>
      </c>
      <c r="E31" s="200" t="inlineStr">
        <is>
          <t>ALIVE</t>
        </is>
      </c>
      <c r="F31" s="200" t="inlineStr">
        <is>
          <t>ALIVE</t>
        </is>
      </c>
      <c r="G31" s="201" t="n">
        <v>0</v>
      </c>
      <c r="H31" s="201" t="n">
        <v>0</v>
      </c>
      <c r="I31" s="202" t="n">
        <v>0</v>
      </c>
      <c r="J31" s="190" t="inlineStr">
        <is>
          <t>✓</t>
        </is>
      </c>
      <c r="K31" s="201" t="n">
        <v>0</v>
      </c>
      <c r="L31" s="202" t="n">
        <v>0</v>
      </c>
      <c r="M31" s="201" t="n">
        <v>0</v>
      </c>
      <c r="N31" s="203" t="n"/>
      <c r="O31" s="202" t="n">
        <v>0</v>
      </c>
      <c r="P31" s="196" t="n">
        <v>0</v>
      </c>
      <c r="Q31" s="200" t="inlineStr">
        <is>
          <t>✓</t>
        </is>
      </c>
      <c r="R31" s="202" t="n">
        <v>0</v>
      </c>
      <c r="S31" s="201" t="n">
        <v>0</v>
      </c>
      <c r="T31" s="202" t="n">
        <v>0</v>
      </c>
      <c r="U31" s="204" t="n"/>
      <c r="V31" s="201" t="n">
        <v>0</v>
      </c>
      <c r="W31" s="201" t="n">
        <v>0</v>
      </c>
      <c r="X31" s="201" t="n">
        <v>0</v>
      </c>
      <c r="Y31" s="190" t="inlineStr">
        <is>
          <t>✓</t>
        </is>
      </c>
      <c r="Z31" s="200" t="inlineStr">
        <is>
          <t>Matthew → Patricia (spousal rollover)</t>
        </is>
      </c>
      <c r="AA31" s="200" t="inlineStr">
        <is>
          <t>Rollover: Matthew → Patricia (spousal rollover)</t>
        </is>
      </c>
    </row>
    <row r="32" ht="15" customHeight="1">
      <c r="A32" s="205" t="n">
        <v>2055</v>
      </c>
      <c r="B32" s="205" t="n">
        <v>93</v>
      </c>
      <c r="C32" s="205" t="n">
        <v>94</v>
      </c>
      <c r="D32" s="186" t="inlineStr">
        <is>
          <t>Single</t>
        </is>
      </c>
      <c r="E32" s="186" t="inlineStr">
        <is>
          <t>DIED 2054</t>
        </is>
      </c>
      <c r="F32" s="186" t="inlineStr">
        <is>
          <t>ALIVE</t>
        </is>
      </c>
      <c r="G32" s="196" t="n">
        <v>0</v>
      </c>
      <c r="H32" s="196" t="n">
        <v>0</v>
      </c>
      <c r="I32" s="206" t="n">
        <v>0</v>
      </c>
      <c r="J32" s="186" t="inlineStr">
        <is>
          <t>N/A</t>
        </is>
      </c>
      <c r="K32" s="196" t="n">
        <v>0</v>
      </c>
      <c r="L32" s="206" t="n">
        <v>0</v>
      </c>
      <c r="M32" s="196" t="n">
        <v>0</v>
      </c>
      <c r="N32" s="207" t="n"/>
      <c r="O32" s="206" t="n">
        <v>0</v>
      </c>
      <c r="P32" s="196" t="n">
        <v>0</v>
      </c>
      <c r="Q32" s="186" t="inlineStr">
        <is>
          <t>✓</t>
        </is>
      </c>
      <c r="R32" s="206" t="n">
        <v>0</v>
      </c>
      <c r="S32" s="196" t="n">
        <v>0</v>
      </c>
      <c r="T32" s="206" t="n">
        <v>0</v>
      </c>
      <c r="U32" s="208" t="n"/>
      <c r="V32" s="196" t="n">
        <v>0</v>
      </c>
      <c r="W32" s="196" t="n">
        <v>0</v>
      </c>
      <c r="X32" s="196" t="n">
        <v>0</v>
      </c>
      <c r="Y32" s="190" t="inlineStr">
        <is>
          <t>✓</t>
        </is>
      </c>
      <c r="Z32" s="209" t="inlineStr"/>
      <c r="AA32" s="186" t="inlineStr">
        <is>
          <t>Matthew died 2054</t>
        </is>
      </c>
    </row>
    <row r="33" ht="90" customHeight="1">
      <c r="A33" s="199" t="n">
        <v>2056</v>
      </c>
      <c r="B33" s="199" t="n">
        <v>94</v>
      </c>
      <c r="C33" s="199" t="n">
        <v>95</v>
      </c>
      <c r="D33" s="200" t="inlineStr">
        <is>
          <t>Single</t>
        </is>
      </c>
      <c r="E33" s="200" t="inlineStr">
        <is>
          <t>DIED 2054</t>
        </is>
      </c>
      <c r="F33" s="200" t="inlineStr">
        <is>
          <t>ALIVE</t>
        </is>
      </c>
      <c r="G33" s="201" t="n">
        <v>0</v>
      </c>
      <c r="H33" s="201" t="n">
        <v>0</v>
      </c>
      <c r="I33" s="202" t="n">
        <v>0</v>
      </c>
      <c r="J33" s="186" t="inlineStr">
        <is>
          <t>N/A</t>
        </is>
      </c>
      <c r="K33" s="201" t="n">
        <v>0</v>
      </c>
      <c r="L33" s="202" t="n">
        <v>0</v>
      </c>
      <c r="M33" s="201" t="n">
        <v>0</v>
      </c>
      <c r="N33" s="203" t="n"/>
      <c r="O33" s="202" t="n">
        <v>0</v>
      </c>
      <c r="P33" s="196" t="n">
        <v>0</v>
      </c>
      <c r="Q33" s="200" t="inlineStr">
        <is>
          <t>✓</t>
        </is>
      </c>
      <c r="R33" s="202" t="n">
        <v>0</v>
      </c>
      <c r="S33" s="201" t="n">
        <v>0</v>
      </c>
      <c r="T33" s="202" t="n">
        <v>0</v>
      </c>
      <c r="U33" s="204" t="n"/>
      <c r="V33" s="201" t="n">
        <v>0</v>
      </c>
      <c r="W33" s="201" t="n">
        <v>0</v>
      </c>
      <c r="X33" s="201" t="n">
        <v>0</v>
      </c>
      <c r="Y33" s="190" t="inlineStr">
        <is>
          <t>✓</t>
        </is>
      </c>
      <c r="Z33" s="200" t="inlineStr">
        <is>
          <t>Patricia 2nd death — taxable → Patricia Trust; IRAs/Roths inherited by beneficiaries</t>
        </is>
      </c>
      <c r="AA33" s="200" t="inlineStr">
        <is>
          <t>Matthew died 2054; Rollover: Patricia 2nd death — taxable → Patricia Trust; IRAs/Roths inherited by beneficiaries</t>
        </is>
      </c>
    </row>
    <row r="34"/>
    <row r="35" ht="15" customHeight="1">
      <c r="A35" s="210" t="n"/>
      <c r="B35" s="211" t="inlineStr">
        <is>
          <t>RMD year — satisfied correctly</t>
        </is>
      </c>
    </row>
    <row r="36" ht="15" customHeight="1">
      <c r="A36" s="212" t="n"/>
      <c r="B36" s="211" t="inlineStr">
        <is>
          <t>RMD shortfall or CF mismatch</t>
        </is>
      </c>
    </row>
    <row r="37" ht="15" customHeight="1">
      <c r="A37" s="213" t="n"/>
      <c r="B37" s="211" t="inlineStr">
        <is>
          <t>Spousal rollover year</t>
        </is>
      </c>
    </row>
    <row r="38" ht="15" customHeight="1">
      <c r="A38" s="214" t="n"/>
      <c r="B38" s="211"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2026</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fill_to_bracket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5" t="inlineStr">
        <is>
          <t>WHAT-IF SCENARIO ANALYSIS</t>
        </is>
      </c>
    </row>
    <row r="2"/>
    <row r="3">
      <c r="A3" s="216" t="inlineStr">
        <is>
          <t>Deterministic Scenarios</t>
        </is>
      </c>
      <c r="B3" s="3" t="n"/>
      <c r="C3" s="3" t="n"/>
      <c r="D3" s="3" t="n"/>
      <c r="E3" s="3" t="n"/>
      <c r="F3" s="4" t="n"/>
    </row>
    <row r="4">
      <c r="A4" s="97" t="inlineStr">
        <is>
          <t>Scenario</t>
        </is>
      </c>
      <c r="B4" s="97" t="inlineStr">
        <is>
          <t>Assumption Change</t>
        </is>
      </c>
      <c r="C4" s="97" t="inlineStr">
        <is>
          <t>Ending NW</t>
        </is>
      </c>
      <c r="D4" s="97" t="inlineStr">
        <is>
          <t>Lifetime Tax</t>
        </is>
      </c>
      <c r="E4" s="97" t="inlineStr">
        <is>
          <t>Plan Survives?</t>
        </is>
      </c>
      <c r="F4" s="97" t="inlineStr">
        <is>
          <t>Delta vs Base</t>
        </is>
      </c>
    </row>
    <row r="5">
      <c r="A5" s="33" t="inlineStr">
        <is>
          <t>Base Case</t>
        </is>
      </c>
      <c r="B5" s="33" t="inlineStr">
        <is>
          <t>As modeled</t>
        </is>
      </c>
      <c r="C5" s="107" t="n">
        <v>6980960.342980574</v>
      </c>
      <c r="D5" s="107" t="n">
        <v>822511.3042277475</v>
      </c>
      <c r="E5" s="217" t="inlineStr">
        <is>
          <t>YES</t>
        </is>
      </c>
      <c r="F5" s="107" t="n">
        <v>0</v>
      </c>
    </row>
    <row r="6">
      <c r="A6" s="33" t="inlineStr">
        <is>
          <t>Allocation — User Defined</t>
        </is>
      </c>
      <c r="B6" s="33" t="inlineStr">
        <is>
          <t>Use user-specified target_pct allocation; implied return 7.22%, volatility 14.02%, geometric approx 6.24%</t>
        </is>
      </c>
      <c r="C6" s="107" t="n">
        <v>10090842.70424239</v>
      </c>
      <c r="D6" s="107" t="n">
        <v>847652.4890656562</v>
      </c>
      <c r="E6" s="217" t="inlineStr">
        <is>
          <t>YES</t>
        </is>
      </c>
      <c r="F6" s="107" t="n">
        <v>3109882.361261814</v>
      </c>
    </row>
    <row r="7">
      <c r="A7" s="33" t="inlineStr">
        <is>
          <t>Allocation — Optimizer Defined</t>
        </is>
      </c>
      <c r="B7" s="33" t="inlineStr">
        <is>
          <t>Use optimizer allocation recommendation; implied return 6.82%, volatility 12.42%, geometric approx 6.05%</t>
        </is>
      </c>
      <c r="C7" s="107" t="n">
        <v>8938354.46319557</v>
      </c>
      <c r="D7" s="107" t="n">
        <v>834483.9492179063</v>
      </c>
      <c r="E7" s="217" t="inlineStr">
        <is>
          <t>YES</t>
        </is>
      </c>
      <c r="F7" s="107" t="n">
        <v>1957394.120214996</v>
      </c>
    </row>
    <row r="8">
      <c r="A8" s="33" t="inlineStr">
        <is>
          <t>Retire Later (2029)</t>
        </is>
      </c>
      <c r="B8" s="33" t="inlineStr">
        <is>
          <t>earn_end 2029 vs 2027; +2 yrs @ 0.0% growth, $50,000 salary</t>
        </is>
      </c>
      <c r="C8" s="107" t="n">
        <v>10783604.03511075</v>
      </c>
      <c r="D8" s="107" t="n">
        <v>1759864.429912669</v>
      </c>
      <c r="E8" s="217" t="inlineStr">
        <is>
          <t>YES</t>
        </is>
      </c>
      <c r="F8" s="107" t="n">
        <v>3802643.692130172</v>
      </c>
    </row>
    <row r="9">
      <c r="A9" s="33" t="inlineStr">
        <is>
          <t>Spend 19% More</t>
        </is>
      </c>
      <c r="B9" s="33" t="inlineStr">
        <is>
          <t>$148,871/yr vs $124,059 base</t>
        </is>
      </c>
      <c r="C9" s="107" t="n">
        <v>4415904.623740951</v>
      </c>
      <c r="D9" s="107" t="n">
        <v>784229.1827179757</v>
      </c>
      <c r="E9" s="217" t="inlineStr">
        <is>
          <t>YES</t>
        </is>
      </c>
      <c r="F9" s="107" t="n">
        <v>-2565055.719239623</v>
      </c>
    </row>
    <row r="10">
      <c r="A10" s="33" t="inlineStr">
        <is>
          <t>Sell Home 2045</t>
        </is>
      </c>
      <c r="B10" s="33" t="inlineStr">
        <is>
          <t>Gross $2,302,353 · basis $800,000 · net $2,055,711 → Patricia Trust</t>
        </is>
      </c>
      <c r="C10" s="107" t="n">
        <v>8572095.339037146</v>
      </c>
      <c r="D10" s="107" t="n">
        <v>1061830.700739777</v>
      </c>
      <c r="E10" s="217" t="inlineStr">
        <is>
          <t>YES</t>
        </is>
      </c>
      <c r="F10" s="107" t="n">
        <v>1591134.996056573</v>
      </c>
    </row>
    <row r="11">
      <c r="A11" s="33" t="inlineStr">
        <is>
          <t>High Inflation 4.5%</t>
        </is>
      </c>
      <c r="B11" s="33" t="inlineStr">
        <is>
          <t>Inflation 4.5% vs 2.5%</t>
        </is>
      </c>
      <c r="C11" s="107" t="n">
        <v>3390274.137803574</v>
      </c>
      <c r="D11" s="107" t="n">
        <v>786710.5487045703</v>
      </c>
      <c r="E11" s="217" t="inlineStr">
        <is>
          <t>YES</t>
        </is>
      </c>
      <c r="F11" s="107" t="n">
        <v>-3590686.205177</v>
      </c>
    </row>
    <row r="12">
      <c r="A12" s="33" t="inlineStr">
        <is>
          <t>Low Return 4.0%</t>
        </is>
      </c>
      <c r="B12" s="33" t="inlineStr">
        <is>
          <t>Portfolio return 4.0% vs 6.0%</t>
        </is>
      </c>
      <c r="C12" s="107" t="n">
        <v>4047140.254543102</v>
      </c>
      <c r="D12" s="107" t="n">
        <v>793584.487542475</v>
      </c>
      <c r="E12" s="217" t="inlineStr">
        <is>
          <t>YES</t>
        </is>
      </c>
      <c r="F12" s="107" t="n">
        <v>-2933820.088437472</v>
      </c>
    </row>
    <row r="13">
      <c r="A13" s="33" t="inlineStr">
        <is>
          <t>PDIA Div 4.5%</t>
        </is>
      </c>
      <c r="B13" s="33" t="inlineStr">
        <is>
          <t>All annuity dividends at 4.5% (vs illustrated 5.50-5.75%). Annuity income at age 80: $104,395 vs $117,223 base</t>
        </is>
      </c>
      <c r="C13" s="107" t="n">
        <v>6355382.48942258</v>
      </c>
      <c r="D13" s="107" t="n">
        <v>747418.3993333243</v>
      </c>
      <c r="E13" s="217" t="inlineStr">
        <is>
          <t>YES</t>
        </is>
      </c>
      <c r="F13" s="107" t="n">
        <v>-625577.8535579937</v>
      </c>
    </row>
    <row r="14">
      <c r="A14" s="33" t="inlineStr">
        <is>
          <t>PDIA 50/50 Split</t>
        </is>
      </c>
      <c r="B14" s="33" t="inlineStr">
        <is>
          <t>50% cash / 50% reinvest (vs 80/20). Less cash now, more income growth later. Annuity income at age 80: $116,475 vs $117,223 base</t>
        </is>
      </c>
      <c r="C14" s="107" t="n">
        <v>6903330.629655549</v>
      </c>
      <c r="D14" s="107" t="n">
        <v>842367.6134974367</v>
      </c>
      <c r="E14" s="217" t="inlineStr">
        <is>
          <t>YES</t>
        </is>
      </c>
      <c r="F14" s="107" t="n">
        <v>-77629.71332502458</v>
      </c>
    </row>
    <row r="15">
      <c r="A15" s="33" t="inlineStr">
        <is>
          <t>COMBINED Stress Test</t>
        </is>
      </c>
      <c r="B15" s="33" t="inlineStr">
        <is>
          <t>Stacked: sell home, low return, pdia low div</t>
        </is>
      </c>
      <c r="C15" s="107" t="n">
        <v>4208498.610163386</v>
      </c>
      <c r="D15" s="107" t="n">
        <v>971249.4468676947</v>
      </c>
      <c r="E15" s="217" t="inlineStr">
        <is>
          <t>YES</t>
        </is>
      </c>
      <c r="F15" s="107" t="n">
        <v>-2772461.732817188</v>
      </c>
    </row>
    <row r="16"/>
    <row r="17"/>
    <row r="18">
      <c r="A18" s="218" t="inlineStr">
        <is>
          <t>Sell Home Scenario Detail — 2045</t>
        </is>
      </c>
      <c r="B18" s="3" t="n"/>
      <c r="C18" s="3" t="n"/>
      <c r="D18" s="3" t="n"/>
      <c r="E18" s="3" t="n"/>
      <c r="F18" s="4" t="n"/>
    </row>
    <row r="19">
      <c r="A19" s="33" t="inlineStr">
        <is>
          <t>Projected Home Value at 2045</t>
        </is>
      </c>
      <c r="B19" s="107" t="n">
        <v>2302353.447690235</v>
      </c>
    </row>
    <row r="20">
      <c r="A20" s="33" t="inlineStr">
        <is>
          <t>Projected Sale Price</t>
        </is>
      </c>
      <c r="B20" s="107" t="n">
        <v>2302353.447690235</v>
      </c>
    </row>
    <row r="21">
      <c r="A21" s="33" t="inlineStr">
        <is>
          <t>Less: Selling Costs (6%)</t>
        </is>
      </c>
      <c r="B21" s="107" t="n">
        <v>138141.2068614141</v>
      </c>
    </row>
    <row r="22">
      <c r="A22" s="33" t="inlineStr">
        <is>
          <t>Cost Basis (purchase + improvements)</t>
        </is>
      </c>
      <c r="B22" s="107" t="n">
        <v>800000</v>
      </c>
    </row>
    <row r="23">
      <c r="A23" s="33" t="inlineStr">
        <is>
          <t>Capital Gain (net of selling costs)</t>
        </is>
      </c>
      <c r="B23" s="107" t="n">
        <v>1364212.240828821</v>
      </c>
    </row>
    <row r="24">
      <c r="A24" s="33" t="inlineStr">
        <is>
          <t>§121 Exclusion (MFJ)</t>
        </is>
      </c>
      <c r="B24" s="107" t="n">
        <v>500000</v>
      </c>
    </row>
    <row r="25">
      <c r="A25" s="33" t="inlineStr">
        <is>
          <t>Taxable Capital Gain</t>
        </is>
      </c>
      <c r="B25" s="107" t="n">
        <v>864212.2408288205</v>
      </c>
    </row>
    <row r="26">
      <c r="A26" s="33" t="inlineStr">
        <is>
          <t>LTCG Tax (bracketed 0/15/20% + NIIT)</t>
        </is>
      </c>
      <c r="B26" s="107" t="n">
        <v>108500.7900668073</v>
      </c>
    </row>
    <row r="27">
      <c r="A27" s="33" t="inlineStr">
        <is>
          <t>Remaining Mortgage at Sale</t>
        </is>
      </c>
      <c r="B27" s="107" t="n">
        <v>0</v>
      </c>
    </row>
    <row r="28">
      <c r="A28" s="33" t="inlineStr">
        <is>
          <t>Net Proceeds</t>
        </is>
      </c>
      <c r="B28" s="138" t="n">
        <v>2055711.450762013</v>
      </c>
    </row>
    <row r="29">
      <c r="A29" s="33" t="inlineStr">
        <is>
          <t>Deposited to: Patricia Trust (basis-free)</t>
        </is>
      </c>
    </row>
    <row r="30"/>
    <row r="31"/>
    <row r="32">
      <c r="A32" s="219" t="inlineStr">
        <is>
          <t>Spending Reduction Analysis</t>
        </is>
      </c>
      <c r="B32" s="3" t="n"/>
      <c r="C32" s="3" t="n"/>
      <c r="D32" s="3" t="n"/>
      <c r="E32" s="3" t="n"/>
      <c r="F32" s="4" t="n"/>
    </row>
    <row r="33">
      <c r="A33" s="33" t="inlineStr">
        <is>
          <t>Current Base Spending</t>
        </is>
      </c>
      <c r="B33" s="107" t="n">
        <v>124059</v>
      </c>
    </row>
    <row r="34">
      <c r="A34" s="33" t="inlineStr">
        <is>
          <t>Reduced Spending (−10%)</t>
        </is>
      </c>
      <c r="B34" s="107" t="n">
        <v>111653.1</v>
      </c>
    </row>
    <row r="35">
      <c r="A35" s="33" t="inlineStr">
        <is>
          <t>Terminal NW with Reduction</t>
        </is>
      </c>
      <c r="B35" s="107" t="n">
        <v>8363185.687892617</v>
      </c>
    </row>
    <row r="36">
      <c r="A36" s="220" t="inlineStr">
        <is>
          <t>Increase in Terminal NW</t>
        </is>
      </c>
      <c r="B36" s="138" t="n">
        <v>1382225.344912043</v>
      </c>
    </row>
    <row r="37">
      <c r="A37" s="33" t="inlineStr">
        <is>
          <t>A 10% spending reduction ($12,406/yr) adds $1,382,225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21" t="inlineStr">
        <is>
          <t>CHARTS DASHBOARD — Matthew &amp; Patricia  ·  2026–2056</t>
        </is>
      </c>
    </row>
    <row r="2">
      <c r="A2" s="222" t="inlineStr">
        <is>
          <t>Net Worth by Component  ·  2026–2056</t>
        </is>
      </c>
      <c r="K2" s="223" t="inlineStr">
        <is>
          <t>Cash Flow — Income &amp; Portfolio Draws  ·  2026–2056</t>
        </is>
      </c>
      <c r="AC2" s="224" t="inlineStr">
        <is>
          <t>Cash Flow — Spending &amp; Taxes  ·  2026–2056</t>
        </is>
      </c>
      <c r="AQ2" s="225" t="inlineStr">
        <is>
          <t>MC Percentile Bands Data  ·  used by Chart 4</t>
        </is>
      </c>
    </row>
    <row r="3"/>
    <row r="4">
      <c r="A4" s="226" t="inlineStr">
        <is>
          <t>Year</t>
        </is>
      </c>
      <c r="B4" s="226" t="inlineStr">
        <is>
          <t>Annuities &amp; Pension</t>
        </is>
      </c>
      <c r="C4" s="226" t="inlineStr">
        <is>
          <t>Pre-Tax IRA/401k</t>
        </is>
      </c>
      <c r="D4" s="226" t="inlineStr">
        <is>
          <t>Roth</t>
        </is>
      </c>
      <c r="E4" s="226" t="inlineStr">
        <is>
          <t>Trust</t>
        </is>
      </c>
      <c r="F4" s="226" t="inlineStr">
        <is>
          <t>HSA</t>
        </is>
      </c>
      <c r="G4" s="226" t="inlineStr">
        <is>
          <t>Home Equity</t>
        </is>
      </c>
      <c r="H4" s="226" t="inlineStr">
        <is>
          <t>Other Assets</t>
        </is>
      </c>
      <c r="I4" s="227" t="inlineStr">
        <is>
          <t>Total NW</t>
        </is>
      </c>
      <c r="K4" s="226" t="inlineStr">
        <is>
          <t>Year</t>
        </is>
      </c>
      <c r="L4" s="226" t="inlineStr">
        <is>
          <t>Earned Income</t>
        </is>
      </c>
      <c r="M4" s="226" t="inlineStr">
        <is>
          <t>Matthew SS</t>
        </is>
      </c>
      <c r="N4" s="226" t="inlineStr">
        <is>
          <t>Patricia SS</t>
        </is>
      </c>
      <c r="O4" s="226" t="inlineStr">
        <is>
          <t>Pension</t>
        </is>
      </c>
      <c r="P4" s="226" t="inlineStr">
        <is>
          <t>Patricia Single Ann</t>
        </is>
      </c>
      <c r="Q4" s="226" t="inlineStr">
        <is>
          <t>Patricia Joint Ann</t>
        </is>
      </c>
      <c r="R4" s="226" t="inlineStr">
        <is>
          <t>Matthew Single Ann</t>
        </is>
      </c>
      <c r="S4" s="226" t="inlineStr">
        <is>
          <t>Matthew Joint Ann</t>
        </is>
      </c>
      <c r="T4" s="226" t="inlineStr">
        <is>
          <t>Note P+I</t>
        </is>
      </c>
      <c r="U4" s="226" t="inlineStr">
        <is>
          <t>RMD</t>
        </is>
      </c>
      <c r="V4" s="226" t="inlineStr">
        <is>
          <t>Trust Draw</t>
        </is>
      </c>
      <c r="W4" s="226" t="inlineStr">
        <is>
          <t>HSA Draw</t>
        </is>
      </c>
      <c r="X4" s="226" t="inlineStr">
        <is>
          <t>Roth Draw</t>
        </is>
      </c>
      <c r="Y4" s="226" t="inlineStr">
        <is>
          <t>IRA Draw</t>
        </is>
      </c>
      <c r="Z4" s="226" t="inlineStr">
        <is>
          <t>HELOC Draw</t>
        </is>
      </c>
      <c r="AA4" s="228" t="inlineStr">
        <is>
          <t>Σ Income</t>
        </is>
      </c>
      <c r="AC4" s="226" t="inlineStr">
        <is>
          <t>Year</t>
        </is>
      </c>
      <c r="AD4" s="226" t="inlineStr">
        <is>
          <t>Base Spending</t>
        </is>
      </c>
      <c r="AE4" s="226" t="inlineStr">
        <is>
          <t>Housing</t>
        </is>
      </c>
      <c r="AF4" s="226" t="inlineStr">
        <is>
          <t>Wellness</t>
        </is>
      </c>
      <c r="AG4" s="226" t="inlineStr">
        <is>
          <t>Travel</t>
        </is>
      </c>
      <c r="AH4" s="226" t="inlineStr">
        <is>
          <t>Other</t>
        </is>
      </c>
      <c r="AI4" s="226" t="inlineStr">
        <is>
          <t>Federal Tax</t>
        </is>
      </c>
      <c r="AJ4" s="226" t="inlineStr">
        <is>
          <t>State Tax (Il)</t>
        </is>
      </c>
      <c r="AK4" s="226" t="inlineStr">
        <is>
          <t>NIIT</t>
        </is>
      </c>
      <c r="AL4" s="226" t="inlineStr">
        <is>
          <t>Payroll Tax</t>
        </is>
      </c>
      <c r="AM4" s="226" t="inlineStr">
        <is>
          <t>HELOC P&amp;I</t>
        </is>
      </c>
      <c r="AN4" s="229" t="inlineStr">
        <is>
          <t>Σ Spend+Tax</t>
        </is>
      </c>
      <c r="AQ4" s="226" t="inlineStr">
        <is>
          <t>Year</t>
        </is>
      </c>
      <c r="AR4" s="226" t="inlineStr">
        <is>
          <t>P10</t>
        </is>
      </c>
      <c r="AS4" s="226" t="inlineStr">
        <is>
          <t>P25</t>
        </is>
      </c>
      <c r="AT4" s="226" t="inlineStr">
        <is>
          <t>P50 Median</t>
        </is>
      </c>
      <c r="AU4" s="226" t="inlineStr">
        <is>
          <t>P75</t>
        </is>
      </c>
      <c r="AV4" s="226" t="inlineStr">
        <is>
          <t>P90</t>
        </is>
      </c>
    </row>
    <row r="5">
      <c r="A5" s="230" t="n">
        <v>2026</v>
      </c>
      <c r="B5" s="231" t="n">
        <v>1360666</v>
      </c>
      <c r="C5" s="231" t="n">
        <v>1764379</v>
      </c>
      <c r="D5" s="231" t="n">
        <v>485926</v>
      </c>
      <c r="E5" s="231" t="n">
        <v>412742</v>
      </c>
      <c r="F5" s="231" t="n">
        <v>78608</v>
      </c>
      <c r="G5" s="231" t="n">
        <v>1061621</v>
      </c>
      <c r="H5" s="231" t="n">
        <v>549354</v>
      </c>
      <c r="I5" s="232" t="n">
        <v>5713296</v>
      </c>
      <c r="K5" s="230" t="n">
        <v>2026</v>
      </c>
      <c r="L5" s="231" t="n">
        <v>290000</v>
      </c>
      <c r="M5" s="231" t="n">
        <v>0</v>
      </c>
      <c r="N5" s="231" t="n">
        <v>0</v>
      </c>
      <c r="O5" s="231" t="n">
        <v>4512</v>
      </c>
      <c r="P5" s="231" t="n">
        <v>0</v>
      </c>
      <c r="Q5" s="231" t="n">
        <v>0</v>
      </c>
      <c r="R5" s="231" t="n">
        <v>0</v>
      </c>
      <c r="S5" s="231" t="n">
        <v>0</v>
      </c>
      <c r="T5" s="231" t="n">
        <v>100547</v>
      </c>
      <c r="U5" s="231" t="n">
        <v>0</v>
      </c>
      <c r="V5" s="231" t="n">
        <v>137077</v>
      </c>
      <c r="W5" s="231" t="n">
        <v>0</v>
      </c>
      <c r="X5" s="231" t="n">
        <v>0</v>
      </c>
      <c r="Y5" s="231" t="n">
        <v>0</v>
      </c>
      <c r="Z5" s="231" t="n">
        <v>0</v>
      </c>
      <c r="AA5" s="232" t="n">
        <v>532136</v>
      </c>
      <c r="AC5" s="230" t="n">
        <v>2026</v>
      </c>
      <c r="AD5" s="231" t="n">
        <v>312219</v>
      </c>
      <c r="AE5" s="231" t="n">
        <v>105600</v>
      </c>
      <c r="AF5" s="231" t="n">
        <v>21760</v>
      </c>
      <c r="AG5" s="231" t="n">
        <v>13647</v>
      </c>
      <c r="AH5" s="231" t="n">
        <v>0</v>
      </c>
      <c r="AI5" s="231" t="n">
        <v>72831</v>
      </c>
      <c r="AJ5" s="231" t="n">
        <v>15740</v>
      </c>
      <c r="AK5" s="231" t="n">
        <v>2438</v>
      </c>
      <c r="AL5" s="231" t="n">
        <v>0</v>
      </c>
      <c r="AM5" s="231" t="n">
        <v>0</v>
      </c>
      <c r="AN5" s="232" t="n">
        <v>544235</v>
      </c>
      <c r="AQ5" s="230" t="n">
        <v>2026</v>
      </c>
      <c r="AR5" s="231" t="n">
        <v>5423401.187006587</v>
      </c>
      <c r="AS5" s="231" t="n">
        <v>5631073.447536001</v>
      </c>
      <c r="AT5" s="231" t="n">
        <v>5856476.048333826</v>
      </c>
      <c r="AU5" s="231" t="n">
        <v>6067409.893418384</v>
      </c>
      <c r="AV5" s="231" t="n">
        <v>6290714.130302366</v>
      </c>
    </row>
    <row r="6">
      <c r="A6" s="233" t="n">
        <v>2027</v>
      </c>
      <c r="B6" s="234" t="n">
        <v>1437523</v>
      </c>
      <c r="C6" s="234" t="n">
        <v>1627756</v>
      </c>
      <c r="D6" s="234" t="n">
        <v>695760</v>
      </c>
      <c r="E6" s="234" t="n">
        <v>170661</v>
      </c>
      <c r="F6" s="234" t="n">
        <v>83325</v>
      </c>
      <c r="G6" s="234" t="n">
        <v>1132406</v>
      </c>
      <c r="H6" s="234" t="n">
        <v>484024</v>
      </c>
      <c r="I6" s="235" t="n">
        <v>5631455</v>
      </c>
      <c r="K6" s="233" t="n">
        <v>2027</v>
      </c>
      <c r="L6" s="234" t="n">
        <v>0</v>
      </c>
      <c r="M6" s="234" t="n">
        <v>0</v>
      </c>
      <c r="N6" s="234" t="n">
        <v>0</v>
      </c>
      <c r="O6" s="234" t="n">
        <v>4512</v>
      </c>
      <c r="P6" s="234" t="n">
        <v>0</v>
      </c>
      <c r="Q6" s="234" t="n">
        <v>0</v>
      </c>
      <c r="R6" s="234" t="n">
        <v>0</v>
      </c>
      <c r="S6" s="234" t="n">
        <v>0</v>
      </c>
      <c r="T6" s="234" t="n">
        <v>91446</v>
      </c>
      <c r="U6" s="234" t="n">
        <v>0</v>
      </c>
      <c r="V6" s="234" t="n">
        <v>248772</v>
      </c>
      <c r="W6" s="234" t="n">
        <v>0</v>
      </c>
      <c r="X6" s="234" t="n">
        <v>0</v>
      </c>
      <c r="Y6" s="234" t="n">
        <v>58309</v>
      </c>
      <c r="Z6" s="234" t="n">
        <v>0</v>
      </c>
      <c r="AA6" s="235" t="n">
        <v>403039</v>
      </c>
      <c r="AC6" s="233" t="n">
        <v>2027</v>
      </c>
      <c r="AD6" s="234" t="n">
        <v>127160</v>
      </c>
      <c r="AE6" s="234" t="n">
        <v>107340</v>
      </c>
      <c r="AF6" s="234" t="n">
        <v>35186</v>
      </c>
      <c r="AG6" s="234" t="n">
        <v>13988</v>
      </c>
      <c r="AH6" s="234" t="n">
        <v>100000</v>
      </c>
      <c r="AI6" s="234" t="n">
        <v>27348</v>
      </c>
      <c r="AJ6" s="234" t="n">
        <v>1984</v>
      </c>
      <c r="AK6" s="234" t="n">
        <v>0</v>
      </c>
      <c r="AL6" s="234" t="n">
        <v>0</v>
      </c>
      <c r="AM6" s="234" t="n">
        <v>0</v>
      </c>
      <c r="AN6" s="235" t="n">
        <v>413006</v>
      </c>
      <c r="AQ6" s="233" t="n">
        <v>2027</v>
      </c>
      <c r="AR6" s="234" t="n">
        <v>5167422.000467529</v>
      </c>
      <c r="AS6" s="234" t="n">
        <v>5464041.176921614</v>
      </c>
      <c r="AT6" s="234" t="n">
        <v>5782242.148361614</v>
      </c>
      <c r="AU6" s="234" t="n">
        <v>6123395.442807602</v>
      </c>
      <c r="AV6" s="234" t="n">
        <v>6502835.985989288</v>
      </c>
    </row>
    <row r="7">
      <c r="A7" s="230" t="n">
        <v>2028</v>
      </c>
      <c r="B7" s="231" t="n">
        <v>1518992</v>
      </c>
      <c r="C7" s="231" t="n">
        <v>1462122</v>
      </c>
      <c r="D7" s="231" t="n">
        <v>903399</v>
      </c>
      <c r="E7" s="231" t="n">
        <v>0</v>
      </c>
      <c r="F7" s="231" t="n">
        <v>88324</v>
      </c>
      <c r="G7" s="231" t="n">
        <v>1205010</v>
      </c>
      <c r="H7" s="231" t="n">
        <v>418695</v>
      </c>
      <c r="I7" s="232" t="n">
        <v>5596542</v>
      </c>
      <c r="K7" s="230" t="n">
        <v>2028</v>
      </c>
      <c r="L7" s="231" t="n">
        <v>0</v>
      </c>
      <c r="M7" s="231" t="n">
        <v>0</v>
      </c>
      <c r="N7" s="231" t="n">
        <v>0</v>
      </c>
      <c r="O7" s="231" t="n">
        <v>4512</v>
      </c>
      <c r="P7" s="231" t="n">
        <v>0</v>
      </c>
      <c r="Q7" s="231" t="n">
        <v>27611</v>
      </c>
      <c r="R7" s="231" t="n">
        <v>0</v>
      </c>
      <c r="S7" s="231" t="n">
        <v>0</v>
      </c>
      <c r="T7" s="231" t="n">
        <v>86732</v>
      </c>
      <c r="U7" s="231" t="n">
        <v>0</v>
      </c>
      <c r="V7" s="231" t="n">
        <v>170661</v>
      </c>
      <c r="W7" s="231" t="n">
        <v>0</v>
      </c>
      <c r="X7" s="231" t="n">
        <v>0</v>
      </c>
      <c r="Y7" s="231" t="n">
        <v>91893</v>
      </c>
      <c r="Z7" s="231" t="n">
        <v>0</v>
      </c>
      <c r="AA7" s="232" t="n">
        <v>381409</v>
      </c>
      <c r="AC7" s="230" t="n">
        <v>2028</v>
      </c>
      <c r="AD7" s="231" t="n">
        <v>130339</v>
      </c>
      <c r="AE7" s="231" t="n">
        <v>109124</v>
      </c>
      <c r="AF7" s="231" t="n">
        <v>36941</v>
      </c>
      <c r="AG7" s="231" t="n">
        <v>14338</v>
      </c>
      <c r="AH7" s="231" t="n">
        <v>50000</v>
      </c>
      <c r="AI7" s="231" t="n">
        <v>27987</v>
      </c>
      <c r="AJ7" s="231" t="n">
        <v>1521</v>
      </c>
      <c r="AK7" s="231" t="n">
        <v>0</v>
      </c>
      <c r="AL7" s="231" t="n">
        <v>11159</v>
      </c>
      <c r="AM7" s="231" t="n">
        <v>0</v>
      </c>
      <c r="AN7" s="232" t="n">
        <v>381409</v>
      </c>
      <c r="AQ7" s="230" t="n">
        <v>2028</v>
      </c>
      <c r="AR7" s="231" t="n">
        <v>4993562.963060716</v>
      </c>
      <c r="AS7" s="231" t="n">
        <v>5354151.526734247</v>
      </c>
      <c r="AT7" s="231" t="n">
        <v>5762240.855481534</v>
      </c>
      <c r="AU7" s="231" t="n">
        <v>6187705.363442402</v>
      </c>
      <c r="AV7" s="231" t="n">
        <v>6676001.509524311</v>
      </c>
    </row>
    <row r="8">
      <c r="A8" s="233" t="n">
        <v>2029</v>
      </c>
      <c r="B8" s="234" t="n">
        <v>1576080</v>
      </c>
      <c r="C8" s="234" t="n">
        <v>1307749</v>
      </c>
      <c r="D8" s="234" t="n">
        <v>1047698</v>
      </c>
      <c r="E8" s="234" t="n">
        <v>0</v>
      </c>
      <c r="F8" s="234" t="n">
        <v>93624</v>
      </c>
      <c r="G8" s="234" t="n">
        <v>1279481</v>
      </c>
      <c r="H8" s="234" t="n">
        <v>353365</v>
      </c>
      <c r="I8" s="235" t="n">
        <v>5657997</v>
      </c>
      <c r="K8" s="233" t="n">
        <v>2029</v>
      </c>
      <c r="L8" s="234" t="n">
        <v>0</v>
      </c>
      <c r="M8" s="234" t="n">
        <v>0</v>
      </c>
      <c r="N8" s="234" t="n">
        <v>0</v>
      </c>
      <c r="O8" s="234" t="n">
        <v>4512</v>
      </c>
      <c r="P8" s="234" t="n">
        <v>4600</v>
      </c>
      <c r="Q8" s="234" t="n">
        <v>27437</v>
      </c>
      <c r="R8" s="234" t="n">
        <v>8123</v>
      </c>
      <c r="S8" s="234" t="n">
        <v>71336</v>
      </c>
      <c r="T8" s="234" t="n">
        <v>82017</v>
      </c>
      <c r="U8" s="234" t="n">
        <v>0</v>
      </c>
      <c r="V8" s="234" t="n">
        <v>0</v>
      </c>
      <c r="W8" s="234" t="n">
        <v>0</v>
      </c>
      <c r="X8" s="234" t="n">
        <v>0</v>
      </c>
      <c r="Y8" s="234" t="n">
        <v>143401</v>
      </c>
      <c r="Z8" s="234" t="n">
        <v>0</v>
      </c>
      <c r="AA8" s="235" t="n">
        <v>341426</v>
      </c>
      <c r="AC8" s="233" t="n">
        <v>2029</v>
      </c>
      <c r="AD8" s="234" t="n">
        <v>133598</v>
      </c>
      <c r="AE8" s="234" t="n">
        <v>110952</v>
      </c>
      <c r="AF8" s="234" t="n">
        <v>38790</v>
      </c>
      <c r="AG8" s="234" t="n">
        <v>14696</v>
      </c>
      <c r="AH8" s="234" t="n">
        <v>0</v>
      </c>
      <c r="AI8" s="234" t="n">
        <v>29615</v>
      </c>
      <c r="AJ8" s="234" t="n">
        <v>1611</v>
      </c>
      <c r="AK8" s="234" t="n">
        <v>0</v>
      </c>
      <c r="AL8" s="234" t="n">
        <v>12164</v>
      </c>
      <c r="AM8" s="234" t="n">
        <v>0</v>
      </c>
      <c r="AN8" s="235" t="n">
        <v>341426</v>
      </c>
      <c r="AQ8" s="233" t="n">
        <v>2029</v>
      </c>
      <c r="AR8" s="234" t="n">
        <v>4953480.377770561</v>
      </c>
      <c r="AS8" s="234" t="n">
        <v>5355068.767470421</v>
      </c>
      <c r="AT8" s="234" t="n">
        <v>5802911.942985823</v>
      </c>
      <c r="AU8" s="234" t="n">
        <v>6342076.738520674</v>
      </c>
      <c r="AV8" s="234" t="n">
        <v>6841216.853152939</v>
      </c>
    </row>
    <row r="9">
      <c r="A9" s="230" t="n">
        <v>2030</v>
      </c>
      <c r="B9" s="231" t="n">
        <v>1547677</v>
      </c>
      <c r="C9" s="231" t="n">
        <v>1209272</v>
      </c>
      <c r="D9" s="231" t="n">
        <v>1209582</v>
      </c>
      <c r="E9" s="231" t="n">
        <v>0</v>
      </c>
      <c r="F9" s="231" t="n">
        <v>99241</v>
      </c>
      <c r="G9" s="231" t="n">
        <v>1355868</v>
      </c>
      <c r="H9" s="231" t="n">
        <v>222036</v>
      </c>
      <c r="I9" s="232" t="n">
        <v>5643676</v>
      </c>
      <c r="K9" s="230" t="n">
        <v>2030</v>
      </c>
      <c r="L9" s="231" t="n">
        <v>0</v>
      </c>
      <c r="M9" s="231" t="n">
        <v>0</v>
      </c>
      <c r="N9" s="231" t="n">
        <v>0</v>
      </c>
      <c r="O9" s="231" t="n">
        <v>4512</v>
      </c>
      <c r="P9" s="231" t="n">
        <v>4583</v>
      </c>
      <c r="Q9" s="231" t="n">
        <v>27268</v>
      </c>
      <c r="R9" s="231" t="n">
        <v>8088</v>
      </c>
      <c r="S9" s="231" t="n">
        <v>70915</v>
      </c>
      <c r="T9" s="231" t="n">
        <v>77303</v>
      </c>
      <c r="U9" s="231" t="n">
        <v>0</v>
      </c>
      <c r="V9" s="231" t="n">
        <v>66000</v>
      </c>
      <c r="W9" s="231" t="n">
        <v>0</v>
      </c>
      <c r="X9" s="231" t="n">
        <v>0</v>
      </c>
      <c r="Y9" s="231" t="n">
        <v>73508</v>
      </c>
      <c r="Z9" s="231" t="n">
        <v>0</v>
      </c>
      <c r="AA9" s="232" t="n">
        <v>332177</v>
      </c>
      <c r="AC9" s="230" t="n">
        <v>2030</v>
      </c>
      <c r="AD9" s="231" t="n">
        <v>136938</v>
      </c>
      <c r="AE9" s="231" t="n">
        <v>112825</v>
      </c>
      <c r="AF9" s="231" t="n">
        <v>40738</v>
      </c>
      <c r="AG9" s="231" t="n">
        <v>15064</v>
      </c>
      <c r="AH9" s="231" t="n">
        <v>0</v>
      </c>
      <c r="AI9" s="231" t="n">
        <v>30272</v>
      </c>
      <c r="AJ9" s="231" t="n">
        <v>1445</v>
      </c>
      <c r="AK9" s="231" t="n">
        <v>0</v>
      </c>
      <c r="AL9" s="231" t="n">
        <v>0</v>
      </c>
      <c r="AM9" s="231" t="n">
        <v>0</v>
      </c>
      <c r="AN9" s="232" t="n">
        <v>337282</v>
      </c>
      <c r="AQ9" s="230" t="n">
        <v>2030</v>
      </c>
      <c r="AR9" s="231" t="n">
        <v>4765687.675438446</v>
      </c>
      <c r="AS9" s="231" t="n">
        <v>5229489.039814104</v>
      </c>
      <c r="AT9" s="231" t="n">
        <v>5803683.333080407</v>
      </c>
      <c r="AU9" s="231" t="n">
        <v>6412167.564571016</v>
      </c>
      <c r="AV9" s="231" t="n">
        <v>7011606.641690388</v>
      </c>
    </row>
    <row r="10">
      <c r="A10" s="233" t="n">
        <v>2031</v>
      </c>
      <c r="B10" s="234" t="n">
        <v>1518250</v>
      </c>
      <c r="C10" s="234" t="n">
        <v>1148847</v>
      </c>
      <c r="D10" s="234" t="n">
        <v>1348038</v>
      </c>
      <c r="E10" s="234" t="n">
        <v>0</v>
      </c>
      <c r="F10" s="234" t="n">
        <v>94676</v>
      </c>
      <c r="G10" s="234" t="n">
        <v>1434223</v>
      </c>
      <c r="H10" s="234" t="n">
        <v>156707</v>
      </c>
      <c r="I10" s="235" t="n">
        <v>5700741</v>
      </c>
      <c r="K10" s="233" t="n">
        <v>2031</v>
      </c>
      <c r="L10" s="234" t="n">
        <v>0</v>
      </c>
      <c r="M10" s="234" t="n">
        <v>0</v>
      </c>
      <c r="N10" s="234" t="n">
        <v>50088</v>
      </c>
      <c r="O10" s="234" t="n">
        <v>4512</v>
      </c>
      <c r="P10" s="234" t="n">
        <v>4567</v>
      </c>
      <c r="Q10" s="234" t="n">
        <v>27109</v>
      </c>
      <c r="R10" s="234" t="n">
        <v>8055</v>
      </c>
      <c r="S10" s="234" t="n">
        <v>70503</v>
      </c>
      <c r="T10" s="234" t="n">
        <v>72588</v>
      </c>
      <c r="U10" s="234" t="n">
        <v>0</v>
      </c>
      <c r="V10" s="234" t="n">
        <v>0</v>
      </c>
      <c r="W10" s="234" t="n">
        <v>9924</v>
      </c>
      <c r="X10" s="234" t="n">
        <v>0</v>
      </c>
      <c r="Y10" s="234" t="n">
        <v>63304</v>
      </c>
      <c r="Z10" s="234" t="n">
        <v>0</v>
      </c>
      <c r="AA10" s="235" t="n">
        <v>310650</v>
      </c>
      <c r="AC10" s="233" t="n">
        <v>2031</v>
      </c>
      <c r="AD10" s="234" t="n">
        <v>140361</v>
      </c>
      <c r="AE10" s="234" t="n">
        <v>86461</v>
      </c>
      <c r="AF10" s="234" t="n">
        <v>42792</v>
      </c>
      <c r="AG10" s="234" t="n">
        <v>15440</v>
      </c>
      <c r="AH10" s="234" t="n">
        <v>0</v>
      </c>
      <c r="AI10" s="234" t="n">
        <v>30893</v>
      </c>
      <c r="AJ10" s="234" t="n">
        <v>1140</v>
      </c>
      <c r="AK10" s="234" t="n">
        <v>0</v>
      </c>
      <c r="AL10" s="234" t="n">
        <v>0</v>
      </c>
      <c r="AM10" s="234" t="n">
        <v>0</v>
      </c>
      <c r="AN10" s="235" t="n">
        <v>317087</v>
      </c>
      <c r="AQ10" s="233" t="n">
        <v>2031</v>
      </c>
      <c r="AR10" s="234" t="n">
        <v>4693263.25443632</v>
      </c>
      <c r="AS10" s="234" t="n">
        <v>5217144.209297847</v>
      </c>
      <c r="AT10" s="234" t="n">
        <v>5827275.773357367</v>
      </c>
      <c r="AU10" s="234" t="n">
        <v>6521661.00618008</v>
      </c>
      <c r="AV10" s="234" t="n">
        <v>7304831.576530352</v>
      </c>
    </row>
    <row r="11">
      <c r="A11" s="230" t="n">
        <v>2032</v>
      </c>
      <c r="B11" s="231" t="n">
        <v>1487715</v>
      </c>
      <c r="C11" s="231" t="n">
        <v>996746</v>
      </c>
      <c r="D11" s="231" t="n">
        <v>1476122</v>
      </c>
      <c r="E11" s="231" t="n">
        <v>0</v>
      </c>
      <c r="F11" s="231" t="n">
        <v>89206</v>
      </c>
      <c r="G11" s="231" t="n">
        <v>1514599</v>
      </c>
      <c r="H11" s="231" t="n">
        <v>91377</v>
      </c>
      <c r="I11" s="232" t="n">
        <v>5655765</v>
      </c>
      <c r="K11" s="230" t="n">
        <v>2032</v>
      </c>
      <c r="L11" s="231" t="n">
        <v>0</v>
      </c>
      <c r="M11" s="231" t="n">
        <v>47549</v>
      </c>
      <c r="N11" s="231" t="n">
        <v>39850</v>
      </c>
      <c r="O11" s="231" t="n">
        <v>4512</v>
      </c>
      <c r="P11" s="231" t="n">
        <v>4552</v>
      </c>
      <c r="Q11" s="231" t="n">
        <v>26960</v>
      </c>
      <c r="R11" s="231" t="n">
        <v>8023</v>
      </c>
      <c r="S11" s="231" t="n">
        <v>70118</v>
      </c>
      <c r="T11" s="231" t="n">
        <v>63730</v>
      </c>
      <c r="U11" s="231" t="n">
        <v>0</v>
      </c>
      <c r="V11" s="231" t="n">
        <v>0</v>
      </c>
      <c r="W11" s="231" t="n">
        <v>10520</v>
      </c>
      <c r="X11" s="231" t="n">
        <v>0</v>
      </c>
      <c r="Y11" s="231" t="n">
        <v>163990</v>
      </c>
      <c r="Z11" s="231" t="n">
        <v>0</v>
      </c>
      <c r="AA11" s="232" t="n">
        <v>439804</v>
      </c>
      <c r="AC11" s="230" t="n">
        <v>2032</v>
      </c>
      <c r="AD11" s="231" t="n">
        <v>143870</v>
      </c>
      <c r="AE11" s="231" t="n">
        <v>87722</v>
      </c>
      <c r="AF11" s="231" t="n">
        <v>44956</v>
      </c>
      <c r="AG11" s="231" t="n">
        <v>15826</v>
      </c>
      <c r="AH11" s="231" t="n">
        <v>100000</v>
      </c>
      <c r="AI11" s="231" t="n">
        <v>31526</v>
      </c>
      <c r="AJ11" s="231" t="n">
        <v>700</v>
      </c>
      <c r="AK11" s="231" t="n">
        <v>0</v>
      </c>
      <c r="AL11" s="231" t="n">
        <v>15204</v>
      </c>
      <c r="AM11" s="231" t="n">
        <v>0</v>
      </c>
      <c r="AN11" s="232" t="n">
        <v>439804</v>
      </c>
      <c r="AQ11" s="230" t="n">
        <v>2032</v>
      </c>
      <c r="AR11" s="231" t="n">
        <v>4535545.580755732</v>
      </c>
      <c r="AS11" s="231" t="n">
        <v>5052997.084196845</v>
      </c>
      <c r="AT11" s="231" t="n">
        <v>5732542.689273151</v>
      </c>
      <c r="AU11" s="231" t="n">
        <v>6563520.516417043</v>
      </c>
      <c r="AV11" s="231" t="n">
        <v>7445474.104293807</v>
      </c>
    </row>
    <row r="12">
      <c r="A12" s="233" t="n">
        <v>2033</v>
      </c>
      <c r="B12" s="234" t="n">
        <v>1455962</v>
      </c>
      <c r="C12" s="234" t="n">
        <v>954268</v>
      </c>
      <c r="D12" s="234" t="n">
        <v>1618280</v>
      </c>
      <c r="E12" s="234" t="n">
        <v>0</v>
      </c>
      <c r="F12" s="234" t="n">
        <v>82738</v>
      </c>
      <c r="G12" s="234" t="n">
        <v>1597049</v>
      </c>
      <c r="H12" s="234" t="n">
        <v>26048</v>
      </c>
      <c r="I12" s="235" t="n">
        <v>5734345</v>
      </c>
      <c r="K12" s="233" t="n">
        <v>2033</v>
      </c>
      <c r="L12" s="234" t="n">
        <v>0</v>
      </c>
      <c r="M12" s="234" t="n">
        <v>48500</v>
      </c>
      <c r="N12" s="234" t="n">
        <v>40647</v>
      </c>
      <c r="O12" s="234" t="n">
        <v>4512</v>
      </c>
      <c r="P12" s="234" t="n">
        <v>4538</v>
      </c>
      <c r="Q12" s="234" t="n">
        <v>26822</v>
      </c>
      <c r="R12" s="234" t="n">
        <v>7994</v>
      </c>
      <c r="S12" s="234" t="n">
        <v>69759</v>
      </c>
      <c r="T12" s="234" t="n">
        <v>61552</v>
      </c>
      <c r="U12" s="234" t="n">
        <v>0</v>
      </c>
      <c r="V12" s="234" t="n">
        <v>0</v>
      </c>
      <c r="W12" s="234" t="n">
        <v>11151</v>
      </c>
      <c r="X12" s="234" t="n">
        <v>0</v>
      </c>
      <c r="Y12" s="234" t="n">
        <v>45936</v>
      </c>
      <c r="Z12" s="234" t="n">
        <v>0</v>
      </c>
      <c r="AA12" s="235" t="n">
        <v>321411</v>
      </c>
      <c r="AC12" s="233" t="n">
        <v>2033</v>
      </c>
      <c r="AD12" s="234" t="n">
        <v>147467</v>
      </c>
      <c r="AE12" s="234" t="n">
        <v>89015</v>
      </c>
      <c r="AF12" s="234" t="n">
        <v>47237</v>
      </c>
      <c r="AG12" s="234" t="n">
        <v>16222</v>
      </c>
      <c r="AH12" s="234" t="n">
        <v>0</v>
      </c>
      <c r="AI12" s="234" t="n">
        <v>32171</v>
      </c>
      <c r="AJ12" s="234" t="n">
        <v>588</v>
      </c>
      <c r="AK12" s="234" t="n">
        <v>0</v>
      </c>
      <c r="AL12" s="234" t="n">
        <v>0</v>
      </c>
      <c r="AM12" s="234" t="n">
        <v>0</v>
      </c>
      <c r="AN12" s="235" t="n">
        <v>332700</v>
      </c>
      <c r="AQ12" s="233" t="n">
        <v>2033</v>
      </c>
      <c r="AR12" s="234" t="n">
        <v>4504470.217420496</v>
      </c>
      <c r="AS12" s="234" t="n">
        <v>5056774.077540077</v>
      </c>
      <c r="AT12" s="234" t="n">
        <v>5835854.780307812</v>
      </c>
      <c r="AU12" s="234" t="n">
        <v>6755556.615807331</v>
      </c>
      <c r="AV12" s="234" t="n">
        <v>7728576.863902257</v>
      </c>
    </row>
    <row r="13">
      <c r="A13" s="230" t="n">
        <v>2034</v>
      </c>
      <c r="B13" s="231" t="n">
        <v>1422877</v>
      </c>
      <c r="C13" s="231" t="n">
        <v>811174</v>
      </c>
      <c r="D13" s="231" t="n">
        <v>1775389</v>
      </c>
      <c r="E13" s="231" t="n">
        <v>0</v>
      </c>
      <c r="F13" s="231" t="n">
        <v>75174</v>
      </c>
      <c r="G13" s="231" t="n">
        <v>1681629</v>
      </c>
      <c r="H13" s="231" t="n">
        <v>20000</v>
      </c>
      <c r="I13" s="232" t="n">
        <v>5786243</v>
      </c>
      <c r="K13" s="230" t="n">
        <v>2034</v>
      </c>
      <c r="L13" s="231" t="n">
        <v>0</v>
      </c>
      <c r="M13" s="231" t="n">
        <v>49470</v>
      </c>
      <c r="N13" s="231" t="n">
        <v>41460</v>
      </c>
      <c r="O13" s="231" t="n">
        <v>4512</v>
      </c>
      <c r="P13" s="231" t="n">
        <v>4526</v>
      </c>
      <c r="Q13" s="231" t="n">
        <v>26693</v>
      </c>
      <c r="R13" s="231" t="n">
        <v>7967</v>
      </c>
      <c r="S13" s="231" t="n">
        <v>69423</v>
      </c>
      <c r="T13" s="231" t="n">
        <v>0</v>
      </c>
      <c r="U13" s="231" t="n">
        <v>0</v>
      </c>
      <c r="V13" s="231" t="n">
        <v>0</v>
      </c>
      <c r="W13" s="231" t="n">
        <v>11820</v>
      </c>
      <c r="X13" s="231" t="n">
        <v>0</v>
      </c>
      <c r="Y13" s="231" t="n">
        <v>132394</v>
      </c>
      <c r="Z13" s="231" t="n">
        <v>0</v>
      </c>
      <c r="AA13" s="232" t="n">
        <v>348265</v>
      </c>
      <c r="AC13" s="230" t="n">
        <v>2034</v>
      </c>
      <c r="AD13" s="231" t="n">
        <v>151154</v>
      </c>
      <c r="AE13" s="231" t="n">
        <v>90341</v>
      </c>
      <c r="AF13" s="231" t="n">
        <v>49640</v>
      </c>
      <c r="AG13" s="231" t="n">
        <v>16628</v>
      </c>
      <c r="AH13" s="231" t="n">
        <v>0</v>
      </c>
      <c r="AI13" s="231" t="n">
        <v>32830</v>
      </c>
      <c r="AJ13" s="231" t="n">
        <v>476</v>
      </c>
      <c r="AK13" s="231" t="n">
        <v>0</v>
      </c>
      <c r="AL13" s="231" t="n">
        <v>7196</v>
      </c>
      <c r="AM13" s="231" t="n">
        <v>0</v>
      </c>
      <c r="AN13" s="232" t="n">
        <v>348265</v>
      </c>
      <c r="AQ13" s="230" t="n">
        <v>2034</v>
      </c>
      <c r="AR13" s="231" t="n">
        <v>4389501.326556883</v>
      </c>
      <c r="AS13" s="231" t="n">
        <v>5018514.487623649</v>
      </c>
      <c r="AT13" s="231" t="n">
        <v>5843425.313267046</v>
      </c>
      <c r="AU13" s="231" t="n">
        <v>6883905.070302963</v>
      </c>
      <c r="AV13" s="231" t="n">
        <v>7841408.669473713</v>
      </c>
    </row>
    <row r="14">
      <c r="A14" s="233" t="n">
        <v>2035</v>
      </c>
      <c r="B14" s="234" t="n">
        <v>1388342</v>
      </c>
      <c r="C14" s="234" t="n">
        <v>703590</v>
      </c>
      <c r="D14" s="234" t="n">
        <v>1942679</v>
      </c>
      <c r="E14" s="234" t="n">
        <v>0</v>
      </c>
      <c r="F14" s="234" t="n">
        <v>66403</v>
      </c>
      <c r="G14" s="234" t="n">
        <v>1764562</v>
      </c>
      <c r="H14" s="234" t="n">
        <v>20000</v>
      </c>
      <c r="I14" s="235" t="n">
        <v>5885576</v>
      </c>
      <c r="K14" s="233" t="n">
        <v>2035</v>
      </c>
      <c r="L14" s="234" t="n">
        <v>0</v>
      </c>
      <c r="M14" s="234" t="n">
        <v>50459</v>
      </c>
      <c r="N14" s="234" t="n">
        <v>42289</v>
      </c>
      <c r="O14" s="234" t="n">
        <v>4512</v>
      </c>
      <c r="P14" s="234" t="n">
        <v>4514</v>
      </c>
      <c r="Q14" s="234" t="n">
        <v>29725</v>
      </c>
      <c r="R14" s="234" t="n">
        <v>7941</v>
      </c>
      <c r="S14" s="234" t="n">
        <v>69111</v>
      </c>
      <c r="T14" s="234" t="n">
        <v>0</v>
      </c>
      <c r="U14" s="234" t="n">
        <v>0</v>
      </c>
      <c r="V14" s="234" t="n">
        <v>0</v>
      </c>
      <c r="W14" s="234" t="n">
        <v>12529</v>
      </c>
      <c r="X14" s="234" t="n">
        <v>0</v>
      </c>
      <c r="Y14" s="234" t="n">
        <v>90083</v>
      </c>
      <c r="Z14" s="234" t="n">
        <v>0</v>
      </c>
      <c r="AA14" s="235" t="n">
        <v>311163</v>
      </c>
      <c r="AC14" s="233" t="n">
        <v>2035</v>
      </c>
      <c r="AD14" s="234" t="n">
        <v>154933</v>
      </c>
      <c r="AE14" s="234" t="n">
        <v>55699</v>
      </c>
      <c r="AF14" s="234" t="n">
        <v>52174</v>
      </c>
      <c r="AG14" s="234" t="n">
        <v>17043</v>
      </c>
      <c r="AH14" s="234" t="n">
        <v>0</v>
      </c>
      <c r="AI14" s="234" t="n">
        <v>33501</v>
      </c>
      <c r="AJ14" s="234" t="n">
        <v>475</v>
      </c>
      <c r="AK14" s="234" t="n">
        <v>0</v>
      </c>
      <c r="AL14" s="234" t="n">
        <v>0</v>
      </c>
      <c r="AM14" s="234" t="n">
        <v>0</v>
      </c>
      <c r="AN14" s="235" t="n">
        <v>313825</v>
      </c>
      <c r="AQ14" s="233" t="n">
        <v>2035</v>
      </c>
      <c r="AR14" s="234" t="n">
        <v>4404261.002842207</v>
      </c>
      <c r="AS14" s="234" t="n">
        <v>5052495.348428278</v>
      </c>
      <c r="AT14" s="234" t="n">
        <v>5896384.095671452</v>
      </c>
      <c r="AU14" s="234" t="n">
        <v>7011158.191497498</v>
      </c>
      <c r="AV14" s="234" t="n">
        <v>8208421.129059397</v>
      </c>
    </row>
    <row r="15">
      <c r="A15" s="230" t="n">
        <v>2036</v>
      </c>
      <c r="B15" s="231" t="n">
        <v>1348892</v>
      </c>
      <c r="C15" s="231" t="n">
        <v>668870</v>
      </c>
      <c r="D15" s="231" t="n">
        <v>2059240</v>
      </c>
      <c r="E15" s="231" t="n">
        <v>0</v>
      </c>
      <c r="F15" s="231" t="n">
        <v>56310</v>
      </c>
      <c r="G15" s="231" t="n">
        <v>1817499</v>
      </c>
      <c r="H15" s="231" t="n">
        <v>20000</v>
      </c>
      <c r="I15" s="232" t="n">
        <v>5970811</v>
      </c>
      <c r="K15" s="230" t="n">
        <v>2036</v>
      </c>
      <c r="L15" s="231" t="n">
        <v>0</v>
      </c>
      <c r="M15" s="231" t="n">
        <v>51468</v>
      </c>
      <c r="N15" s="231" t="n">
        <v>43135</v>
      </c>
      <c r="O15" s="231" t="n">
        <v>4512</v>
      </c>
      <c r="P15" s="231" t="n">
        <v>4809</v>
      </c>
      <c r="Q15" s="231" t="n">
        <v>29362</v>
      </c>
      <c r="R15" s="231" t="n">
        <v>8540</v>
      </c>
      <c r="S15" s="231" t="n">
        <v>76457</v>
      </c>
      <c r="T15" s="231" t="n">
        <v>0</v>
      </c>
      <c r="U15" s="231" t="n">
        <v>0</v>
      </c>
      <c r="V15" s="231" t="n">
        <v>0</v>
      </c>
      <c r="W15" s="231" t="n">
        <v>13281</v>
      </c>
      <c r="X15" s="231" t="n">
        <v>0</v>
      </c>
      <c r="Y15" s="231" t="n">
        <v>72580</v>
      </c>
      <c r="Z15" s="231" t="n">
        <v>0</v>
      </c>
      <c r="AA15" s="232" t="n">
        <v>304144</v>
      </c>
      <c r="AC15" s="230" t="n">
        <v>2036</v>
      </c>
      <c r="AD15" s="231" t="n">
        <v>158806</v>
      </c>
      <c r="AE15" s="231" t="n">
        <v>57092</v>
      </c>
      <c r="AF15" s="231" t="n">
        <v>54844</v>
      </c>
      <c r="AG15" s="231" t="n">
        <v>17469</v>
      </c>
      <c r="AH15" s="231" t="n">
        <v>0</v>
      </c>
      <c r="AI15" s="231" t="n">
        <v>22498</v>
      </c>
      <c r="AJ15" s="231" t="n">
        <v>509</v>
      </c>
      <c r="AK15" s="231" t="n">
        <v>0</v>
      </c>
      <c r="AL15" s="231" t="n">
        <v>0</v>
      </c>
      <c r="AM15" s="231" t="n">
        <v>0</v>
      </c>
      <c r="AN15" s="232" t="n">
        <v>311218</v>
      </c>
      <c r="AQ15" s="230" t="n">
        <v>2036</v>
      </c>
      <c r="AR15" s="231" t="n">
        <v>4354737.450754248</v>
      </c>
      <c r="AS15" s="231" t="n">
        <v>5067516.456894516</v>
      </c>
      <c r="AT15" s="231" t="n">
        <v>5983443.08547634</v>
      </c>
      <c r="AU15" s="231" t="n">
        <v>7163970.727011647</v>
      </c>
      <c r="AV15" s="231" t="n">
        <v>8598932.605278654</v>
      </c>
    </row>
    <row r="16">
      <c r="A16" s="233" t="n">
        <v>2037</v>
      </c>
      <c r="B16" s="234" t="n">
        <v>1298724</v>
      </c>
      <c r="C16" s="234" t="n">
        <v>623451</v>
      </c>
      <c r="D16" s="234" t="n">
        <v>2182794</v>
      </c>
      <c r="E16" s="234" t="n">
        <v>0</v>
      </c>
      <c r="F16" s="234" t="n">
        <v>44767</v>
      </c>
      <c r="G16" s="234" t="n">
        <v>1872024</v>
      </c>
      <c r="H16" s="234" t="n">
        <v>20000</v>
      </c>
      <c r="I16" s="235" t="n">
        <v>6041760</v>
      </c>
      <c r="K16" s="233" t="n">
        <v>2037</v>
      </c>
      <c r="L16" s="234" t="n">
        <v>0</v>
      </c>
      <c r="M16" s="234" t="n">
        <v>52498</v>
      </c>
      <c r="N16" s="234" t="n">
        <v>43998</v>
      </c>
      <c r="O16" s="234" t="n">
        <v>4512</v>
      </c>
      <c r="P16" s="234" t="n">
        <v>4774</v>
      </c>
      <c r="Q16" s="234" t="n">
        <v>29021</v>
      </c>
      <c r="R16" s="234" t="n">
        <v>8468</v>
      </c>
      <c r="S16" s="234" t="n">
        <v>75577</v>
      </c>
      <c r="T16" s="234" t="n">
        <v>0</v>
      </c>
      <c r="U16" s="234" t="n">
        <v>27190</v>
      </c>
      <c r="V16" s="234" t="n">
        <v>0</v>
      </c>
      <c r="W16" s="234" t="n">
        <v>14078</v>
      </c>
      <c r="X16" s="234" t="n">
        <v>0</v>
      </c>
      <c r="Y16" s="234" t="n">
        <v>53518</v>
      </c>
      <c r="Z16" s="234" t="n">
        <v>0</v>
      </c>
      <c r="AA16" s="235" t="n">
        <v>313634</v>
      </c>
      <c r="AC16" s="233" t="n">
        <v>2037</v>
      </c>
      <c r="AD16" s="234" t="n">
        <v>162776</v>
      </c>
      <c r="AE16" s="234" t="n">
        <v>58519</v>
      </c>
      <c r="AF16" s="234" t="n">
        <v>57659</v>
      </c>
      <c r="AG16" s="234" t="n">
        <v>17906</v>
      </c>
      <c r="AH16" s="234" t="n">
        <v>0</v>
      </c>
      <c r="AI16" s="234" t="n">
        <v>28112</v>
      </c>
      <c r="AJ16" s="234" t="n">
        <v>505</v>
      </c>
      <c r="AK16" s="234" t="n">
        <v>0</v>
      </c>
      <c r="AL16" s="234" t="n">
        <v>0</v>
      </c>
      <c r="AM16" s="234" t="n">
        <v>0</v>
      </c>
      <c r="AN16" s="235" t="n">
        <v>325477</v>
      </c>
      <c r="AQ16" s="233" t="n">
        <v>2037</v>
      </c>
      <c r="AR16" s="234" t="n">
        <v>4280592.537843622</v>
      </c>
      <c r="AS16" s="234" t="n">
        <v>5031186.796541054</v>
      </c>
      <c r="AT16" s="234" t="n">
        <v>6010013.930279926</v>
      </c>
      <c r="AU16" s="234" t="n">
        <v>7405553.411022693</v>
      </c>
      <c r="AV16" s="234" t="n">
        <v>8900341.897321921</v>
      </c>
    </row>
    <row r="17">
      <c r="A17" s="230" t="n">
        <v>2038</v>
      </c>
      <c r="B17" s="231" t="n">
        <v>1246954</v>
      </c>
      <c r="C17" s="231" t="n">
        <v>566521</v>
      </c>
      <c r="D17" s="231" t="n">
        <v>2313762</v>
      </c>
      <c r="E17" s="231" t="n">
        <v>0</v>
      </c>
      <c r="F17" s="231" t="n">
        <v>31635</v>
      </c>
      <c r="G17" s="231" t="n">
        <v>1928185</v>
      </c>
      <c r="H17" s="231" t="n">
        <v>20000</v>
      </c>
      <c r="I17" s="232" t="n">
        <v>6107057</v>
      </c>
      <c r="K17" s="230" t="n">
        <v>2038</v>
      </c>
      <c r="L17" s="231" t="n">
        <v>0</v>
      </c>
      <c r="M17" s="231" t="n">
        <v>53548</v>
      </c>
      <c r="N17" s="231" t="n">
        <v>44878</v>
      </c>
      <c r="O17" s="231" t="n">
        <v>4512</v>
      </c>
      <c r="P17" s="231" t="n">
        <v>4743</v>
      </c>
      <c r="Q17" s="231" t="n">
        <v>28710</v>
      </c>
      <c r="R17" s="231" t="n">
        <v>8401</v>
      </c>
      <c r="S17" s="231" t="n">
        <v>74750</v>
      </c>
      <c r="T17" s="231" t="n">
        <v>0</v>
      </c>
      <c r="U17" s="231" t="n">
        <v>26306</v>
      </c>
      <c r="V17" s="231" t="n">
        <v>0</v>
      </c>
      <c r="W17" s="231" t="n">
        <v>14922</v>
      </c>
      <c r="X17" s="231" t="n">
        <v>0</v>
      </c>
      <c r="Y17" s="231" t="n">
        <v>62691</v>
      </c>
      <c r="Z17" s="231" t="n">
        <v>0</v>
      </c>
      <c r="AA17" s="232" t="n">
        <v>323461</v>
      </c>
      <c r="AC17" s="230" t="n">
        <v>2038</v>
      </c>
      <c r="AD17" s="231" t="n">
        <v>166846</v>
      </c>
      <c r="AE17" s="231" t="n">
        <v>59982</v>
      </c>
      <c r="AF17" s="231" t="n">
        <v>60626</v>
      </c>
      <c r="AG17" s="231" t="n">
        <v>18354</v>
      </c>
      <c r="AH17" s="231" t="n">
        <v>0</v>
      </c>
      <c r="AI17" s="231" t="n">
        <v>27568</v>
      </c>
      <c r="AJ17" s="231" t="n">
        <v>501</v>
      </c>
      <c r="AK17" s="231" t="n">
        <v>0</v>
      </c>
      <c r="AL17" s="231" t="n">
        <v>0</v>
      </c>
      <c r="AM17" s="231" t="n">
        <v>0</v>
      </c>
      <c r="AN17" s="232" t="n">
        <v>333877</v>
      </c>
      <c r="AQ17" s="230" t="n">
        <v>2038</v>
      </c>
      <c r="AR17" s="231" t="n">
        <v>4147405.83586516</v>
      </c>
      <c r="AS17" s="231" t="n">
        <v>5007616.092292169</v>
      </c>
      <c r="AT17" s="231" t="n">
        <v>6031386.05686351</v>
      </c>
      <c r="AU17" s="231" t="n">
        <v>7624762.631634125</v>
      </c>
      <c r="AV17" s="231" t="n">
        <v>9312013.897390176</v>
      </c>
    </row>
    <row r="18">
      <c r="A18" s="233" t="n">
        <v>2039</v>
      </c>
      <c r="B18" s="234" t="n">
        <v>1193388</v>
      </c>
      <c r="C18" s="234" t="n">
        <v>497230</v>
      </c>
      <c r="D18" s="234" t="n">
        <v>2452588</v>
      </c>
      <c r="E18" s="234" t="n">
        <v>0</v>
      </c>
      <c r="F18" s="234" t="n">
        <v>16767</v>
      </c>
      <c r="G18" s="234" t="n">
        <v>1986030</v>
      </c>
      <c r="H18" s="234" t="n">
        <v>20000</v>
      </c>
      <c r="I18" s="235" t="n">
        <v>6166003</v>
      </c>
      <c r="K18" s="233" t="n">
        <v>2039</v>
      </c>
      <c r="L18" s="234" t="n">
        <v>0</v>
      </c>
      <c r="M18" s="234" t="n">
        <v>54619</v>
      </c>
      <c r="N18" s="234" t="n">
        <v>45775</v>
      </c>
      <c r="O18" s="234" t="n">
        <v>4512</v>
      </c>
      <c r="P18" s="234" t="n">
        <v>4714</v>
      </c>
      <c r="Q18" s="234" t="n">
        <v>28428</v>
      </c>
      <c r="R18" s="234" t="n">
        <v>8340</v>
      </c>
      <c r="S18" s="234" t="n">
        <v>73998</v>
      </c>
      <c r="T18" s="234" t="n">
        <v>0</v>
      </c>
      <c r="U18" s="234" t="n">
        <v>24739</v>
      </c>
      <c r="V18" s="234" t="n">
        <v>0</v>
      </c>
      <c r="W18" s="234" t="n">
        <v>15818</v>
      </c>
      <c r="X18" s="234" t="n">
        <v>0</v>
      </c>
      <c r="Y18" s="234" t="n">
        <v>72697</v>
      </c>
      <c r="Z18" s="234" t="n">
        <v>0</v>
      </c>
      <c r="AA18" s="235" t="n">
        <v>333640</v>
      </c>
      <c r="AC18" s="233" t="n">
        <v>2039</v>
      </c>
      <c r="AD18" s="234" t="n">
        <v>171017</v>
      </c>
      <c r="AE18" s="234" t="n">
        <v>61482</v>
      </c>
      <c r="AF18" s="234" t="n">
        <v>63754</v>
      </c>
      <c r="AG18" s="234" t="n">
        <v>18813</v>
      </c>
      <c r="AH18" s="234" t="n">
        <v>0</v>
      </c>
      <c r="AI18" s="234" t="n">
        <v>26896</v>
      </c>
      <c r="AJ18" s="234" t="n">
        <v>498</v>
      </c>
      <c r="AK18" s="234" t="n">
        <v>0</v>
      </c>
      <c r="AL18" s="234" t="n">
        <v>0</v>
      </c>
      <c r="AM18" s="234" t="n">
        <v>0</v>
      </c>
      <c r="AN18" s="235" t="n">
        <v>342460</v>
      </c>
      <c r="AQ18" s="233" t="n">
        <v>2039</v>
      </c>
      <c r="AR18" s="234" t="n">
        <v>4032937.043434173</v>
      </c>
      <c r="AS18" s="234" t="n">
        <v>4949552.520026833</v>
      </c>
      <c r="AT18" s="234" t="n">
        <v>5988023.366977896</v>
      </c>
      <c r="AU18" s="234" t="n">
        <v>7789586.987338453</v>
      </c>
      <c r="AV18" s="234" t="n">
        <v>9541926.099689271</v>
      </c>
    </row>
    <row r="19">
      <c r="A19" s="230" t="n">
        <v>2040</v>
      </c>
      <c r="B19" s="231" t="n">
        <v>1137801</v>
      </c>
      <c r="C19" s="231" t="n">
        <v>414659</v>
      </c>
      <c r="D19" s="231" t="n">
        <v>2599743</v>
      </c>
      <c r="E19" s="231" t="n">
        <v>0</v>
      </c>
      <c r="F19" s="231" t="n">
        <v>0</v>
      </c>
      <c r="G19" s="231" t="n">
        <v>2045611</v>
      </c>
      <c r="H19" s="231" t="n">
        <v>20000</v>
      </c>
      <c r="I19" s="232" t="n">
        <v>6217814</v>
      </c>
      <c r="K19" s="230" t="n">
        <v>2040</v>
      </c>
      <c r="L19" s="231" t="n">
        <v>0</v>
      </c>
      <c r="M19" s="231" t="n">
        <v>55711</v>
      </c>
      <c r="N19" s="231" t="n">
        <v>46691</v>
      </c>
      <c r="O19" s="231" t="n">
        <v>4512</v>
      </c>
      <c r="P19" s="231" t="n">
        <v>4689</v>
      </c>
      <c r="Q19" s="231" t="n">
        <v>28173</v>
      </c>
      <c r="R19" s="231" t="n">
        <v>8284</v>
      </c>
      <c r="S19" s="231" t="n">
        <v>73315</v>
      </c>
      <c r="T19" s="231" t="n">
        <v>0</v>
      </c>
      <c r="U19" s="231" t="n">
        <v>22601</v>
      </c>
      <c r="V19" s="231" t="n">
        <v>0</v>
      </c>
      <c r="W19" s="231" t="n">
        <v>16767</v>
      </c>
      <c r="X19" s="231" t="n">
        <v>0</v>
      </c>
      <c r="Y19" s="231" t="n">
        <v>83441</v>
      </c>
      <c r="Z19" s="231" t="n">
        <v>0</v>
      </c>
      <c r="AA19" s="232" t="n">
        <v>344184</v>
      </c>
      <c r="AC19" s="230" t="n">
        <v>2040</v>
      </c>
      <c r="AD19" s="231" t="n">
        <v>175292</v>
      </c>
      <c r="AE19" s="231" t="n">
        <v>63019</v>
      </c>
      <c r="AF19" s="231" t="n">
        <v>67051</v>
      </c>
      <c r="AG19" s="231" t="n">
        <v>19283</v>
      </c>
      <c r="AH19" s="231" t="n">
        <v>0</v>
      </c>
      <c r="AI19" s="231" t="n">
        <v>26120</v>
      </c>
      <c r="AJ19" s="231" t="n">
        <v>495</v>
      </c>
      <c r="AK19" s="231" t="n">
        <v>0</v>
      </c>
      <c r="AL19" s="231" t="n">
        <v>0</v>
      </c>
      <c r="AM19" s="231" t="n">
        <v>0</v>
      </c>
      <c r="AN19" s="232" t="n">
        <v>351260</v>
      </c>
      <c r="AQ19" s="230" t="n">
        <v>2040</v>
      </c>
      <c r="AR19" s="231" t="n">
        <v>3919976.714321082</v>
      </c>
      <c r="AS19" s="231" t="n">
        <v>4870301.518817546</v>
      </c>
      <c r="AT19" s="231" t="n">
        <v>6015398.956013262</v>
      </c>
      <c r="AU19" s="231" t="n">
        <v>7950203.085223658</v>
      </c>
      <c r="AV19" s="231" t="n">
        <v>9985827.386326101</v>
      </c>
    </row>
    <row r="20">
      <c r="A20" s="233" t="n">
        <v>2041</v>
      </c>
      <c r="B20" s="234" t="n">
        <v>1079958</v>
      </c>
      <c r="C20" s="234" t="n">
        <v>299618</v>
      </c>
      <c r="D20" s="234" t="n">
        <v>2755728</v>
      </c>
      <c r="E20" s="234" t="n">
        <v>0</v>
      </c>
      <c r="F20" s="234" t="n">
        <v>0</v>
      </c>
      <c r="G20" s="234" t="n">
        <v>2106980</v>
      </c>
      <c r="H20" s="234" t="n">
        <v>20000</v>
      </c>
      <c r="I20" s="235" t="n">
        <v>6262284</v>
      </c>
      <c r="K20" s="233" t="n">
        <v>2041</v>
      </c>
      <c r="L20" s="234" t="n">
        <v>0</v>
      </c>
      <c r="M20" s="234" t="n">
        <v>56825</v>
      </c>
      <c r="N20" s="234" t="n">
        <v>47624</v>
      </c>
      <c r="O20" s="234" t="n">
        <v>4512</v>
      </c>
      <c r="P20" s="234" t="n">
        <v>4665</v>
      </c>
      <c r="Q20" s="234" t="n">
        <v>27944</v>
      </c>
      <c r="R20" s="234" t="n">
        <v>8234</v>
      </c>
      <c r="S20" s="234" t="n">
        <v>72697</v>
      </c>
      <c r="T20" s="234" t="n">
        <v>0</v>
      </c>
      <c r="U20" s="234" t="n">
        <v>19652</v>
      </c>
      <c r="V20" s="234" t="n">
        <v>0</v>
      </c>
      <c r="W20" s="234" t="n">
        <v>0</v>
      </c>
      <c r="X20" s="234" t="n">
        <v>0</v>
      </c>
      <c r="Y20" s="234" t="n">
        <v>112349</v>
      </c>
      <c r="Z20" s="234" t="n">
        <v>0</v>
      </c>
      <c r="AA20" s="235" t="n">
        <v>354502</v>
      </c>
      <c r="AC20" s="233" t="n">
        <v>2041</v>
      </c>
      <c r="AD20" s="234" t="n">
        <v>175292</v>
      </c>
      <c r="AE20" s="234" t="n">
        <v>64594</v>
      </c>
      <c r="AF20" s="234" t="n">
        <v>70527</v>
      </c>
      <c r="AG20" s="234" t="n">
        <v>19765</v>
      </c>
      <c r="AH20" s="234" t="n">
        <v>0</v>
      </c>
      <c r="AI20" s="234" t="n">
        <v>25185</v>
      </c>
      <c r="AJ20" s="234" t="n">
        <v>492</v>
      </c>
      <c r="AK20" s="234" t="n">
        <v>0</v>
      </c>
      <c r="AL20" s="234" t="n">
        <v>0</v>
      </c>
      <c r="AM20" s="234" t="n">
        <v>0</v>
      </c>
      <c r="AN20" s="235" t="n">
        <v>355855</v>
      </c>
      <c r="AQ20" s="233" t="n">
        <v>2041</v>
      </c>
      <c r="AR20" s="234" t="n">
        <v>3786692.577402802</v>
      </c>
      <c r="AS20" s="234" t="n">
        <v>4814138.009589266</v>
      </c>
      <c r="AT20" s="234" t="n">
        <v>6064605.922314929</v>
      </c>
      <c r="AU20" s="234" t="n">
        <v>7992286.351029176</v>
      </c>
      <c r="AV20" s="234" t="n">
        <v>10244805.24586094</v>
      </c>
    </row>
    <row r="21">
      <c r="A21" s="230" t="n">
        <v>2042</v>
      </c>
      <c r="B21" s="231" t="n">
        <v>1019621</v>
      </c>
      <c r="C21" s="231" t="n">
        <v>172795</v>
      </c>
      <c r="D21" s="231" t="n">
        <v>2921071</v>
      </c>
      <c r="E21" s="231" t="n">
        <v>0</v>
      </c>
      <c r="F21" s="231" t="n">
        <v>0</v>
      </c>
      <c r="G21" s="231" t="n">
        <v>2170189</v>
      </c>
      <c r="H21" s="231" t="n">
        <v>20000</v>
      </c>
      <c r="I21" s="232" t="n">
        <v>6303676</v>
      </c>
      <c r="K21" s="230" t="n">
        <v>2042</v>
      </c>
      <c r="L21" s="231" t="n">
        <v>0</v>
      </c>
      <c r="M21" s="231" t="n">
        <v>57962</v>
      </c>
      <c r="N21" s="231" t="n">
        <v>48577</v>
      </c>
      <c r="O21" s="231" t="n">
        <v>4512</v>
      </c>
      <c r="P21" s="231" t="n">
        <v>4644</v>
      </c>
      <c r="Q21" s="231" t="n">
        <v>27738</v>
      </c>
      <c r="R21" s="231" t="n">
        <v>8188</v>
      </c>
      <c r="S21" s="231" t="n">
        <v>72141</v>
      </c>
      <c r="T21" s="231" t="n">
        <v>0</v>
      </c>
      <c r="U21" s="231" t="n">
        <v>14833</v>
      </c>
      <c r="V21" s="231" t="n">
        <v>0</v>
      </c>
      <c r="W21" s="231" t="n">
        <v>0</v>
      </c>
      <c r="X21" s="231" t="n">
        <v>0</v>
      </c>
      <c r="Y21" s="231" t="n">
        <v>121771</v>
      </c>
      <c r="Z21" s="231" t="n">
        <v>0</v>
      </c>
      <c r="AA21" s="232" t="n">
        <v>360366</v>
      </c>
      <c r="AC21" s="230" t="n">
        <v>2042</v>
      </c>
      <c r="AD21" s="231" t="n">
        <v>175292</v>
      </c>
      <c r="AE21" s="231" t="n">
        <v>66209</v>
      </c>
      <c r="AF21" s="231" t="n">
        <v>74191</v>
      </c>
      <c r="AG21" s="231" t="n">
        <v>20259</v>
      </c>
      <c r="AH21" s="231" t="n">
        <v>0</v>
      </c>
      <c r="AI21" s="231" t="n">
        <v>23857</v>
      </c>
      <c r="AJ21" s="231" t="n">
        <v>489</v>
      </c>
      <c r="AK21" s="231" t="n">
        <v>0</v>
      </c>
      <c r="AL21" s="231" t="n">
        <v>69</v>
      </c>
      <c r="AM21" s="231" t="n">
        <v>0</v>
      </c>
      <c r="AN21" s="232" t="n">
        <v>360366</v>
      </c>
      <c r="AQ21" s="230" t="n">
        <v>2042</v>
      </c>
      <c r="AR21" s="231" t="n">
        <v>3645314.821150888</v>
      </c>
      <c r="AS21" s="231" t="n">
        <v>4714111.007933323</v>
      </c>
      <c r="AT21" s="231" t="n">
        <v>6104927.077192784</v>
      </c>
      <c r="AU21" s="231" t="n">
        <v>8104455.736905894</v>
      </c>
      <c r="AV21" s="231" t="n">
        <v>10934356.05052745</v>
      </c>
    </row>
    <row r="22">
      <c r="A22" s="233" t="n">
        <v>2043</v>
      </c>
      <c r="B22" s="234" t="n">
        <v>956542</v>
      </c>
      <c r="C22" s="234" t="n">
        <v>33315</v>
      </c>
      <c r="D22" s="234" t="n">
        <v>3096336</v>
      </c>
      <c r="E22" s="234" t="n">
        <v>0</v>
      </c>
      <c r="F22" s="234" t="n">
        <v>0</v>
      </c>
      <c r="G22" s="234" t="n">
        <v>2235295</v>
      </c>
      <c r="H22" s="234" t="n">
        <v>20000</v>
      </c>
      <c r="I22" s="235" t="n">
        <v>6341488</v>
      </c>
      <c r="K22" s="233" t="n">
        <v>2043</v>
      </c>
      <c r="L22" s="234" t="n">
        <v>0</v>
      </c>
      <c r="M22" s="234" t="n">
        <v>59121</v>
      </c>
      <c r="N22" s="234" t="n">
        <v>49548</v>
      </c>
      <c r="O22" s="234" t="n">
        <v>4512</v>
      </c>
      <c r="P22" s="234" t="n">
        <v>4626</v>
      </c>
      <c r="Q22" s="234" t="n">
        <v>27554</v>
      </c>
      <c r="R22" s="234" t="n">
        <v>8147</v>
      </c>
      <c r="S22" s="234" t="n">
        <v>71642</v>
      </c>
      <c r="T22" s="234" t="n">
        <v>0</v>
      </c>
      <c r="U22" s="234" t="n">
        <v>8907</v>
      </c>
      <c r="V22" s="234" t="n">
        <v>0</v>
      </c>
      <c r="W22" s="234" t="n">
        <v>0</v>
      </c>
      <c r="X22" s="234" t="n">
        <v>0</v>
      </c>
      <c r="Y22" s="234" t="n">
        <v>132459</v>
      </c>
      <c r="Z22" s="234" t="n">
        <v>0</v>
      </c>
      <c r="AA22" s="235" t="n">
        <v>366516</v>
      </c>
      <c r="AC22" s="233" t="n">
        <v>2043</v>
      </c>
      <c r="AD22" s="234" t="n">
        <v>175292</v>
      </c>
      <c r="AE22" s="234" t="n">
        <v>67864</v>
      </c>
      <c r="AF22" s="234" t="n">
        <v>78054</v>
      </c>
      <c r="AG22" s="234" t="n">
        <v>20766</v>
      </c>
      <c r="AH22" s="234" t="n">
        <v>0</v>
      </c>
      <c r="AI22" s="234" t="n">
        <v>22302</v>
      </c>
      <c r="AJ22" s="234" t="n">
        <v>487</v>
      </c>
      <c r="AK22" s="234" t="n">
        <v>0</v>
      </c>
      <c r="AL22" s="234" t="n">
        <v>1751</v>
      </c>
      <c r="AM22" s="234" t="n">
        <v>0</v>
      </c>
      <c r="AN22" s="235" t="n">
        <v>366516</v>
      </c>
      <c r="AQ22" s="233" t="n">
        <v>2043</v>
      </c>
      <c r="AR22" s="234" t="n">
        <v>3513203.150650044</v>
      </c>
      <c r="AS22" s="234" t="n">
        <v>4608144.62768715</v>
      </c>
      <c r="AT22" s="234" t="n">
        <v>6070711.468282605</v>
      </c>
      <c r="AU22" s="234" t="n">
        <v>8166216.887658644</v>
      </c>
      <c r="AV22" s="234" t="n">
        <v>11339627.55903885</v>
      </c>
    </row>
    <row r="23">
      <c r="A23" s="230" t="n">
        <v>2044</v>
      </c>
      <c r="B23" s="231" t="n">
        <v>890464</v>
      </c>
      <c r="C23" s="231" t="n">
        <v>0</v>
      </c>
      <c r="D23" s="231" t="n">
        <v>3188694</v>
      </c>
      <c r="E23" s="231" t="n">
        <v>0</v>
      </c>
      <c r="F23" s="231" t="n">
        <v>0</v>
      </c>
      <c r="G23" s="231" t="n">
        <v>2302353</v>
      </c>
      <c r="H23" s="231" t="n">
        <v>20000</v>
      </c>
      <c r="I23" s="232" t="n">
        <v>6401511</v>
      </c>
      <c r="K23" s="230" t="n">
        <v>2044</v>
      </c>
      <c r="L23" s="231" t="n">
        <v>0</v>
      </c>
      <c r="M23" s="231" t="n">
        <v>60303</v>
      </c>
      <c r="N23" s="231" t="n">
        <v>50539</v>
      </c>
      <c r="O23" s="231" t="n">
        <v>4512</v>
      </c>
      <c r="P23" s="231" t="n">
        <v>4609</v>
      </c>
      <c r="Q23" s="231" t="n">
        <v>27391</v>
      </c>
      <c r="R23" s="231" t="n">
        <v>8111</v>
      </c>
      <c r="S23" s="231" t="n">
        <v>71197</v>
      </c>
      <c r="T23" s="231" t="n">
        <v>0</v>
      </c>
      <c r="U23" s="231" t="n">
        <v>1801</v>
      </c>
      <c r="V23" s="231" t="n">
        <v>0</v>
      </c>
      <c r="W23" s="231" t="n">
        <v>0</v>
      </c>
      <c r="X23" s="231" t="n">
        <v>88134</v>
      </c>
      <c r="Y23" s="231" t="n">
        <v>31514</v>
      </c>
      <c r="Z23" s="231" t="n">
        <v>0</v>
      </c>
      <c r="AA23" s="232" t="n">
        <v>348111</v>
      </c>
      <c r="AC23" s="230" t="n">
        <v>2044</v>
      </c>
      <c r="AD23" s="231" t="n">
        <v>175292</v>
      </c>
      <c r="AE23" s="231" t="n">
        <v>69561</v>
      </c>
      <c r="AF23" s="231" t="n">
        <v>82127</v>
      </c>
      <c r="AG23" s="231" t="n">
        <v>21285</v>
      </c>
      <c r="AH23" s="231" t="n">
        <v>0</v>
      </c>
      <c r="AI23" s="231" t="n">
        <v>20503</v>
      </c>
      <c r="AJ23" s="231" t="n">
        <v>485</v>
      </c>
      <c r="AK23" s="231" t="n">
        <v>0</v>
      </c>
      <c r="AL23" s="231" t="n">
        <v>0</v>
      </c>
      <c r="AM23" s="231" t="n">
        <v>0</v>
      </c>
      <c r="AN23" s="232" t="n">
        <v>369253</v>
      </c>
      <c r="AQ23" s="230" t="n">
        <v>2044</v>
      </c>
      <c r="AR23" s="231" t="n">
        <v>3396678.184026852</v>
      </c>
      <c r="AS23" s="231" t="n">
        <v>4499712.468193103</v>
      </c>
      <c r="AT23" s="231" t="n">
        <v>6030951.548315089</v>
      </c>
      <c r="AU23" s="231" t="n">
        <v>8407104.784992576</v>
      </c>
      <c r="AV23" s="231" t="n">
        <v>11532446.09538741</v>
      </c>
    </row>
    <row r="24">
      <c r="A24" s="233" t="n">
        <v>2045</v>
      </c>
      <c r="B24" s="234" t="n">
        <v>821122</v>
      </c>
      <c r="C24" s="234" t="n">
        <v>0</v>
      </c>
      <c r="D24" s="234" t="n">
        <v>3254799</v>
      </c>
      <c r="E24" s="234" t="n">
        <v>0</v>
      </c>
      <c r="F24" s="234" t="n">
        <v>0</v>
      </c>
      <c r="G24" s="234" t="n">
        <v>2371424</v>
      </c>
      <c r="H24" s="234" t="n">
        <v>20000</v>
      </c>
      <c r="I24" s="235" t="n">
        <v>6467345</v>
      </c>
      <c r="K24" s="233" t="n">
        <v>2045</v>
      </c>
      <c r="L24" s="234" t="n">
        <v>0</v>
      </c>
      <c r="M24" s="234" t="n">
        <v>61509</v>
      </c>
      <c r="N24" s="234" t="n">
        <v>51550</v>
      </c>
      <c r="O24" s="234" t="n">
        <v>4512</v>
      </c>
      <c r="P24" s="234" t="n">
        <v>4595</v>
      </c>
      <c r="Q24" s="234" t="n">
        <v>27247</v>
      </c>
      <c r="R24" s="234" t="n">
        <v>8079</v>
      </c>
      <c r="S24" s="234" t="n">
        <v>70802</v>
      </c>
      <c r="T24" s="234" t="n">
        <v>0</v>
      </c>
      <c r="U24" s="234" t="n">
        <v>0</v>
      </c>
      <c r="V24" s="234" t="n">
        <v>0</v>
      </c>
      <c r="W24" s="234" t="n">
        <v>0</v>
      </c>
      <c r="X24" s="234" t="n">
        <v>118129</v>
      </c>
      <c r="Y24" s="234" t="n">
        <v>0</v>
      </c>
      <c r="Z24" s="234" t="n">
        <v>0</v>
      </c>
      <c r="AA24" s="235" t="n">
        <v>346423</v>
      </c>
      <c r="AC24" s="233" t="n">
        <v>2045</v>
      </c>
      <c r="AD24" s="234" t="n">
        <v>175292</v>
      </c>
      <c r="AE24" s="234" t="n">
        <v>71300</v>
      </c>
      <c r="AF24" s="234" t="n">
        <v>86422</v>
      </c>
      <c r="AG24" s="234" t="n">
        <v>21817</v>
      </c>
      <c r="AH24" s="234" t="n">
        <v>0</v>
      </c>
      <c r="AI24" s="234" t="n">
        <v>19886</v>
      </c>
      <c r="AJ24" s="234" t="n">
        <v>483</v>
      </c>
      <c r="AK24" s="234" t="n">
        <v>0</v>
      </c>
      <c r="AL24" s="234" t="n">
        <v>0</v>
      </c>
      <c r="AM24" s="234" t="n">
        <v>0</v>
      </c>
      <c r="AN24" s="235" t="n">
        <v>375200</v>
      </c>
      <c r="AQ24" s="233" t="n">
        <v>2045</v>
      </c>
      <c r="AR24" s="234" t="n">
        <v>3261153.182212168</v>
      </c>
      <c r="AS24" s="234" t="n">
        <v>4401846.038448777</v>
      </c>
      <c r="AT24" s="234" t="n">
        <v>6061288.595379528</v>
      </c>
      <c r="AU24" s="234" t="n">
        <v>8535325.883508481</v>
      </c>
      <c r="AV24" s="234" t="n">
        <v>12358279.01085638</v>
      </c>
    </row>
    <row r="25">
      <c r="A25" s="230" t="n">
        <v>2046</v>
      </c>
      <c r="B25" s="231" t="n">
        <v>748240</v>
      </c>
      <c r="C25" s="231" t="n">
        <v>0</v>
      </c>
      <c r="D25" s="231" t="n">
        <v>3320439</v>
      </c>
      <c r="E25" s="231" t="n">
        <v>0</v>
      </c>
      <c r="F25" s="231" t="n">
        <v>0</v>
      </c>
      <c r="G25" s="231" t="n">
        <v>2442567</v>
      </c>
      <c r="H25" s="231" t="n">
        <v>20000</v>
      </c>
      <c r="I25" s="232" t="n">
        <v>6531246</v>
      </c>
      <c r="K25" s="230" t="n">
        <v>2046</v>
      </c>
      <c r="L25" s="231" t="n">
        <v>0</v>
      </c>
      <c r="M25" s="231" t="n">
        <v>62740</v>
      </c>
      <c r="N25" s="231" t="n">
        <v>52581</v>
      </c>
      <c r="O25" s="231" t="n">
        <v>4512</v>
      </c>
      <c r="P25" s="231" t="n">
        <v>4582</v>
      </c>
      <c r="Q25" s="231" t="n">
        <v>27122</v>
      </c>
      <c r="R25" s="231" t="n">
        <v>8051</v>
      </c>
      <c r="S25" s="231" t="n">
        <v>70454</v>
      </c>
      <c r="T25" s="231" t="n">
        <v>0</v>
      </c>
      <c r="U25" s="231" t="n">
        <v>0</v>
      </c>
      <c r="V25" s="231" t="n">
        <v>0</v>
      </c>
      <c r="W25" s="231" t="n">
        <v>0</v>
      </c>
      <c r="X25" s="231" t="n">
        <v>122309</v>
      </c>
      <c r="Y25" s="231" t="n">
        <v>0</v>
      </c>
      <c r="Z25" s="231" t="n">
        <v>0</v>
      </c>
      <c r="AA25" s="232" t="n">
        <v>352351</v>
      </c>
      <c r="AC25" s="230" t="n">
        <v>2046</v>
      </c>
      <c r="AD25" s="231" t="n">
        <v>175292</v>
      </c>
      <c r="AE25" s="231" t="n">
        <v>73082</v>
      </c>
      <c r="AF25" s="231" t="n">
        <v>90949</v>
      </c>
      <c r="AG25" s="231" t="n">
        <v>22362</v>
      </c>
      <c r="AH25" s="231" t="n">
        <v>0</v>
      </c>
      <c r="AI25" s="231" t="n">
        <v>19678</v>
      </c>
      <c r="AJ25" s="231" t="n">
        <v>482</v>
      </c>
      <c r="AK25" s="231" t="n">
        <v>0</v>
      </c>
      <c r="AL25" s="231" t="n">
        <v>0</v>
      </c>
      <c r="AM25" s="231" t="n">
        <v>0</v>
      </c>
      <c r="AN25" s="232" t="n">
        <v>381845</v>
      </c>
      <c r="AQ25" s="230" t="n">
        <v>2046</v>
      </c>
      <c r="AR25" s="231" t="n">
        <v>3210806.515456208</v>
      </c>
      <c r="AS25" s="231" t="n">
        <v>4324781.265194401</v>
      </c>
      <c r="AT25" s="231" t="n">
        <v>6216463.336500096</v>
      </c>
      <c r="AU25" s="231" t="n">
        <v>8896077.893468227</v>
      </c>
      <c r="AV25" s="231" t="n">
        <v>12703520.52250868</v>
      </c>
    </row>
    <row r="26">
      <c r="A26" s="233" t="n">
        <v>2047</v>
      </c>
      <c r="B26" s="234" t="n">
        <v>671530</v>
      </c>
      <c r="C26" s="234" t="n">
        <v>0</v>
      </c>
      <c r="D26" s="234" t="n">
        <v>3377100</v>
      </c>
      <c r="E26" s="234" t="n">
        <v>0</v>
      </c>
      <c r="F26" s="234" t="n">
        <v>0</v>
      </c>
      <c r="G26" s="234" t="n">
        <v>2515844</v>
      </c>
      <c r="H26" s="234" t="n">
        <v>20000</v>
      </c>
      <c r="I26" s="235" t="n">
        <v>6584474</v>
      </c>
      <c r="K26" s="233" t="n">
        <v>2047</v>
      </c>
      <c r="L26" s="234" t="n">
        <v>0</v>
      </c>
      <c r="M26" s="234" t="n">
        <v>63994</v>
      </c>
      <c r="N26" s="234" t="n">
        <v>53633</v>
      </c>
      <c r="O26" s="234" t="n">
        <v>4512</v>
      </c>
      <c r="P26" s="234" t="n">
        <v>3652</v>
      </c>
      <c r="Q26" s="234" t="n">
        <v>17933</v>
      </c>
      <c r="R26" s="234" t="n">
        <v>8026</v>
      </c>
      <c r="S26" s="234" t="n">
        <v>70150</v>
      </c>
      <c r="T26" s="234" t="n">
        <v>0</v>
      </c>
      <c r="U26" s="234" t="n">
        <v>0</v>
      </c>
      <c r="V26" s="234" t="n">
        <v>0</v>
      </c>
      <c r="W26" s="234" t="n">
        <v>0</v>
      </c>
      <c r="X26" s="234" t="n">
        <v>134496</v>
      </c>
      <c r="Y26" s="234" t="n">
        <v>0</v>
      </c>
      <c r="Z26" s="234" t="n">
        <v>0</v>
      </c>
      <c r="AA26" s="235" t="n">
        <v>356396</v>
      </c>
      <c r="AC26" s="233" t="n">
        <v>2047</v>
      </c>
      <c r="AD26" s="234" t="n">
        <v>175292</v>
      </c>
      <c r="AE26" s="234" t="n">
        <v>74909</v>
      </c>
      <c r="AF26" s="234" t="n">
        <v>95723</v>
      </c>
      <c r="AG26" s="234" t="n">
        <v>22921</v>
      </c>
      <c r="AH26" s="234" t="n">
        <v>0</v>
      </c>
      <c r="AI26" s="234" t="n">
        <v>17336</v>
      </c>
      <c r="AJ26" s="234" t="n">
        <v>447</v>
      </c>
      <c r="AK26" s="234" t="n">
        <v>0</v>
      </c>
      <c r="AL26" s="234" t="n">
        <v>0</v>
      </c>
      <c r="AM26" s="234" t="n">
        <v>0</v>
      </c>
      <c r="AN26" s="235" t="n">
        <v>386628</v>
      </c>
      <c r="AQ26" s="233" t="n">
        <v>2047</v>
      </c>
      <c r="AR26" s="234" t="n">
        <v>3207374.248848518</v>
      </c>
      <c r="AS26" s="234" t="n">
        <v>4246714.054328571</v>
      </c>
      <c r="AT26" s="234" t="n">
        <v>6163919.257588803</v>
      </c>
      <c r="AU26" s="234" t="n">
        <v>9234438.515708897</v>
      </c>
      <c r="AV26" s="234" t="n">
        <v>13179977.32029279</v>
      </c>
    </row>
    <row r="27">
      <c r="A27" s="230" t="n">
        <v>2048</v>
      </c>
      <c r="B27" s="231" t="n">
        <v>601293</v>
      </c>
      <c r="C27" s="231" t="n">
        <v>0</v>
      </c>
      <c r="D27" s="231" t="n">
        <v>3412335</v>
      </c>
      <c r="E27" s="231" t="n">
        <v>0</v>
      </c>
      <c r="F27" s="231" t="n">
        <v>0</v>
      </c>
      <c r="G27" s="231" t="n">
        <v>2591319</v>
      </c>
      <c r="H27" s="231" t="n">
        <v>20000</v>
      </c>
      <c r="I27" s="232" t="n">
        <v>6624947</v>
      </c>
      <c r="K27" s="230" t="n">
        <v>2048</v>
      </c>
      <c r="L27" s="231" t="n">
        <v>0</v>
      </c>
      <c r="M27" s="231" t="n">
        <v>65274</v>
      </c>
      <c r="N27" s="231" t="n">
        <v>54706</v>
      </c>
      <c r="O27" s="231" t="n">
        <v>4512</v>
      </c>
      <c r="P27" s="231" t="n">
        <v>3680</v>
      </c>
      <c r="Q27" s="231" t="n">
        <v>18208</v>
      </c>
      <c r="R27" s="231" t="n">
        <v>6211</v>
      </c>
      <c r="S27" s="231" t="n">
        <v>47890</v>
      </c>
      <c r="T27" s="231" t="n">
        <v>0</v>
      </c>
      <c r="U27" s="231" t="n">
        <v>0</v>
      </c>
      <c r="V27" s="231" t="n">
        <v>0</v>
      </c>
      <c r="W27" s="231" t="n">
        <v>0</v>
      </c>
      <c r="X27" s="231" t="n">
        <v>157916</v>
      </c>
      <c r="Y27" s="231" t="n">
        <v>0</v>
      </c>
      <c r="Z27" s="231" t="n">
        <v>0</v>
      </c>
      <c r="AA27" s="232" t="n">
        <v>358397</v>
      </c>
      <c r="AC27" s="230" t="n">
        <v>2048</v>
      </c>
      <c r="AD27" s="231" t="n">
        <v>175292</v>
      </c>
      <c r="AE27" s="231" t="n">
        <v>76782</v>
      </c>
      <c r="AF27" s="231" t="n">
        <v>100757</v>
      </c>
      <c r="AG27" s="231" t="n">
        <v>23494</v>
      </c>
      <c r="AH27" s="231" t="n">
        <v>0</v>
      </c>
      <c r="AI27" s="231" t="n">
        <v>12683</v>
      </c>
      <c r="AJ27" s="231" t="n">
        <v>377</v>
      </c>
      <c r="AK27" s="231" t="n">
        <v>0</v>
      </c>
      <c r="AL27" s="231" t="n">
        <v>0</v>
      </c>
      <c r="AM27" s="231" t="n">
        <v>0</v>
      </c>
      <c r="AN27" s="232" t="n">
        <v>389385</v>
      </c>
      <c r="AQ27" s="230" t="n">
        <v>2048</v>
      </c>
      <c r="AR27" s="231" t="n">
        <v>3212612.162531917</v>
      </c>
      <c r="AS27" s="231" t="n">
        <v>4105879.478555865</v>
      </c>
      <c r="AT27" s="231" t="n">
        <v>6093865.995300272</v>
      </c>
      <c r="AU27" s="231" t="n">
        <v>9309359.054081727</v>
      </c>
      <c r="AV27" s="231" t="n">
        <v>13647560.89005706</v>
      </c>
    </row>
    <row r="28">
      <c r="A28" s="233" t="n">
        <v>2049</v>
      </c>
      <c r="B28" s="234" t="n">
        <v>552040</v>
      </c>
      <c r="C28" s="234" t="n">
        <v>0</v>
      </c>
      <c r="D28" s="234" t="n">
        <v>3445632</v>
      </c>
      <c r="E28" s="234" t="n">
        <v>0</v>
      </c>
      <c r="F28" s="234" t="n">
        <v>0</v>
      </c>
      <c r="G28" s="234" t="n">
        <v>2669059</v>
      </c>
      <c r="H28" s="234" t="n">
        <v>20000</v>
      </c>
      <c r="I28" s="235" t="n">
        <v>6686731</v>
      </c>
      <c r="K28" s="233" t="n">
        <v>2049</v>
      </c>
      <c r="L28" s="234" t="n">
        <v>0</v>
      </c>
      <c r="M28" s="234" t="n">
        <v>66580</v>
      </c>
      <c r="N28" s="234" t="n">
        <v>55800</v>
      </c>
      <c r="O28" s="234" t="n">
        <v>4512</v>
      </c>
      <c r="P28" s="234" t="n">
        <v>3708</v>
      </c>
      <c r="Q28" s="234" t="n">
        <v>18487</v>
      </c>
      <c r="R28" s="234" t="n">
        <v>6265</v>
      </c>
      <c r="S28" s="234" t="n">
        <v>48555</v>
      </c>
      <c r="T28" s="234" t="n">
        <v>0</v>
      </c>
      <c r="U28" s="234" t="n">
        <v>0</v>
      </c>
      <c r="V28" s="234" t="n">
        <v>0</v>
      </c>
      <c r="W28" s="234" t="n">
        <v>0</v>
      </c>
      <c r="X28" s="234" t="n">
        <v>161738</v>
      </c>
      <c r="Y28" s="234" t="n">
        <v>0</v>
      </c>
      <c r="Z28" s="234" t="n">
        <v>0</v>
      </c>
      <c r="AA28" s="235" t="n">
        <v>365645</v>
      </c>
      <c r="AC28" s="233" t="n">
        <v>2049</v>
      </c>
      <c r="AD28" s="234" t="n">
        <v>175292</v>
      </c>
      <c r="AE28" s="234" t="n">
        <v>78702</v>
      </c>
      <c r="AF28" s="234" t="n">
        <v>106064</v>
      </c>
      <c r="AG28" s="234" t="n">
        <v>24082</v>
      </c>
      <c r="AH28" s="234" t="n">
        <v>0</v>
      </c>
      <c r="AI28" s="234" t="n">
        <v>12888</v>
      </c>
      <c r="AJ28" s="234" t="n">
        <v>380</v>
      </c>
      <c r="AK28" s="234" t="n">
        <v>0</v>
      </c>
      <c r="AL28" s="234" t="n">
        <v>0</v>
      </c>
      <c r="AM28" s="234" t="n">
        <v>0</v>
      </c>
      <c r="AN28" s="235" t="n">
        <v>397408</v>
      </c>
      <c r="AQ28" s="233" t="n">
        <v>2049</v>
      </c>
      <c r="AR28" s="234" t="n">
        <v>3241098.995544306</v>
      </c>
      <c r="AS28" s="234" t="n">
        <v>3978698.183791811</v>
      </c>
      <c r="AT28" s="234" t="n">
        <v>6160070.346615435</v>
      </c>
      <c r="AU28" s="234" t="n">
        <v>9761085.699585894</v>
      </c>
      <c r="AV28" s="234" t="n">
        <v>14559490.89166066</v>
      </c>
    </row>
    <row r="29">
      <c r="A29" s="230" t="n">
        <v>2050</v>
      </c>
      <c r="B29" s="231" t="n">
        <v>498744</v>
      </c>
      <c r="C29" s="231" t="n">
        <v>0</v>
      </c>
      <c r="D29" s="231" t="n">
        <v>3476588</v>
      </c>
      <c r="E29" s="231" t="n">
        <v>0</v>
      </c>
      <c r="F29" s="231" t="n">
        <v>0</v>
      </c>
      <c r="G29" s="231" t="n">
        <v>2749130</v>
      </c>
      <c r="H29" s="231" t="n">
        <v>20000</v>
      </c>
      <c r="I29" s="232" t="n">
        <v>6744462</v>
      </c>
      <c r="K29" s="230" t="n">
        <v>2050</v>
      </c>
      <c r="L29" s="231" t="n">
        <v>0</v>
      </c>
      <c r="M29" s="231" t="n">
        <v>67911</v>
      </c>
      <c r="N29" s="231" t="n">
        <v>56916</v>
      </c>
      <c r="O29" s="231" t="n">
        <v>4512</v>
      </c>
      <c r="P29" s="231" t="n">
        <v>3737</v>
      </c>
      <c r="Q29" s="231" t="n">
        <v>18769</v>
      </c>
      <c r="R29" s="231" t="n">
        <v>6320</v>
      </c>
      <c r="S29" s="231" t="n">
        <v>49231</v>
      </c>
      <c r="T29" s="231" t="n">
        <v>0</v>
      </c>
      <c r="U29" s="231" t="n">
        <v>0</v>
      </c>
      <c r="V29" s="231" t="n">
        <v>0</v>
      </c>
      <c r="W29" s="231" t="n">
        <v>0</v>
      </c>
      <c r="X29" s="231" t="n">
        <v>165832</v>
      </c>
      <c r="Y29" s="231" t="n">
        <v>0</v>
      </c>
      <c r="Z29" s="231" t="n">
        <v>0</v>
      </c>
      <c r="AA29" s="232" t="n">
        <v>373228</v>
      </c>
      <c r="AC29" s="230" t="n">
        <v>2050</v>
      </c>
      <c r="AD29" s="231" t="n">
        <v>175292</v>
      </c>
      <c r="AE29" s="231" t="n">
        <v>80669</v>
      </c>
      <c r="AF29" s="231" t="n">
        <v>111661</v>
      </c>
      <c r="AG29" s="231" t="n">
        <v>24684</v>
      </c>
      <c r="AH29" s="231" t="n">
        <v>0</v>
      </c>
      <c r="AI29" s="231" t="n">
        <v>13096</v>
      </c>
      <c r="AJ29" s="231" t="n">
        <v>383</v>
      </c>
      <c r="AK29" s="231" t="n">
        <v>0</v>
      </c>
      <c r="AL29" s="231" t="n">
        <v>0</v>
      </c>
      <c r="AM29" s="231" t="n">
        <v>0</v>
      </c>
      <c r="AN29" s="232" t="n">
        <v>405785</v>
      </c>
      <c r="AQ29" s="230" t="n">
        <v>2050</v>
      </c>
      <c r="AR29" s="231" t="n">
        <v>3267874.435484977</v>
      </c>
      <c r="AS29" s="231" t="n">
        <v>3858325.756312746</v>
      </c>
      <c r="AT29" s="231" t="n">
        <v>6107951.926207972</v>
      </c>
      <c r="AU29" s="231" t="n">
        <v>9949955.355982501</v>
      </c>
      <c r="AV29" s="231" t="n">
        <v>15336914.86205459</v>
      </c>
    </row>
    <row r="30">
      <c r="A30" s="233" t="n">
        <v>2051</v>
      </c>
      <c r="B30" s="234" t="n">
        <v>441146</v>
      </c>
      <c r="C30" s="234" t="n">
        <v>0</v>
      </c>
      <c r="D30" s="234" t="n">
        <v>3504753</v>
      </c>
      <c r="E30" s="234" t="n">
        <v>0</v>
      </c>
      <c r="F30" s="234" t="n">
        <v>0</v>
      </c>
      <c r="G30" s="234" t="n">
        <v>2831604</v>
      </c>
      <c r="H30" s="234" t="n">
        <v>20000</v>
      </c>
      <c r="I30" s="235" t="n">
        <v>6797503</v>
      </c>
      <c r="K30" s="233" t="n">
        <v>2051</v>
      </c>
      <c r="L30" s="234" t="n">
        <v>0</v>
      </c>
      <c r="M30" s="234" t="n">
        <v>69270</v>
      </c>
      <c r="N30" s="234" t="n">
        <v>58054</v>
      </c>
      <c r="O30" s="234" t="n">
        <v>4512</v>
      </c>
      <c r="P30" s="234" t="n">
        <v>3766</v>
      </c>
      <c r="Q30" s="234" t="n">
        <v>19054</v>
      </c>
      <c r="R30" s="234" t="n">
        <v>6376</v>
      </c>
      <c r="S30" s="234" t="n">
        <v>49915</v>
      </c>
      <c r="T30" s="234" t="n">
        <v>0</v>
      </c>
      <c r="U30" s="234" t="n">
        <v>0</v>
      </c>
      <c r="V30" s="234" t="n">
        <v>0</v>
      </c>
      <c r="W30" s="234" t="n">
        <v>0</v>
      </c>
      <c r="X30" s="234" t="n">
        <v>170217</v>
      </c>
      <c r="Y30" s="234" t="n">
        <v>0</v>
      </c>
      <c r="Z30" s="234" t="n">
        <v>0</v>
      </c>
      <c r="AA30" s="235" t="n">
        <v>381164</v>
      </c>
      <c r="AC30" s="233" t="n">
        <v>2051</v>
      </c>
      <c r="AD30" s="234" t="n">
        <v>175292</v>
      </c>
      <c r="AE30" s="234" t="n">
        <v>82686</v>
      </c>
      <c r="AF30" s="234" t="n">
        <v>117562</v>
      </c>
      <c r="AG30" s="234" t="n">
        <v>25301</v>
      </c>
      <c r="AH30" s="234" t="n">
        <v>0</v>
      </c>
      <c r="AI30" s="234" t="n">
        <v>13307</v>
      </c>
      <c r="AJ30" s="234" t="n">
        <v>387</v>
      </c>
      <c r="AK30" s="234" t="n">
        <v>0</v>
      </c>
      <c r="AL30" s="234" t="n">
        <v>0</v>
      </c>
      <c r="AM30" s="234" t="n">
        <v>0</v>
      </c>
      <c r="AN30" s="235" t="n">
        <v>414535</v>
      </c>
      <c r="AQ30" s="233" t="n">
        <v>2051</v>
      </c>
      <c r="AR30" s="234" t="n">
        <v>3292749.91110467</v>
      </c>
      <c r="AS30" s="234" t="n">
        <v>3711923.668396953</v>
      </c>
      <c r="AT30" s="234" t="n">
        <v>6109329.520475656</v>
      </c>
      <c r="AU30" s="234" t="n">
        <v>10197629.16719348</v>
      </c>
      <c r="AV30" s="234" t="n">
        <v>16004940.23531835</v>
      </c>
    </row>
    <row r="31">
      <c r="A31" s="230" t="n">
        <v>2052</v>
      </c>
      <c r="B31" s="231" t="n">
        <v>378974</v>
      </c>
      <c r="C31" s="231" t="n">
        <v>0</v>
      </c>
      <c r="D31" s="231" t="n">
        <v>3529660</v>
      </c>
      <c r="E31" s="231" t="n">
        <v>0</v>
      </c>
      <c r="F31" s="231" t="n">
        <v>0</v>
      </c>
      <c r="G31" s="231" t="n">
        <v>2916552</v>
      </c>
      <c r="H31" s="231" t="n">
        <v>20000</v>
      </c>
      <c r="I31" s="232" t="n">
        <v>6845186</v>
      </c>
      <c r="K31" s="230" t="n">
        <v>2052</v>
      </c>
      <c r="L31" s="231" t="n">
        <v>0</v>
      </c>
      <c r="M31" s="231" t="n">
        <v>70655</v>
      </c>
      <c r="N31" s="231" t="n">
        <v>59215</v>
      </c>
      <c r="O31" s="231" t="n">
        <v>4512</v>
      </c>
      <c r="P31" s="231" t="n">
        <v>3795</v>
      </c>
      <c r="Q31" s="231" t="n">
        <v>19374</v>
      </c>
      <c r="R31" s="231" t="n">
        <v>6432</v>
      </c>
      <c r="S31" s="231" t="n">
        <v>50606</v>
      </c>
      <c r="T31" s="231" t="n">
        <v>0</v>
      </c>
      <c r="U31" s="231" t="n">
        <v>0</v>
      </c>
      <c r="V31" s="231" t="n">
        <v>0</v>
      </c>
      <c r="W31" s="231" t="n">
        <v>0</v>
      </c>
      <c r="X31" s="231" t="n">
        <v>174885</v>
      </c>
      <c r="Y31" s="231" t="n">
        <v>0</v>
      </c>
      <c r="Z31" s="231" t="n">
        <v>0</v>
      </c>
      <c r="AA31" s="232" t="n">
        <v>389474</v>
      </c>
      <c r="AC31" s="230" t="n">
        <v>2052</v>
      </c>
      <c r="AD31" s="231" t="n">
        <v>175292</v>
      </c>
      <c r="AE31" s="231" t="n">
        <v>84753</v>
      </c>
      <c r="AF31" s="231" t="n">
        <v>123785</v>
      </c>
      <c r="AG31" s="231" t="n">
        <v>25933</v>
      </c>
      <c r="AH31" s="231" t="n">
        <v>0</v>
      </c>
      <c r="AI31" s="231" t="n">
        <v>13527</v>
      </c>
      <c r="AJ31" s="231" t="n">
        <v>390</v>
      </c>
      <c r="AK31" s="231" t="n">
        <v>0</v>
      </c>
      <c r="AL31" s="231" t="n">
        <v>0</v>
      </c>
      <c r="AM31" s="231" t="n">
        <v>0</v>
      </c>
      <c r="AN31" s="232" t="n">
        <v>423680</v>
      </c>
      <c r="AQ31" s="230" t="n">
        <v>2052</v>
      </c>
      <c r="AR31" s="231" t="n">
        <v>3315526.45314006</v>
      </c>
      <c r="AS31" s="231" t="n">
        <v>3586207.923661453</v>
      </c>
      <c r="AT31" s="231" t="n">
        <v>6122801.988674607</v>
      </c>
      <c r="AU31" s="231" t="n">
        <v>10557599.55151295</v>
      </c>
      <c r="AV31" s="231" t="n">
        <v>16859212.27901098</v>
      </c>
    </row>
    <row r="32">
      <c r="A32" s="233" t="n">
        <v>2053</v>
      </c>
      <c r="B32" s="234" t="n">
        <v>311910</v>
      </c>
      <c r="C32" s="234" t="n">
        <v>0</v>
      </c>
      <c r="D32" s="234" t="n">
        <v>3550869</v>
      </c>
      <c r="E32" s="234" t="n">
        <v>0</v>
      </c>
      <c r="F32" s="234" t="n">
        <v>0</v>
      </c>
      <c r="G32" s="234" t="n">
        <v>3004049</v>
      </c>
      <c r="H32" s="234" t="n">
        <v>20000</v>
      </c>
      <c r="I32" s="235" t="n">
        <v>6886828</v>
      </c>
      <c r="K32" s="233" t="n">
        <v>2053</v>
      </c>
      <c r="L32" s="234" t="n">
        <v>0</v>
      </c>
      <c r="M32" s="234" t="n">
        <v>72068</v>
      </c>
      <c r="N32" s="234" t="n">
        <v>60399</v>
      </c>
      <c r="O32" s="234" t="n">
        <v>4512</v>
      </c>
      <c r="P32" s="234" t="n">
        <v>3827</v>
      </c>
      <c r="Q32" s="234" t="n">
        <v>19733</v>
      </c>
      <c r="R32" s="234" t="n">
        <v>6495</v>
      </c>
      <c r="S32" s="234" t="n">
        <v>51382</v>
      </c>
      <c r="T32" s="234" t="n">
        <v>0</v>
      </c>
      <c r="U32" s="234" t="n">
        <v>0</v>
      </c>
      <c r="V32" s="234" t="n">
        <v>0</v>
      </c>
      <c r="W32" s="234" t="n">
        <v>0</v>
      </c>
      <c r="X32" s="234" t="n">
        <v>179784</v>
      </c>
      <c r="Y32" s="234" t="n">
        <v>0</v>
      </c>
      <c r="Z32" s="234" t="n">
        <v>0</v>
      </c>
      <c r="AA32" s="235" t="n">
        <v>398200</v>
      </c>
      <c r="AC32" s="233" t="n">
        <v>2053</v>
      </c>
      <c r="AD32" s="234" t="n">
        <v>175292</v>
      </c>
      <c r="AE32" s="234" t="n">
        <v>86872</v>
      </c>
      <c r="AF32" s="234" t="n">
        <v>130347</v>
      </c>
      <c r="AG32" s="234" t="n">
        <v>26582</v>
      </c>
      <c r="AH32" s="234" t="n">
        <v>0</v>
      </c>
      <c r="AI32" s="234" t="n">
        <v>13775</v>
      </c>
      <c r="AJ32" s="234" t="n">
        <v>393</v>
      </c>
      <c r="AK32" s="234" t="n">
        <v>0</v>
      </c>
      <c r="AL32" s="234" t="n">
        <v>0</v>
      </c>
      <c r="AM32" s="234" t="n">
        <v>0</v>
      </c>
      <c r="AN32" s="235" t="n">
        <v>433261</v>
      </c>
      <c r="AQ32" s="233" t="n">
        <v>2053</v>
      </c>
      <c r="AR32" s="234" t="n">
        <v>3335958.900418749</v>
      </c>
      <c r="AS32" s="234" t="n">
        <v>3451976.882019332</v>
      </c>
      <c r="AT32" s="234" t="n">
        <v>6148492.807180246</v>
      </c>
      <c r="AU32" s="234" t="n">
        <v>10928660.44443432</v>
      </c>
      <c r="AV32" s="234" t="n">
        <v>17727654.00576452</v>
      </c>
    </row>
    <row r="33">
      <c r="A33" s="230" t="n">
        <v>2054</v>
      </c>
      <c r="B33" s="231" t="n">
        <v>239518</v>
      </c>
      <c r="C33" s="231" t="n">
        <v>0</v>
      </c>
      <c r="D33" s="231" t="n">
        <v>3567904</v>
      </c>
      <c r="E33" s="231" t="n">
        <v>0</v>
      </c>
      <c r="F33" s="231" t="n">
        <v>0</v>
      </c>
      <c r="G33" s="231" t="n">
        <v>3094171</v>
      </c>
      <c r="H33" s="231" t="n">
        <v>0</v>
      </c>
      <c r="I33" s="232" t="n">
        <v>6901593</v>
      </c>
      <c r="K33" s="230" t="n">
        <v>2054</v>
      </c>
      <c r="L33" s="231" t="n">
        <v>0</v>
      </c>
      <c r="M33" s="231" t="n">
        <v>73509</v>
      </c>
      <c r="N33" s="231" t="n">
        <v>61607</v>
      </c>
      <c r="O33" s="231" t="n">
        <v>4512</v>
      </c>
      <c r="P33" s="231" t="n">
        <v>3864</v>
      </c>
      <c r="Q33" s="231" t="n">
        <v>20134</v>
      </c>
      <c r="R33" s="231" t="n">
        <v>6566</v>
      </c>
      <c r="S33" s="231" t="n">
        <v>52251</v>
      </c>
      <c r="T33" s="231" t="n">
        <v>0</v>
      </c>
      <c r="U33" s="231" t="n">
        <v>0</v>
      </c>
      <c r="V33" s="231" t="n">
        <v>0</v>
      </c>
      <c r="W33" s="231" t="n">
        <v>0</v>
      </c>
      <c r="X33" s="231" t="n">
        <v>184921</v>
      </c>
      <c r="Y33" s="231" t="n">
        <v>0</v>
      </c>
      <c r="Z33" s="231" t="n">
        <v>0</v>
      </c>
      <c r="AA33" s="232" t="n">
        <v>407364</v>
      </c>
      <c r="AC33" s="230" t="n">
        <v>2054</v>
      </c>
      <c r="AD33" s="231" t="n">
        <v>175292</v>
      </c>
      <c r="AE33" s="231" t="n">
        <v>89044</v>
      </c>
      <c r="AF33" s="231" t="n">
        <v>137267</v>
      </c>
      <c r="AG33" s="231" t="n">
        <v>27246</v>
      </c>
      <c r="AH33" s="231" t="n">
        <v>0</v>
      </c>
      <c r="AI33" s="231" t="n">
        <v>14055</v>
      </c>
      <c r="AJ33" s="231" t="n">
        <v>398</v>
      </c>
      <c r="AK33" s="231" t="n">
        <v>0</v>
      </c>
      <c r="AL33" s="231" t="n">
        <v>0</v>
      </c>
      <c r="AM33" s="231" t="n">
        <v>0</v>
      </c>
      <c r="AN33" s="232" t="n">
        <v>443302</v>
      </c>
      <c r="AQ33" s="230" t="n">
        <v>2054</v>
      </c>
      <c r="AR33" s="231" t="n">
        <v>3354888.410047718</v>
      </c>
      <c r="AS33" s="231" t="n">
        <v>3354888.410047718</v>
      </c>
      <c r="AT33" s="231" t="n">
        <v>6215298.127556298</v>
      </c>
      <c r="AU33" s="231" t="n">
        <v>11198363.38839724</v>
      </c>
      <c r="AV33" s="231" t="n">
        <v>18264775.09323547</v>
      </c>
    </row>
    <row r="34">
      <c r="A34" s="233" t="n">
        <v>2055</v>
      </c>
      <c r="B34" s="234" t="n">
        <v>161323</v>
      </c>
      <c r="C34" s="234" t="n">
        <v>0</v>
      </c>
      <c r="D34" s="234" t="n">
        <v>3581178</v>
      </c>
      <c r="E34" s="234" t="n">
        <v>0</v>
      </c>
      <c r="F34" s="234" t="n">
        <v>0</v>
      </c>
      <c r="G34" s="234" t="n">
        <v>3186996</v>
      </c>
      <c r="H34" s="234" t="n">
        <v>0</v>
      </c>
      <c r="I34" s="235" t="n">
        <v>6929497</v>
      </c>
      <c r="K34" s="233" t="n">
        <v>2055</v>
      </c>
      <c r="L34" s="234" t="n">
        <v>0</v>
      </c>
      <c r="M34" s="234" t="n">
        <v>0</v>
      </c>
      <c r="N34" s="234" t="n">
        <v>73509</v>
      </c>
      <c r="O34" s="234" t="n">
        <v>4512</v>
      </c>
      <c r="P34" s="234" t="n">
        <v>3904</v>
      </c>
      <c r="Q34" s="234" t="n">
        <v>20582</v>
      </c>
      <c r="R34" s="234" t="n">
        <v>0</v>
      </c>
      <c r="S34" s="234" t="n">
        <v>53222</v>
      </c>
      <c r="T34" s="234" t="n">
        <v>0</v>
      </c>
      <c r="U34" s="234" t="n">
        <v>0</v>
      </c>
      <c r="V34" s="234" t="n">
        <v>0</v>
      </c>
      <c r="W34" s="234" t="n">
        <v>0</v>
      </c>
      <c r="X34" s="234" t="n">
        <v>189434</v>
      </c>
      <c r="Y34" s="234" t="n">
        <v>0</v>
      </c>
      <c r="Z34" s="234" t="n">
        <v>0</v>
      </c>
      <c r="AA34" s="235" t="n">
        <v>345163</v>
      </c>
      <c r="AC34" s="233" t="n">
        <v>2055</v>
      </c>
      <c r="AD34" s="234" t="n">
        <v>175292</v>
      </c>
      <c r="AE34" s="234" t="n">
        <v>91270</v>
      </c>
      <c r="AF34" s="234" t="n">
        <v>72282</v>
      </c>
      <c r="AG34" s="234" t="n">
        <v>27927</v>
      </c>
      <c r="AH34" s="234" t="n">
        <v>0</v>
      </c>
      <c r="AI34" s="234" t="n">
        <v>14826</v>
      </c>
      <c r="AJ34" s="234" t="n">
        <v>402</v>
      </c>
      <c r="AK34" s="234" t="n">
        <v>0</v>
      </c>
      <c r="AL34" s="234" t="n">
        <v>0</v>
      </c>
      <c r="AM34" s="234" t="n">
        <v>0</v>
      </c>
      <c r="AN34" s="235" t="n">
        <v>381999</v>
      </c>
      <c r="AQ34" s="233" t="n">
        <v>2055</v>
      </c>
      <c r="AR34" s="234" t="n">
        <v>3370790.16580873</v>
      </c>
      <c r="AS34" s="234" t="n">
        <v>3370790.16580873</v>
      </c>
      <c r="AT34" s="234" t="n">
        <v>6183589.687594965</v>
      </c>
      <c r="AU34" s="234" t="n">
        <v>11587928.76368798</v>
      </c>
      <c r="AV34" s="234" t="n">
        <v>19355665.08322776</v>
      </c>
    </row>
    <row r="35">
      <c r="A35" s="230" t="n">
        <v>2056</v>
      </c>
      <c r="B35" s="231" t="n">
        <v>83848</v>
      </c>
      <c r="C35" s="231" t="n">
        <v>0</v>
      </c>
      <c r="D35" s="231" t="n">
        <v>3590686</v>
      </c>
      <c r="E35" s="231" t="n">
        <v>0</v>
      </c>
      <c r="F35" s="231" t="n">
        <v>0</v>
      </c>
      <c r="G35" s="231" t="n">
        <v>3282605</v>
      </c>
      <c r="H35" s="231" t="n">
        <v>0</v>
      </c>
      <c r="I35" s="232" t="n">
        <v>6957139</v>
      </c>
      <c r="K35" s="230" t="n">
        <v>2056</v>
      </c>
      <c r="L35" s="231" t="n">
        <v>0</v>
      </c>
      <c r="M35" s="231" t="n">
        <v>0</v>
      </c>
      <c r="N35" s="231" t="n">
        <v>73509</v>
      </c>
      <c r="O35" s="231" t="n">
        <v>4512</v>
      </c>
      <c r="P35" s="231" t="n">
        <v>3950</v>
      </c>
      <c r="Q35" s="231" t="n">
        <v>21080</v>
      </c>
      <c r="R35" s="231" t="n">
        <v>0</v>
      </c>
      <c r="S35" s="231" t="n">
        <v>54306</v>
      </c>
      <c r="T35" s="231" t="n">
        <v>0</v>
      </c>
      <c r="U35" s="231" t="n">
        <v>0</v>
      </c>
      <c r="V35" s="231" t="n">
        <v>0</v>
      </c>
      <c r="W35" s="231" t="n">
        <v>0</v>
      </c>
      <c r="X35" s="231" t="n">
        <v>193738</v>
      </c>
      <c r="Y35" s="231" t="n">
        <v>0</v>
      </c>
      <c r="Z35" s="231" t="n">
        <v>0</v>
      </c>
      <c r="AA35" s="232" t="n">
        <v>351095</v>
      </c>
      <c r="AC35" s="230" t="n">
        <v>2056</v>
      </c>
      <c r="AD35" s="231" t="n">
        <v>175292</v>
      </c>
      <c r="AE35" s="231" t="n">
        <v>93552</v>
      </c>
      <c r="AF35" s="231" t="n">
        <v>76130</v>
      </c>
      <c r="AG35" s="231" t="n">
        <v>28626</v>
      </c>
      <c r="AH35" s="231" t="n">
        <v>0</v>
      </c>
      <c r="AI35" s="231" t="n">
        <v>14845</v>
      </c>
      <c r="AJ35" s="231" t="n">
        <v>407</v>
      </c>
      <c r="AK35" s="231" t="n">
        <v>0</v>
      </c>
      <c r="AL35" s="231" t="n">
        <v>0</v>
      </c>
      <c r="AM35" s="231" t="n">
        <v>0</v>
      </c>
      <c r="AN35" s="232" t="n">
        <v>388852</v>
      </c>
      <c r="AQ35" s="230" t="n">
        <v>2056</v>
      </c>
      <c r="AR35" s="231" t="n">
        <v>3390274.137803574</v>
      </c>
      <c r="AS35" s="231" t="n">
        <v>3390274.137803574</v>
      </c>
      <c r="AT35" s="231" t="n">
        <v>6287569.117572553</v>
      </c>
      <c r="AU35" s="231" t="n">
        <v>11923770.04338021</v>
      </c>
      <c r="AV35" s="231" t="n">
        <v>20323941.36122607</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20" t="inlineStr">
        <is>
          <t>Asset Class</t>
        </is>
      </c>
      <c r="B210" s="220" t="inlineStr">
        <is>
          <t>Current Portfolio Allocation</t>
        </is>
      </c>
      <c r="D210" s="220" t="inlineStr">
        <is>
          <t>Asset Class</t>
        </is>
      </c>
      <c r="E210" s="220" t="inlineStr">
        <is>
          <t>Target Portfolio Allocation</t>
        </is>
      </c>
    </row>
    <row r="211">
      <c r="A211" s="33" t="inlineStr">
        <is>
          <t>US Large Cap</t>
        </is>
      </c>
      <c r="B211" s="107" t="n">
        <v>1368717.35017</v>
      </c>
      <c r="D211" s="33" t="inlineStr">
        <is>
          <t>US Large Cap</t>
        </is>
      </c>
      <c r="E211" s="107" t="n">
        <v>1221944.72777</v>
      </c>
    </row>
    <row r="212">
      <c r="A212" s="33" t="inlineStr">
        <is>
          <t>International</t>
        </is>
      </c>
      <c r="B212" s="107" t="n">
        <v>924570.240811</v>
      </c>
      <c r="D212" s="33" t="inlineStr">
        <is>
          <t>International</t>
        </is>
      </c>
      <c r="E212" s="107" t="n">
        <v>698254.240811</v>
      </c>
    </row>
    <row r="213">
      <c r="A213" s="33" t="inlineStr">
        <is>
          <t>US Small Cap</t>
        </is>
      </c>
      <c r="B213" s="107" t="n">
        <v>310403.602688</v>
      </c>
      <c r="D213" s="33" t="inlineStr">
        <is>
          <t>US Small Cap</t>
        </is>
      </c>
      <c r="E213" s="107" t="n">
        <v>174563.602688</v>
      </c>
    </row>
    <row r="214">
      <c r="A214" s="33" t="inlineStr">
        <is>
          <t>Commodities</t>
        </is>
      </c>
      <c r="B214" s="107" t="n">
        <v>169340.6</v>
      </c>
      <c r="D214" s="33" t="inlineStr">
        <is>
          <t>Commodities</t>
        </is>
      </c>
      <c r="E214" s="107" t="n">
        <v>174563.6</v>
      </c>
    </row>
    <row r="215">
      <c r="A215" s="33" t="inlineStr">
        <is>
          <t>Cash</t>
        </is>
      </c>
      <c r="B215" s="107" t="n">
        <v>19984.61</v>
      </c>
      <c r="D215" s="33" t="inlineStr">
        <is>
          <t>Cash</t>
        </is>
      </c>
      <c r="E215" s="107" t="n">
        <v>174562.61</v>
      </c>
    </row>
    <row r="216">
      <c r="A216" s="33" t="inlineStr">
        <is>
          <t>Fixed Income (Non-Liquid)</t>
        </is>
      </c>
      <c r="B216" s="107" t="n">
        <v>1274327.16356137</v>
      </c>
      <c r="D216" s="33" t="inlineStr">
        <is>
          <t>Emerging Markets</t>
        </is>
      </c>
      <c r="E216" s="107" t="n">
        <v>174564</v>
      </c>
    </row>
    <row r="217">
      <c r="A217" s="33" t="inlineStr">
        <is>
          <t>Real Estate (Non-Liquid)</t>
        </is>
      </c>
      <c r="B217" s="107" t="n">
        <v>1313000</v>
      </c>
      <c r="D217" s="33" t="inlineStr">
        <is>
          <t>US Mid Cap</t>
        </is>
      </c>
      <c r="E217" s="107" t="n">
        <v>174564</v>
      </c>
    </row>
    <row r="218">
      <c r="D218" s="33" t="inlineStr">
        <is>
          <t>Fixed Income (Non-Liquid)</t>
        </is>
      </c>
      <c r="E218" s="107" t="n">
        <v>1274327.16356137</v>
      </c>
    </row>
    <row r="219">
      <c r="D219" s="33" t="inlineStr">
        <is>
          <t>Real Estate (Non-Liquid)</t>
        </is>
      </c>
      <c r="E219" s="107"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2026-07-06T22:16:10Z</dcterms:created>
  <dcterms:modified xmlns:dcterms="http://purl.org/dc/terms/" xmlns:xsi="http://www.w3.org/2001/XMLSchema-instance" xsi:type="dcterms:W3CDTF">2026-07-06T22:16:22Z</dcterms:modified>
</cp:coreProperties>
</file>